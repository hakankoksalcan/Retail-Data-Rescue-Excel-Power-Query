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/>
  </mc:AlternateContent>
  <xr:revisionPtr revIDLastSave="0" documentId="13_ncr:1_{B5145567-1F60-4867-9935-E8B2C209EECF}" xr6:coauthVersionLast="47" xr6:coauthVersionMax="47" xr10:uidLastSave="{00000000-0000-0000-0000-000000000000}"/>
  <bookViews>
    <workbookView xWindow="-120" yWindow="-120" windowWidth="29040" windowHeight="15720" tabRatio="977" xr2:uid="{00000000-000D-0000-FFFF-FFFF00000000}" activeTab="0" firstSheet="0"/>
  </bookViews>
  <sheets>
    <sheet name="Dashboard" sheetId="1" r:id="rId3"/>
    <sheet name="qMissingValues" sheetId="22" r:id="rId1"/>
    <sheet name="SourceCheck" sheetId="21" r:id="rId2"/>
    <sheet name="Settings" sheetId="2" r:id="rId4"/>
    <sheet name="KPI" sheetId="3" r:id="rId5"/>
    <sheet name="Monthly" sheetId="4" r:id="rId6"/>
    <sheet name="Country" sheetId="5" r:id="rId7"/>
    <sheet name="Product" sheetId="6" r:id="rId8"/>
    <sheet name="Reconciliation" sheetId="7" r:id="rId9"/>
    <sheet name="Bridge" sheetId="8" r:id="rId10"/>
    <sheet name="Quality" sheetId="9" r:id="rId11"/>
    <sheet name="Controls" sheetId="10" r:id="rId12"/>
    <sheet name="DuplicateScenario" sheetId="11" r:id="rId13"/>
    <sheet name="BeforeAfter" sheetId="12" r:id="rId14"/>
    <sheet name="ProductDictionary" sheetId="13" r:id="rId15"/>
    <sheet name="SpecialOperations" sheetId="14" r:id="rId16"/>
    <sheet name="Customers" sheetId="15" r:id="rId17"/>
    <sheet name="ReviewExamples" sheetId="16" r:id="rId18"/>
    <sheet name="DashboardData" sheetId="17" r:id="rId19"/>
    <sheet name="RefreshInfo" sheetId="18" r:id="rId20"/>
    <sheet name="Lists" sheetId="19" state="hidden" r:id="rId21"/>
    <sheet name="ChartData" sheetId="20" state="hidden" r:id="rId22"/>
  </sheets>
  <definedNames>
    <definedName name="DışVeri_1" localSheetId="2" hidden="1">SourceCheck!$A$1:$B$3</definedName>
    <definedName name="DışVeri_2" localSheetId="1" hidden="1">qMissingValues!$A$1:$B$9</definedName>
    <definedName name="rdrCancels" localSheetId="0">ChartData!$C$2:INDEX(ChartData!$C:$C,COUNTA(Monthly!$A:$A))</definedName>
    <definedName name="rdrCountryOptions">Lists!$A$1:INDEX(Lists!$A:$A,COUNTA(Country!$A:$A))</definedName>
    <definedName name="rdrMonthOptions">Lists!$B$1:INDEX(Lists!$B:$B,COUNTA(Monthly!$A:$A)-1)</definedName>
    <definedName name="rdrMonths" localSheetId="0">ChartData!$A$2:INDEX(ChartData!$A:$A,COUNTA(Monthly!$A:$A))</definedName>
    <definedName name="rdrSales" localSheetId="0">ChartData!$B$2:INDEX(ChartData!$B:$B,COUNTA(Monthly!$A:$A))</definedName>
    <definedName name="_xlnm.Print_Area" localSheetId="0">Dashboard!$B$1:$M$57</definedName>
  </definedNames>
  <calcPr calcId="191029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01" i="20" l="1"/>
  <c r="A1000" i="20"/>
  <c r="A999" i="20"/>
  <c r="A998" i="20"/>
  <c r="A997" i="20"/>
  <c r="A996" i="20"/>
  <c r="A995" i="20"/>
  <c r="A994" i="20"/>
  <c r="A993" i="20"/>
  <c r="A992" i="20"/>
  <c r="A991" i="20"/>
  <c r="A990" i="20"/>
  <c r="A989" i="20"/>
  <c r="A988" i="20"/>
  <c r="A987" i="20"/>
  <c r="A986" i="20"/>
  <c r="A985" i="20"/>
  <c r="A984" i="20"/>
  <c r="A983" i="20"/>
  <c r="A982" i="20"/>
  <c r="A981" i="20"/>
  <c r="A980" i="20"/>
  <c r="A979" i="20"/>
  <c r="A978" i="20"/>
  <c r="A977" i="20"/>
  <c r="A976" i="20"/>
  <c r="A975" i="20"/>
  <c r="A974" i="20"/>
  <c r="A973" i="20"/>
  <c r="A972" i="20"/>
  <c r="A971" i="20"/>
  <c r="A970" i="20"/>
  <c r="A969" i="20"/>
  <c r="A968" i="20"/>
  <c r="A967" i="20"/>
  <c r="A966" i="20"/>
  <c r="A965" i="20"/>
  <c r="A964" i="20"/>
  <c r="A963" i="20"/>
  <c r="A962" i="20"/>
  <c r="A961" i="20"/>
  <c r="A960" i="20"/>
  <c r="A959" i="20"/>
  <c r="A958" i="20"/>
  <c r="A957" i="20"/>
  <c r="A956" i="20"/>
  <c r="A955" i="20"/>
  <c r="A954" i="20"/>
  <c r="A953" i="20"/>
  <c r="A952" i="20"/>
  <c r="A951" i="20"/>
  <c r="A950" i="20"/>
  <c r="A949" i="20"/>
  <c r="A948" i="20"/>
  <c r="A947" i="20"/>
  <c r="A946" i="20"/>
  <c r="A945" i="20"/>
  <c r="A944" i="20"/>
  <c r="A943" i="20"/>
  <c r="A942" i="20"/>
  <c r="A941" i="20"/>
  <c r="A940" i="20"/>
  <c r="A939" i="20"/>
  <c r="A938" i="20"/>
  <c r="A937" i="20"/>
  <c r="A936" i="20"/>
  <c r="A935" i="20"/>
  <c r="A934" i="20"/>
  <c r="A933" i="20"/>
  <c r="A932" i="20"/>
  <c r="A931" i="20"/>
  <c r="A930" i="20"/>
  <c r="A929" i="20"/>
  <c r="A928" i="20"/>
  <c r="A927" i="20"/>
  <c r="A926" i="20"/>
  <c r="A925" i="20"/>
  <c r="A924" i="20"/>
  <c r="A923" i="20"/>
  <c r="A922" i="20"/>
  <c r="A921" i="20"/>
  <c r="A920" i="20"/>
  <c r="A919" i="20"/>
  <c r="A918" i="20"/>
  <c r="A917" i="20"/>
  <c r="A916" i="20"/>
  <c r="A915" i="20"/>
  <c r="A914" i="20"/>
  <c r="A913" i="20"/>
  <c r="A912" i="20"/>
  <c r="A911" i="20"/>
  <c r="A910" i="20"/>
  <c r="A909" i="20"/>
  <c r="A908" i="20"/>
  <c r="A907" i="20"/>
  <c r="A906" i="20"/>
  <c r="A905" i="20"/>
  <c r="A904" i="20"/>
  <c r="A903" i="20"/>
  <c r="A902" i="20"/>
  <c r="A901" i="20"/>
  <c r="A900" i="20"/>
  <c r="A899" i="20"/>
  <c r="A898" i="20"/>
  <c r="A897" i="20"/>
  <c r="A896" i="20"/>
  <c r="A895" i="20"/>
  <c r="A894" i="20"/>
  <c r="A893" i="20"/>
  <c r="A892" i="20"/>
  <c r="A891" i="20"/>
  <c r="A890" i="20"/>
  <c r="A889" i="20"/>
  <c r="A888" i="20"/>
  <c r="A887" i="20"/>
  <c r="A886" i="20"/>
  <c r="A885" i="20"/>
  <c r="A884" i="20"/>
  <c r="A883" i="20"/>
  <c r="C882" i="20"/>
  <c r="A882" i="20"/>
  <c r="B882" i="20" s="1"/>
  <c r="A881" i="20"/>
  <c r="A880" i="20"/>
  <c r="A879" i="20"/>
  <c r="A878" i="20"/>
  <c r="A877" i="20"/>
  <c r="A876" i="20"/>
  <c r="A875" i="20"/>
  <c r="A874" i="20"/>
  <c r="A873" i="20"/>
  <c r="A872" i="20"/>
  <c r="A871" i="20"/>
  <c r="A870" i="20"/>
  <c r="A869" i="20"/>
  <c r="A868" i="20"/>
  <c r="A867" i="20"/>
  <c r="A866" i="20"/>
  <c r="A865" i="20"/>
  <c r="A864" i="20"/>
  <c r="A863" i="20"/>
  <c r="A862" i="20"/>
  <c r="A861" i="20"/>
  <c r="A860" i="20"/>
  <c r="A859" i="20"/>
  <c r="A858" i="20"/>
  <c r="A857" i="20"/>
  <c r="A856" i="20"/>
  <c r="A855" i="20"/>
  <c r="A854" i="20"/>
  <c r="A853" i="20"/>
  <c r="A852" i="20"/>
  <c r="A851" i="20"/>
  <c r="A850" i="20"/>
  <c r="A849" i="20"/>
  <c r="A848" i="20"/>
  <c r="A847" i="20"/>
  <c r="A846" i="20"/>
  <c r="A845" i="20"/>
  <c r="A844" i="20"/>
  <c r="A843" i="20"/>
  <c r="A842" i="20"/>
  <c r="A841" i="20"/>
  <c r="A840" i="20"/>
  <c r="A839" i="20"/>
  <c r="A838" i="20"/>
  <c r="A837" i="20"/>
  <c r="A836" i="20"/>
  <c r="A835" i="20"/>
  <c r="A834" i="20"/>
  <c r="A833" i="20"/>
  <c r="A832" i="20"/>
  <c r="A831" i="20"/>
  <c r="A830" i="20"/>
  <c r="A829" i="20"/>
  <c r="A828" i="20"/>
  <c r="A827" i="20"/>
  <c r="A826" i="20"/>
  <c r="A825" i="20"/>
  <c r="A824" i="20"/>
  <c r="A823" i="20"/>
  <c r="A822" i="20"/>
  <c r="A821" i="20"/>
  <c r="A820" i="20"/>
  <c r="A819" i="20"/>
  <c r="A818" i="20"/>
  <c r="A817" i="20"/>
  <c r="A816" i="20"/>
  <c r="A815" i="20"/>
  <c r="A814" i="20"/>
  <c r="A813" i="20"/>
  <c r="A812" i="20"/>
  <c r="A811" i="20"/>
  <c r="A810" i="20"/>
  <c r="A809" i="20"/>
  <c r="A808" i="20"/>
  <c r="A807" i="20"/>
  <c r="A806" i="20"/>
  <c r="A805" i="20"/>
  <c r="A804" i="20"/>
  <c r="A803" i="20"/>
  <c r="A802" i="20"/>
  <c r="A801" i="20"/>
  <c r="A800" i="20"/>
  <c r="A799" i="20"/>
  <c r="A798" i="20"/>
  <c r="A797" i="20"/>
  <c r="A796" i="20"/>
  <c r="A795" i="20"/>
  <c r="A794" i="20"/>
  <c r="A793" i="20"/>
  <c r="A792" i="20"/>
  <c r="A791" i="20"/>
  <c r="A790" i="20"/>
  <c r="A789" i="20"/>
  <c r="A788" i="20"/>
  <c r="A787" i="20"/>
  <c r="A786" i="20"/>
  <c r="A785" i="20"/>
  <c r="A784" i="20"/>
  <c r="A783" i="20"/>
  <c r="A782" i="20"/>
  <c r="A781" i="20"/>
  <c r="A780" i="20"/>
  <c r="A779" i="20"/>
  <c r="A778" i="20"/>
  <c r="A777" i="20"/>
  <c r="A776" i="20"/>
  <c r="A775" i="20"/>
  <c r="A774" i="20"/>
  <c r="A773" i="20"/>
  <c r="A772" i="20"/>
  <c r="A771" i="20"/>
  <c r="A770" i="20"/>
  <c r="A769" i="20"/>
  <c r="A768" i="20"/>
  <c r="A767" i="20"/>
  <c r="A766" i="20"/>
  <c r="A765" i="20"/>
  <c r="A764" i="20"/>
  <c r="A763" i="20"/>
  <c r="A762" i="20"/>
  <c r="A761" i="20"/>
  <c r="A760" i="20"/>
  <c r="A759" i="20"/>
  <c r="A758" i="20"/>
  <c r="A757" i="20"/>
  <c r="A756" i="20"/>
  <c r="A755" i="20"/>
  <c r="A754" i="20"/>
  <c r="A753" i="20"/>
  <c r="A752" i="20"/>
  <c r="A751" i="20"/>
  <c r="A750" i="20"/>
  <c r="A749" i="20"/>
  <c r="A748" i="20"/>
  <c r="A747" i="20"/>
  <c r="A746" i="20"/>
  <c r="A745" i="20"/>
  <c r="A744" i="20"/>
  <c r="A743" i="20"/>
  <c r="A742" i="20"/>
  <c r="A741" i="20"/>
  <c r="A740" i="20"/>
  <c r="A739" i="20"/>
  <c r="A738" i="20"/>
  <c r="A737" i="20"/>
  <c r="A736" i="20"/>
  <c r="A735" i="20"/>
  <c r="A734" i="20"/>
  <c r="A733" i="20"/>
  <c r="A732" i="20"/>
  <c r="A731" i="20"/>
  <c r="A730" i="20"/>
  <c r="A729" i="20"/>
  <c r="A728" i="20"/>
  <c r="A727" i="20"/>
  <c r="A726" i="20"/>
  <c r="A725" i="20"/>
  <c r="A724" i="20"/>
  <c r="A723" i="20"/>
  <c r="A722" i="20"/>
  <c r="A721" i="20"/>
  <c r="A720" i="20"/>
  <c r="A719" i="20"/>
  <c r="A718" i="20"/>
  <c r="A717" i="20"/>
  <c r="A716" i="20"/>
  <c r="A715" i="20"/>
  <c r="A714" i="20"/>
  <c r="A713" i="20"/>
  <c r="A712" i="20"/>
  <c r="A711" i="20"/>
  <c r="A710" i="20"/>
  <c r="A709" i="20"/>
  <c r="A708" i="20"/>
  <c r="A707" i="20"/>
  <c r="A706" i="20"/>
  <c r="A705" i="20"/>
  <c r="A704" i="20"/>
  <c r="A703" i="20"/>
  <c r="A702" i="20"/>
  <c r="A701" i="20"/>
  <c r="A700" i="20"/>
  <c r="A699" i="20"/>
  <c r="A698" i="20"/>
  <c r="A697" i="20"/>
  <c r="A696" i="20"/>
  <c r="A695" i="20"/>
  <c r="A694" i="20"/>
  <c r="A693" i="20"/>
  <c r="A692" i="20"/>
  <c r="A691" i="20"/>
  <c r="A690" i="20"/>
  <c r="A689" i="20"/>
  <c r="A688" i="20"/>
  <c r="A687" i="20"/>
  <c r="A686" i="20"/>
  <c r="A685" i="20"/>
  <c r="A684" i="20"/>
  <c r="A683" i="20"/>
  <c r="A682" i="20"/>
  <c r="A681" i="20"/>
  <c r="A680" i="20"/>
  <c r="A679" i="20"/>
  <c r="A678" i="20"/>
  <c r="A677" i="20"/>
  <c r="A676" i="20"/>
  <c r="A675" i="20"/>
  <c r="A674" i="20"/>
  <c r="A673" i="20"/>
  <c r="A672" i="20"/>
  <c r="A671" i="20"/>
  <c r="A670" i="20"/>
  <c r="A669" i="20"/>
  <c r="A668" i="20"/>
  <c r="A667" i="20"/>
  <c r="A666" i="20"/>
  <c r="A665" i="20"/>
  <c r="A664" i="20"/>
  <c r="A663" i="20"/>
  <c r="A662" i="20"/>
  <c r="A661" i="20"/>
  <c r="A660" i="20"/>
  <c r="A659" i="20"/>
  <c r="A658" i="20"/>
  <c r="A657" i="20"/>
  <c r="A656" i="20"/>
  <c r="A655" i="20"/>
  <c r="A654" i="20"/>
  <c r="A653" i="20"/>
  <c r="A652" i="20"/>
  <c r="A651" i="20"/>
  <c r="A650" i="20"/>
  <c r="A649" i="20"/>
  <c r="A648" i="20"/>
  <c r="A647" i="20"/>
  <c r="A646" i="20"/>
  <c r="A645" i="20"/>
  <c r="A644" i="20"/>
  <c r="C643" i="20"/>
  <c r="B643" i="20"/>
  <c r="A643" i="20"/>
  <c r="A642" i="20"/>
  <c r="A641" i="20"/>
  <c r="A640" i="20"/>
  <c r="A639" i="20"/>
  <c r="A638" i="20"/>
  <c r="A637" i="20"/>
  <c r="A636" i="20"/>
  <c r="A635" i="20"/>
  <c r="A634" i="20"/>
  <c r="A633" i="20"/>
  <c r="A632" i="20"/>
  <c r="A631" i="20"/>
  <c r="A630" i="20"/>
  <c r="A629" i="20"/>
  <c r="A628" i="20"/>
  <c r="A627" i="20"/>
  <c r="A626" i="20"/>
  <c r="A625" i="20"/>
  <c r="A624" i="20"/>
  <c r="A623" i="20"/>
  <c r="A622" i="20"/>
  <c r="A621" i="20"/>
  <c r="A620" i="20"/>
  <c r="A619" i="20"/>
  <c r="A618" i="20"/>
  <c r="A617" i="20"/>
  <c r="A616" i="20"/>
  <c r="A615" i="20"/>
  <c r="A614" i="20"/>
  <c r="A613" i="20"/>
  <c r="A612" i="20"/>
  <c r="A611" i="20"/>
  <c r="A610" i="20"/>
  <c r="A609" i="20"/>
  <c r="A608" i="20"/>
  <c r="A607" i="20"/>
  <c r="A606" i="20"/>
  <c r="A605" i="20"/>
  <c r="A604" i="20"/>
  <c r="A603" i="20"/>
  <c r="A602" i="20"/>
  <c r="A601" i="20"/>
  <c r="A600" i="20"/>
  <c r="A599" i="20"/>
  <c r="A598" i="20"/>
  <c r="A597" i="20"/>
  <c r="A596" i="20"/>
  <c r="A595" i="20"/>
  <c r="A594" i="20"/>
  <c r="A593" i="20"/>
  <c r="A592" i="20"/>
  <c r="A591" i="20"/>
  <c r="A590" i="20"/>
  <c r="A589" i="20"/>
  <c r="A588" i="20"/>
  <c r="A587" i="20"/>
  <c r="A586" i="20"/>
  <c r="A585" i="20"/>
  <c r="A584" i="20"/>
  <c r="A583" i="20"/>
  <c r="A582" i="20"/>
  <c r="A581" i="20"/>
  <c r="A580" i="20"/>
  <c r="A579" i="20"/>
  <c r="A578" i="20"/>
  <c r="A577" i="20"/>
  <c r="A576" i="20"/>
  <c r="A575" i="20"/>
  <c r="A574" i="20"/>
  <c r="A573" i="20"/>
  <c r="A572" i="20"/>
  <c r="A571" i="20"/>
  <c r="A570" i="20"/>
  <c r="A569" i="20"/>
  <c r="A568" i="20"/>
  <c r="A567" i="20"/>
  <c r="A566" i="20"/>
  <c r="A565" i="20"/>
  <c r="A564" i="20"/>
  <c r="A563" i="20"/>
  <c r="A562" i="20"/>
  <c r="A561" i="20"/>
  <c r="A560" i="20"/>
  <c r="A559" i="20"/>
  <c r="A558" i="20"/>
  <c r="A557" i="20"/>
  <c r="A556" i="20"/>
  <c r="A555" i="20"/>
  <c r="A554" i="20"/>
  <c r="A553" i="20"/>
  <c r="A552" i="20"/>
  <c r="A551" i="20"/>
  <c r="A550" i="20"/>
  <c r="A549" i="20"/>
  <c r="A548" i="20"/>
  <c r="A547" i="20"/>
  <c r="A546" i="20"/>
  <c r="A545" i="20"/>
  <c r="A544" i="20"/>
  <c r="A543" i="20"/>
  <c r="A542" i="20"/>
  <c r="A541" i="20"/>
  <c r="A540" i="20"/>
  <c r="A539" i="20"/>
  <c r="A538" i="20"/>
  <c r="A537" i="20"/>
  <c r="A536" i="20"/>
  <c r="A535" i="20"/>
  <c r="A534" i="20"/>
  <c r="A533" i="20"/>
  <c r="A532" i="20"/>
  <c r="A531" i="20"/>
  <c r="A530" i="20"/>
  <c r="A529" i="20"/>
  <c r="A528" i="20"/>
  <c r="A527" i="20"/>
  <c r="A526" i="20"/>
  <c r="A525" i="20"/>
  <c r="A524" i="20"/>
  <c r="C523" i="20"/>
  <c r="A523" i="20"/>
  <c r="B523" i="20" s="1"/>
  <c r="A522" i="20"/>
  <c r="A521" i="20"/>
  <c r="A520" i="20"/>
  <c r="A519" i="20"/>
  <c r="A518" i="20"/>
  <c r="A517" i="20"/>
  <c r="A516" i="20"/>
  <c r="A515" i="20"/>
  <c r="A514" i="20"/>
  <c r="A513" i="20"/>
  <c r="A512" i="20"/>
  <c r="A511" i="20"/>
  <c r="A510" i="20"/>
  <c r="A509" i="20"/>
  <c r="A508" i="20"/>
  <c r="A507" i="20"/>
  <c r="A506" i="20"/>
  <c r="A505" i="20"/>
  <c r="A504" i="20"/>
  <c r="A503" i="20"/>
  <c r="A502" i="20"/>
  <c r="A501" i="20"/>
  <c r="A500" i="20"/>
  <c r="A499" i="20"/>
  <c r="A498" i="20"/>
  <c r="A497" i="20"/>
  <c r="A496" i="20"/>
  <c r="A495" i="20"/>
  <c r="A494" i="20"/>
  <c r="A493" i="20"/>
  <c r="A492" i="20"/>
  <c r="A491" i="20"/>
  <c r="A490" i="20"/>
  <c r="A489" i="20"/>
  <c r="A488" i="20"/>
  <c r="A487" i="20"/>
  <c r="A486" i="20"/>
  <c r="A485" i="20"/>
  <c r="A484" i="20"/>
  <c r="A483" i="20"/>
  <c r="A482" i="20"/>
  <c r="A481" i="20"/>
  <c r="A480" i="20"/>
  <c r="A479" i="20"/>
  <c r="A478" i="20"/>
  <c r="A477" i="20"/>
  <c r="A476" i="20"/>
  <c r="A475" i="20"/>
  <c r="A474" i="20"/>
  <c r="A473" i="20"/>
  <c r="A472" i="20"/>
  <c r="A471" i="20"/>
  <c r="A470" i="20"/>
  <c r="A469" i="20"/>
  <c r="A468" i="20"/>
  <c r="A467" i="20"/>
  <c r="A466" i="20"/>
  <c r="A465" i="20"/>
  <c r="A464" i="20"/>
  <c r="A463" i="20"/>
  <c r="A462" i="20"/>
  <c r="A461" i="20"/>
  <c r="A460" i="20"/>
  <c r="A459" i="20"/>
  <c r="A458" i="20"/>
  <c r="A457" i="20"/>
  <c r="A456" i="20"/>
  <c r="A455" i="20"/>
  <c r="A454" i="20"/>
  <c r="A453" i="20"/>
  <c r="A452" i="20"/>
  <c r="A451" i="20"/>
  <c r="A450" i="20"/>
  <c r="A449" i="20"/>
  <c r="A448" i="20"/>
  <c r="A447" i="20"/>
  <c r="A446" i="20"/>
  <c r="A445" i="20"/>
  <c r="A444" i="20"/>
  <c r="A443" i="20"/>
  <c r="A442" i="20"/>
  <c r="A441" i="20"/>
  <c r="A440" i="20"/>
  <c r="A439" i="20"/>
  <c r="A438" i="20"/>
  <c r="A437" i="20"/>
  <c r="A436" i="20"/>
  <c r="A435" i="20"/>
  <c r="A434" i="20"/>
  <c r="A433" i="20"/>
  <c r="A432" i="20"/>
  <c r="A431" i="20"/>
  <c r="A430" i="20"/>
  <c r="A429" i="20"/>
  <c r="A428" i="20"/>
  <c r="A427" i="20"/>
  <c r="A426" i="20"/>
  <c r="A425" i="20"/>
  <c r="A424" i="20"/>
  <c r="A423" i="20"/>
  <c r="A422" i="20"/>
  <c r="A421" i="20"/>
  <c r="A420" i="20"/>
  <c r="A419" i="20"/>
  <c r="A418" i="20"/>
  <c r="A417" i="20"/>
  <c r="A416" i="20"/>
  <c r="A415" i="20"/>
  <c r="A414" i="20"/>
  <c r="A413" i="20"/>
  <c r="A412" i="20"/>
  <c r="A411" i="20"/>
  <c r="A410" i="20"/>
  <c r="A409" i="20"/>
  <c r="A408" i="20"/>
  <c r="A407" i="20"/>
  <c r="A406" i="20"/>
  <c r="A405" i="20"/>
  <c r="A404" i="20"/>
  <c r="A403" i="20"/>
  <c r="A402" i="20"/>
  <c r="A401" i="20"/>
  <c r="A400" i="20"/>
  <c r="A399" i="20"/>
  <c r="A398" i="20"/>
  <c r="A397" i="20"/>
  <c r="A396" i="20"/>
  <c r="A395" i="20"/>
  <c r="A394" i="20"/>
  <c r="A393" i="20"/>
  <c r="A392" i="20"/>
  <c r="A391" i="20"/>
  <c r="A390" i="20"/>
  <c r="A389" i="20"/>
  <c r="A388" i="20"/>
  <c r="A387" i="20"/>
  <c r="A386" i="20"/>
  <c r="A385" i="20"/>
  <c r="A384" i="20"/>
  <c r="A383" i="20"/>
  <c r="A382" i="20"/>
  <c r="A381" i="20"/>
  <c r="A380" i="20"/>
  <c r="A379" i="20"/>
  <c r="A378" i="20"/>
  <c r="A377" i="20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C284" i="20"/>
  <c r="B284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C164" i="20"/>
  <c r="A164" i="20"/>
  <c r="B164" i="20" s="1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2" i="20"/>
  <c r="B1000" i="19"/>
  <c r="B999" i="19"/>
  <c r="B998" i="19"/>
  <c r="B997" i="19"/>
  <c r="B996" i="19"/>
  <c r="B995" i="19"/>
  <c r="B994" i="19"/>
  <c r="B993" i="19"/>
  <c r="B992" i="19"/>
  <c r="B991" i="19"/>
  <c r="B990" i="19"/>
  <c r="B989" i="19"/>
  <c r="B988" i="19"/>
  <c r="B987" i="19"/>
  <c r="B986" i="19"/>
  <c r="B985" i="19"/>
  <c r="B984" i="19"/>
  <c r="B983" i="19"/>
  <c r="B982" i="19"/>
  <c r="B981" i="19"/>
  <c r="B980" i="19"/>
  <c r="B979" i="19"/>
  <c r="B978" i="19"/>
  <c r="B977" i="19"/>
  <c r="B976" i="19"/>
  <c r="B975" i="19"/>
  <c r="B974" i="19"/>
  <c r="B973" i="19"/>
  <c r="B972" i="19"/>
  <c r="B971" i="19"/>
  <c r="B970" i="19"/>
  <c r="B969" i="19"/>
  <c r="B968" i="19"/>
  <c r="B967" i="19"/>
  <c r="B966" i="19"/>
  <c r="B965" i="19"/>
  <c r="B964" i="19"/>
  <c r="B963" i="19"/>
  <c r="B962" i="19"/>
  <c r="B961" i="19"/>
  <c r="B960" i="19"/>
  <c r="B959" i="19"/>
  <c r="B958" i="19"/>
  <c r="B957" i="19"/>
  <c r="B956" i="19"/>
  <c r="B955" i="19"/>
  <c r="B954" i="19"/>
  <c r="B953" i="19"/>
  <c r="B952" i="19"/>
  <c r="B951" i="19"/>
  <c r="B950" i="19"/>
  <c r="B949" i="19"/>
  <c r="B948" i="19"/>
  <c r="B947" i="19"/>
  <c r="B946" i="19"/>
  <c r="B945" i="19"/>
  <c r="B944" i="19"/>
  <c r="B943" i="19"/>
  <c r="B942" i="19"/>
  <c r="B941" i="19"/>
  <c r="B940" i="19"/>
  <c r="B939" i="19"/>
  <c r="B938" i="19"/>
  <c r="B937" i="19"/>
  <c r="B936" i="19"/>
  <c r="B935" i="19"/>
  <c r="B934" i="19"/>
  <c r="B933" i="19"/>
  <c r="B932" i="19"/>
  <c r="B931" i="19"/>
  <c r="B930" i="19"/>
  <c r="B929" i="19"/>
  <c r="B928" i="19"/>
  <c r="B927" i="19"/>
  <c r="B926" i="19"/>
  <c r="B925" i="19"/>
  <c r="B924" i="19"/>
  <c r="B923" i="19"/>
  <c r="B922" i="19"/>
  <c r="B921" i="19"/>
  <c r="B920" i="19"/>
  <c r="B919" i="19"/>
  <c r="B918" i="19"/>
  <c r="B917" i="19"/>
  <c r="B916" i="19"/>
  <c r="B915" i="19"/>
  <c r="B914" i="19"/>
  <c r="B913" i="19"/>
  <c r="B912" i="19"/>
  <c r="B911" i="19"/>
  <c r="B910" i="19"/>
  <c r="B909" i="19"/>
  <c r="B908" i="19"/>
  <c r="B907" i="19"/>
  <c r="B906" i="19"/>
  <c r="B905" i="19"/>
  <c r="B904" i="19"/>
  <c r="B903" i="19"/>
  <c r="B902" i="19"/>
  <c r="B901" i="19"/>
  <c r="B900" i="19"/>
  <c r="B899" i="19"/>
  <c r="B898" i="19"/>
  <c r="B897" i="19"/>
  <c r="B896" i="19"/>
  <c r="B895" i="19"/>
  <c r="B894" i="19"/>
  <c r="B893" i="19"/>
  <c r="B892" i="19"/>
  <c r="B891" i="19"/>
  <c r="B890" i="19"/>
  <c r="B889" i="19"/>
  <c r="B888" i="19"/>
  <c r="B887" i="19"/>
  <c r="B886" i="19"/>
  <c r="B885" i="19"/>
  <c r="B884" i="19"/>
  <c r="B883" i="19"/>
  <c r="B882" i="19"/>
  <c r="B881" i="19"/>
  <c r="B880" i="19"/>
  <c r="B879" i="19"/>
  <c r="B878" i="19"/>
  <c r="B877" i="19"/>
  <c r="B876" i="19"/>
  <c r="B875" i="19"/>
  <c r="B874" i="19"/>
  <c r="B873" i="19"/>
  <c r="B872" i="19"/>
  <c r="B871" i="19"/>
  <c r="B870" i="19"/>
  <c r="B869" i="19"/>
  <c r="B868" i="19"/>
  <c r="B867" i="19"/>
  <c r="B866" i="19"/>
  <c r="B865" i="19"/>
  <c r="B864" i="19"/>
  <c r="B863" i="19"/>
  <c r="B862" i="19"/>
  <c r="B861" i="19"/>
  <c r="B860" i="19"/>
  <c r="B859" i="19"/>
  <c r="B858" i="19"/>
  <c r="B857" i="19"/>
  <c r="B856" i="19"/>
  <c r="B855" i="19"/>
  <c r="B854" i="19"/>
  <c r="B853" i="19"/>
  <c r="B852" i="19"/>
  <c r="B851" i="19"/>
  <c r="B850" i="19"/>
  <c r="B849" i="19"/>
  <c r="B848" i="19"/>
  <c r="B847" i="19"/>
  <c r="B846" i="19"/>
  <c r="B845" i="19"/>
  <c r="B844" i="19"/>
  <c r="B843" i="19"/>
  <c r="B842" i="19"/>
  <c r="B841" i="19"/>
  <c r="B840" i="19"/>
  <c r="B839" i="19"/>
  <c r="B838" i="19"/>
  <c r="B837" i="19"/>
  <c r="B836" i="19"/>
  <c r="B835" i="19"/>
  <c r="B834" i="19"/>
  <c r="B833" i="19"/>
  <c r="B832" i="19"/>
  <c r="B831" i="19"/>
  <c r="B830" i="19"/>
  <c r="B829" i="19"/>
  <c r="B828" i="19"/>
  <c r="B827" i="19"/>
  <c r="B826" i="19"/>
  <c r="B825" i="19"/>
  <c r="B824" i="19"/>
  <c r="B823" i="19"/>
  <c r="B822" i="19"/>
  <c r="B821" i="19"/>
  <c r="B820" i="19"/>
  <c r="B819" i="19"/>
  <c r="B818" i="19"/>
  <c r="B817" i="19"/>
  <c r="B816" i="19"/>
  <c r="B815" i="19"/>
  <c r="B814" i="19"/>
  <c r="B813" i="19"/>
  <c r="B812" i="19"/>
  <c r="B811" i="19"/>
  <c r="B810" i="19"/>
  <c r="B809" i="19"/>
  <c r="B808" i="19"/>
  <c r="B807" i="19"/>
  <c r="B806" i="19"/>
  <c r="B805" i="19"/>
  <c r="B804" i="19"/>
  <c r="B803" i="19"/>
  <c r="B802" i="19"/>
  <c r="B801" i="19"/>
  <c r="B800" i="19"/>
  <c r="B799" i="19"/>
  <c r="B798" i="19"/>
  <c r="B797" i="19"/>
  <c r="B796" i="19"/>
  <c r="B795" i="19"/>
  <c r="B794" i="19"/>
  <c r="B793" i="19"/>
  <c r="B792" i="19"/>
  <c r="B791" i="19"/>
  <c r="B790" i="19"/>
  <c r="B789" i="19"/>
  <c r="B788" i="19"/>
  <c r="B787" i="19"/>
  <c r="B786" i="19"/>
  <c r="B785" i="19"/>
  <c r="B784" i="19"/>
  <c r="B783" i="19"/>
  <c r="B782" i="19"/>
  <c r="B781" i="19"/>
  <c r="B780" i="19"/>
  <c r="B779" i="19"/>
  <c r="B778" i="19"/>
  <c r="B777" i="19"/>
  <c r="B776" i="19"/>
  <c r="B775" i="19"/>
  <c r="B774" i="19"/>
  <c r="B773" i="19"/>
  <c r="B772" i="19"/>
  <c r="B771" i="19"/>
  <c r="B770" i="19"/>
  <c r="B769" i="19"/>
  <c r="B768" i="19"/>
  <c r="B767" i="19"/>
  <c r="B766" i="19"/>
  <c r="B765" i="19"/>
  <c r="B764" i="19"/>
  <c r="B763" i="19"/>
  <c r="B762" i="19"/>
  <c r="B761" i="19"/>
  <c r="B760" i="19"/>
  <c r="B759" i="19"/>
  <c r="B758" i="19"/>
  <c r="B757" i="19"/>
  <c r="B756" i="19"/>
  <c r="B755" i="19"/>
  <c r="B754" i="19"/>
  <c r="B753" i="19"/>
  <c r="B752" i="19"/>
  <c r="B751" i="19"/>
  <c r="B750" i="19"/>
  <c r="B749" i="19"/>
  <c r="B748" i="19"/>
  <c r="B747" i="19"/>
  <c r="B746" i="19"/>
  <c r="B745" i="19"/>
  <c r="B744" i="19"/>
  <c r="B743" i="19"/>
  <c r="B742" i="19"/>
  <c r="B741" i="19"/>
  <c r="B740" i="19"/>
  <c r="B739" i="19"/>
  <c r="B738" i="19"/>
  <c r="B737" i="19"/>
  <c r="B736" i="19"/>
  <c r="B735" i="19"/>
  <c r="B734" i="19"/>
  <c r="B733" i="19"/>
  <c r="B732" i="19"/>
  <c r="B731" i="19"/>
  <c r="B730" i="19"/>
  <c r="B729" i="19"/>
  <c r="B728" i="19"/>
  <c r="B727" i="19"/>
  <c r="B726" i="19"/>
  <c r="B725" i="19"/>
  <c r="B724" i="19"/>
  <c r="B723" i="19"/>
  <c r="B722" i="19"/>
  <c r="B721" i="19"/>
  <c r="B720" i="19"/>
  <c r="B719" i="19"/>
  <c r="B718" i="19"/>
  <c r="B717" i="19"/>
  <c r="B716" i="19"/>
  <c r="B715" i="19"/>
  <c r="B714" i="19"/>
  <c r="B713" i="19"/>
  <c r="B712" i="19"/>
  <c r="B711" i="19"/>
  <c r="B710" i="19"/>
  <c r="B709" i="19"/>
  <c r="B708" i="19"/>
  <c r="B707" i="19"/>
  <c r="B706" i="19"/>
  <c r="B705" i="19"/>
  <c r="B704" i="19"/>
  <c r="B703" i="19"/>
  <c r="B702" i="19"/>
  <c r="B701" i="19"/>
  <c r="B700" i="19"/>
  <c r="B699" i="19"/>
  <c r="B698" i="19"/>
  <c r="B697" i="19"/>
  <c r="B696" i="19"/>
  <c r="B695" i="19"/>
  <c r="B694" i="19"/>
  <c r="B693" i="19"/>
  <c r="B692" i="19"/>
  <c r="B691" i="19"/>
  <c r="B690" i="19"/>
  <c r="B689" i="19"/>
  <c r="B688" i="19"/>
  <c r="B687" i="19"/>
  <c r="B686" i="19"/>
  <c r="B685" i="19"/>
  <c r="B684" i="19"/>
  <c r="B683" i="19"/>
  <c r="B682" i="19"/>
  <c r="B681" i="19"/>
  <c r="B680" i="19"/>
  <c r="B679" i="19"/>
  <c r="B678" i="19"/>
  <c r="B677" i="19"/>
  <c r="B676" i="19"/>
  <c r="B675" i="19"/>
  <c r="B674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A301" i="19"/>
  <c r="B300" i="19"/>
  <c r="A300" i="19"/>
  <c r="B299" i="19"/>
  <c r="A299" i="19"/>
  <c r="B298" i="19"/>
  <c r="A298" i="19"/>
  <c r="B297" i="19"/>
  <c r="A297" i="19"/>
  <c r="B296" i="19"/>
  <c r="A296" i="19"/>
  <c r="B295" i="19"/>
  <c r="A295" i="19"/>
  <c r="B294" i="19"/>
  <c r="A294" i="19"/>
  <c r="B293" i="19"/>
  <c r="A293" i="19"/>
  <c r="B292" i="19"/>
  <c r="A292" i="19"/>
  <c r="B291" i="19"/>
  <c r="A291" i="19"/>
  <c r="B290" i="19"/>
  <c r="A290" i="19"/>
  <c r="B289" i="19"/>
  <c r="A289" i="19"/>
  <c r="B288" i="19"/>
  <c r="A288" i="19"/>
  <c r="B287" i="19"/>
  <c r="A287" i="19"/>
  <c r="B286" i="19"/>
  <c r="A286" i="19"/>
  <c r="B285" i="19"/>
  <c r="A285" i="19"/>
  <c r="B284" i="19"/>
  <c r="A284" i="19"/>
  <c r="B283" i="19"/>
  <c r="A283" i="19"/>
  <c r="B282" i="19"/>
  <c r="A282" i="19"/>
  <c r="B281" i="19"/>
  <c r="A281" i="19"/>
  <c r="B280" i="19"/>
  <c r="A280" i="19"/>
  <c r="B279" i="19"/>
  <c r="A279" i="19"/>
  <c r="B278" i="19"/>
  <c r="A278" i="19"/>
  <c r="B277" i="19"/>
  <c r="A277" i="19"/>
  <c r="B276" i="19"/>
  <c r="A276" i="19"/>
  <c r="B275" i="19"/>
  <c r="A275" i="19"/>
  <c r="B274" i="19"/>
  <c r="A274" i="19"/>
  <c r="B273" i="19"/>
  <c r="A273" i="19"/>
  <c r="B272" i="19"/>
  <c r="A272" i="19"/>
  <c r="B271" i="19"/>
  <c r="A271" i="19"/>
  <c r="B270" i="19"/>
  <c r="A270" i="19"/>
  <c r="B269" i="19"/>
  <c r="A269" i="19"/>
  <c r="B268" i="19"/>
  <c r="A268" i="19"/>
  <c r="B267" i="19"/>
  <c r="A267" i="19"/>
  <c r="B266" i="19"/>
  <c r="A266" i="19"/>
  <c r="B265" i="19"/>
  <c r="A265" i="19"/>
  <c r="B264" i="19"/>
  <c r="A264" i="19"/>
  <c r="B263" i="19"/>
  <c r="A263" i="19"/>
  <c r="B262" i="19"/>
  <c r="A262" i="19"/>
  <c r="B261" i="19"/>
  <c r="A261" i="19"/>
  <c r="B260" i="19"/>
  <c r="A260" i="19"/>
  <c r="B259" i="19"/>
  <c r="A259" i="19"/>
  <c r="B258" i="19"/>
  <c r="A258" i="19"/>
  <c r="B257" i="19"/>
  <c r="A257" i="19"/>
  <c r="B256" i="19"/>
  <c r="A256" i="19"/>
  <c r="B255" i="19"/>
  <c r="A255" i="19"/>
  <c r="B254" i="19"/>
  <c r="A254" i="19"/>
  <c r="B253" i="19"/>
  <c r="A253" i="19"/>
  <c r="B252" i="19"/>
  <c r="A252" i="19"/>
  <c r="B251" i="19"/>
  <c r="A251" i="19"/>
  <c r="B250" i="19"/>
  <c r="A250" i="19"/>
  <c r="B249" i="19"/>
  <c r="A249" i="19"/>
  <c r="B248" i="19"/>
  <c r="A248" i="19"/>
  <c r="B247" i="19"/>
  <c r="A247" i="19"/>
  <c r="B246" i="19"/>
  <c r="A246" i="19"/>
  <c r="B245" i="19"/>
  <c r="A245" i="19"/>
  <c r="B244" i="19"/>
  <c r="A244" i="19"/>
  <c r="B243" i="19"/>
  <c r="A243" i="19"/>
  <c r="B242" i="19"/>
  <c r="A242" i="19"/>
  <c r="B241" i="19"/>
  <c r="A241" i="19"/>
  <c r="B240" i="19"/>
  <c r="A240" i="19"/>
  <c r="B239" i="19"/>
  <c r="A239" i="19"/>
  <c r="B238" i="19"/>
  <c r="A238" i="19"/>
  <c r="B237" i="19"/>
  <c r="A237" i="19"/>
  <c r="B236" i="19"/>
  <c r="A236" i="19"/>
  <c r="B235" i="19"/>
  <c r="A235" i="19"/>
  <c r="B234" i="19"/>
  <c r="A234" i="19"/>
  <c r="B233" i="19"/>
  <c r="A233" i="19"/>
  <c r="B232" i="19"/>
  <c r="A232" i="19"/>
  <c r="B231" i="19"/>
  <c r="A231" i="19"/>
  <c r="B230" i="19"/>
  <c r="A230" i="19"/>
  <c r="B229" i="19"/>
  <c r="A229" i="19"/>
  <c r="B228" i="19"/>
  <c r="A228" i="19"/>
  <c r="B227" i="19"/>
  <c r="A227" i="19"/>
  <c r="B226" i="19"/>
  <c r="A226" i="19"/>
  <c r="B225" i="19"/>
  <c r="A225" i="19"/>
  <c r="B224" i="19"/>
  <c r="A224" i="19"/>
  <c r="B223" i="19"/>
  <c r="A223" i="19"/>
  <c r="B222" i="19"/>
  <c r="A222" i="19"/>
  <c r="B221" i="19"/>
  <c r="A221" i="19"/>
  <c r="B220" i="19"/>
  <c r="A220" i="19"/>
  <c r="B219" i="19"/>
  <c r="A219" i="19"/>
  <c r="B218" i="19"/>
  <c r="A218" i="19"/>
  <c r="B217" i="19"/>
  <c r="A217" i="19"/>
  <c r="B216" i="19"/>
  <c r="A216" i="19"/>
  <c r="B215" i="19"/>
  <c r="A215" i="19"/>
  <c r="B214" i="19"/>
  <c r="A214" i="19"/>
  <c r="B213" i="19"/>
  <c r="A213" i="19"/>
  <c r="B212" i="19"/>
  <c r="A212" i="19"/>
  <c r="B211" i="19"/>
  <c r="A211" i="19"/>
  <c r="B210" i="19"/>
  <c r="A210" i="19"/>
  <c r="B209" i="19"/>
  <c r="A209" i="19"/>
  <c r="B208" i="19"/>
  <c r="A208" i="19"/>
  <c r="B207" i="19"/>
  <c r="A207" i="19"/>
  <c r="B206" i="19"/>
  <c r="A206" i="19"/>
  <c r="B205" i="19"/>
  <c r="A205" i="19"/>
  <c r="B204" i="19"/>
  <c r="A204" i="19"/>
  <c r="B203" i="19"/>
  <c r="A203" i="19"/>
  <c r="B202" i="19"/>
  <c r="A202" i="19"/>
  <c r="B201" i="19"/>
  <c r="A201" i="19"/>
  <c r="B200" i="19"/>
  <c r="A200" i="19"/>
  <c r="B199" i="19"/>
  <c r="A199" i="19"/>
  <c r="B198" i="19"/>
  <c r="A198" i="19"/>
  <c r="B197" i="19"/>
  <c r="A197" i="19"/>
  <c r="B196" i="19"/>
  <c r="A196" i="19"/>
  <c r="B195" i="19"/>
  <c r="A195" i="19"/>
  <c r="B194" i="19"/>
  <c r="A194" i="19"/>
  <c r="B193" i="19"/>
  <c r="A193" i="19"/>
  <c r="B192" i="19"/>
  <c r="A192" i="19"/>
  <c r="B191" i="19"/>
  <c r="A191" i="19"/>
  <c r="B190" i="19"/>
  <c r="A190" i="19"/>
  <c r="B189" i="19"/>
  <c r="A189" i="19"/>
  <c r="B188" i="19"/>
  <c r="A188" i="19"/>
  <c r="B187" i="19"/>
  <c r="A187" i="19"/>
  <c r="B186" i="19"/>
  <c r="A186" i="19"/>
  <c r="B185" i="19"/>
  <c r="A185" i="19"/>
  <c r="B184" i="19"/>
  <c r="A184" i="19"/>
  <c r="B183" i="19"/>
  <c r="A183" i="19"/>
  <c r="B182" i="19"/>
  <c r="A182" i="19"/>
  <c r="B181" i="19"/>
  <c r="A181" i="19"/>
  <c r="B180" i="19"/>
  <c r="A180" i="19"/>
  <c r="B179" i="19"/>
  <c r="A179" i="19"/>
  <c r="B178" i="19"/>
  <c r="A178" i="19"/>
  <c r="B177" i="19"/>
  <c r="A177" i="19"/>
  <c r="B176" i="19"/>
  <c r="A176" i="19"/>
  <c r="B175" i="19"/>
  <c r="A175" i="19"/>
  <c r="B174" i="19"/>
  <c r="A174" i="19"/>
  <c r="B173" i="19"/>
  <c r="A173" i="19"/>
  <c r="B172" i="19"/>
  <c r="A172" i="19"/>
  <c r="B171" i="19"/>
  <c r="A171" i="19"/>
  <c r="B170" i="19"/>
  <c r="A170" i="19"/>
  <c r="B169" i="19"/>
  <c r="A169" i="19"/>
  <c r="B168" i="19"/>
  <c r="A168" i="19"/>
  <c r="B167" i="19"/>
  <c r="A167" i="19"/>
  <c r="B166" i="19"/>
  <c r="A166" i="19"/>
  <c r="B165" i="19"/>
  <c r="A165" i="19"/>
  <c r="B164" i="19"/>
  <c r="A164" i="19"/>
  <c r="B163" i="19"/>
  <c r="A163" i="19"/>
  <c r="B162" i="19"/>
  <c r="A162" i="19"/>
  <c r="B161" i="19"/>
  <c r="A161" i="19"/>
  <c r="B160" i="19"/>
  <c r="A160" i="19"/>
  <c r="B159" i="19"/>
  <c r="A159" i="19"/>
  <c r="B158" i="19"/>
  <c r="A158" i="19"/>
  <c r="B157" i="19"/>
  <c r="A157" i="19"/>
  <c r="B156" i="19"/>
  <c r="A156" i="19"/>
  <c r="B155" i="19"/>
  <c r="A155" i="19"/>
  <c r="B154" i="19"/>
  <c r="A154" i="19"/>
  <c r="B153" i="19"/>
  <c r="A153" i="19"/>
  <c r="B152" i="19"/>
  <c r="A152" i="19"/>
  <c r="B151" i="19"/>
  <c r="A151" i="19"/>
  <c r="B150" i="19"/>
  <c r="A150" i="19"/>
  <c r="B149" i="19"/>
  <c r="A149" i="19"/>
  <c r="B148" i="19"/>
  <c r="A148" i="19"/>
  <c r="B147" i="19"/>
  <c r="A147" i="19"/>
  <c r="B146" i="19"/>
  <c r="A146" i="19"/>
  <c r="B145" i="19"/>
  <c r="A145" i="19"/>
  <c r="B144" i="19"/>
  <c r="A144" i="19"/>
  <c r="B143" i="19"/>
  <c r="A143" i="19"/>
  <c r="B142" i="19"/>
  <c r="A142" i="19"/>
  <c r="B141" i="19"/>
  <c r="A141" i="19"/>
  <c r="B140" i="19"/>
  <c r="A140" i="19"/>
  <c r="B139" i="19"/>
  <c r="A139" i="19"/>
  <c r="B138" i="19"/>
  <c r="A138" i="19"/>
  <c r="B137" i="19"/>
  <c r="A137" i="19"/>
  <c r="B136" i="19"/>
  <c r="A136" i="19"/>
  <c r="B135" i="19"/>
  <c r="A135" i="19"/>
  <c r="B134" i="19"/>
  <c r="A134" i="19"/>
  <c r="B133" i="19"/>
  <c r="A133" i="19"/>
  <c r="B132" i="19"/>
  <c r="A132" i="19"/>
  <c r="B131" i="19"/>
  <c r="A131" i="19"/>
  <c r="B130" i="19"/>
  <c r="A130" i="19"/>
  <c r="B129" i="19"/>
  <c r="A129" i="19"/>
  <c r="B128" i="19"/>
  <c r="A128" i="19"/>
  <c r="B127" i="19"/>
  <c r="A127" i="19"/>
  <c r="B126" i="19"/>
  <c r="A126" i="19"/>
  <c r="B125" i="19"/>
  <c r="A125" i="19"/>
  <c r="B124" i="19"/>
  <c r="A124" i="19"/>
  <c r="B123" i="19"/>
  <c r="A123" i="19"/>
  <c r="B122" i="19"/>
  <c r="A122" i="19"/>
  <c r="B121" i="19"/>
  <c r="A121" i="19"/>
  <c r="B120" i="19"/>
  <c r="A120" i="19"/>
  <c r="B119" i="19"/>
  <c r="A119" i="19"/>
  <c r="B118" i="19"/>
  <c r="A118" i="19"/>
  <c r="B117" i="19"/>
  <c r="A117" i="19"/>
  <c r="B116" i="19"/>
  <c r="A116" i="19"/>
  <c r="B115" i="19"/>
  <c r="A115" i="19"/>
  <c r="B114" i="19"/>
  <c r="A114" i="19"/>
  <c r="B113" i="19"/>
  <c r="A113" i="19"/>
  <c r="B112" i="19"/>
  <c r="A112" i="19"/>
  <c r="B111" i="19"/>
  <c r="A111" i="19"/>
  <c r="B110" i="19"/>
  <c r="A110" i="19"/>
  <c r="B109" i="19"/>
  <c r="A109" i="19"/>
  <c r="B108" i="19"/>
  <c r="A108" i="19"/>
  <c r="B107" i="19"/>
  <c r="A107" i="19"/>
  <c r="B106" i="19"/>
  <c r="A106" i="19"/>
  <c r="B105" i="19"/>
  <c r="A105" i="19"/>
  <c r="B104" i="19"/>
  <c r="A104" i="19"/>
  <c r="B103" i="19"/>
  <c r="A103" i="19"/>
  <c r="B102" i="19"/>
  <c r="A102" i="19"/>
  <c r="B101" i="19"/>
  <c r="A101" i="19"/>
  <c r="B100" i="19"/>
  <c r="A100" i="19"/>
  <c r="B99" i="19"/>
  <c r="A99" i="19"/>
  <c r="B98" i="19"/>
  <c r="A98" i="19"/>
  <c r="B97" i="19"/>
  <c r="A97" i="19"/>
  <c r="B96" i="19"/>
  <c r="A96" i="19"/>
  <c r="B95" i="19"/>
  <c r="A95" i="19"/>
  <c r="B94" i="19"/>
  <c r="A94" i="19"/>
  <c r="B93" i="19"/>
  <c r="A93" i="19"/>
  <c r="B92" i="19"/>
  <c r="A92" i="19"/>
  <c r="B91" i="19"/>
  <c r="A91" i="19"/>
  <c r="B90" i="19"/>
  <c r="A90" i="19"/>
  <c r="B89" i="19"/>
  <c r="A89" i="19"/>
  <c r="B88" i="19"/>
  <c r="A88" i="19"/>
  <c r="B87" i="19"/>
  <c r="A87" i="19"/>
  <c r="B86" i="19"/>
  <c r="A86" i="19"/>
  <c r="B85" i="19"/>
  <c r="A85" i="19"/>
  <c r="B84" i="19"/>
  <c r="A84" i="19"/>
  <c r="B83" i="19"/>
  <c r="A83" i="19"/>
  <c r="B82" i="19"/>
  <c r="A82" i="19"/>
  <c r="B81" i="19"/>
  <c r="A81" i="19"/>
  <c r="B80" i="19"/>
  <c r="A80" i="19"/>
  <c r="B79" i="19"/>
  <c r="A79" i="19"/>
  <c r="B78" i="19"/>
  <c r="A78" i="19"/>
  <c r="B77" i="19"/>
  <c r="A77" i="19"/>
  <c r="B76" i="19"/>
  <c r="A76" i="19"/>
  <c r="B75" i="19"/>
  <c r="A75" i="19"/>
  <c r="B74" i="19"/>
  <c r="A74" i="19"/>
  <c r="B73" i="19"/>
  <c r="A73" i="19"/>
  <c r="B72" i="19"/>
  <c r="A72" i="19"/>
  <c r="B71" i="19"/>
  <c r="A71" i="19"/>
  <c r="B70" i="19"/>
  <c r="A70" i="19"/>
  <c r="B69" i="19"/>
  <c r="A69" i="19"/>
  <c r="B68" i="19"/>
  <c r="A68" i="19"/>
  <c r="B67" i="19"/>
  <c r="A67" i="19"/>
  <c r="B66" i="19"/>
  <c r="A66" i="19"/>
  <c r="B65" i="19"/>
  <c r="A65" i="19"/>
  <c r="B64" i="19"/>
  <c r="A64" i="19"/>
  <c r="B63" i="19"/>
  <c r="A63" i="19"/>
  <c r="B62" i="19"/>
  <c r="A62" i="19"/>
  <c r="B61" i="19"/>
  <c r="A61" i="19"/>
  <c r="B60" i="19"/>
  <c r="A60" i="19"/>
  <c r="B59" i="19"/>
  <c r="A59" i="19"/>
  <c r="B58" i="19"/>
  <c r="A58" i="19"/>
  <c r="B57" i="19"/>
  <c r="A57" i="19"/>
  <c r="B56" i="19"/>
  <c r="A56" i="19"/>
  <c r="B55" i="19"/>
  <c r="A55" i="19"/>
  <c r="B54" i="19"/>
  <c r="A54" i="19"/>
  <c r="B53" i="19"/>
  <c r="A53" i="19"/>
  <c r="B52" i="19"/>
  <c r="A52" i="19"/>
  <c r="B51" i="19"/>
  <c r="A51" i="19"/>
  <c r="B50" i="19"/>
  <c r="A50" i="19"/>
  <c r="B49" i="19"/>
  <c r="A49" i="19"/>
  <c r="B48" i="19"/>
  <c r="A48" i="19"/>
  <c r="B47" i="19"/>
  <c r="A47" i="19"/>
  <c r="B46" i="19"/>
  <c r="A46" i="19"/>
  <c r="B45" i="19"/>
  <c r="A45" i="19"/>
  <c r="B44" i="19"/>
  <c r="A44" i="19"/>
  <c r="B43" i="19"/>
  <c r="A43" i="19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B3" i="19"/>
  <c r="A3" i="19"/>
  <c r="B2" i="19"/>
  <c r="A2" i="19"/>
  <c r="B1" i="19"/>
  <c r="B16" i="1"/>
  <c r="J13" i="1"/>
  <c r="F13" i="1"/>
  <c r="B13" i="1"/>
  <c r="J9" i="1"/>
  <c r="F9" i="1"/>
  <c r="B9" i="1"/>
  <c r="C1001" i="20" l="1"/>
  <c r="B1001" i="20"/>
  <c r="C1000" i="20"/>
  <c r="B1000" i="20"/>
  <c r="C999" i="20"/>
  <c r="B999" i="20"/>
  <c r="C998" i="20"/>
  <c r="B998" i="20"/>
  <c r="C997" i="20"/>
  <c r="B997" i="20"/>
  <c r="C996" i="20"/>
  <c r="B996" i="20"/>
  <c r="C995" i="20"/>
  <c r="B995" i="20"/>
  <c r="C994" i="20"/>
  <c r="B994" i="20"/>
  <c r="C993" i="20"/>
  <c r="B993" i="20"/>
  <c r="C992" i="20"/>
  <c r="B992" i="20"/>
  <c r="C991" i="20"/>
  <c r="B991" i="20"/>
  <c r="C990" i="20"/>
  <c r="B990" i="20"/>
  <c r="C989" i="20"/>
  <c r="B989" i="20"/>
  <c r="C988" i="20"/>
  <c r="B988" i="20"/>
  <c r="C987" i="20"/>
  <c r="B987" i="20"/>
  <c r="C986" i="20"/>
  <c r="B986" i="20"/>
  <c r="C985" i="20"/>
  <c r="B985" i="20"/>
  <c r="C984" i="20"/>
  <c r="B984" i="20"/>
  <c r="C983" i="20"/>
  <c r="B983" i="20"/>
  <c r="C982" i="20"/>
  <c r="B982" i="20"/>
  <c r="C981" i="20"/>
  <c r="B981" i="20"/>
  <c r="C980" i="20"/>
  <c r="B980" i="20"/>
  <c r="C979" i="20"/>
  <c r="B979" i="20"/>
  <c r="C978" i="20"/>
  <c r="B978" i="20"/>
  <c r="C977" i="20"/>
  <c r="B977" i="20"/>
  <c r="C976" i="20"/>
  <c r="B976" i="20"/>
  <c r="C975" i="20"/>
  <c r="B975" i="20"/>
  <c r="C974" i="20"/>
  <c r="B974" i="20"/>
  <c r="C973" i="20"/>
  <c r="B973" i="20"/>
  <c r="C972" i="20"/>
  <c r="B972" i="20"/>
  <c r="C971" i="20"/>
  <c r="B971" i="20"/>
  <c r="C970" i="20"/>
  <c r="B970" i="20"/>
  <c r="C969" i="20"/>
  <c r="B969" i="20"/>
  <c r="C968" i="20"/>
  <c r="B968" i="20"/>
  <c r="C967" i="20"/>
  <c r="B967" i="20"/>
  <c r="C966" i="20"/>
  <c r="B966" i="20"/>
  <c r="C965" i="20"/>
  <c r="B965" i="20"/>
  <c r="C964" i="20"/>
  <c r="B964" i="20"/>
  <c r="C963" i="20"/>
  <c r="B963" i="20"/>
  <c r="C962" i="20"/>
  <c r="B962" i="20"/>
  <c r="C961" i="20"/>
  <c r="B961" i="20"/>
  <c r="C960" i="20"/>
  <c r="B960" i="20"/>
  <c r="C959" i="20"/>
  <c r="B959" i="20"/>
  <c r="C958" i="20"/>
  <c r="B958" i="20"/>
  <c r="C957" i="20"/>
  <c r="B957" i="20"/>
  <c r="C956" i="20"/>
  <c r="B956" i="20"/>
  <c r="C955" i="20"/>
  <c r="B955" i="20"/>
  <c r="C954" i="20"/>
  <c r="B954" i="20"/>
  <c r="C953" i="20"/>
  <c r="B953" i="20"/>
  <c r="C952" i="20"/>
  <c r="B952" i="20"/>
  <c r="C951" i="20"/>
  <c r="B951" i="20"/>
  <c r="C950" i="20"/>
  <c r="B950" i="20"/>
  <c r="C949" i="20"/>
  <c r="B949" i="20"/>
  <c r="C948" i="20"/>
  <c r="B948" i="20"/>
  <c r="C947" i="20"/>
  <c r="B947" i="20"/>
  <c r="C946" i="20"/>
  <c r="B946" i="20"/>
  <c r="C945" i="20"/>
  <c r="B945" i="20"/>
  <c r="C944" i="20"/>
  <c r="B944" i="20"/>
  <c r="C943" i="20"/>
  <c r="B943" i="20"/>
  <c r="C942" i="20"/>
  <c r="B942" i="20"/>
  <c r="C941" i="20"/>
  <c r="B941" i="20"/>
  <c r="C940" i="20"/>
  <c r="B940" i="20"/>
  <c r="C939" i="20"/>
  <c r="B939" i="20"/>
  <c r="C938" i="20"/>
  <c r="B938" i="20"/>
  <c r="C937" i="20"/>
  <c r="B937" i="20"/>
  <c r="C936" i="20"/>
  <c r="B936" i="20"/>
  <c r="C935" i="20"/>
  <c r="B935" i="20"/>
  <c r="C934" i="20"/>
  <c r="B934" i="20"/>
  <c r="C933" i="20"/>
  <c r="B933" i="20"/>
  <c r="C932" i="20"/>
  <c r="B932" i="20"/>
  <c r="C931" i="20"/>
  <c r="B931" i="20"/>
  <c r="C930" i="20"/>
  <c r="B930" i="20"/>
  <c r="C929" i="20"/>
  <c r="B929" i="20"/>
  <c r="C928" i="20"/>
  <c r="B928" i="20"/>
  <c r="C927" i="20"/>
  <c r="B927" i="20"/>
  <c r="C926" i="20"/>
  <c r="B926" i="20"/>
  <c r="C925" i="20"/>
  <c r="B925" i="20"/>
  <c r="C924" i="20"/>
  <c r="B924" i="20"/>
  <c r="C923" i="20"/>
  <c r="B923" i="20"/>
  <c r="C922" i="20"/>
  <c r="B922" i="20"/>
  <c r="C921" i="20"/>
  <c r="B921" i="20"/>
  <c r="C920" i="20"/>
  <c r="B920" i="20"/>
  <c r="C919" i="20"/>
  <c r="B919" i="20"/>
  <c r="C918" i="20"/>
  <c r="B918" i="20"/>
  <c r="C917" i="20"/>
  <c r="B917" i="20"/>
  <c r="C916" i="20"/>
  <c r="B916" i="20"/>
  <c r="C915" i="20"/>
  <c r="B915" i="20"/>
  <c r="C914" i="20"/>
  <c r="B914" i="20"/>
  <c r="C913" i="20"/>
  <c r="B913" i="20"/>
  <c r="C912" i="20"/>
  <c r="B912" i="20"/>
  <c r="C911" i="20"/>
  <c r="B911" i="20"/>
  <c r="C910" i="20"/>
  <c r="B910" i="20"/>
  <c r="C909" i="20"/>
  <c r="B909" i="20"/>
  <c r="C908" i="20"/>
  <c r="B908" i="20"/>
  <c r="C907" i="20"/>
  <c r="B907" i="20"/>
  <c r="C906" i="20"/>
  <c r="B906" i="20"/>
  <c r="C905" i="20"/>
  <c r="B905" i="20"/>
  <c r="C904" i="20"/>
  <c r="B904" i="20"/>
  <c r="C903" i="20"/>
  <c r="B903" i="20"/>
  <c r="C902" i="20"/>
  <c r="B902" i="20"/>
  <c r="C901" i="20"/>
  <c r="B901" i="20"/>
  <c r="C900" i="20"/>
  <c r="B900" i="20"/>
  <c r="C899" i="20"/>
  <c r="B899" i="20"/>
  <c r="C898" i="20"/>
  <c r="B898" i="20"/>
  <c r="C897" i="20"/>
  <c r="B897" i="20"/>
  <c r="C896" i="20"/>
  <c r="B896" i="20"/>
  <c r="C895" i="20"/>
  <c r="B895" i="20"/>
  <c r="C894" i="20"/>
  <c r="B894" i="20"/>
  <c r="C893" i="20"/>
  <c r="B893" i="20"/>
  <c r="C892" i="20"/>
  <c r="B892" i="20"/>
  <c r="C891" i="20"/>
  <c r="B891" i="20"/>
  <c r="C890" i="20"/>
  <c r="B890" i="20"/>
  <c r="C889" i="20"/>
  <c r="B889" i="20"/>
  <c r="C888" i="20"/>
  <c r="B888" i="20"/>
  <c r="C887" i="20"/>
  <c r="B887" i="20"/>
  <c r="C886" i="20"/>
  <c r="B886" i="20"/>
  <c r="C885" i="20"/>
  <c r="B885" i="20"/>
  <c r="C884" i="20"/>
  <c r="B884" i="20"/>
  <c r="C883" i="20"/>
  <c r="B883" i="20"/>
  <c r="C881" i="20"/>
  <c r="B881" i="20"/>
  <c r="C880" i="20"/>
  <c r="B880" i="20"/>
  <c r="C879" i="20"/>
  <c r="B879" i="20"/>
  <c r="C878" i="20"/>
  <c r="B878" i="20"/>
  <c r="C877" i="20"/>
  <c r="B877" i="20"/>
  <c r="C876" i="20"/>
  <c r="B876" i="20"/>
  <c r="C875" i="20"/>
  <c r="B875" i="20"/>
  <c r="C874" i="20"/>
  <c r="B874" i="20"/>
  <c r="C873" i="20"/>
  <c r="B873" i="20"/>
  <c r="C872" i="20"/>
  <c r="B872" i="20"/>
  <c r="C871" i="20"/>
  <c r="B871" i="20"/>
  <c r="C870" i="20"/>
  <c r="B870" i="20"/>
  <c r="C869" i="20"/>
  <c r="B869" i="20"/>
  <c r="C868" i="20"/>
  <c r="B868" i="20"/>
  <c r="C867" i="20"/>
  <c r="B867" i="20"/>
  <c r="C866" i="20"/>
  <c r="B866" i="20"/>
  <c r="C865" i="20"/>
  <c r="B865" i="20"/>
  <c r="C864" i="20"/>
  <c r="B864" i="20"/>
  <c r="C863" i="20"/>
  <c r="B863" i="20"/>
  <c r="C862" i="20"/>
  <c r="B862" i="20"/>
  <c r="C861" i="20"/>
  <c r="B861" i="20"/>
  <c r="C860" i="20"/>
  <c r="B860" i="20"/>
  <c r="C859" i="20"/>
  <c r="B859" i="20"/>
  <c r="C858" i="20"/>
  <c r="B858" i="20"/>
  <c r="C857" i="20"/>
  <c r="B857" i="20"/>
  <c r="C856" i="20"/>
  <c r="B856" i="20"/>
  <c r="C855" i="20"/>
  <c r="B855" i="20"/>
  <c r="C854" i="20"/>
  <c r="B854" i="20"/>
  <c r="C853" i="20"/>
  <c r="B853" i="20"/>
  <c r="C852" i="20"/>
  <c r="B852" i="20"/>
  <c r="C851" i="20"/>
  <c r="B851" i="20"/>
  <c r="C850" i="20"/>
  <c r="B850" i="20"/>
  <c r="C849" i="20"/>
  <c r="B849" i="20"/>
  <c r="C848" i="20"/>
  <c r="B848" i="20"/>
  <c r="C847" i="20"/>
  <c r="B847" i="20"/>
  <c r="C846" i="20"/>
  <c r="B846" i="20"/>
  <c r="C845" i="20"/>
  <c r="B845" i="20"/>
  <c r="C844" i="20"/>
  <c r="B844" i="20"/>
  <c r="C843" i="20"/>
  <c r="B843" i="20"/>
  <c r="C842" i="20"/>
  <c r="B842" i="20"/>
  <c r="C841" i="20"/>
  <c r="B841" i="20"/>
  <c r="C840" i="20"/>
  <c r="B840" i="20"/>
  <c r="C839" i="20"/>
  <c r="B839" i="20"/>
  <c r="C838" i="20"/>
  <c r="B838" i="20"/>
  <c r="C837" i="20"/>
  <c r="B837" i="20"/>
  <c r="C836" i="20"/>
  <c r="B836" i="20"/>
  <c r="C835" i="20"/>
  <c r="B835" i="20"/>
  <c r="C834" i="20"/>
  <c r="B834" i="20"/>
  <c r="C833" i="20"/>
  <c r="B833" i="20"/>
  <c r="C832" i="20"/>
  <c r="B832" i="20"/>
  <c r="C831" i="20"/>
  <c r="B831" i="20"/>
  <c r="C830" i="20"/>
  <c r="B830" i="20"/>
  <c r="C829" i="20"/>
  <c r="B829" i="20"/>
  <c r="C828" i="20"/>
  <c r="B828" i="20"/>
  <c r="C827" i="20"/>
  <c r="B827" i="20"/>
  <c r="C826" i="20"/>
  <c r="B826" i="20"/>
  <c r="C825" i="20"/>
  <c r="B825" i="20"/>
  <c r="C824" i="20"/>
  <c r="B824" i="20"/>
  <c r="C823" i="20"/>
  <c r="B823" i="20"/>
  <c r="C822" i="20"/>
  <c r="B822" i="20"/>
  <c r="C821" i="20"/>
  <c r="B821" i="20"/>
  <c r="C820" i="20"/>
  <c r="B820" i="20"/>
  <c r="C819" i="20"/>
  <c r="B819" i="20"/>
  <c r="C818" i="20"/>
  <c r="B818" i="20"/>
  <c r="C817" i="20"/>
  <c r="B817" i="20"/>
  <c r="C816" i="20"/>
  <c r="B816" i="20"/>
  <c r="C815" i="20"/>
  <c r="B815" i="20"/>
  <c r="C814" i="20"/>
  <c r="B814" i="20"/>
  <c r="C813" i="20"/>
  <c r="B813" i="20"/>
  <c r="C812" i="20"/>
  <c r="B812" i="20"/>
  <c r="C811" i="20"/>
  <c r="B811" i="20"/>
  <c r="C810" i="20"/>
  <c r="B810" i="20"/>
  <c r="C809" i="20"/>
  <c r="B809" i="20"/>
  <c r="C808" i="20"/>
  <c r="B808" i="20"/>
  <c r="C807" i="20"/>
  <c r="B807" i="20"/>
  <c r="C806" i="20"/>
  <c r="B806" i="20"/>
  <c r="C805" i="20"/>
  <c r="B805" i="20"/>
  <c r="C804" i="20"/>
  <c r="B804" i="20"/>
  <c r="C803" i="20"/>
  <c r="B803" i="20"/>
  <c r="C802" i="20"/>
  <c r="B802" i="20"/>
  <c r="C801" i="20"/>
  <c r="B801" i="20"/>
  <c r="C800" i="20"/>
  <c r="B800" i="20"/>
  <c r="C799" i="20"/>
  <c r="B799" i="20"/>
  <c r="C798" i="20"/>
  <c r="B798" i="20"/>
  <c r="C797" i="20"/>
  <c r="B797" i="20"/>
  <c r="C796" i="20"/>
  <c r="B796" i="20"/>
  <c r="C795" i="20"/>
  <c r="B795" i="20"/>
  <c r="C794" i="20"/>
  <c r="B794" i="20"/>
  <c r="C793" i="20"/>
  <c r="B793" i="20"/>
  <c r="C792" i="20"/>
  <c r="B792" i="20"/>
  <c r="C791" i="20"/>
  <c r="B791" i="20"/>
  <c r="C790" i="20"/>
  <c r="B790" i="20"/>
  <c r="C789" i="20"/>
  <c r="B789" i="20"/>
  <c r="C788" i="20"/>
  <c r="B788" i="20"/>
  <c r="C787" i="20"/>
  <c r="B787" i="20"/>
  <c r="C786" i="20"/>
  <c r="B786" i="20"/>
  <c r="C785" i="20"/>
  <c r="B785" i="20"/>
  <c r="C784" i="20"/>
  <c r="B784" i="20"/>
  <c r="C783" i="20"/>
  <c r="B783" i="20"/>
  <c r="C782" i="20"/>
  <c r="B782" i="20"/>
  <c r="C781" i="20"/>
  <c r="B781" i="20"/>
  <c r="C780" i="20"/>
  <c r="B780" i="20"/>
  <c r="C779" i="20"/>
  <c r="B779" i="20"/>
  <c r="C778" i="20"/>
  <c r="B778" i="20"/>
  <c r="C777" i="20"/>
  <c r="B777" i="20"/>
  <c r="C776" i="20"/>
  <c r="B776" i="20"/>
  <c r="C775" i="20"/>
  <c r="B775" i="20"/>
  <c r="C774" i="20"/>
  <c r="B774" i="20"/>
  <c r="C773" i="20"/>
  <c r="B773" i="20"/>
  <c r="C772" i="20"/>
  <c r="B772" i="20"/>
  <c r="C771" i="20"/>
  <c r="B771" i="20"/>
  <c r="C770" i="20"/>
  <c r="B770" i="20"/>
  <c r="C769" i="20"/>
  <c r="B769" i="20"/>
  <c r="C768" i="20"/>
  <c r="B768" i="20"/>
  <c r="C767" i="20"/>
  <c r="B767" i="20"/>
  <c r="C766" i="20"/>
  <c r="B766" i="20"/>
  <c r="C765" i="20"/>
  <c r="B765" i="20"/>
  <c r="C764" i="20"/>
  <c r="B764" i="20"/>
  <c r="C763" i="20"/>
  <c r="B763" i="20"/>
  <c r="C762" i="20"/>
  <c r="B762" i="20"/>
  <c r="C761" i="20"/>
  <c r="B761" i="20"/>
  <c r="C760" i="20"/>
  <c r="B760" i="20"/>
  <c r="C759" i="20"/>
  <c r="B759" i="20"/>
  <c r="C758" i="20"/>
  <c r="B758" i="20"/>
  <c r="C757" i="20"/>
  <c r="B757" i="20"/>
  <c r="C756" i="20"/>
  <c r="B756" i="20"/>
  <c r="C755" i="20"/>
  <c r="B755" i="20"/>
  <c r="C754" i="20"/>
  <c r="B754" i="20"/>
  <c r="C753" i="20"/>
  <c r="B753" i="20"/>
  <c r="C752" i="20"/>
  <c r="B752" i="20"/>
  <c r="C751" i="20"/>
  <c r="B751" i="20"/>
  <c r="C750" i="20"/>
  <c r="B750" i="20"/>
  <c r="C749" i="20"/>
  <c r="B749" i="20"/>
  <c r="C748" i="20"/>
  <c r="B748" i="20"/>
  <c r="C747" i="20"/>
  <c r="B747" i="20"/>
  <c r="C746" i="20"/>
  <c r="B746" i="20"/>
  <c r="C745" i="20"/>
  <c r="B745" i="20"/>
  <c r="C744" i="20"/>
  <c r="B744" i="20"/>
  <c r="C743" i="20"/>
  <c r="B743" i="20"/>
  <c r="C742" i="20"/>
  <c r="B742" i="20"/>
  <c r="C741" i="20"/>
  <c r="B741" i="20"/>
  <c r="C740" i="20"/>
  <c r="B740" i="20"/>
  <c r="C739" i="20"/>
  <c r="B739" i="20"/>
  <c r="C738" i="20"/>
  <c r="B738" i="20"/>
  <c r="C737" i="20"/>
  <c r="B737" i="20"/>
  <c r="C736" i="20"/>
  <c r="B736" i="20"/>
  <c r="C735" i="20"/>
  <c r="B735" i="20"/>
  <c r="C734" i="20"/>
  <c r="B734" i="20"/>
  <c r="C733" i="20"/>
  <c r="B733" i="20"/>
  <c r="C732" i="20"/>
  <c r="B732" i="20"/>
  <c r="C731" i="20"/>
  <c r="B731" i="20"/>
  <c r="C730" i="20"/>
  <c r="B730" i="20"/>
  <c r="C729" i="20"/>
  <c r="B729" i="20"/>
  <c r="C728" i="20"/>
  <c r="B728" i="20"/>
  <c r="C727" i="20"/>
  <c r="B727" i="20"/>
  <c r="C726" i="20"/>
  <c r="B726" i="20"/>
  <c r="C725" i="20"/>
  <c r="B725" i="20"/>
  <c r="C724" i="20"/>
  <c r="B724" i="20"/>
  <c r="C723" i="20"/>
  <c r="B723" i="20"/>
  <c r="C722" i="20"/>
  <c r="B722" i="20"/>
  <c r="C721" i="20"/>
  <c r="B721" i="20"/>
  <c r="C720" i="20"/>
  <c r="B720" i="20"/>
  <c r="C719" i="20"/>
  <c r="B719" i="20"/>
  <c r="C718" i="20"/>
  <c r="B718" i="20"/>
  <c r="C717" i="20"/>
  <c r="B717" i="20"/>
  <c r="C716" i="20"/>
  <c r="B716" i="20"/>
  <c r="C715" i="20"/>
  <c r="B715" i="20"/>
  <c r="C714" i="20"/>
  <c r="B714" i="20"/>
  <c r="C713" i="20"/>
  <c r="B713" i="20"/>
  <c r="C712" i="20"/>
  <c r="B712" i="20"/>
  <c r="C711" i="20"/>
  <c r="B711" i="20"/>
  <c r="C710" i="20"/>
  <c r="B710" i="20"/>
  <c r="C709" i="20"/>
  <c r="B709" i="20"/>
  <c r="C708" i="20"/>
  <c r="B708" i="20"/>
  <c r="C707" i="20"/>
  <c r="B707" i="20"/>
  <c r="C706" i="20"/>
  <c r="B706" i="20"/>
  <c r="C705" i="20"/>
  <c r="B705" i="20"/>
  <c r="C704" i="20"/>
  <c r="B704" i="20"/>
  <c r="C703" i="20"/>
  <c r="B703" i="20"/>
  <c r="C702" i="20"/>
  <c r="B702" i="20"/>
  <c r="C701" i="20"/>
  <c r="B701" i="20"/>
  <c r="C700" i="20"/>
  <c r="B700" i="20"/>
  <c r="C699" i="20"/>
  <c r="B699" i="20"/>
  <c r="C698" i="20"/>
  <c r="B698" i="20"/>
  <c r="C697" i="20"/>
  <c r="B697" i="20"/>
  <c r="C696" i="20"/>
  <c r="B696" i="20"/>
  <c r="C695" i="20"/>
  <c r="B695" i="20"/>
  <c r="C694" i="20"/>
  <c r="B694" i="20"/>
  <c r="C693" i="20"/>
  <c r="B693" i="20"/>
  <c r="C692" i="20"/>
  <c r="B692" i="20"/>
  <c r="C691" i="20"/>
  <c r="B691" i="20"/>
  <c r="C690" i="20"/>
  <c r="B690" i="20"/>
  <c r="C689" i="20"/>
  <c r="B689" i="20"/>
  <c r="C688" i="20"/>
  <c r="B688" i="20"/>
  <c r="C687" i="20"/>
  <c r="B687" i="20"/>
  <c r="C686" i="20"/>
  <c r="B686" i="20"/>
  <c r="C685" i="20"/>
  <c r="B685" i="20"/>
  <c r="C684" i="20"/>
  <c r="B684" i="20"/>
  <c r="C683" i="20"/>
  <c r="B683" i="20"/>
  <c r="C682" i="20"/>
  <c r="B682" i="20"/>
  <c r="C681" i="20"/>
  <c r="B681" i="20"/>
  <c r="C680" i="20"/>
  <c r="B680" i="20"/>
  <c r="C679" i="20"/>
  <c r="B679" i="20"/>
  <c r="C678" i="20"/>
  <c r="B678" i="20"/>
  <c r="C677" i="20"/>
  <c r="B677" i="20"/>
  <c r="C676" i="20"/>
  <c r="B676" i="20"/>
  <c r="C675" i="20"/>
  <c r="B675" i="20"/>
  <c r="C674" i="20"/>
  <c r="B674" i="20"/>
  <c r="C673" i="20"/>
  <c r="B673" i="20"/>
  <c r="C672" i="20"/>
  <c r="B672" i="20"/>
  <c r="C671" i="20"/>
  <c r="B671" i="20"/>
  <c r="C670" i="20"/>
  <c r="B670" i="20"/>
  <c r="C669" i="20"/>
  <c r="B669" i="20"/>
  <c r="C668" i="20"/>
  <c r="B668" i="20"/>
  <c r="C667" i="20"/>
  <c r="B667" i="20"/>
  <c r="C666" i="20"/>
  <c r="B666" i="20"/>
  <c r="C665" i="20"/>
  <c r="B665" i="20"/>
  <c r="C664" i="20"/>
  <c r="B664" i="20"/>
  <c r="C663" i="20"/>
  <c r="B663" i="20"/>
  <c r="C662" i="20"/>
  <c r="B662" i="20"/>
  <c r="C661" i="20"/>
  <c r="B661" i="20"/>
  <c r="C660" i="20"/>
  <c r="B660" i="20"/>
  <c r="C659" i="20"/>
  <c r="B659" i="20"/>
  <c r="C658" i="20"/>
  <c r="B658" i="20"/>
  <c r="C657" i="20"/>
  <c r="B657" i="20"/>
  <c r="C656" i="20"/>
  <c r="B656" i="20"/>
  <c r="C655" i="20"/>
  <c r="B655" i="20"/>
  <c r="C654" i="20"/>
  <c r="B654" i="20"/>
  <c r="C653" i="20"/>
  <c r="B653" i="20"/>
  <c r="C652" i="20"/>
  <c r="B652" i="20"/>
  <c r="C651" i="20"/>
  <c r="B651" i="20"/>
  <c r="C650" i="20"/>
  <c r="B650" i="20"/>
  <c r="C649" i="20"/>
  <c r="B649" i="20"/>
  <c r="C648" i="20"/>
  <c r="B648" i="20"/>
  <c r="C647" i="20"/>
  <c r="B647" i="20"/>
  <c r="C646" i="20"/>
  <c r="B646" i="20"/>
  <c r="C645" i="20"/>
  <c r="B645" i="20"/>
  <c r="C644" i="20"/>
  <c r="B644" i="20"/>
  <c r="B642" i="20"/>
  <c r="C642" i="20"/>
  <c r="B641" i="20"/>
  <c r="C641" i="20"/>
  <c r="B640" i="20"/>
  <c r="C640" i="20"/>
  <c r="B639" i="20"/>
  <c r="C639" i="20"/>
  <c r="C638" i="20"/>
  <c r="B638" i="20"/>
  <c r="C637" i="20"/>
  <c r="B637" i="20"/>
  <c r="B636" i="20"/>
  <c r="C636" i="20"/>
  <c r="C635" i="20"/>
  <c r="B635" i="20"/>
  <c r="C634" i="20"/>
  <c r="B634" i="20"/>
  <c r="B633" i="20"/>
  <c r="C633" i="20"/>
  <c r="C632" i="20"/>
  <c r="B632" i="20"/>
  <c r="C631" i="20"/>
  <c r="B631" i="20"/>
  <c r="C630" i="20"/>
  <c r="B630" i="20"/>
  <c r="C629" i="20"/>
  <c r="B629" i="20"/>
  <c r="C628" i="20"/>
  <c r="B628" i="20"/>
  <c r="C627" i="20"/>
  <c r="B627" i="20"/>
  <c r="C626" i="20"/>
  <c r="B626" i="20"/>
  <c r="B625" i="20"/>
  <c r="C625" i="20"/>
  <c r="C624" i="20"/>
  <c r="B624" i="20"/>
  <c r="C623" i="20"/>
  <c r="B623" i="20"/>
  <c r="C622" i="20"/>
  <c r="B622" i="20"/>
  <c r="C621" i="20"/>
  <c r="B621" i="20"/>
  <c r="B620" i="20"/>
  <c r="C620" i="20"/>
  <c r="B619" i="20"/>
  <c r="C619" i="20"/>
  <c r="B618" i="20"/>
  <c r="C618" i="20"/>
  <c r="B617" i="20"/>
  <c r="C617" i="20"/>
  <c r="B616" i="20"/>
  <c r="C616" i="20"/>
  <c r="B615" i="20"/>
  <c r="C615" i="20"/>
  <c r="C614" i="20"/>
  <c r="B614" i="20"/>
  <c r="B613" i="20"/>
  <c r="C613" i="20"/>
  <c r="C612" i="20"/>
  <c r="B612" i="20"/>
  <c r="C611" i="20"/>
  <c r="B611" i="20"/>
  <c r="C610" i="20"/>
  <c r="B610" i="20"/>
  <c r="C609" i="20"/>
  <c r="B609" i="20"/>
  <c r="C608" i="20"/>
  <c r="B608" i="20"/>
  <c r="C607" i="20"/>
  <c r="B607" i="20"/>
  <c r="B606" i="20"/>
  <c r="C606" i="20"/>
  <c r="C605" i="20"/>
  <c r="B605" i="20"/>
  <c r="B604" i="20"/>
  <c r="C604" i="20"/>
  <c r="B603" i="20"/>
  <c r="C603" i="20"/>
  <c r="B602" i="20"/>
  <c r="C602" i="20"/>
  <c r="C601" i="20"/>
  <c r="B601" i="20"/>
  <c r="B600" i="20"/>
  <c r="C600" i="20"/>
  <c r="B599" i="20"/>
  <c r="C599" i="20"/>
  <c r="C598" i="20"/>
  <c r="B598" i="20"/>
  <c r="C597" i="20"/>
  <c r="B597" i="20"/>
  <c r="C596" i="20"/>
  <c r="B596" i="20"/>
  <c r="C595" i="20"/>
  <c r="B595" i="20"/>
  <c r="C594" i="20"/>
  <c r="B594" i="20"/>
  <c r="C593" i="20"/>
  <c r="B593" i="20"/>
  <c r="B592" i="20"/>
  <c r="C592" i="20"/>
  <c r="C591" i="20"/>
  <c r="B591" i="20"/>
  <c r="B590" i="20"/>
  <c r="C590" i="20"/>
  <c r="B589" i="20"/>
  <c r="C589" i="20"/>
  <c r="B588" i="20"/>
  <c r="C588" i="20"/>
  <c r="C587" i="20"/>
  <c r="B587" i="20"/>
  <c r="C586" i="20"/>
  <c r="B586" i="20"/>
  <c r="C585" i="20"/>
  <c r="B585" i="20"/>
  <c r="C584" i="20"/>
  <c r="B584" i="20"/>
  <c r="B583" i="20"/>
  <c r="C583" i="20"/>
  <c r="B582" i="20"/>
  <c r="C582" i="20"/>
  <c r="B581" i="20"/>
  <c r="C581" i="20"/>
  <c r="C580" i="20"/>
  <c r="B580" i="20"/>
  <c r="C579" i="20"/>
  <c r="B579" i="20"/>
  <c r="B578" i="20"/>
  <c r="C578" i="20"/>
  <c r="B577" i="20"/>
  <c r="C577" i="20"/>
  <c r="B576" i="20"/>
  <c r="C576" i="20"/>
  <c r="C575" i="20"/>
  <c r="B575" i="20"/>
  <c r="B574" i="20"/>
  <c r="C574" i="20"/>
  <c r="C573" i="20"/>
  <c r="B573" i="20"/>
  <c r="B572" i="20"/>
  <c r="C572" i="20"/>
  <c r="C571" i="20"/>
  <c r="B571" i="20"/>
  <c r="C570" i="20"/>
  <c r="B570" i="20"/>
  <c r="C569" i="20"/>
  <c r="B569" i="20"/>
  <c r="C568" i="20"/>
  <c r="B568" i="20"/>
  <c r="C567" i="20"/>
  <c r="B567" i="20"/>
  <c r="C566" i="20"/>
  <c r="B566" i="20"/>
  <c r="B565" i="20"/>
  <c r="C565" i="20"/>
  <c r="B564" i="20"/>
  <c r="C564" i="20"/>
  <c r="C563" i="20"/>
  <c r="B563" i="20"/>
  <c r="B562" i="20"/>
  <c r="C562" i="20"/>
  <c r="C561" i="20"/>
  <c r="B561" i="20"/>
  <c r="C560" i="20"/>
  <c r="B560" i="20"/>
  <c r="C559" i="20"/>
  <c r="B559" i="20"/>
  <c r="C558" i="20"/>
  <c r="B558" i="20"/>
  <c r="C557" i="20"/>
  <c r="B557" i="20"/>
  <c r="B556" i="20"/>
  <c r="C556" i="20"/>
  <c r="C555" i="20"/>
  <c r="B555" i="20"/>
  <c r="C554" i="20"/>
  <c r="B554" i="20"/>
  <c r="C553" i="20"/>
  <c r="B553" i="20"/>
  <c r="C552" i="20"/>
  <c r="B552" i="20"/>
  <c r="C551" i="20"/>
  <c r="B551" i="20"/>
  <c r="B550" i="20"/>
  <c r="C550" i="20"/>
  <c r="C549" i="20"/>
  <c r="B549" i="20"/>
  <c r="C548" i="20"/>
  <c r="B548" i="20"/>
  <c r="C547" i="20"/>
  <c r="B547" i="20"/>
  <c r="B546" i="20"/>
  <c r="C546" i="20"/>
  <c r="C545" i="20"/>
  <c r="B545" i="20"/>
  <c r="B544" i="20"/>
  <c r="C544" i="20"/>
  <c r="B543" i="20"/>
  <c r="C543" i="20"/>
  <c r="B542" i="20"/>
  <c r="C542" i="20"/>
  <c r="C541" i="20"/>
  <c r="B541" i="20"/>
  <c r="B540" i="20"/>
  <c r="C540" i="20"/>
  <c r="B539" i="20"/>
  <c r="C539" i="20"/>
  <c r="B538" i="20"/>
  <c r="C538" i="20"/>
  <c r="B537" i="20"/>
  <c r="C537" i="20"/>
  <c r="C536" i="20"/>
  <c r="B536" i="20"/>
  <c r="C535" i="20"/>
  <c r="B535" i="20"/>
  <c r="C534" i="20"/>
  <c r="B534" i="20"/>
  <c r="B533" i="20"/>
  <c r="C533" i="20"/>
  <c r="C532" i="20"/>
  <c r="B532" i="20"/>
  <c r="C531" i="20"/>
  <c r="B531" i="20"/>
  <c r="C530" i="20"/>
  <c r="B530" i="20"/>
  <c r="C529" i="20"/>
  <c r="B529" i="20"/>
  <c r="C528" i="20"/>
  <c r="B528" i="20"/>
  <c r="C527" i="20"/>
  <c r="B527" i="20"/>
  <c r="C526" i="20"/>
  <c r="B526" i="20"/>
  <c r="C525" i="20"/>
  <c r="B525" i="20"/>
  <c r="C524" i="20"/>
  <c r="B524" i="20"/>
  <c r="B522" i="20"/>
  <c r="C522" i="20"/>
  <c r="C521" i="20"/>
  <c r="B521" i="20"/>
  <c r="C520" i="20"/>
  <c r="B520" i="20"/>
  <c r="B519" i="20"/>
  <c r="C519" i="20"/>
  <c r="B518" i="20"/>
  <c r="C518" i="20"/>
  <c r="B517" i="20"/>
  <c r="C517" i="20"/>
  <c r="B516" i="20"/>
  <c r="C516" i="20"/>
  <c r="B515" i="20"/>
  <c r="C515" i="20"/>
  <c r="B514" i="20"/>
  <c r="C514" i="20"/>
  <c r="C513" i="20"/>
  <c r="B513" i="20"/>
  <c r="C512" i="20"/>
  <c r="B512" i="20"/>
  <c r="C511" i="20"/>
  <c r="B511" i="20"/>
  <c r="C510" i="20"/>
  <c r="B510" i="20"/>
  <c r="C509" i="20"/>
  <c r="B509" i="20"/>
  <c r="C508" i="20"/>
  <c r="B508" i="20"/>
  <c r="C507" i="20"/>
  <c r="B507" i="20"/>
  <c r="C506" i="20"/>
  <c r="B506" i="20"/>
  <c r="B505" i="20"/>
  <c r="C505" i="20"/>
  <c r="C504" i="20"/>
  <c r="B504" i="20"/>
  <c r="C503" i="20"/>
  <c r="B503" i="20"/>
  <c r="C502" i="20"/>
  <c r="B502" i="20"/>
  <c r="C501" i="20"/>
  <c r="B501" i="20"/>
  <c r="C500" i="20"/>
  <c r="B500" i="20"/>
  <c r="C499" i="20"/>
  <c r="B499" i="20"/>
  <c r="C498" i="20"/>
  <c r="B498" i="20"/>
  <c r="C497" i="20"/>
  <c r="B497" i="20"/>
  <c r="C496" i="20"/>
  <c r="B496" i="20"/>
  <c r="C495" i="20"/>
  <c r="B495" i="20"/>
  <c r="C494" i="20"/>
  <c r="B494" i="20"/>
  <c r="C493" i="20"/>
  <c r="B493" i="20"/>
  <c r="C492" i="20"/>
  <c r="B492" i="20"/>
  <c r="C491" i="20"/>
  <c r="B491" i="20"/>
  <c r="C490" i="20"/>
  <c r="B490" i="20"/>
  <c r="C489" i="20"/>
  <c r="B489" i="20"/>
  <c r="C488" i="20"/>
  <c r="B488" i="20"/>
  <c r="C487" i="20"/>
  <c r="B487" i="20"/>
  <c r="C486" i="20"/>
  <c r="B486" i="20"/>
  <c r="C485" i="20"/>
  <c r="B485" i="20"/>
  <c r="C484" i="20"/>
  <c r="B484" i="20"/>
  <c r="C483" i="20"/>
  <c r="B483" i="20"/>
  <c r="C482" i="20"/>
  <c r="B482" i="20"/>
  <c r="C481" i="20"/>
  <c r="B481" i="20"/>
  <c r="C480" i="20"/>
  <c r="B480" i="20"/>
  <c r="C479" i="20"/>
  <c r="B479" i="20"/>
  <c r="C478" i="20"/>
  <c r="B478" i="20"/>
  <c r="C477" i="20"/>
  <c r="B477" i="20"/>
  <c r="C476" i="20"/>
  <c r="B476" i="20"/>
  <c r="C475" i="20"/>
  <c r="B475" i="20"/>
  <c r="C474" i="20"/>
  <c r="B474" i="20"/>
  <c r="C473" i="20"/>
  <c r="B473" i="20"/>
  <c r="C472" i="20"/>
  <c r="B472" i="20"/>
  <c r="C471" i="20"/>
  <c r="B471" i="20"/>
  <c r="C470" i="20"/>
  <c r="B470" i="20"/>
  <c r="C469" i="20"/>
  <c r="B469" i="20"/>
  <c r="C468" i="20"/>
  <c r="B468" i="20"/>
  <c r="C467" i="20"/>
  <c r="B467" i="20"/>
  <c r="C466" i="20"/>
  <c r="B466" i="20"/>
  <c r="C465" i="20"/>
  <c r="B465" i="20"/>
  <c r="C464" i="20"/>
  <c r="B464" i="20"/>
  <c r="C463" i="20"/>
  <c r="B463" i="20"/>
  <c r="C462" i="20"/>
  <c r="B462" i="20"/>
  <c r="C461" i="20"/>
  <c r="B461" i="20"/>
  <c r="C460" i="20"/>
  <c r="B460" i="20"/>
  <c r="C459" i="20"/>
  <c r="B459" i="20"/>
  <c r="C458" i="20"/>
  <c r="B458" i="20"/>
  <c r="C457" i="20"/>
  <c r="B457" i="20"/>
  <c r="C456" i="20"/>
  <c r="B456" i="20"/>
  <c r="B455" i="20"/>
  <c r="C455" i="20"/>
  <c r="C454" i="20"/>
  <c r="B454" i="20"/>
  <c r="B453" i="20"/>
  <c r="C453" i="20"/>
  <c r="B452" i="20"/>
  <c r="C452" i="20"/>
  <c r="B451" i="20"/>
  <c r="C451" i="20"/>
  <c r="B450" i="20"/>
  <c r="C450" i="20"/>
  <c r="B449" i="20"/>
  <c r="C449" i="20"/>
  <c r="B448" i="20"/>
  <c r="C448" i="20"/>
  <c r="B447" i="20"/>
  <c r="C447" i="20"/>
  <c r="C446" i="20"/>
  <c r="B446" i="20"/>
  <c r="C445" i="20"/>
  <c r="B445" i="20"/>
  <c r="C444" i="20"/>
  <c r="B444" i="20"/>
  <c r="C443" i="20"/>
  <c r="B443" i="20"/>
  <c r="C442" i="20"/>
  <c r="B442" i="20"/>
  <c r="C441" i="20"/>
  <c r="B441" i="20"/>
  <c r="C440" i="20"/>
  <c r="B440" i="20"/>
  <c r="B439" i="20"/>
  <c r="C439" i="20"/>
  <c r="C438" i="20"/>
  <c r="B438" i="20"/>
  <c r="B437" i="20"/>
  <c r="C437" i="20"/>
  <c r="B436" i="20"/>
  <c r="C436" i="20"/>
  <c r="B435" i="20"/>
  <c r="C435" i="20"/>
  <c r="C434" i="20"/>
  <c r="B434" i="20"/>
  <c r="B433" i="20"/>
  <c r="C433" i="20"/>
  <c r="C432" i="20"/>
  <c r="B432" i="20"/>
  <c r="C431" i="20"/>
  <c r="B431" i="20"/>
  <c r="C430" i="20"/>
  <c r="B430" i="20"/>
  <c r="C429" i="20"/>
  <c r="B429" i="20"/>
  <c r="C428" i="20"/>
  <c r="B428" i="20"/>
  <c r="C427" i="20"/>
  <c r="B427" i="20"/>
  <c r="C426" i="20"/>
  <c r="B426" i="20"/>
  <c r="B425" i="20"/>
  <c r="C425" i="20"/>
  <c r="C424" i="20"/>
  <c r="B424" i="20"/>
  <c r="C423" i="20"/>
  <c r="B423" i="20"/>
  <c r="C422" i="20"/>
  <c r="B422" i="20"/>
  <c r="B421" i="20"/>
  <c r="C421" i="20"/>
  <c r="B420" i="20"/>
  <c r="C420" i="20"/>
  <c r="C419" i="20"/>
  <c r="B419" i="20"/>
  <c r="C418" i="20"/>
  <c r="B418" i="20"/>
  <c r="B417" i="20"/>
  <c r="C417" i="20"/>
  <c r="C416" i="20"/>
  <c r="B416" i="20"/>
  <c r="C415" i="20"/>
  <c r="B415" i="20"/>
  <c r="C414" i="20"/>
  <c r="B414" i="20"/>
  <c r="B413" i="20"/>
  <c r="C413" i="20"/>
  <c r="B412" i="20"/>
  <c r="C412" i="20"/>
  <c r="B411" i="20"/>
  <c r="C411" i="20"/>
  <c r="B410" i="20"/>
  <c r="C410" i="20"/>
  <c r="B409" i="20"/>
  <c r="C409" i="20"/>
  <c r="C408" i="20"/>
  <c r="B408" i="20"/>
  <c r="B407" i="20"/>
  <c r="C407" i="20"/>
  <c r="B406" i="20"/>
  <c r="C406" i="20"/>
  <c r="C405" i="20"/>
  <c r="B405" i="20"/>
  <c r="C404" i="20"/>
  <c r="B404" i="20"/>
  <c r="B403" i="20"/>
  <c r="C403" i="20"/>
  <c r="B402" i="20"/>
  <c r="C402" i="20"/>
  <c r="B401" i="20"/>
  <c r="C401" i="20"/>
  <c r="B400" i="20"/>
  <c r="C400" i="20"/>
  <c r="C399" i="20"/>
  <c r="B399" i="20"/>
  <c r="B398" i="20"/>
  <c r="C398" i="20"/>
  <c r="B397" i="20"/>
  <c r="C397" i="20"/>
  <c r="B396" i="20"/>
  <c r="C396" i="20"/>
  <c r="B395" i="20"/>
  <c r="C395" i="20"/>
  <c r="C394" i="20"/>
  <c r="B394" i="20"/>
  <c r="C393" i="20"/>
  <c r="B393" i="20"/>
  <c r="C392" i="20"/>
  <c r="B392" i="20"/>
  <c r="C391" i="20"/>
  <c r="B391" i="20"/>
  <c r="B390" i="20"/>
  <c r="C390" i="20"/>
  <c r="C389" i="20"/>
  <c r="B389" i="20"/>
  <c r="C388" i="20"/>
  <c r="B388" i="20"/>
  <c r="C387" i="20"/>
  <c r="B387" i="20"/>
  <c r="C386" i="20"/>
  <c r="B386" i="20"/>
  <c r="C385" i="20"/>
  <c r="B385" i="20"/>
  <c r="C384" i="20"/>
  <c r="B384" i="20"/>
  <c r="C383" i="20"/>
  <c r="B383" i="20"/>
  <c r="C382" i="20"/>
  <c r="B382" i="20"/>
  <c r="C381" i="20"/>
  <c r="B381" i="20"/>
  <c r="B380" i="20"/>
  <c r="C380" i="20"/>
  <c r="B379" i="20"/>
  <c r="C379" i="20"/>
  <c r="B378" i="20"/>
  <c r="C378" i="20"/>
  <c r="B377" i="20"/>
  <c r="C377" i="20"/>
  <c r="C376" i="20"/>
  <c r="B376" i="20"/>
  <c r="C375" i="20"/>
  <c r="B375" i="20"/>
  <c r="B374" i="20"/>
  <c r="C374" i="20"/>
  <c r="C373" i="20"/>
  <c r="B373" i="20"/>
  <c r="B372" i="20"/>
  <c r="C372" i="20"/>
  <c r="C371" i="20"/>
  <c r="B371" i="20"/>
  <c r="C370" i="20"/>
  <c r="B370" i="20"/>
  <c r="C369" i="20"/>
  <c r="B369" i="20"/>
  <c r="C368" i="20"/>
  <c r="B368" i="20"/>
  <c r="B367" i="20"/>
  <c r="C367" i="20"/>
  <c r="C366" i="20"/>
  <c r="B366" i="20"/>
  <c r="B365" i="20"/>
  <c r="C365" i="20"/>
  <c r="B364" i="20"/>
  <c r="C364" i="20"/>
  <c r="B363" i="20"/>
  <c r="C363" i="20"/>
  <c r="B362" i="20"/>
  <c r="C362" i="20"/>
  <c r="C361" i="20"/>
  <c r="B361" i="20"/>
  <c r="B360" i="20"/>
  <c r="C360" i="20"/>
  <c r="C359" i="20"/>
  <c r="B359" i="20"/>
  <c r="C358" i="20"/>
  <c r="B358" i="20"/>
  <c r="C357" i="20"/>
  <c r="B357" i="20"/>
  <c r="B356" i="20"/>
  <c r="C356" i="20"/>
  <c r="B355" i="20"/>
  <c r="C355" i="20"/>
  <c r="B354" i="20"/>
  <c r="C354" i="20"/>
  <c r="B353" i="20"/>
  <c r="C353" i="20"/>
  <c r="C352" i="20"/>
  <c r="B352" i="20"/>
  <c r="B351" i="20"/>
  <c r="C351" i="20"/>
  <c r="C350" i="20"/>
  <c r="B350" i="20"/>
  <c r="B349" i="20"/>
  <c r="C349" i="20"/>
  <c r="C348" i="20"/>
  <c r="B348" i="20"/>
  <c r="C347" i="20"/>
  <c r="B347" i="20"/>
  <c r="C346" i="20"/>
  <c r="B346" i="20"/>
  <c r="C345" i="20"/>
  <c r="B345" i="20"/>
  <c r="C344" i="20"/>
  <c r="B344" i="20"/>
  <c r="C343" i="20"/>
  <c r="B343" i="20"/>
  <c r="C342" i="20"/>
  <c r="B342" i="20"/>
  <c r="C341" i="20"/>
  <c r="B341" i="20"/>
  <c r="C340" i="20"/>
  <c r="B340" i="20"/>
  <c r="B339" i="20"/>
  <c r="C339" i="20"/>
  <c r="B338" i="20"/>
  <c r="C338" i="20"/>
  <c r="B337" i="20"/>
  <c r="C337" i="20"/>
  <c r="C336" i="20"/>
  <c r="B336" i="20"/>
  <c r="B335" i="20"/>
  <c r="C335" i="20"/>
  <c r="C334" i="20"/>
  <c r="B334" i="20"/>
  <c r="B333" i="20"/>
  <c r="C333" i="20"/>
  <c r="C332" i="20"/>
  <c r="B332" i="20"/>
  <c r="B331" i="20"/>
  <c r="C331" i="20"/>
  <c r="C330" i="20"/>
  <c r="B330" i="20"/>
  <c r="B329" i="20"/>
  <c r="C329" i="20"/>
  <c r="C328" i="20"/>
  <c r="B328" i="20"/>
  <c r="B327" i="20"/>
  <c r="C327" i="20"/>
  <c r="B326" i="20"/>
  <c r="C326" i="20"/>
  <c r="C325" i="20"/>
  <c r="B325" i="20"/>
  <c r="B324" i="20"/>
  <c r="C324" i="20"/>
  <c r="C323" i="20"/>
  <c r="B323" i="20"/>
  <c r="B322" i="20"/>
  <c r="C322" i="20"/>
  <c r="C321" i="20"/>
  <c r="B321" i="20"/>
  <c r="C320" i="20"/>
  <c r="B320" i="20"/>
  <c r="B319" i="20"/>
  <c r="C319" i="20"/>
  <c r="C318" i="20"/>
  <c r="B318" i="20"/>
  <c r="B317" i="20"/>
  <c r="C317" i="20"/>
  <c r="B316" i="20"/>
  <c r="C316" i="20"/>
  <c r="C315" i="20"/>
  <c r="B315" i="20"/>
  <c r="B314" i="20"/>
  <c r="C314" i="20"/>
  <c r="B313" i="20"/>
  <c r="C313" i="20"/>
  <c r="B312" i="20"/>
  <c r="C312" i="20"/>
  <c r="C311" i="20"/>
  <c r="B311" i="20"/>
  <c r="C310" i="20"/>
  <c r="B310" i="20"/>
  <c r="B309" i="20"/>
  <c r="C309" i="20"/>
  <c r="C308" i="20"/>
  <c r="B308" i="20"/>
  <c r="C307" i="20"/>
  <c r="B307" i="20"/>
  <c r="C306" i="20"/>
  <c r="B306" i="20"/>
  <c r="C305" i="20"/>
  <c r="B305" i="20"/>
  <c r="B304" i="20"/>
  <c r="C304" i="20"/>
  <c r="B303" i="20"/>
  <c r="C303" i="20"/>
  <c r="B302" i="20"/>
  <c r="C302" i="20"/>
  <c r="C301" i="20"/>
  <c r="B301" i="20"/>
  <c r="C300" i="20"/>
  <c r="B300" i="20"/>
  <c r="B299" i="20"/>
  <c r="C299" i="20"/>
  <c r="B298" i="20"/>
  <c r="C298" i="20"/>
  <c r="B297" i="20"/>
  <c r="C297" i="20"/>
  <c r="B296" i="20"/>
  <c r="C296" i="20"/>
  <c r="C295" i="20"/>
  <c r="B295" i="20"/>
  <c r="B294" i="20"/>
  <c r="C294" i="20"/>
  <c r="B293" i="20"/>
  <c r="C293" i="20"/>
  <c r="B292" i="20"/>
  <c r="C292" i="20"/>
  <c r="C291" i="20"/>
  <c r="B291" i="20"/>
  <c r="C290" i="20"/>
  <c r="B290" i="20"/>
  <c r="C289" i="20"/>
  <c r="B289" i="20"/>
  <c r="C288" i="20"/>
  <c r="B288" i="20"/>
  <c r="C287" i="20"/>
  <c r="B287" i="20"/>
  <c r="B286" i="20"/>
  <c r="C286" i="20"/>
  <c r="C285" i="20"/>
  <c r="B285" i="20"/>
  <c r="B283" i="20"/>
  <c r="C283" i="20"/>
  <c r="C282" i="20"/>
  <c r="B282" i="20"/>
  <c r="B281" i="20"/>
  <c r="C281" i="20"/>
  <c r="B280" i="20"/>
  <c r="C280" i="20"/>
  <c r="C279" i="20"/>
  <c r="B279" i="20"/>
  <c r="B278" i="20"/>
  <c r="C278" i="20"/>
  <c r="B277" i="20"/>
  <c r="C277" i="20"/>
  <c r="B276" i="20"/>
  <c r="C276" i="20"/>
  <c r="C275" i="20"/>
  <c r="B275" i="20"/>
  <c r="C274" i="20"/>
  <c r="B274" i="20"/>
  <c r="C273" i="20"/>
  <c r="B273" i="20"/>
  <c r="C272" i="20"/>
  <c r="B272" i="20"/>
  <c r="C271" i="20"/>
  <c r="B271" i="20"/>
  <c r="C270" i="20"/>
  <c r="B270" i="20"/>
  <c r="B269" i="20"/>
  <c r="C269" i="20"/>
  <c r="B268" i="20"/>
  <c r="C268" i="20"/>
  <c r="C267" i="20"/>
  <c r="B267" i="20"/>
  <c r="B266" i="20"/>
  <c r="C266" i="20"/>
  <c r="B265" i="20"/>
  <c r="C265" i="20"/>
  <c r="C264" i="20"/>
  <c r="B264" i="20"/>
  <c r="C263" i="20"/>
  <c r="B263" i="20"/>
  <c r="B262" i="20"/>
  <c r="C262" i="20"/>
  <c r="C261" i="20"/>
  <c r="B261" i="20"/>
  <c r="B260" i="20"/>
  <c r="C260" i="20"/>
  <c r="C259" i="20"/>
  <c r="B259" i="20"/>
  <c r="C258" i="20"/>
  <c r="B258" i="20"/>
  <c r="B257" i="20"/>
  <c r="C257" i="20"/>
  <c r="C256" i="20"/>
  <c r="B256" i="20"/>
  <c r="B255" i="20"/>
  <c r="C255" i="20"/>
  <c r="B254" i="20"/>
  <c r="C254" i="20"/>
  <c r="C253" i="20"/>
  <c r="B253" i="20"/>
  <c r="C252" i="20"/>
  <c r="B252" i="20"/>
  <c r="C251" i="20"/>
  <c r="B251" i="20"/>
  <c r="B250" i="20"/>
  <c r="C250" i="20"/>
  <c r="C249" i="20"/>
  <c r="B249" i="20"/>
  <c r="C248" i="20"/>
  <c r="B248" i="20"/>
  <c r="C247" i="20"/>
  <c r="B247" i="20"/>
  <c r="C246" i="20"/>
  <c r="B246" i="20"/>
  <c r="C245" i="20"/>
  <c r="B245" i="20"/>
  <c r="C244" i="20"/>
  <c r="B244" i="20"/>
  <c r="B243" i="20"/>
  <c r="C243" i="20"/>
  <c r="B242" i="20"/>
  <c r="C242" i="20"/>
  <c r="C241" i="20"/>
  <c r="B241" i="20"/>
  <c r="B240" i="20"/>
  <c r="C240" i="20"/>
  <c r="C239" i="20"/>
  <c r="B239" i="20"/>
  <c r="B238" i="20"/>
  <c r="C238" i="20"/>
  <c r="B237" i="20"/>
  <c r="C237" i="20"/>
  <c r="B236" i="20"/>
  <c r="C236" i="20"/>
  <c r="C235" i="20"/>
  <c r="B235" i="20"/>
  <c r="C234" i="20"/>
  <c r="B234" i="20"/>
  <c r="C233" i="20"/>
  <c r="B233" i="20"/>
  <c r="B232" i="20"/>
  <c r="C232" i="20"/>
  <c r="C231" i="20"/>
  <c r="B231" i="20"/>
  <c r="C230" i="20"/>
  <c r="B230" i="20"/>
  <c r="C229" i="20"/>
  <c r="B229" i="20"/>
  <c r="B228" i="20"/>
  <c r="C228" i="20"/>
  <c r="B227" i="20"/>
  <c r="C227" i="20"/>
  <c r="C226" i="20"/>
  <c r="B226" i="20"/>
  <c r="B225" i="20"/>
  <c r="C225" i="20"/>
  <c r="B224" i="20"/>
  <c r="C224" i="20"/>
  <c r="B223" i="20"/>
  <c r="C223" i="20"/>
  <c r="C222" i="20"/>
  <c r="B222" i="20"/>
  <c r="C221" i="20"/>
  <c r="B221" i="20"/>
  <c r="C220" i="20"/>
  <c r="B220" i="20"/>
  <c r="C219" i="20"/>
  <c r="B219" i="20"/>
  <c r="B218" i="20"/>
  <c r="C218" i="20"/>
  <c r="B217" i="20"/>
  <c r="C217" i="20"/>
  <c r="C216" i="20"/>
  <c r="B216" i="20"/>
  <c r="C215" i="20"/>
  <c r="B215" i="20"/>
  <c r="C214" i="20"/>
  <c r="B214" i="20"/>
  <c r="C213" i="20"/>
  <c r="B213" i="20"/>
  <c r="B212" i="20"/>
  <c r="C212" i="20"/>
  <c r="B211" i="20"/>
  <c r="C211" i="20"/>
  <c r="B210" i="20"/>
  <c r="C210" i="20"/>
  <c r="B209" i="20"/>
  <c r="C209" i="20"/>
  <c r="C208" i="20"/>
  <c r="B208" i="20"/>
  <c r="C207" i="20"/>
  <c r="B207" i="20"/>
  <c r="C206" i="20"/>
  <c r="B206" i="20"/>
  <c r="B205" i="20"/>
  <c r="C205" i="20"/>
  <c r="B204" i="20"/>
  <c r="C204" i="20"/>
  <c r="C203" i="20"/>
  <c r="B203" i="20"/>
  <c r="B202" i="20"/>
  <c r="C202" i="20"/>
  <c r="C201" i="20"/>
  <c r="B201" i="20"/>
  <c r="B200" i="20"/>
  <c r="C200" i="20"/>
  <c r="B199" i="20"/>
  <c r="C199" i="20"/>
  <c r="B198" i="20"/>
  <c r="C198" i="20"/>
  <c r="C197" i="20"/>
  <c r="B197" i="20"/>
  <c r="B196" i="20"/>
  <c r="C196" i="20"/>
  <c r="C195" i="20"/>
  <c r="B195" i="20"/>
  <c r="B194" i="20"/>
  <c r="C194" i="20"/>
  <c r="C193" i="20"/>
  <c r="B193" i="20"/>
  <c r="B192" i="20"/>
  <c r="C192" i="20"/>
  <c r="B191" i="20"/>
  <c r="C191" i="20"/>
  <c r="B190" i="20"/>
  <c r="C190" i="20"/>
  <c r="B189" i="20"/>
  <c r="C189" i="20"/>
  <c r="C188" i="20"/>
  <c r="B188" i="20"/>
  <c r="C187" i="20"/>
  <c r="B187" i="20"/>
  <c r="B186" i="20"/>
  <c r="C186" i="20"/>
  <c r="B185" i="20"/>
  <c r="C185" i="20"/>
  <c r="B184" i="20"/>
  <c r="C184" i="20"/>
  <c r="B183" i="20"/>
  <c r="C183" i="20"/>
  <c r="B182" i="20"/>
  <c r="C182" i="20"/>
  <c r="B181" i="20"/>
  <c r="C181" i="20"/>
  <c r="C180" i="20"/>
  <c r="B180" i="20"/>
  <c r="C179" i="20"/>
  <c r="B179" i="20"/>
  <c r="B178" i="20"/>
  <c r="C178" i="20"/>
  <c r="B177" i="20"/>
  <c r="C177" i="20"/>
  <c r="B176" i="20"/>
  <c r="C176" i="20"/>
  <c r="B175" i="20"/>
  <c r="C175" i="20"/>
  <c r="C174" i="20"/>
  <c r="B174" i="20"/>
  <c r="B173" i="20"/>
  <c r="C173" i="20"/>
  <c r="C172" i="20"/>
  <c r="B172" i="20"/>
  <c r="C171" i="20"/>
  <c r="B171" i="20"/>
  <c r="C170" i="20"/>
  <c r="B170" i="20"/>
  <c r="B169" i="20"/>
  <c r="C169" i="20"/>
  <c r="B168" i="20"/>
  <c r="C168" i="20"/>
  <c r="B167" i="20"/>
  <c r="C167" i="20"/>
  <c r="B166" i="20"/>
  <c r="C166" i="20"/>
  <c r="B165" i="20"/>
  <c r="C165" i="20"/>
  <c r="C163" i="20"/>
  <c r="B163" i="20"/>
  <c r="C162" i="20"/>
  <c r="B162" i="20"/>
  <c r="C161" i="20"/>
  <c r="B161" i="20"/>
  <c r="C160" i="20"/>
  <c r="B160" i="20"/>
  <c r="C159" i="20"/>
  <c r="B159" i="20"/>
  <c r="C158" i="20"/>
  <c r="B158" i="20"/>
  <c r="C157" i="20"/>
  <c r="B157" i="20"/>
  <c r="C156" i="20"/>
  <c r="B156" i="20"/>
  <c r="C155" i="20"/>
  <c r="B155" i="20"/>
  <c r="C154" i="20"/>
  <c r="B154" i="20"/>
  <c r="C153" i="20"/>
  <c r="B153" i="20"/>
  <c r="C152" i="20"/>
  <c r="B152" i="20"/>
  <c r="C151" i="20"/>
  <c r="B151" i="20"/>
  <c r="C150" i="20"/>
  <c r="B150" i="20"/>
  <c r="C149" i="20"/>
  <c r="B149" i="20"/>
  <c r="C148" i="20"/>
  <c r="B148" i="20"/>
  <c r="C147" i="20"/>
  <c r="B147" i="20"/>
  <c r="C146" i="20"/>
  <c r="B146" i="20"/>
  <c r="C145" i="20"/>
  <c r="B145" i="20"/>
  <c r="C144" i="20"/>
  <c r="B144" i="20"/>
  <c r="C143" i="20"/>
  <c r="B143" i="20"/>
  <c r="C142" i="20"/>
  <c r="B142" i="20"/>
  <c r="C141" i="20"/>
  <c r="B141" i="20"/>
  <c r="C140" i="20"/>
  <c r="B140" i="20"/>
  <c r="C139" i="20"/>
  <c r="B139" i="20"/>
  <c r="C138" i="20"/>
  <c r="B138" i="20"/>
  <c r="C137" i="20"/>
  <c r="B137" i="20"/>
  <c r="C136" i="20"/>
  <c r="B136" i="20"/>
  <c r="C135" i="20"/>
  <c r="B135" i="20"/>
  <c r="C134" i="20"/>
  <c r="B134" i="20"/>
  <c r="C133" i="20"/>
  <c r="B133" i="20"/>
  <c r="C132" i="20"/>
  <c r="B132" i="20"/>
  <c r="C131" i="20"/>
  <c r="B131" i="20"/>
  <c r="C130" i="20"/>
  <c r="B130" i="20"/>
  <c r="C129" i="20"/>
  <c r="B129" i="20"/>
  <c r="C128" i="20"/>
  <c r="B128" i="20"/>
  <c r="C127" i="20"/>
  <c r="B127" i="20"/>
  <c r="C126" i="20"/>
  <c r="B126" i="20"/>
  <c r="C125" i="20"/>
  <c r="B125" i="20"/>
  <c r="C124" i="20"/>
  <c r="B124" i="20"/>
  <c r="C123" i="20"/>
  <c r="B123" i="20"/>
  <c r="C122" i="20"/>
  <c r="B122" i="20"/>
  <c r="C121" i="20"/>
  <c r="B121" i="20"/>
  <c r="C120" i="20"/>
  <c r="B120" i="20"/>
  <c r="C119" i="20"/>
  <c r="B119" i="20"/>
  <c r="C118" i="20"/>
  <c r="B118" i="20"/>
  <c r="C117" i="20"/>
  <c r="B117" i="20"/>
  <c r="C116" i="20"/>
  <c r="B116" i="20"/>
  <c r="C115" i="20"/>
  <c r="B115" i="20"/>
  <c r="C114" i="20"/>
  <c r="B114" i="20"/>
  <c r="C113" i="20"/>
  <c r="B113" i="20"/>
  <c r="C112" i="20"/>
  <c r="B112" i="20"/>
  <c r="C111" i="20"/>
  <c r="B111" i="20"/>
  <c r="C110" i="20"/>
  <c r="B110" i="20"/>
  <c r="C109" i="20"/>
  <c r="B109" i="20"/>
  <c r="C108" i="20"/>
  <c r="B108" i="20"/>
  <c r="C107" i="20"/>
  <c r="B107" i="20"/>
  <c r="C106" i="20"/>
  <c r="B106" i="20"/>
  <c r="C105" i="20"/>
  <c r="B105" i="20"/>
  <c r="C104" i="20"/>
  <c r="B104" i="20"/>
  <c r="C103" i="20"/>
  <c r="B103" i="20"/>
  <c r="C102" i="20"/>
  <c r="B102" i="20"/>
  <c r="C101" i="20"/>
  <c r="B101" i="20"/>
  <c r="C100" i="20"/>
  <c r="B100" i="20"/>
  <c r="C99" i="20"/>
  <c r="B99" i="20"/>
  <c r="C98" i="20"/>
  <c r="B98" i="20"/>
  <c r="C97" i="20"/>
  <c r="B97" i="20"/>
  <c r="C96" i="20"/>
  <c r="B96" i="20"/>
  <c r="C95" i="20"/>
  <c r="B95" i="20"/>
  <c r="C94" i="20"/>
  <c r="B94" i="20"/>
  <c r="C93" i="20"/>
  <c r="B93" i="20"/>
  <c r="C92" i="20"/>
  <c r="B92" i="20"/>
  <c r="C91" i="20"/>
  <c r="B91" i="20"/>
  <c r="C90" i="20"/>
  <c r="B90" i="20"/>
  <c r="C89" i="20"/>
  <c r="B89" i="20"/>
  <c r="C88" i="20"/>
  <c r="B88" i="20"/>
  <c r="C87" i="20"/>
  <c r="B87" i="20"/>
  <c r="C86" i="20"/>
  <c r="B86" i="20"/>
  <c r="C85" i="20"/>
  <c r="B85" i="20"/>
  <c r="C84" i="20"/>
  <c r="B84" i="20"/>
  <c r="C83" i="20"/>
  <c r="B83" i="20"/>
  <c r="C82" i="20"/>
  <c r="B82" i="20"/>
  <c r="C81" i="20"/>
  <c r="B81" i="20"/>
  <c r="C80" i="20"/>
  <c r="B80" i="20"/>
  <c r="C79" i="20"/>
  <c r="B79" i="20"/>
  <c r="C78" i="20"/>
  <c r="B78" i="20"/>
  <c r="C77" i="20"/>
  <c r="B77" i="20"/>
  <c r="C76" i="20"/>
  <c r="B76" i="20"/>
  <c r="C75" i="20"/>
  <c r="B75" i="20"/>
  <c r="C74" i="20"/>
  <c r="B74" i="20"/>
  <c r="C73" i="20"/>
  <c r="B73" i="20"/>
  <c r="C72" i="20"/>
  <c r="B72" i="20"/>
  <c r="C71" i="20"/>
  <c r="B71" i="20"/>
  <c r="C70" i="20"/>
  <c r="B70" i="20"/>
  <c r="C69" i="20"/>
  <c r="B69" i="20"/>
  <c r="C68" i="20"/>
  <c r="B68" i="20"/>
  <c r="C67" i="20"/>
  <c r="B67" i="20"/>
  <c r="C66" i="20"/>
  <c r="B66" i="20"/>
  <c r="C65" i="20"/>
  <c r="B65" i="20"/>
  <c r="C64" i="20"/>
  <c r="B64" i="20"/>
  <c r="C63" i="20"/>
  <c r="B63" i="20"/>
  <c r="C62" i="20"/>
  <c r="B62" i="20"/>
  <c r="C61" i="20"/>
  <c r="B61" i="20"/>
  <c r="C60" i="20"/>
  <c r="B60" i="20"/>
  <c r="C59" i="20"/>
  <c r="B59" i="20"/>
  <c r="C58" i="20"/>
  <c r="B58" i="20"/>
  <c r="C57" i="20"/>
  <c r="B57" i="20"/>
  <c r="C56" i="20"/>
  <c r="B56" i="20"/>
  <c r="C55" i="20"/>
  <c r="B55" i="20"/>
  <c r="C54" i="20"/>
  <c r="B54" i="20"/>
  <c r="C53" i="20"/>
  <c r="B53" i="20"/>
  <c r="C52" i="20"/>
  <c r="B52" i="20"/>
  <c r="C51" i="20"/>
  <c r="B51" i="20"/>
  <c r="C50" i="20"/>
  <c r="B50" i="20"/>
  <c r="C49" i="20"/>
  <c r="B49" i="20"/>
  <c r="C48" i="20"/>
  <c r="B48" i="20"/>
  <c r="C47" i="20"/>
  <c r="B47" i="20"/>
  <c r="C46" i="20"/>
  <c r="B46" i="20"/>
  <c r="C45" i="20"/>
  <c r="B45" i="20"/>
  <c r="C44" i="20"/>
  <c r="B44" i="20"/>
  <c r="C43" i="20"/>
  <c r="B43" i="20"/>
  <c r="C42" i="20"/>
  <c r="B42" i="20"/>
  <c r="C41" i="20"/>
  <c r="B41" i="20"/>
  <c r="C40" i="20"/>
  <c r="B40" i="20"/>
  <c r="C39" i="20"/>
  <c r="B39" i="20"/>
  <c r="C38" i="20"/>
  <c r="B38" i="20"/>
  <c r="C37" i="20"/>
  <c r="B37" i="20"/>
  <c r="C36" i="20"/>
  <c r="B36" i="20"/>
  <c r="C35" i="20"/>
  <c r="B35" i="20"/>
  <c r="C34" i="20"/>
  <c r="B34" i="20"/>
  <c r="C33" i="20"/>
  <c r="B33" i="20"/>
  <c r="C32" i="20"/>
  <c r="B32" i="20"/>
  <c r="C31" i="20"/>
  <c r="B31" i="20"/>
  <c r="C30" i="20"/>
  <c r="B30" i="20"/>
  <c r="C29" i="20"/>
  <c r="B29" i="20"/>
  <c r="C28" i="20"/>
  <c r="B28" i="20"/>
  <c r="C27" i="20"/>
  <c r="B27" i="20"/>
  <c r="C26" i="20"/>
  <c r="B26" i="20"/>
  <c r="C25" i="20"/>
  <c r="B25" i="20"/>
  <c r="C24" i="20"/>
  <c r="B24" i="20"/>
  <c r="C23" i="20"/>
  <c r="B23" i="20"/>
  <c r="C22" i="20"/>
  <c r="B22" i="20"/>
  <c r="C21" i="20"/>
  <c r="B21" i="20"/>
  <c r="C20" i="20"/>
  <c r="B20" i="20"/>
  <c r="C19" i="20"/>
  <c r="B19" i="20"/>
  <c r="C18" i="20"/>
  <c r="B18" i="20"/>
  <c r="C17" i="20"/>
  <c r="B17" i="20"/>
  <c r="C16" i="20"/>
  <c r="B16" i="20"/>
  <c r="C15" i="20"/>
  <c r="B15" i="20"/>
  <c r="C14" i="20"/>
  <c r="B14" i="20"/>
  <c r="C13" i="20"/>
  <c r="B13" i="20"/>
  <c r="C12" i="20"/>
  <c r="B12" i="20"/>
  <c r="C11" i="20"/>
  <c r="B11" i="20"/>
  <c r="C10" i="20"/>
  <c r="B10" i="20"/>
  <c r="C9" i="20"/>
  <c r="B9" i="20"/>
  <c r="C8" i="20"/>
  <c r="B8" i="20"/>
  <c r="C7" i="20"/>
  <c r="B7" i="20"/>
  <c r="C6" i="20"/>
  <c r="B6" i="20"/>
  <c r="C5" i="20"/>
  <c r="B5" i="20"/>
  <c r="C4" i="20"/>
  <c r="B4" i="20"/>
  <c r="C3" i="20"/>
  <c r="B3" i="20"/>
  <c r="C2" i="20"/>
  <c r="B2" i="2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1F2898-B14B-4C36-BF4D-912B29160A58}" keepAlive="1" name="Sorgu - qMissingValues" description="Çalışma kitabındaki 'qMissingValues' sorgusuna yönelik bağlantı." type="5" refreshedVersion="8" background="1" saveData="1">
    <dbPr connection="Provider=Microsoft.Mashup.OleDb.1;Data Source=$Workbook$;Location=qMissingValues;Extended Properties=&quot;&quot;" command="SELECT * FROM [qMissingValues]"/>
  </connection>
  <connection id="2" xr16:uid="{3139051D-8D66-4F3F-9796-8D73DAD27B5D}" keepAlive="1" name="Sorgu - qRawSource" description="Çalışma kitabındaki 'qRawSource' sorgusuna yönelik bağlantı." type="5" refreshedVersion="0" background="1">
    <dbPr connection="Provider=Microsoft.Mashup.OleDb.1;Data Source=$Workbook$;Location=qRawSource;Extended Properties=&quot;&quot;" command="SELECT * FROM [qRawSource]"/>
  </connection>
  <connection id="3" xr16:uid="{0EF5CB13-8F42-4076-B523-1E2029B836BB}" keepAlive="1" name="Sorgu - qSourceCheck" description="Çalışma kitabındaki 'qSourceCheck' sorgusuna yönelik bağlantı." type="5" refreshedVersion="8" background="1" saveData="1">
    <dbPr connection="Provider=Microsoft.Mashup.OleDb.1;Data Source=$Workbook$;Location=qSourceCheck;Extended Properties=&quot;&quot;" command="SELECT * FROM [qSourceCheck]"/>
  </connection>
  <connection id="4" xr16:uid="{3CF5CBE8-AE46-41F3-A97C-2A7623ADE4AC}" keepAlive="1" name="Sorgu - qTypedSource" description="Çalışma kitabındaki 'qTypedSource' sorgusuna yönelik bağlantı." type="5" refreshedVersion="0" background="1">
    <dbPr connection="Provider=Microsoft.Mashup.OleDb.1;Data Source=$Workbook$;Location=qTypedSource;Extended Properties=&quot;&quot;" command="SELECT * FROM [qTypedSource]"/>
  </connection>
</connections>
</file>

<file path=xl/sharedStrings.xml><?xml version="1.0" encoding="utf-8"?>
<sst xmlns="http://schemas.openxmlformats.org/spreadsheetml/2006/main" count="26443" uniqueCount="13405">
  <si>
    <t>RETAIL DATA RESCUE</t>
  </si>
  <si>
    <t>Merchandise reporting | GBP | independent portfolio by Hakan</t>
  </si>
  <si>
    <t>Country</t>
  </si>
  <si>
    <t>Start month</t>
  </si>
  <si>
    <t>End month</t>
  </si>
  <si>
    <t>All</t>
  </si>
  <si>
    <t>2010-12</t>
  </si>
  <si>
    <t>2011-12</t>
  </si>
  <si>
    <t>Filters affect cards and monthly trend. Country/product rankings show full source.</t>
  </si>
  <si>
    <t>REPORTABLE SALES (GBP)</t>
  </si>
  <si>
    <t>MERCHANDISE CANCELLATIONS</t>
  </si>
  <si>
    <t>MERCHANDISE BALANCE (GBP)</t>
  </si>
  <si>
    <t>ELIGIBLE SALES INVOICES</t>
  </si>
  <si>
    <t>KNOWN CUSTOMER ROW COVERAGE</t>
  </si>
  <si>
    <t>ROWS WITH REVIEW FLAGS</t>
  </si>
  <si>
    <t>Observed edge windows: Dec 2010 = 01–23 Dec; Dec 2011 = 01–09 Dec. No full-year growth claim.</t>
  </si>
  <si>
    <t>Source parameter — change to your local full file path</t>
  </si>
  <si>
    <t>SourcePath</t>
  </si>
  <si>
    <t>ValidateBaseline</t>
  </si>
  <si>
    <t>C:\RetailDataRescue\raw\Online Retail.xlsx</t>
  </si>
  <si>
    <t>Baseline TRUE = published UCI source; FALSE = labelled append test/new source.</t>
  </si>
  <si>
    <t>Power Query source files are external .pq files; this workbook has no embedded queries yet.</t>
  </si>
  <si>
    <t>See docs/KURULUM_YENILEME_TR.md for precise installation and table destinations.</t>
  </si>
  <si>
    <t>Four-decimal fixed-scale arithmetic; reconciliation tolerance GBP 0.0001.</t>
  </si>
  <si>
    <t>Metric</t>
  </si>
  <si>
    <t>Value</t>
  </si>
  <si>
    <t>SourceRows</t>
  </si>
  <si>
    <t>RawInvoiceIDs</t>
  </si>
  <si>
    <t>RawSignedAmountGBP</t>
  </si>
  <si>
    <t>ReportableSalesGBP</t>
  </si>
  <si>
    <t>MerchandiseCancellationGBP</t>
  </si>
  <si>
    <t>MerchandiseBalanceGBP</t>
  </si>
  <si>
    <t>EligibleSalesInvoiceIDs</t>
  </si>
  <si>
    <t>SalesRows</t>
  </si>
  <si>
    <t>KnownCustomerSalesRows</t>
  </si>
  <si>
    <t>KnownCustomerRowCoverage</t>
  </si>
  <si>
    <t>KnownCustomerAmountCoverage</t>
  </si>
  <si>
    <t>KnownCustomerIDs</t>
  </si>
  <si>
    <t>ReviewRows</t>
  </si>
  <si>
    <t>ReviewSignedAmountGBP</t>
  </si>
  <si>
    <t>DuplicateExtraRows</t>
  </si>
  <si>
    <t>DuplicateExtraSignedAmountGBP</t>
  </si>
  <si>
    <t>Month</t>
  </si>
  <si>
    <t>SalesInvoiceIDs</t>
  </si>
  <si>
    <t>SalesGBP</t>
  </si>
  <si>
    <t>CancellationGBP</t>
  </si>
  <si>
    <t>BalanceGBP</t>
  </si>
  <si>
    <t>FirstObservedDate</t>
  </si>
  <si>
    <t>LastObservedDate</t>
  </si>
  <si>
    <t>PeriodNote</t>
  </si>
  <si>
    <t>2010-12-01</t>
  </si>
  <si>
    <t>2010-12-23</t>
  </si>
  <si>
    <t>Edge month: observed transaction window only</t>
  </si>
  <si>
    <t>2011-01</t>
  </si>
  <si>
    <t>2011-01-04</t>
  </si>
  <si>
    <t>2011-01-31</t>
  </si>
  <si>
    <t>Observed month; no completeness certification</t>
  </si>
  <si>
    <t>2011-02</t>
  </si>
  <si>
    <t>2011-02-01</t>
  </si>
  <si>
    <t>2011-02-28</t>
  </si>
  <si>
    <t>2011-03</t>
  </si>
  <si>
    <t>2011-03-01</t>
  </si>
  <si>
    <t>2011-03-31</t>
  </si>
  <si>
    <t>2011-04</t>
  </si>
  <si>
    <t>2011-04-01</t>
  </si>
  <si>
    <t>2011-04-28</t>
  </si>
  <si>
    <t>2011-05</t>
  </si>
  <si>
    <t>2011-05-01</t>
  </si>
  <si>
    <t>2011-05-31</t>
  </si>
  <si>
    <t>2011-06</t>
  </si>
  <si>
    <t>2011-06-01</t>
  </si>
  <si>
    <t>2011-06-30</t>
  </si>
  <si>
    <t>2011-07</t>
  </si>
  <si>
    <t>2011-07-01</t>
  </si>
  <si>
    <t>2011-07-31</t>
  </si>
  <si>
    <t>2011-08</t>
  </si>
  <si>
    <t>2011-08-01</t>
  </si>
  <si>
    <t>2011-08-31</t>
  </si>
  <si>
    <t>2011-09</t>
  </si>
  <si>
    <t>2011-09-01</t>
  </si>
  <si>
    <t>2011-09-30</t>
  </si>
  <si>
    <t>2011-10</t>
  </si>
  <si>
    <t>2011-10-02</t>
  </si>
  <si>
    <t>2011-10-31</t>
  </si>
  <si>
    <t>2011-11</t>
  </si>
  <si>
    <t>2011-11-01</t>
  </si>
  <si>
    <t>2011-11-30</t>
  </si>
  <si>
    <t>2011-12-01</t>
  </si>
  <si>
    <t>2011-12-09</t>
  </si>
  <si>
    <t>United Kingdom</t>
  </si>
  <si>
    <t>Netherlands</t>
  </si>
  <si>
    <t>EIRE</t>
  </si>
  <si>
    <t>Germany</t>
  </si>
  <si>
    <t>France</t>
  </si>
  <si>
    <t>Australia</t>
  </si>
  <si>
    <t>Spain</t>
  </si>
  <si>
    <t>Switzerland</t>
  </si>
  <si>
    <t>Japan</t>
  </si>
  <si>
    <t>Belgium</t>
  </si>
  <si>
    <t>Sweden</t>
  </si>
  <si>
    <t>Norway</t>
  </si>
  <si>
    <t>Portugal</t>
  </si>
  <si>
    <t>Channel Islands</t>
  </si>
  <si>
    <t>Finland</t>
  </si>
  <si>
    <t>Denmark</t>
  </si>
  <si>
    <t>Italy</t>
  </si>
  <si>
    <t>Cyprus</t>
  </si>
  <si>
    <t>Hong Kong</t>
  </si>
  <si>
    <t>Singapore</t>
  </si>
  <si>
    <t>Austria</t>
  </si>
  <si>
    <t>Israel</t>
  </si>
  <si>
    <t>Poland</t>
  </si>
  <si>
    <t>Unspecified</t>
  </si>
  <si>
    <t>Greece</t>
  </si>
  <si>
    <t>Iceland</t>
  </si>
  <si>
    <t>USA</t>
  </si>
  <si>
    <t>Canada</t>
  </si>
  <si>
    <t>Malta</t>
  </si>
  <si>
    <t>United Arab Emirates</t>
  </si>
  <si>
    <t>Lebanon</t>
  </si>
  <si>
    <t>Lithuania</t>
  </si>
  <si>
    <t>European Community</t>
  </si>
  <si>
    <t>Brazil</t>
  </si>
  <si>
    <t>RSA</t>
  </si>
  <si>
    <t>Czech Republic</t>
  </si>
  <si>
    <t>Bahrain</t>
  </si>
  <si>
    <t>Saudi Arabia</t>
  </si>
  <si>
    <t>StockCode</t>
  </si>
  <si>
    <t>22423</t>
  </si>
  <si>
    <t>23843</t>
  </si>
  <si>
    <t>85123A</t>
  </si>
  <si>
    <t>47566</t>
  </si>
  <si>
    <t>85099B</t>
  </si>
  <si>
    <t>23166</t>
  </si>
  <si>
    <t>23084</t>
  </si>
  <si>
    <t>22086</t>
  </si>
  <si>
    <t>84879</t>
  </si>
  <si>
    <t>79321</t>
  </si>
  <si>
    <t>22502</t>
  </si>
  <si>
    <t>22197</t>
  </si>
  <si>
    <t>23298</t>
  </si>
  <si>
    <t>22386</t>
  </si>
  <si>
    <t>23203</t>
  </si>
  <si>
    <t>21137</t>
  </si>
  <si>
    <t>23284</t>
  </si>
  <si>
    <t>22720</t>
  </si>
  <si>
    <t>22960</t>
  </si>
  <si>
    <t>20725</t>
  </si>
  <si>
    <t>82484</t>
  </si>
  <si>
    <t>22178</t>
  </si>
  <si>
    <t>22114</t>
  </si>
  <si>
    <t>22910</t>
  </si>
  <si>
    <t>22112</t>
  </si>
  <si>
    <t>85099F</t>
  </si>
  <si>
    <t>22469</t>
  </si>
  <si>
    <t>23245</t>
  </si>
  <si>
    <t>21931</t>
  </si>
  <si>
    <t>22727</t>
  </si>
  <si>
    <t>23199</t>
  </si>
  <si>
    <t>22470</t>
  </si>
  <si>
    <t>22355</t>
  </si>
  <si>
    <t>22699</t>
  </si>
  <si>
    <t>23355</t>
  </si>
  <si>
    <t>22411</t>
  </si>
  <si>
    <t>22457</t>
  </si>
  <si>
    <t>85099C</t>
  </si>
  <si>
    <t>20685</t>
  </si>
  <si>
    <t>23201</t>
  </si>
  <si>
    <t>22726</t>
  </si>
  <si>
    <t>21175</t>
  </si>
  <si>
    <t>84347</t>
  </si>
  <si>
    <t>21915</t>
  </si>
  <si>
    <t>22666</t>
  </si>
  <si>
    <t>84946</t>
  </si>
  <si>
    <t>22629</t>
  </si>
  <si>
    <t>22961</t>
  </si>
  <si>
    <t>48138</t>
  </si>
  <si>
    <t>21181</t>
  </si>
  <si>
    <t>23173</t>
  </si>
  <si>
    <t>21621</t>
  </si>
  <si>
    <t>22111</t>
  </si>
  <si>
    <t>22722</t>
  </si>
  <si>
    <t>22326</t>
  </si>
  <si>
    <t>48187</t>
  </si>
  <si>
    <t>22138</t>
  </si>
  <si>
    <t>21731</t>
  </si>
  <si>
    <t>48185</t>
  </si>
  <si>
    <t>23344</t>
  </si>
  <si>
    <t>23243</t>
  </si>
  <si>
    <t>22189</t>
  </si>
  <si>
    <t>21733</t>
  </si>
  <si>
    <t>21929</t>
  </si>
  <si>
    <t>82482</t>
  </si>
  <si>
    <t>20713</t>
  </si>
  <si>
    <t>21623</t>
  </si>
  <si>
    <t>22139</t>
  </si>
  <si>
    <t>22697</t>
  </si>
  <si>
    <t>22090</t>
  </si>
  <si>
    <t>85066</t>
  </si>
  <si>
    <t>22383</t>
  </si>
  <si>
    <t>20727</t>
  </si>
  <si>
    <t>15056N</t>
  </si>
  <si>
    <t>84029E</t>
  </si>
  <si>
    <t>48194</t>
  </si>
  <si>
    <t>20712</t>
  </si>
  <si>
    <t>23202</t>
  </si>
  <si>
    <t>20724</t>
  </si>
  <si>
    <t>20728</t>
  </si>
  <si>
    <t>22630</t>
  </si>
  <si>
    <t>21523</t>
  </si>
  <si>
    <t>23209</t>
  </si>
  <si>
    <t>21843</t>
  </si>
  <si>
    <t>21212</t>
  </si>
  <si>
    <t>21928</t>
  </si>
  <si>
    <t>21166</t>
  </si>
  <si>
    <t>23206</t>
  </si>
  <si>
    <t>22659</t>
  </si>
  <si>
    <t>22728</t>
  </si>
  <si>
    <t>71477</t>
  </si>
  <si>
    <t>21479</t>
  </si>
  <si>
    <t>84997D</t>
  </si>
  <si>
    <t>82494L</t>
  </si>
  <si>
    <t>22501</t>
  </si>
  <si>
    <t>22328</t>
  </si>
  <si>
    <t>22467</t>
  </si>
  <si>
    <t>22969</t>
  </si>
  <si>
    <t>15036</t>
  </si>
  <si>
    <t>82486</t>
  </si>
  <si>
    <t>20914</t>
  </si>
  <si>
    <t>20726</t>
  </si>
  <si>
    <t>22382</t>
  </si>
  <si>
    <t>21108</t>
  </si>
  <si>
    <t>22835</t>
  </si>
  <si>
    <t>22693</t>
  </si>
  <si>
    <t>22865</t>
  </si>
  <si>
    <t>21485</t>
  </si>
  <si>
    <t>22698</t>
  </si>
  <si>
    <t>22384</t>
  </si>
  <si>
    <t>22077</t>
  </si>
  <si>
    <t>22385</t>
  </si>
  <si>
    <t>21754</t>
  </si>
  <si>
    <t>82583</t>
  </si>
  <si>
    <t>23240</t>
  </si>
  <si>
    <t>22492</t>
  </si>
  <si>
    <t>20719</t>
  </si>
  <si>
    <t>22624</t>
  </si>
  <si>
    <t>22993</t>
  </si>
  <si>
    <t>84978</t>
  </si>
  <si>
    <t>84078A</t>
  </si>
  <si>
    <t>23301</t>
  </si>
  <si>
    <t>21232</t>
  </si>
  <si>
    <t>84029G</t>
  </si>
  <si>
    <t>84997B</t>
  </si>
  <si>
    <t>85152</t>
  </si>
  <si>
    <t>23313</t>
  </si>
  <si>
    <t>15056BL</t>
  </si>
  <si>
    <t>22379</t>
  </si>
  <si>
    <t>82483</t>
  </si>
  <si>
    <t>22084</t>
  </si>
  <si>
    <t>22900</t>
  </si>
  <si>
    <t>84997C</t>
  </si>
  <si>
    <t>22752</t>
  </si>
  <si>
    <t>22866</t>
  </si>
  <si>
    <t>22847</t>
  </si>
  <si>
    <t>48184</t>
  </si>
  <si>
    <t>23200</t>
  </si>
  <si>
    <t>22507</t>
  </si>
  <si>
    <t>22083</t>
  </si>
  <si>
    <t>22625</t>
  </si>
  <si>
    <t>22867</t>
  </si>
  <si>
    <t>21930</t>
  </si>
  <si>
    <t>23343</t>
  </si>
  <si>
    <t>22622</t>
  </si>
  <si>
    <t>84077</t>
  </si>
  <si>
    <t>20971</t>
  </si>
  <si>
    <t>22941</t>
  </si>
  <si>
    <t>22171</t>
  </si>
  <si>
    <t>23077</t>
  </si>
  <si>
    <t>22551</t>
  </si>
  <si>
    <t>21524</t>
  </si>
  <si>
    <t>23356</t>
  </si>
  <si>
    <t>23207</t>
  </si>
  <si>
    <t>22558</t>
  </si>
  <si>
    <t>22554</t>
  </si>
  <si>
    <t>23108</t>
  </si>
  <si>
    <t>23328</t>
  </si>
  <si>
    <t>22776</t>
  </si>
  <si>
    <t>82600</t>
  </si>
  <si>
    <t>22113</t>
  </si>
  <si>
    <t>22499</t>
  </si>
  <si>
    <t>22427</t>
  </si>
  <si>
    <t>20750</t>
  </si>
  <si>
    <t>20749</t>
  </si>
  <si>
    <t>21755</t>
  </si>
  <si>
    <t>22607</t>
  </si>
  <si>
    <t>20723</t>
  </si>
  <si>
    <t>21790</t>
  </si>
  <si>
    <t>22188</t>
  </si>
  <si>
    <t>22568</t>
  </si>
  <si>
    <t>22424</t>
  </si>
  <si>
    <t>22149</t>
  </si>
  <si>
    <t>23174</t>
  </si>
  <si>
    <t>21977</t>
  </si>
  <si>
    <t>48188</t>
  </si>
  <si>
    <t>47590B</t>
  </si>
  <si>
    <t>22273</t>
  </si>
  <si>
    <t>22191</t>
  </si>
  <si>
    <t>22158</t>
  </si>
  <si>
    <t>21430</t>
  </si>
  <si>
    <t>22087</t>
  </si>
  <si>
    <t>22193</t>
  </si>
  <si>
    <t>23300</t>
  </si>
  <si>
    <t>21936</t>
  </si>
  <si>
    <t>23581</t>
  </si>
  <si>
    <t>22692</t>
  </si>
  <si>
    <t>21217</t>
  </si>
  <si>
    <t>22730</t>
  </si>
  <si>
    <t>21481</t>
  </si>
  <si>
    <t>22356</t>
  </si>
  <si>
    <t>21216</t>
  </si>
  <si>
    <t>22041</t>
  </si>
  <si>
    <t>21340</t>
  </si>
  <si>
    <t>21080</t>
  </si>
  <si>
    <t>47566B</t>
  </si>
  <si>
    <t>22605</t>
  </si>
  <si>
    <t>22570</t>
  </si>
  <si>
    <t>23170</t>
  </si>
  <si>
    <t>22413</t>
  </si>
  <si>
    <t>22662</t>
  </si>
  <si>
    <t>20711</t>
  </si>
  <si>
    <t>85014B</t>
  </si>
  <si>
    <t>22988</t>
  </si>
  <si>
    <t>85048</t>
  </si>
  <si>
    <t>71459</t>
  </si>
  <si>
    <t>22617</t>
  </si>
  <si>
    <t>22846</t>
  </si>
  <si>
    <t>22734</t>
  </si>
  <si>
    <t>21791</t>
  </si>
  <si>
    <t>21891</t>
  </si>
  <si>
    <t>84755</t>
  </si>
  <si>
    <t>47590A</t>
  </si>
  <si>
    <t>23208</t>
  </si>
  <si>
    <t>22992</t>
  </si>
  <si>
    <t>22169</t>
  </si>
  <si>
    <t>21914</t>
  </si>
  <si>
    <t>84947</t>
  </si>
  <si>
    <t>23582</t>
  </si>
  <si>
    <t>22970</t>
  </si>
  <si>
    <t>22569</t>
  </si>
  <si>
    <t>21218</t>
  </si>
  <si>
    <t>22556</t>
  </si>
  <si>
    <t>22633</t>
  </si>
  <si>
    <t>22621</t>
  </si>
  <si>
    <t>23171</t>
  </si>
  <si>
    <t>48173C</t>
  </si>
  <si>
    <t>20679</t>
  </si>
  <si>
    <t>23076</t>
  </si>
  <si>
    <t>22791</t>
  </si>
  <si>
    <t>22690</t>
  </si>
  <si>
    <t>84997A</t>
  </si>
  <si>
    <t>22619</t>
  </si>
  <si>
    <t>22654</t>
  </si>
  <si>
    <t>22555</t>
  </si>
  <si>
    <t>22766</t>
  </si>
  <si>
    <t>21314</t>
  </si>
  <si>
    <t>22838</t>
  </si>
  <si>
    <t>22561</t>
  </si>
  <si>
    <t>21559</t>
  </si>
  <si>
    <t>22844</t>
  </si>
  <si>
    <t>22144</t>
  </si>
  <si>
    <t>22560</t>
  </si>
  <si>
    <t>23175</t>
  </si>
  <si>
    <t>22978</t>
  </si>
  <si>
    <t>22456</t>
  </si>
  <si>
    <t>35970</t>
  </si>
  <si>
    <t>22952</t>
  </si>
  <si>
    <t>21174</t>
  </si>
  <si>
    <t>84375</t>
  </si>
  <si>
    <t>85150</t>
  </si>
  <si>
    <t>21155</t>
  </si>
  <si>
    <t>23319</t>
  </si>
  <si>
    <t>22749</t>
  </si>
  <si>
    <t>22966</t>
  </si>
  <si>
    <t>84991</t>
  </si>
  <si>
    <t>23318</t>
  </si>
  <si>
    <t>20972</t>
  </si>
  <si>
    <t>23080</t>
  </si>
  <si>
    <t>48116</t>
  </si>
  <si>
    <t>22729</t>
  </si>
  <si>
    <t>22771</t>
  </si>
  <si>
    <t>22759</t>
  </si>
  <si>
    <t>22989</t>
  </si>
  <si>
    <t>22632</t>
  </si>
  <si>
    <t>23439</t>
  </si>
  <si>
    <t>23322</t>
  </si>
  <si>
    <t>82582</t>
  </si>
  <si>
    <t>21889</t>
  </si>
  <si>
    <t>84945</t>
  </si>
  <si>
    <t>22947</t>
  </si>
  <si>
    <t>23256</t>
  </si>
  <si>
    <t>22147</t>
  </si>
  <si>
    <t>22652</t>
  </si>
  <si>
    <t>23534</t>
  </si>
  <si>
    <t>22795</t>
  </si>
  <si>
    <t>23082</t>
  </si>
  <si>
    <t>23078</t>
  </si>
  <si>
    <t>21035</t>
  </si>
  <si>
    <t>84378</t>
  </si>
  <si>
    <t>21484</t>
  </si>
  <si>
    <t>23493</t>
  </si>
  <si>
    <t>23321</t>
  </si>
  <si>
    <t>23535</t>
  </si>
  <si>
    <t>71053</t>
  </si>
  <si>
    <t>21213</t>
  </si>
  <si>
    <t>21210</t>
  </si>
  <si>
    <t>22768</t>
  </si>
  <si>
    <t>72741</t>
  </si>
  <si>
    <t>22192</t>
  </si>
  <si>
    <t>22725</t>
  </si>
  <si>
    <t>84380</t>
  </si>
  <si>
    <t>22804</t>
  </si>
  <si>
    <t>22655</t>
  </si>
  <si>
    <t>22667</t>
  </si>
  <si>
    <t>22909</t>
  </si>
  <si>
    <t>21121</t>
  </si>
  <si>
    <t>22616</t>
  </si>
  <si>
    <t>22940</t>
  </si>
  <si>
    <t>21770</t>
  </si>
  <si>
    <t>22487</t>
  </si>
  <si>
    <t>22352</t>
  </si>
  <si>
    <t>22968</t>
  </si>
  <si>
    <t>21136</t>
  </si>
  <si>
    <t>23238</t>
  </si>
  <si>
    <t>22557</t>
  </si>
  <si>
    <t>22173</t>
  </si>
  <si>
    <t>23007</t>
  </si>
  <si>
    <t>21908</t>
  </si>
  <si>
    <t>23204</t>
  </si>
  <si>
    <t>48111</t>
  </si>
  <si>
    <t>21258</t>
  </si>
  <si>
    <t>84970S</t>
  </si>
  <si>
    <t>84406B</t>
  </si>
  <si>
    <t>84949</t>
  </si>
  <si>
    <t>21231</t>
  </si>
  <si>
    <t>22991</t>
  </si>
  <si>
    <t>21955</t>
  </si>
  <si>
    <t>22750</t>
  </si>
  <si>
    <t>22585</t>
  </si>
  <si>
    <t>22627</t>
  </si>
  <si>
    <t>21668</t>
  </si>
  <si>
    <t>22367</t>
  </si>
  <si>
    <t>22381</t>
  </si>
  <si>
    <t>84836</t>
  </si>
  <si>
    <t>22741</t>
  </si>
  <si>
    <t>23382</t>
  </si>
  <si>
    <t>21169</t>
  </si>
  <si>
    <t>23083</t>
  </si>
  <si>
    <t>20969</t>
  </si>
  <si>
    <t>22179</t>
  </si>
  <si>
    <t>22631</t>
  </si>
  <si>
    <t>22634</t>
  </si>
  <si>
    <t>22485</t>
  </si>
  <si>
    <t>22553</t>
  </si>
  <si>
    <t>22767</t>
  </si>
  <si>
    <t>21787</t>
  </si>
  <si>
    <t>22834</t>
  </si>
  <si>
    <t>21669</t>
  </si>
  <si>
    <t>22950</t>
  </si>
  <si>
    <t>22637</t>
  </si>
  <si>
    <t>21259</t>
  </si>
  <si>
    <t>23236</t>
  </si>
  <si>
    <t>22505</t>
  </si>
  <si>
    <t>23320</t>
  </si>
  <si>
    <t>21912</t>
  </si>
  <si>
    <t>22663</t>
  </si>
  <si>
    <t>22333</t>
  </si>
  <si>
    <t>22946</t>
  </si>
  <si>
    <t>23215</t>
  </si>
  <si>
    <t>23543</t>
  </si>
  <si>
    <t>22839</t>
  </si>
  <si>
    <t>23283</t>
  </si>
  <si>
    <t>23293</t>
  </si>
  <si>
    <t>22170</t>
  </si>
  <si>
    <t>21922</t>
  </si>
  <si>
    <t>21877</t>
  </si>
  <si>
    <t>21165</t>
  </si>
  <si>
    <t>21094</t>
  </si>
  <si>
    <t>23254</t>
  </si>
  <si>
    <t>22109</t>
  </si>
  <si>
    <t>22840</t>
  </si>
  <si>
    <t>21257</t>
  </si>
  <si>
    <t>22294</t>
  </si>
  <si>
    <t>21326</t>
  </si>
  <si>
    <t>23109</t>
  </si>
  <si>
    <t>22580</t>
  </si>
  <si>
    <t>23103</t>
  </si>
  <si>
    <t>75049L</t>
  </si>
  <si>
    <t>23541</t>
  </si>
  <si>
    <t>21672</t>
  </si>
  <si>
    <t>23297</t>
  </si>
  <si>
    <t>22620</t>
  </si>
  <si>
    <t>22943</t>
  </si>
  <si>
    <t>23008</t>
  </si>
  <si>
    <t>23229</t>
  </si>
  <si>
    <t>23480</t>
  </si>
  <si>
    <t>23247</t>
  </si>
  <si>
    <t>22668</t>
  </si>
  <si>
    <t>21533</t>
  </si>
  <si>
    <t>85014A</t>
  </si>
  <si>
    <t>21871</t>
  </si>
  <si>
    <t>84988</t>
  </si>
  <si>
    <t>23169</t>
  </si>
  <si>
    <t>21888</t>
  </si>
  <si>
    <t>20718</t>
  </si>
  <si>
    <t>84992</t>
  </si>
  <si>
    <t>22508</t>
  </si>
  <si>
    <t>21122</t>
  </si>
  <si>
    <t>23311</t>
  </si>
  <si>
    <t>22141</t>
  </si>
  <si>
    <t>23553</t>
  </si>
  <si>
    <t>84030E</t>
  </si>
  <si>
    <t>23188</t>
  </si>
  <si>
    <t>20676</t>
  </si>
  <si>
    <t>23571</t>
  </si>
  <si>
    <t>23134</t>
  </si>
  <si>
    <t>22635</t>
  </si>
  <si>
    <t>84970L</t>
  </si>
  <si>
    <t>22784</t>
  </si>
  <si>
    <t>22979</t>
  </si>
  <si>
    <t>23307</t>
  </si>
  <si>
    <t>23172</t>
  </si>
  <si>
    <t>22303</t>
  </si>
  <si>
    <t>22895</t>
  </si>
  <si>
    <t>22151</t>
  </si>
  <si>
    <t>21154</t>
  </si>
  <si>
    <t>21380</t>
  </si>
  <si>
    <t>21935</t>
  </si>
  <si>
    <t>22826</t>
  </si>
  <si>
    <t>23192</t>
  </si>
  <si>
    <t>21670</t>
  </si>
  <si>
    <t>21975</t>
  </si>
  <si>
    <t>23118</t>
  </si>
  <si>
    <t>21156</t>
  </si>
  <si>
    <t>21671</t>
  </si>
  <si>
    <t>21673</t>
  </si>
  <si>
    <t>47591D</t>
  </si>
  <si>
    <t>47556B</t>
  </si>
  <si>
    <t>17003</t>
  </si>
  <si>
    <t>22366</t>
  </si>
  <si>
    <t>23526</t>
  </si>
  <si>
    <t>22174</t>
  </si>
  <si>
    <t>21535</t>
  </si>
  <si>
    <t>48129</t>
  </si>
  <si>
    <t>23296</t>
  </si>
  <si>
    <t>23312</t>
  </si>
  <si>
    <t>22783</t>
  </si>
  <si>
    <t>22584</t>
  </si>
  <si>
    <t>23052</t>
  </si>
  <si>
    <t>22150</t>
  </si>
  <si>
    <t>23154</t>
  </si>
  <si>
    <t>23113</t>
  </si>
  <si>
    <t>22971</t>
  </si>
  <si>
    <t>23485</t>
  </si>
  <si>
    <t>22207</t>
  </si>
  <si>
    <t>22751</t>
  </si>
  <si>
    <t>22796</t>
  </si>
  <si>
    <t>22779</t>
  </si>
  <si>
    <t>22740</t>
  </si>
  <si>
    <t>22365</t>
  </si>
  <si>
    <t>82001S</t>
  </si>
  <si>
    <t>22595</t>
  </si>
  <si>
    <t>23205</t>
  </si>
  <si>
    <t>62018</t>
  </si>
  <si>
    <t>21242</t>
  </si>
  <si>
    <t>22646</t>
  </si>
  <si>
    <t>22907</t>
  </si>
  <si>
    <t>22837</t>
  </si>
  <si>
    <t>22088</t>
  </si>
  <si>
    <t>22466</t>
  </si>
  <si>
    <t>22418</t>
  </si>
  <si>
    <t>22488</t>
  </si>
  <si>
    <t>21558</t>
  </si>
  <si>
    <t>22798</t>
  </si>
  <si>
    <t>23531</t>
  </si>
  <si>
    <t>23126</t>
  </si>
  <si>
    <t>22429</t>
  </si>
  <si>
    <t>23177</t>
  </si>
  <si>
    <t>23133</t>
  </si>
  <si>
    <t>22464</t>
  </si>
  <si>
    <t>23158</t>
  </si>
  <si>
    <t>23583</t>
  </si>
  <si>
    <t>22964</t>
  </si>
  <si>
    <t>22904</t>
  </si>
  <si>
    <t>22297</t>
  </si>
  <si>
    <t>23135</t>
  </si>
  <si>
    <t>22827</t>
  </si>
  <si>
    <t>22845</t>
  </si>
  <si>
    <t>22349</t>
  </si>
  <si>
    <t>23494</t>
  </si>
  <si>
    <t>21172</t>
  </si>
  <si>
    <t>22998</t>
  </si>
  <si>
    <t>22120</t>
  </si>
  <si>
    <t>22296</t>
  </si>
  <si>
    <t>22623</t>
  </si>
  <si>
    <t>22848</t>
  </si>
  <si>
    <t>23132</t>
  </si>
  <si>
    <t>22772</t>
  </si>
  <si>
    <t>22781</t>
  </si>
  <si>
    <t>22665</t>
  </si>
  <si>
    <t>23263</t>
  </si>
  <si>
    <t>22689</t>
  </si>
  <si>
    <t>22898</t>
  </si>
  <si>
    <t>21844</t>
  </si>
  <si>
    <t>23157</t>
  </si>
  <si>
    <t>21428</t>
  </si>
  <si>
    <t>21164</t>
  </si>
  <si>
    <t>23165</t>
  </si>
  <si>
    <t>23162</t>
  </si>
  <si>
    <t>22302</t>
  </si>
  <si>
    <t>37449</t>
  </si>
  <si>
    <t>23397</t>
  </si>
  <si>
    <t>21098</t>
  </si>
  <si>
    <t>22371</t>
  </si>
  <si>
    <t>21756</t>
  </si>
  <si>
    <t>23234</t>
  </si>
  <si>
    <t>23295</t>
  </si>
  <si>
    <t>23198</t>
  </si>
  <si>
    <t>22849</t>
  </si>
  <si>
    <t>22780</t>
  </si>
  <si>
    <t>23314</t>
  </si>
  <si>
    <t>22301</t>
  </si>
  <si>
    <t>21907</t>
  </si>
  <si>
    <t>22957</t>
  </si>
  <si>
    <t>22271</t>
  </si>
  <si>
    <t>22636</t>
  </si>
  <si>
    <t>21932</t>
  </si>
  <si>
    <t>23310</t>
  </si>
  <si>
    <t>23556</t>
  </si>
  <si>
    <t>21933</t>
  </si>
  <si>
    <t>22142</t>
  </si>
  <si>
    <t>23570</t>
  </si>
  <si>
    <t>84212</t>
  </si>
  <si>
    <t>22110</t>
  </si>
  <si>
    <t>21937</t>
  </si>
  <si>
    <t>22748</t>
  </si>
  <si>
    <t>23010</t>
  </si>
  <si>
    <t>23351</t>
  </si>
  <si>
    <t>21124</t>
  </si>
  <si>
    <t>23503</t>
  </si>
  <si>
    <t>21086</t>
  </si>
  <si>
    <t>21033</t>
  </si>
  <si>
    <t>21390</t>
  </si>
  <si>
    <t>21876</t>
  </si>
  <si>
    <t>23554</t>
  </si>
  <si>
    <t>23555</t>
  </si>
  <si>
    <t>22549</t>
  </si>
  <si>
    <t>23389</t>
  </si>
  <si>
    <t>23159</t>
  </si>
  <si>
    <t>23184</t>
  </si>
  <si>
    <t>84050</t>
  </si>
  <si>
    <t>21539</t>
  </si>
  <si>
    <t>22243</t>
  </si>
  <si>
    <t>23569</t>
  </si>
  <si>
    <t>20677</t>
  </si>
  <si>
    <t>23286</t>
  </si>
  <si>
    <t>23558</t>
  </si>
  <si>
    <t>20979</t>
  </si>
  <si>
    <t>22645</t>
  </si>
  <si>
    <t>22082</t>
  </si>
  <si>
    <t>23241</t>
  </si>
  <si>
    <t>23176</t>
  </si>
  <si>
    <t>82552</t>
  </si>
  <si>
    <t>22721</t>
  </si>
  <si>
    <t>22745</t>
  </si>
  <si>
    <t>22504</t>
  </si>
  <si>
    <t>22606</t>
  </si>
  <si>
    <t>47599A</t>
  </si>
  <si>
    <t>22295</t>
  </si>
  <si>
    <t>22813</t>
  </si>
  <si>
    <t>22628</t>
  </si>
  <si>
    <t>22775</t>
  </si>
  <si>
    <t>21833</t>
  </si>
  <si>
    <t>23285</t>
  </si>
  <si>
    <t>22417</t>
  </si>
  <si>
    <t>23404</t>
  </si>
  <si>
    <t>23168</t>
  </si>
  <si>
    <t>23275</t>
  </si>
  <si>
    <t>82551</t>
  </si>
  <si>
    <t>20974</t>
  </si>
  <si>
    <t>23309</t>
  </si>
  <si>
    <t>23163</t>
  </si>
  <si>
    <t>23112</t>
  </si>
  <si>
    <t>22938</t>
  </si>
  <si>
    <t>21934</t>
  </si>
  <si>
    <t>23167</t>
  </si>
  <si>
    <t>84987</t>
  </si>
  <si>
    <t>21906</t>
  </si>
  <si>
    <t>22942</t>
  </si>
  <si>
    <t>23530</t>
  </si>
  <si>
    <t>22089</t>
  </si>
  <si>
    <t>23288</t>
  </si>
  <si>
    <t>22626</t>
  </si>
  <si>
    <t>20975</t>
  </si>
  <si>
    <t>15056P</t>
  </si>
  <si>
    <t>23349</t>
  </si>
  <si>
    <t>22327</t>
  </si>
  <si>
    <t>16014</t>
  </si>
  <si>
    <t>84692</t>
  </si>
  <si>
    <t>22899</t>
  </si>
  <si>
    <t>21498</t>
  </si>
  <si>
    <t>21892</t>
  </si>
  <si>
    <t>23050</t>
  </si>
  <si>
    <t>22723</t>
  </si>
  <si>
    <t>23237</t>
  </si>
  <si>
    <t>22694</t>
  </si>
  <si>
    <t>20970</t>
  </si>
  <si>
    <t>22661</t>
  </si>
  <si>
    <t>22061</t>
  </si>
  <si>
    <t>23089</t>
  </si>
  <si>
    <t>22801</t>
  </si>
  <si>
    <t>23012</t>
  </si>
  <si>
    <t>23144</t>
  </si>
  <si>
    <t>22550</t>
  </si>
  <si>
    <t>20682</t>
  </si>
  <si>
    <t>23110</t>
  </si>
  <si>
    <t>72760B</t>
  </si>
  <si>
    <t>21874</t>
  </si>
  <si>
    <t>22649</t>
  </si>
  <si>
    <t>23486</t>
  </si>
  <si>
    <t>22596</t>
  </si>
  <si>
    <t>23306</t>
  </si>
  <si>
    <t>22841</t>
  </si>
  <si>
    <t>23255</t>
  </si>
  <si>
    <t>23193</t>
  </si>
  <si>
    <t>23194</t>
  </si>
  <si>
    <t>23009</t>
  </si>
  <si>
    <t>22577</t>
  </si>
  <si>
    <t>22489</t>
  </si>
  <si>
    <t>22896</t>
  </si>
  <si>
    <t>23340</t>
  </si>
  <si>
    <t>21116</t>
  </si>
  <si>
    <t>23081</t>
  </si>
  <si>
    <t>21704</t>
  </si>
  <si>
    <t>22219</t>
  </si>
  <si>
    <t>72351B</t>
  </si>
  <si>
    <t>22951</t>
  </si>
  <si>
    <t>22431</t>
  </si>
  <si>
    <t>22890</t>
  </si>
  <si>
    <t>23129</t>
  </si>
  <si>
    <t>22956</t>
  </si>
  <si>
    <t>22493</t>
  </si>
  <si>
    <t>23130</t>
  </si>
  <si>
    <t>20675</t>
  </si>
  <si>
    <t>84792</t>
  </si>
  <si>
    <t>22274</t>
  </si>
  <si>
    <t>22131</t>
  </si>
  <si>
    <t>23557</t>
  </si>
  <si>
    <t>22148</t>
  </si>
  <si>
    <t>22980</t>
  </si>
  <si>
    <t>21716</t>
  </si>
  <si>
    <t>21041</t>
  </si>
  <si>
    <t>23049</t>
  </si>
  <si>
    <t>22117</t>
  </si>
  <si>
    <t>23552</t>
  </si>
  <si>
    <t>22222</t>
  </si>
  <si>
    <t>22578</t>
  </si>
  <si>
    <t>21749</t>
  </si>
  <si>
    <t>23032</t>
  </si>
  <si>
    <t>22738</t>
  </si>
  <si>
    <t>23253</t>
  </si>
  <si>
    <t>85049A</t>
  </si>
  <si>
    <t>37370</t>
  </si>
  <si>
    <t>23131</t>
  </si>
  <si>
    <t>23111</t>
  </si>
  <si>
    <t>21243</t>
  </si>
  <si>
    <t>22842</t>
  </si>
  <si>
    <t>22809</t>
  </si>
  <si>
    <t>21110</t>
  </si>
  <si>
    <t>22350</t>
  </si>
  <si>
    <t>23542</t>
  </si>
  <si>
    <t>85049E</t>
  </si>
  <si>
    <t>21244</t>
  </si>
  <si>
    <t>23299</t>
  </si>
  <si>
    <t>23092</t>
  </si>
  <si>
    <t>21746</t>
  </si>
  <si>
    <t>23127</t>
  </si>
  <si>
    <t>21527</t>
  </si>
  <si>
    <t>22195</t>
  </si>
  <si>
    <t>23091</t>
  </si>
  <si>
    <t>21260</t>
  </si>
  <si>
    <t>21658</t>
  </si>
  <si>
    <t>23182</t>
  </si>
  <si>
    <t>23064</t>
  </si>
  <si>
    <t>22212</t>
  </si>
  <si>
    <t>22854</t>
  </si>
  <si>
    <t>21531</t>
  </si>
  <si>
    <t>21890</t>
  </si>
  <si>
    <t>22656</t>
  </si>
  <si>
    <t>23013</t>
  </si>
  <si>
    <t>22926</t>
  </si>
  <si>
    <t>85053</t>
  </si>
  <si>
    <t>23497</t>
  </si>
  <si>
    <t>23191</t>
  </si>
  <si>
    <t>22378</t>
  </si>
  <si>
    <t>23085</t>
  </si>
  <si>
    <t>22468</t>
  </si>
  <si>
    <t>23294</t>
  </si>
  <si>
    <t>22236</t>
  </si>
  <si>
    <t>23210</t>
  </si>
  <si>
    <t>22812</t>
  </si>
  <si>
    <t>22053</t>
  </si>
  <si>
    <t>84968C</t>
  </si>
  <si>
    <t>22739</t>
  </si>
  <si>
    <t>22348</t>
  </si>
  <si>
    <t>21494</t>
  </si>
  <si>
    <t>22908</t>
  </si>
  <si>
    <t>23332</t>
  </si>
  <si>
    <t>22800</t>
  </si>
  <si>
    <t>20717</t>
  </si>
  <si>
    <t>85132C</t>
  </si>
  <si>
    <t>22180</t>
  </si>
  <si>
    <t>22669</t>
  </si>
  <si>
    <t>21974</t>
  </si>
  <si>
    <t>21992</t>
  </si>
  <si>
    <t>21703</t>
  </si>
  <si>
    <t>22688</t>
  </si>
  <si>
    <t>23353</t>
  </si>
  <si>
    <t>23189</t>
  </si>
  <si>
    <t>21715</t>
  </si>
  <si>
    <t>22760</t>
  </si>
  <si>
    <t>21238</t>
  </si>
  <si>
    <t>21745</t>
  </si>
  <si>
    <t>23232</t>
  </si>
  <si>
    <t>82580</t>
  </si>
  <si>
    <t>22065</t>
  </si>
  <si>
    <t>22435</t>
  </si>
  <si>
    <t>23350</t>
  </si>
  <si>
    <t>47567B</t>
  </si>
  <si>
    <t>23426</t>
  </si>
  <si>
    <t>21588</t>
  </si>
  <si>
    <t>23388</t>
  </si>
  <si>
    <t>84508A</t>
  </si>
  <si>
    <t>21385</t>
  </si>
  <si>
    <t>21463</t>
  </si>
  <si>
    <t>22300</t>
  </si>
  <si>
    <t>23536</t>
  </si>
  <si>
    <t>23065</t>
  </si>
  <si>
    <t>23156</t>
  </si>
  <si>
    <t>23354</t>
  </si>
  <si>
    <t>21497</t>
  </si>
  <si>
    <t>23014</t>
  </si>
  <si>
    <t>22311</t>
  </si>
  <si>
    <t>84509A</t>
  </si>
  <si>
    <t>22782</t>
  </si>
  <si>
    <t>23239</t>
  </si>
  <si>
    <t>21429</t>
  </si>
  <si>
    <t>22029</t>
  </si>
  <si>
    <t>84032A</t>
  </si>
  <si>
    <t>22653</t>
  </si>
  <si>
    <t>79000</t>
  </si>
  <si>
    <t>21993</t>
  </si>
  <si>
    <t>22563</t>
  </si>
  <si>
    <t>22687</t>
  </si>
  <si>
    <t>22432</t>
  </si>
  <si>
    <t>22079</t>
  </si>
  <si>
    <t>22165</t>
  </si>
  <si>
    <t>23395</t>
  </si>
  <si>
    <t>22855</t>
  </si>
  <si>
    <t>22962</t>
  </si>
  <si>
    <t>22460</t>
  </si>
  <si>
    <t>22567</t>
  </si>
  <si>
    <t>22244</t>
  </si>
  <si>
    <t>23308</t>
  </si>
  <si>
    <t>22967</t>
  </si>
  <si>
    <t>22430</t>
  </si>
  <si>
    <t>23053</t>
  </si>
  <si>
    <t>21868</t>
  </si>
  <si>
    <t>22187</t>
  </si>
  <si>
    <t>22746</t>
  </si>
  <si>
    <t>23393</t>
  </si>
  <si>
    <t>23230</t>
  </si>
  <si>
    <t>23035</t>
  </si>
  <si>
    <t>23051</t>
  </si>
  <si>
    <t>20973</t>
  </si>
  <si>
    <t>22360</t>
  </si>
  <si>
    <t>21135</t>
  </si>
  <si>
    <t>22491</t>
  </si>
  <si>
    <t>23342</t>
  </si>
  <si>
    <t>21115</t>
  </si>
  <si>
    <t>23323</t>
  </si>
  <si>
    <t>22465</t>
  </si>
  <si>
    <t>22778</t>
  </si>
  <si>
    <t>72807C</t>
  </si>
  <si>
    <t>84968A</t>
  </si>
  <si>
    <t>21381</t>
  </si>
  <si>
    <t>21561</t>
  </si>
  <si>
    <t>23346</t>
  </si>
  <si>
    <t>21240</t>
  </si>
  <si>
    <t>20754</t>
  </si>
  <si>
    <t>23461</t>
  </si>
  <si>
    <t>20828</t>
  </si>
  <si>
    <t>22972</t>
  </si>
  <si>
    <t>22564</t>
  </si>
  <si>
    <t>23329</t>
  </si>
  <si>
    <t>84997b</t>
  </si>
  <si>
    <t>22810</t>
  </si>
  <si>
    <t>22604</t>
  </si>
  <si>
    <t>23390</t>
  </si>
  <si>
    <t>23242</t>
  </si>
  <si>
    <t>22892</t>
  </si>
  <si>
    <t>22894</t>
  </si>
  <si>
    <t>21810</t>
  </si>
  <si>
    <t>22592</t>
  </si>
  <si>
    <t>22945</t>
  </si>
  <si>
    <t>21714</t>
  </si>
  <si>
    <t>23231</t>
  </si>
  <si>
    <t>22644</t>
  </si>
  <si>
    <t>85184C</t>
  </si>
  <si>
    <t>16161P</t>
  </si>
  <si>
    <t>21201</t>
  </si>
  <si>
    <t>21411</t>
  </si>
  <si>
    <t>22331</t>
  </si>
  <si>
    <t>21625</t>
  </si>
  <si>
    <t>22906</t>
  </si>
  <si>
    <t>22777</t>
  </si>
  <si>
    <t>21918</t>
  </si>
  <si>
    <t>22078</t>
  </si>
  <si>
    <t>85174</t>
  </si>
  <si>
    <t>22990</t>
  </si>
  <si>
    <t>35004B</t>
  </si>
  <si>
    <t>23211</t>
  </si>
  <si>
    <t>84568</t>
  </si>
  <si>
    <t>23056</t>
  </si>
  <si>
    <t>22965</t>
  </si>
  <si>
    <t>22843</t>
  </si>
  <si>
    <t>21313</t>
  </si>
  <si>
    <t>22774</t>
  </si>
  <si>
    <t>23290</t>
  </si>
  <si>
    <t>23345</t>
  </si>
  <si>
    <t>21976</t>
  </si>
  <si>
    <t>21112</t>
  </si>
  <si>
    <t>21990</t>
  </si>
  <si>
    <t>23427</t>
  </si>
  <si>
    <t>23212</t>
  </si>
  <si>
    <t>22354</t>
  </si>
  <si>
    <t>22426</t>
  </si>
  <si>
    <t>23504</t>
  </si>
  <si>
    <t>22797</t>
  </si>
  <si>
    <t>22930</t>
  </si>
  <si>
    <t>23196</t>
  </si>
  <si>
    <t>22476</t>
  </si>
  <si>
    <t>22072</t>
  </si>
  <si>
    <t>22380</t>
  </si>
  <si>
    <t>85178</t>
  </si>
  <si>
    <t>47599B</t>
  </si>
  <si>
    <t>21499</t>
  </si>
  <si>
    <t>21563</t>
  </si>
  <si>
    <t>22762</t>
  </si>
  <si>
    <t>22794</t>
  </si>
  <si>
    <t>23396</t>
  </si>
  <si>
    <t>22963</t>
  </si>
  <si>
    <t>22224</t>
  </si>
  <si>
    <t>21109</t>
  </si>
  <si>
    <t>22925</t>
  </si>
  <si>
    <t>23190</t>
  </si>
  <si>
    <t>22196</t>
  </si>
  <si>
    <t>23266</t>
  </si>
  <si>
    <t>23147</t>
  </si>
  <si>
    <t>22773</t>
  </si>
  <si>
    <t>23341</t>
  </si>
  <si>
    <t>22823</t>
  </si>
  <si>
    <t>22974</t>
  </si>
  <si>
    <t>23100</t>
  </si>
  <si>
    <t>22283</t>
  </si>
  <si>
    <t>21985</t>
  </si>
  <si>
    <t>23407</t>
  </si>
  <si>
    <t>20829</t>
  </si>
  <si>
    <t>23333</t>
  </si>
  <si>
    <t>23164</t>
  </si>
  <si>
    <t>84832</t>
  </si>
  <si>
    <t>22278</t>
  </si>
  <si>
    <t>23489</t>
  </si>
  <si>
    <t>21239</t>
  </si>
  <si>
    <t>22927</t>
  </si>
  <si>
    <t>23292</t>
  </si>
  <si>
    <t>22737</t>
  </si>
  <si>
    <t>23264</t>
  </si>
  <si>
    <t>72802C</t>
  </si>
  <si>
    <t>21811</t>
  </si>
  <si>
    <t>22691</t>
  </si>
  <si>
    <t>22702</t>
  </si>
  <si>
    <t>22045</t>
  </si>
  <si>
    <t>22660</t>
  </si>
  <si>
    <t>21781</t>
  </si>
  <si>
    <t>22433</t>
  </si>
  <si>
    <t>22130</t>
  </si>
  <si>
    <t>22329</t>
  </si>
  <si>
    <t>84997d</t>
  </si>
  <si>
    <t>23146</t>
  </si>
  <si>
    <t>22902</t>
  </si>
  <si>
    <t>22582</t>
  </si>
  <si>
    <t>22792</t>
  </si>
  <si>
    <t>22241</t>
  </si>
  <si>
    <t>35961</t>
  </si>
  <si>
    <t>23054</t>
  </si>
  <si>
    <t>21012</t>
  </si>
  <si>
    <t>22830</t>
  </si>
  <si>
    <t>22700</t>
  </si>
  <si>
    <t>22833</t>
  </si>
  <si>
    <t>22175</t>
  </si>
  <si>
    <t>22361</t>
  </si>
  <si>
    <t>22805</t>
  </si>
  <si>
    <t>21500</t>
  </si>
  <si>
    <t>22822</t>
  </si>
  <si>
    <t>47559B</t>
  </si>
  <si>
    <t>22933</t>
  </si>
  <si>
    <t>22610</t>
  </si>
  <si>
    <t>21735</t>
  </si>
  <si>
    <t>84596B</t>
  </si>
  <si>
    <t>22937</t>
  </si>
  <si>
    <t>22358</t>
  </si>
  <si>
    <t>22064</t>
  </si>
  <si>
    <t>21452</t>
  </si>
  <si>
    <t>21078</t>
  </si>
  <si>
    <t>23424</t>
  </si>
  <si>
    <t>72351A</t>
  </si>
  <si>
    <t>23681</t>
  </si>
  <si>
    <t>21730</t>
  </si>
  <si>
    <t>22670</t>
  </si>
  <si>
    <t>21556</t>
  </si>
  <si>
    <t>23316</t>
  </si>
  <si>
    <t>22672</t>
  </si>
  <si>
    <t>22075</t>
  </si>
  <si>
    <t>21107</t>
  </si>
  <si>
    <t>23367</t>
  </si>
  <si>
    <t>21903</t>
  </si>
  <si>
    <t>22215</t>
  </si>
  <si>
    <t>23352</t>
  </si>
  <si>
    <t>85062</t>
  </si>
  <si>
    <t>22374</t>
  </si>
  <si>
    <t>84032B</t>
  </si>
  <si>
    <t>21875</t>
  </si>
  <si>
    <t>23406</t>
  </si>
  <si>
    <t>22807</t>
  </si>
  <si>
    <t>22573</t>
  </si>
  <si>
    <t>23265</t>
  </si>
  <si>
    <t>22743</t>
  </si>
  <si>
    <t>22811</t>
  </si>
  <si>
    <t>22437</t>
  </si>
  <si>
    <t>21328</t>
  </si>
  <si>
    <t>23400</t>
  </si>
  <si>
    <t>22939</t>
  </si>
  <si>
    <t>22167</t>
  </si>
  <si>
    <t>20978</t>
  </si>
  <si>
    <t>84796B</t>
  </si>
  <si>
    <t>84969</t>
  </si>
  <si>
    <t>11001</t>
  </si>
  <si>
    <t>23028</t>
  </si>
  <si>
    <t>22440</t>
  </si>
  <si>
    <t>23048</t>
  </si>
  <si>
    <t>20983</t>
  </si>
  <si>
    <t>22282</t>
  </si>
  <si>
    <t>23498</t>
  </si>
  <si>
    <t>22851</t>
  </si>
  <si>
    <t>84997c</t>
  </si>
  <si>
    <t>23437</t>
  </si>
  <si>
    <t>23436</t>
  </si>
  <si>
    <t>37500</t>
  </si>
  <si>
    <t>22070</t>
  </si>
  <si>
    <t>21495</t>
  </si>
  <si>
    <t>23401</t>
  </si>
  <si>
    <t>23412</t>
  </si>
  <si>
    <t>22548</t>
  </si>
  <si>
    <t>22425</t>
  </si>
  <si>
    <t>21700</t>
  </si>
  <si>
    <t>20977</t>
  </si>
  <si>
    <t>16156S</t>
  </si>
  <si>
    <t>23197</t>
  </si>
  <si>
    <t>22829</t>
  </si>
  <si>
    <t>22736</t>
  </si>
  <si>
    <t>22483</t>
  </si>
  <si>
    <t>23371</t>
  </si>
  <si>
    <t>84950</t>
  </si>
  <si>
    <t>21982</t>
  </si>
  <si>
    <t>23029</t>
  </si>
  <si>
    <t>22441</t>
  </si>
  <si>
    <t>23330</t>
  </si>
  <si>
    <t>23360</t>
  </si>
  <si>
    <t>85175</t>
  </si>
  <si>
    <t>22185</t>
  </si>
  <si>
    <t>23128</t>
  </si>
  <si>
    <t>21813</t>
  </si>
  <si>
    <t>21896</t>
  </si>
  <si>
    <t>23252</t>
  </si>
  <si>
    <t>22914</t>
  </si>
  <si>
    <t>22983</t>
  </si>
  <si>
    <t>46000S</t>
  </si>
  <si>
    <t>21069</t>
  </si>
  <si>
    <t>22030</t>
  </si>
  <si>
    <t>23093</t>
  </si>
  <si>
    <t>23079</t>
  </si>
  <si>
    <t>23326</t>
  </si>
  <si>
    <t>21989</t>
  </si>
  <si>
    <t>21471</t>
  </si>
  <si>
    <t>23438</t>
  </si>
  <si>
    <t>22601</t>
  </si>
  <si>
    <t>23501</t>
  </si>
  <si>
    <t>22478</t>
  </si>
  <si>
    <t>37448</t>
  </si>
  <si>
    <t>21794</t>
  </si>
  <si>
    <t>82494l</t>
  </si>
  <si>
    <t>23403</t>
  </si>
  <si>
    <t>10135</t>
  </si>
  <si>
    <t>21042</t>
  </si>
  <si>
    <t>22574</t>
  </si>
  <si>
    <t>21900</t>
  </si>
  <si>
    <t>23302</t>
  </si>
  <si>
    <t>23020</t>
  </si>
  <si>
    <t>22571</t>
  </si>
  <si>
    <t>22763</t>
  </si>
  <si>
    <t>23031</t>
  </si>
  <si>
    <t>85038</t>
  </si>
  <si>
    <t>23445</t>
  </si>
  <si>
    <t>22357</t>
  </si>
  <si>
    <t>21878</t>
  </si>
  <si>
    <t>22377</t>
  </si>
  <si>
    <t>22704</t>
  </si>
  <si>
    <t>22121</t>
  </si>
  <si>
    <t>21592</t>
  </si>
  <si>
    <t>22732</t>
  </si>
  <si>
    <t>21249</t>
  </si>
  <si>
    <t>22107</t>
  </si>
  <si>
    <t>23370</t>
  </si>
  <si>
    <t>22920</t>
  </si>
  <si>
    <t>82581</t>
  </si>
  <si>
    <t>22588</t>
  </si>
  <si>
    <t>23005</t>
  </si>
  <si>
    <t>22973</t>
  </si>
  <si>
    <t>23161</t>
  </si>
  <si>
    <t>23213</t>
  </si>
  <si>
    <t>23066</t>
  </si>
  <si>
    <t>40016</t>
  </si>
  <si>
    <t>22509</t>
  </si>
  <si>
    <t>22128</t>
  </si>
  <si>
    <t>37450</t>
  </si>
  <si>
    <t>22891</t>
  </si>
  <si>
    <t>84356</t>
  </si>
  <si>
    <t>22498</t>
  </si>
  <si>
    <t>21980</t>
  </si>
  <si>
    <t>22156</t>
  </si>
  <si>
    <t>21718</t>
  </si>
  <si>
    <t>23046</t>
  </si>
  <si>
    <t>20751</t>
  </si>
  <si>
    <t>23251</t>
  </si>
  <si>
    <t>23233</t>
  </si>
  <si>
    <t>21506</t>
  </si>
  <si>
    <t>22996</t>
  </si>
  <si>
    <t>23152</t>
  </si>
  <si>
    <t>22733</t>
  </si>
  <si>
    <t>22059</t>
  </si>
  <si>
    <t>23315</t>
  </si>
  <si>
    <t>22744</t>
  </si>
  <si>
    <t>21609</t>
  </si>
  <si>
    <t>22593</t>
  </si>
  <si>
    <t>22747</t>
  </si>
  <si>
    <t>22055</t>
  </si>
  <si>
    <t>22863</t>
  </si>
  <si>
    <t>22831</t>
  </si>
  <si>
    <t>22955</t>
  </si>
  <si>
    <t>23227</t>
  </si>
  <si>
    <t>22935</t>
  </si>
  <si>
    <t>23291</t>
  </si>
  <si>
    <t>23490</t>
  </si>
  <si>
    <t>22101</t>
  </si>
  <si>
    <t>47504K</t>
  </si>
  <si>
    <t>23500</t>
  </si>
  <si>
    <t>21864</t>
  </si>
  <si>
    <t>22414</t>
  </si>
  <si>
    <t>22803</t>
  </si>
  <si>
    <t>20674</t>
  </si>
  <si>
    <t>22080</t>
  </si>
  <si>
    <t>84880</t>
  </si>
  <si>
    <t>22788</t>
  </si>
  <si>
    <t>22602</t>
  </si>
  <si>
    <t>22115</t>
  </si>
  <si>
    <t>23268</t>
  </si>
  <si>
    <t>51014A</t>
  </si>
  <si>
    <t>22897</t>
  </si>
  <si>
    <t>22959</t>
  </si>
  <si>
    <t>23289</t>
  </si>
  <si>
    <t>22859</t>
  </si>
  <si>
    <t>21622</t>
  </si>
  <si>
    <t>23358</t>
  </si>
  <si>
    <t>23529</t>
  </si>
  <si>
    <t>22364</t>
  </si>
  <si>
    <t>22503</t>
  </si>
  <si>
    <t>23274</t>
  </si>
  <si>
    <t>85049G</t>
  </si>
  <si>
    <t>21591</t>
  </si>
  <si>
    <t>22932</t>
  </si>
  <si>
    <t>22186</t>
  </si>
  <si>
    <t>22928</t>
  </si>
  <si>
    <t>23357</t>
  </si>
  <si>
    <t>72802B</t>
  </si>
  <si>
    <t>22579</t>
  </si>
  <si>
    <t>37446</t>
  </si>
  <si>
    <t>23075</t>
  </si>
  <si>
    <t>22477</t>
  </si>
  <si>
    <t>15039</t>
  </si>
  <si>
    <t>23145</t>
  </si>
  <si>
    <t>23068</t>
  </si>
  <si>
    <t>21916</t>
  </si>
  <si>
    <t>22931</t>
  </si>
  <si>
    <t>20992</t>
  </si>
  <si>
    <t>23374</t>
  </si>
  <si>
    <t>22312</t>
  </si>
  <si>
    <t>84031A</t>
  </si>
  <si>
    <t>23228</t>
  </si>
  <si>
    <t>23235</t>
  </si>
  <si>
    <t>85123a</t>
  </si>
  <si>
    <t>84596F</t>
  </si>
  <si>
    <t>22291</t>
  </si>
  <si>
    <t>22824</t>
  </si>
  <si>
    <t>22412</t>
  </si>
  <si>
    <t>22639</t>
  </si>
  <si>
    <t>22199</t>
  </si>
  <si>
    <t>21192</t>
  </si>
  <si>
    <t>23094</t>
  </si>
  <si>
    <t>22183</t>
  </si>
  <si>
    <t>23155</t>
  </si>
  <si>
    <t>20963</t>
  </si>
  <si>
    <t>21534</t>
  </si>
  <si>
    <t>22594</t>
  </si>
  <si>
    <t>84968F</t>
  </si>
  <si>
    <t>23491</t>
  </si>
  <si>
    <t>85061W</t>
  </si>
  <si>
    <t>16169E</t>
  </si>
  <si>
    <t>23434</t>
  </si>
  <si>
    <t>21068</t>
  </si>
  <si>
    <t>23394</t>
  </si>
  <si>
    <t>35004C</t>
  </si>
  <si>
    <t>15058B</t>
  </si>
  <si>
    <t>20982</t>
  </si>
  <si>
    <t>22027</t>
  </si>
  <si>
    <t>23359</t>
  </si>
  <si>
    <t>22534</t>
  </si>
  <si>
    <t>22198</t>
  </si>
  <si>
    <t>23090</t>
  </si>
  <si>
    <t>23525</t>
  </si>
  <si>
    <t>22858</t>
  </si>
  <si>
    <t>70006</t>
  </si>
  <si>
    <t>21988</t>
  </si>
  <si>
    <t>21870</t>
  </si>
  <si>
    <t>22220</t>
  </si>
  <si>
    <t>22428</t>
  </si>
  <si>
    <t>72807A</t>
  </si>
  <si>
    <t>22944</t>
  </si>
  <si>
    <t>21557</t>
  </si>
  <si>
    <t>23378</t>
  </si>
  <si>
    <t>22712</t>
  </si>
  <si>
    <t>21034</t>
  </si>
  <si>
    <t>21873</t>
  </si>
  <si>
    <t>22651</t>
  </si>
  <si>
    <t>21713</t>
  </si>
  <si>
    <t>21564</t>
  </si>
  <si>
    <t>22452</t>
  </si>
  <si>
    <t>72807B</t>
  </si>
  <si>
    <t>15044D</t>
  </si>
  <si>
    <t>22223</t>
  </si>
  <si>
    <t>23148</t>
  </si>
  <si>
    <t>22200</t>
  </si>
  <si>
    <t>23160</t>
  </si>
  <si>
    <t>21114</t>
  </si>
  <si>
    <t>15060B</t>
  </si>
  <si>
    <t>22536</t>
  </si>
  <si>
    <t>85034C</t>
  </si>
  <si>
    <t>21832</t>
  </si>
  <si>
    <t>21245</t>
  </si>
  <si>
    <t>23317</t>
  </si>
  <si>
    <t>23057</t>
  </si>
  <si>
    <t>21055</t>
  </si>
  <si>
    <t>22832</t>
  </si>
  <si>
    <t>85035C</t>
  </si>
  <si>
    <t>22710</t>
  </si>
  <si>
    <t>22562</t>
  </si>
  <si>
    <t>21439</t>
  </si>
  <si>
    <t>22119</t>
  </si>
  <si>
    <t>21056</t>
  </si>
  <si>
    <t>22314</t>
  </si>
  <si>
    <t>21899</t>
  </si>
  <si>
    <t>23096</t>
  </si>
  <si>
    <t>22852</t>
  </si>
  <si>
    <t>21584</t>
  </si>
  <si>
    <t>23372</t>
  </si>
  <si>
    <t>23399</t>
  </si>
  <si>
    <t>21812</t>
  </si>
  <si>
    <t>20961</t>
  </si>
  <si>
    <t>23101</t>
  </si>
  <si>
    <t>20981</t>
  </si>
  <si>
    <t>23244</t>
  </si>
  <si>
    <t>23181</t>
  </si>
  <si>
    <t>21329</t>
  </si>
  <si>
    <t>23122</t>
  </si>
  <si>
    <t>47570B</t>
  </si>
  <si>
    <t>21586</t>
  </si>
  <si>
    <t>21845</t>
  </si>
  <si>
    <t>22526</t>
  </si>
  <si>
    <t>85015</t>
  </si>
  <si>
    <t>23073</t>
  </si>
  <si>
    <t>22544</t>
  </si>
  <si>
    <t>22037</t>
  </si>
  <si>
    <t>22986</t>
  </si>
  <si>
    <t>22227</t>
  </si>
  <si>
    <t>22934</t>
  </si>
  <si>
    <t>22816</t>
  </si>
  <si>
    <t>23214</t>
  </si>
  <si>
    <t>21917</t>
  </si>
  <si>
    <t>22674</t>
  </si>
  <si>
    <t>37340</t>
  </si>
  <si>
    <t>51008</t>
  </si>
  <si>
    <t>21544</t>
  </si>
  <si>
    <t>22789</t>
  </si>
  <si>
    <t>16161U</t>
  </si>
  <si>
    <t>21207</t>
  </si>
  <si>
    <t>23368</t>
  </si>
  <si>
    <t>22332</t>
  </si>
  <si>
    <t>22419</t>
  </si>
  <si>
    <t>22913</t>
  </si>
  <si>
    <t>22335</t>
  </si>
  <si>
    <t>23366</t>
  </si>
  <si>
    <t>22076</t>
  </si>
  <si>
    <t>15058A</t>
  </si>
  <si>
    <t>21577</t>
  </si>
  <si>
    <t>21578</t>
  </si>
  <si>
    <t>84968D</t>
  </si>
  <si>
    <t>23505</t>
  </si>
  <si>
    <t>23270</t>
  </si>
  <si>
    <t>22479</t>
  </si>
  <si>
    <t>22853</t>
  </si>
  <si>
    <t>21981</t>
  </si>
  <si>
    <t>21111</t>
  </si>
  <si>
    <t>23483</t>
  </si>
  <si>
    <t>47566b</t>
  </si>
  <si>
    <t>23273</t>
  </si>
  <si>
    <t>22161</t>
  </si>
  <si>
    <t>23348</t>
  </si>
  <si>
    <t>22284</t>
  </si>
  <si>
    <t>22375</t>
  </si>
  <si>
    <t>22154</t>
  </si>
  <si>
    <t>84510A</t>
  </si>
  <si>
    <t>22474</t>
  </si>
  <si>
    <t>35953</t>
  </si>
  <si>
    <t>85034B</t>
  </si>
  <si>
    <t>23391</t>
  </si>
  <si>
    <t>22799</t>
  </si>
  <si>
    <t>22445</t>
  </si>
  <si>
    <t>22975</t>
  </si>
  <si>
    <t>22473</t>
  </si>
  <si>
    <t>37495</t>
  </si>
  <si>
    <t>21706</t>
  </si>
  <si>
    <t>23280</t>
  </si>
  <si>
    <t>22166</t>
  </si>
  <si>
    <t>23217</t>
  </si>
  <si>
    <t>23287</t>
  </si>
  <si>
    <t>21206</t>
  </si>
  <si>
    <t>85040A</t>
  </si>
  <si>
    <t>22095</t>
  </si>
  <si>
    <t>22671</t>
  </si>
  <si>
    <t>22292</t>
  </si>
  <si>
    <t>23462</t>
  </si>
  <si>
    <t>22475</t>
  </si>
  <si>
    <t>22948</t>
  </si>
  <si>
    <t>22305</t>
  </si>
  <si>
    <t>21394</t>
  </si>
  <si>
    <t>18097C</t>
  </si>
  <si>
    <t>23226</t>
  </si>
  <si>
    <t>22398</t>
  </si>
  <si>
    <t>22449</t>
  </si>
  <si>
    <t>21626</t>
  </si>
  <si>
    <t>15056n</t>
  </si>
  <si>
    <t>21967</t>
  </si>
  <si>
    <t>46000M</t>
  </si>
  <si>
    <t>23369</t>
  </si>
  <si>
    <t>22676</t>
  </si>
  <si>
    <t>22434</t>
  </si>
  <si>
    <t>21528</t>
  </si>
  <si>
    <t>84279P</t>
  </si>
  <si>
    <t>22208</t>
  </si>
  <si>
    <t>22494</t>
  </si>
  <si>
    <t>22583</t>
  </si>
  <si>
    <t>21509</t>
  </si>
  <si>
    <t>85206A</t>
  </si>
  <si>
    <t>22085</t>
  </si>
  <si>
    <t>21913</t>
  </si>
  <si>
    <t>85132A</t>
  </si>
  <si>
    <t>22313</t>
  </si>
  <si>
    <t>21744</t>
  </si>
  <si>
    <t>84971S</t>
  </si>
  <si>
    <t>22818</t>
  </si>
  <si>
    <t>22675</t>
  </si>
  <si>
    <t>23524</t>
  </si>
  <si>
    <t>20665</t>
  </si>
  <si>
    <t>20985</t>
  </si>
  <si>
    <t>22982</t>
  </si>
  <si>
    <t>22600</t>
  </si>
  <si>
    <t>10133</t>
  </si>
  <si>
    <t>22318</t>
  </si>
  <si>
    <t>84828</t>
  </si>
  <si>
    <t>21898</t>
  </si>
  <si>
    <t>22176</t>
  </si>
  <si>
    <t>22472</t>
  </si>
  <si>
    <t>22731</t>
  </si>
  <si>
    <t>23267</t>
  </si>
  <si>
    <t>21200</t>
  </si>
  <si>
    <t>23250</t>
  </si>
  <si>
    <t>22828</t>
  </si>
  <si>
    <t>84968E</t>
  </si>
  <si>
    <t>85049C</t>
  </si>
  <si>
    <t>22530</t>
  </si>
  <si>
    <t>22770</t>
  </si>
  <si>
    <t>20668</t>
  </si>
  <si>
    <t>21352</t>
  </si>
  <si>
    <t>22591</t>
  </si>
  <si>
    <t>22471</t>
  </si>
  <si>
    <t>21361</t>
  </si>
  <si>
    <t>22905</t>
  </si>
  <si>
    <t>23528</t>
  </si>
  <si>
    <t>22985</t>
  </si>
  <si>
    <t>23271</t>
  </si>
  <si>
    <t>21792</t>
  </si>
  <si>
    <t>22285</t>
  </si>
  <si>
    <t>22802</t>
  </si>
  <si>
    <t>23334</t>
  </si>
  <si>
    <t>72349B</t>
  </si>
  <si>
    <t>37342</t>
  </si>
  <si>
    <t>23559</t>
  </si>
  <si>
    <t>84580</t>
  </si>
  <si>
    <t>23392</t>
  </si>
  <si>
    <t>35924</t>
  </si>
  <si>
    <t>21327</t>
  </si>
  <si>
    <t>21829</t>
  </si>
  <si>
    <t>22203</t>
  </si>
  <si>
    <t>21619</t>
  </si>
  <si>
    <t>21447</t>
  </si>
  <si>
    <t>21470</t>
  </si>
  <si>
    <t>22664</t>
  </si>
  <si>
    <t>23034</t>
  </si>
  <si>
    <t>23365</t>
  </si>
  <si>
    <t>22713</t>
  </si>
  <si>
    <t>21705</t>
  </si>
  <si>
    <t>84818</t>
  </si>
  <si>
    <t>23470</t>
  </si>
  <si>
    <t>21872</t>
  </si>
  <si>
    <t>15044A</t>
  </si>
  <si>
    <t>22696</t>
  </si>
  <si>
    <t>23086</t>
  </si>
  <si>
    <t>22461</t>
  </si>
  <si>
    <t>21620</t>
  </si>
  <si>
    <t>21191</t>
  </si>
  <si>
    <t>23249</t>
  </si>
  <si>
    <t>84031B</t>
  </si>
  <si>
    <t>85054</t>
  </si>
  <si>
    <t>22949</t>
  </si>
  <si>
    <t>23527</t>
  </si>
  <si>
    <t>22182</t>
  </si>
  <si>
    <t>15058C</t>
  </si>
  <si>
    <t>22306</t>
  </si>
  <si>
    <t>21507</t>
  </si>
  <si>
    <t>22922</t>
  </si>
  <si>
    <t>22458</t>
  </si>
  <si>
    <t>21407</t>
  </si>
  <si>
    <t>22976</t>
  </si>
  <si>
    <t>22714</t>
  </si>
  <si>
    <t>22576</t>
  </si>
  <si>
    <t>51014C</t>
  </si>
  <si>
    <t>21363</t>
  </si>
  <si>
    <t>22531</t>
  </si>
  <si>
    <t>82567</t>
  </si>
  <si>
    <t>22436</t>
  </si>
  <si>
    <t>84536A</t>
  </si>
  <si>
    <t>22915</t>
  </si>
  <si>
    <t>23104</t>
  </si>
  <si>
    <t>23119</t>
  </si>
  <si>
    <t>23055</t>
  </si>
  <si>
    <t>21424</t>
  </si>
  <si>
    <t>22443</t>
  </si>
  <si>
    <t>22047</t>
  </si>
  <si>
    <t>23040</t>
  </si>
  <si>
    <t>84813</t>
  </si>
  <si>
    <t>21537</t>
  </si>
  <si>
    <t>84795B</t>
  </si>
  <si>
    <t>23376</t>
  </si>
  <si>
    <t>21519</t>
  </si>
  <si>
    <t>21382</t>
  </si>
  <si>
    <t>22677</t>
  </si>
  <si>
    <t>22063</t>
  </si>
  <si>
    <t>22071</t>
  </si>
  <si>
    <t>22735</t>
  </si>
  <si>
    <t>22299</t>
  </si>
  <si>
    <t>21071</t>
  </si>
  <si>
    <t>22363</t>
  </si>
  <si>
    <t>21123</t>
  </si>
  <si>
    <t>22609</t>
  </si>
  <si>
    <t>21820</t>
  </si>
  <si>
    <t>23414</t>
  </si>
  <si>
    <t>23546</t>
  </si>
  <si>
    <t>23000</t>
  </si>
  <si>
    <t>85227</t>
  </si>
  <si>
    <t>22304</t>
  </si>
  <si>
    <t>22716</t>
  </si>
  <si>
    <t>23221</t>
  </si>
  <si>
    <t>85232B</t>
  </si>
  <si>
    <t>22911</t>
  </si>
  <si>
    <t>23469</t>
  </si>
  <si>
    <t>23061</t>
  </si>
  <si>
    <t>21039</t>
  </si>
  <si>
    <t>22754</t>
  </si>
  <si>
    <t>21686</t>
  </si>
  <si>
    <t>21615</t>
  </si>
  <si>
    <t>22421</t>
  </si>
  <si>
    <t>22399</t>
  </si>
  <si>
    <t>21987</t>
  </si>
  <si>
    <t>22917</t>
  </si>
  <si>
    <t>22073</t>
  </si>
  <si>
    <t>22912</t>
  </si>
  <si>
    <t>22293</t>
  </si>
  <si>
    <t>21624</t>
  </si>
  <si>
    <t>21246</t>
  </si>
  <si>
    <t>23538</t>
  </si>
  <si>
    <t>72802A</t>
  </si>
  <si>
    <t>22650</t>
  </si>
  <si>
    <t>22742</t>
  </si>
  <si>
    <t>22362</t>
  </si>
  <si>
    <t>85183B</t>
  </si>
  <si>
    <t>21818</t>
  </si>
  <si>
    <t>23405</t>
  </si>
  <si>
    <t>22916</t>
  </si>
  <si>
    <t>21179</t>
  </si>
  <si>
    <t>23373</t>
  </si>
  <si>
    <t>37447</t>
  </si>
  <si>
    <t>90057</t>
  </si>
  <si>
    <t>22028</t>
  </si>
  <si>
    <t>21195</t>
  </si>
  <si>
    <t>22686</t>
  </si>
  <si>
    <t>85199S</t>
  </si>
  <si>
    <t>21064</t>
  </si>
  <si>
    <t>21627</t>
  </si>
  <si>
    <t>22439</t>
  </si>
  <si>
    <t>21793</t>
  </si>
  <si>
    <t>22310</t>
  </si>
  <si>
    <t>21866</t>
  </si>
  <si>
    <t>21408</t>
  </si>
  <si>
    <t>21422</t>
  </si>
  <si>
    <t>22372</t>
  </si>
  <si>
    <t>21616</t>
  </si>
  <si>
    <t>84012</t>
  </si>
  <si>
    <t>21901</t>
  </si>
  <si>
    <t>22999</t>
  </si>
  <si>
    <t>22918</t>
  </si>
  <si>
    <t>21090</t>
  </si>
  <si>
    <t>47480</t>
  </si>
  <si>
    <t>23072</t>
  </si>
  <si>
    <t>85059</t>
  </si>
  <si>
    <t>21211</t>
  </si>
  <si>
    <t>21902</t>
  </si>
  <si>
    <t>21897</t>
  </si>
  <si>
    <t>47503A</t>
  </si>
  <si>
    <t>23511</t>
  </si>
  <si>
    <t>22572</t>
  </si>
  <si>
    <t>23071</t>
  </si>
  <si>
    <t>22977</t>
  </si>
  <si>
    <t>23067</t>
  </si>
  <si>
    <t>22597</t>
  </si>
  <si>
    <t>71038</t>
  </si>
  <si>
    <t>21262</t>
  </si>
  <si>
    <t>22074</t>
  </si>
  <si>
    <t>22442</t>
  </si>
  <si>
    <t>23138</t>
  </si>
  <si>
    <t>22603</t>
  </si>
  <si>
    <t>22338</t>
  </si>
  <si>
    <t>72817</t>
  </si>
  <si>
    <t>22129</t>
  </si>
  <si>
    <t>23539</t>
  </si>
  <si>
    <t>22919</t>
  </si>
  <si>
    <t>22613</t>
  </si>
  <si>
    <t>22575</t>
  </si>
  <si>
    <t>22315</t>
  </si>
  <si>
    <t>23142</t>
  </si>
  <si>
    <t>82578</t>
  </si>
  <si>
    <t>23598</t>
  </si>
  <si>
    <t>82599</t>
  </si>
  <si>
    <t>22711</t>
  </si>
  <si>
    <t>72800E</t>
  </si>
  <si>
    <t>22589</t>
  </si>
  <si>
    <t>22416</t>
  </si>
  <si>
    <t>21846</t>
  </si>
  <si>
    <t>22168</t>
  </si>
  <si>
    <t>84884A</t>
  </si>
  <si>
    <t>23026</t>
  </si>
  <si>
    <t>23444</t>
  </si>
  <si>
    <t>22929</t>
  </si>
  <si>
    <t>21986</t>
  </si>
  <si>
    <t>22081</t>
  </si>
  <si>
    <t>22453</t>
  </si>
  <si>
    <t>22755</t>
  </si>
  <si>
    <t>21070</t>
  </si>
  <si>
    <t>22921</t>
  </si>
  <si>
    <t>23041</t>
  </si>
  <si>
    <t>23225</t>
  </si>
  <si>
    <t>21628</t>
  </si>
  <si>
    <t>23431</t>
  </si>
  <si>
    <t>85039B</t>
  </si>
  <si>
    <t>20984</t>
  </si>
  <si>
    <t>23523</t>
  </si>
  <si>
    <t>21742</t>
  </si>
  <si>
    <t>21065</t>
  </si>
  <si>
    <t>22924</t>
  </si>
  <si>
    <t>22757</t>
  </si>
  <si>
    <t>23418</t>
  </si>
  <si>
    <t>84313C</t>
  </si>
  <si>
    <t>23508</t>
  </si>
  <si>
    <t>23515</t>
  </si>
  <si>
    <t>23269</t>
  </si>
  <si>
    <t>22334</t>
  </si>
  <si>
    <t>22680</t>
  </si>
  <si>
    <t>22708</t>
  </si>
  <si>
    <t>23566</t>
  </si>
  <si>
    <t>20801</t>
  </si>
  <si>
    <t>23507</t>
  </si>
  <si>
    <t>85132B</t>
  </si>
  <si>
    <t>21773</t>
  </si>
  <si>
    <t>22678</t>
  </si>
  <si>
    <t>21774</t>
  </si>
  <si>
    <t>22325</t>
  </si>
  <si>
    <t>23402</t>
  </si>
  <si>
    <t>20956</t>
  </si>
  <si>
    <t>85106</t>
  </si>
  <si>
    <t>22320</t>
  </si>
  <si>
    <t>22497</t>
  </si>
  <si>
    <t>21043</t>
  </si>
  <si>
    <t>21693</t>
  </si>
  <si>
    <t>21947</t>
  </si>
  <si>
    <t>22376</t>
  </si>
  <si>
    <t>21395</t>
  </si>
  <si>
    <t>22923</t>
  </si>
  <si>
    <t>23506</t>
  </si>
  <si>
    <t>22581</t>
  </si>
  <si>
    <t>22094</t>
  </si>
  <si>
    <t>84912B</t>
  </si>
  <si>
    <t>22446</t>
  </si>
  <si>
    <t>85159B</t>
  </si>
  <si>
    <t>22155</t>
  </si>
  <si>
    <t>22153</t>
  </si>
  <si>
    <t>22539</t>
  </si>
  <si>
    <t>85087</t>
  </si>
  <si>
    <t>47585A</t>
  </si>
  <si>
    <t>21830</t>
  </si>
  <si>
    <t>22211</t>
  </si>
  <si>
    <t>22815</t>
  </si>
  <si>
    <t>84944</t>
  </si>
  <si>
    <t>47580</t>
  </si>
  <si>
    <t>22608</t>
  </si>
  <si>
    <t>21809</t>
  </si>
  <si>
    <t>23510</t>
  </si>
  <si>
    <t>22060</t>
  </si>
  <si>
    <t>23411</t>
  </si>
  <si>
    <t>21984</t>
  </si>
  <si>
    <t>21466</t>
  </si>
  <si>
    <t>22997</t>
  </si>
  <si>
    <t>22817</t>
  </si>
  <si>
    <t>23513</t>
  </si>
  <si>
    <t>22758</t>
  </si>
  <si>
    <t>22342</t>
  </si>
  <si>
    <t>23375</t>
  </si>
  <si>
    <t>23433</t>
  </si>
  <si>
    <t>22444</t>
  </si>
  <si>
    <t>85116</t>
  </si>
  <si>
    <t>85127</t>
  </si>
  <si>
    <t>22984</t>
  </si>
  <si>
    <t>85114A</t>
  </si>
  <si>
    <t>85036C</t>
  </si>
  <si>
    <t>22819</t>
  </si>
  <si>
    <t>22221</t>
  </si>
  <si>
    <t>21824</t>
  </si>
  <si>
    <t>21688</t>
  </si>
  <si>
    <t>22309</t>
  </si>
  <si>
    <t>23087</t>
  </si>
  <si>
    <t>23432</t>
  </si>
  <si>
    <t>22785</t>
  </si>
  <si>
    <t>15056bl</t>
  </si>
  <si>
    <t>23102</t>
  </si>
  <si>
    <t>21469</t>
  </si>
  <si>
    <t>21991</t>
  </si>
  <si>
    <t>21224</t>
  </si>
  <si>
    <t>84459B</t>
  </si>
  <si>
    <t>51014L</t>
  </si>
  <si>
    <t>23347</t>
  </si>
  <si>
    <t>22611</t>
  </si>
  <si>
    <t>22245</t>
  </si>
  <si>
    <t>21288</t>
  </si>
  <si>
    <t>22123</t>
  </si>
  <si>
    <t>35648</t>
  </si>
  <si>
    <t>21819</t>
  </si>
  <si>
    <t>23033</t>
  </si>
  <si>
    <t>22286</t>
  </si>
  <si>
    <t>21391</t>
  </si>
  <si>
    <t>23516</t>
  </si>
  <si>
    <t>23331</t>
  </si>
  <si>
    <t>22995</t>
  </si>
  <si>
    <t>20931</t>
  </si>
  <si>
    <t>84459A</t>
  </si>
  <si>
    <t>22438</t>
  </si>
  <si>
    <t>85035B</t>
  </si>
  <si>
    <t>22190</t>
  </si>
  <si>
    <t>21464</t>
  </si>
  <si>
    <t>21949</t>
  </si>
  <si>
    <t>22152</t>
  </si>
  <si>
    <t>16016</t>
  </si>
  <si>
    <t>23327</t>
  </si>
  <si>
    <t>22066</t>
  </si>
  <si>
    <t>16237</t>
  </si>
  <si>
    <t>21508</t>
  </si>
  <si>
    <t>23419</t>
  </si>
  <si>
    <t>22163</t>
  </si>
  <si>
    <t>85180A</t>
  </si>
  <si>
    <t>22808</t>
  </si>
  <si>
    <t>79302M</t>
  </si>
  <si>
    <t>21821</t>
  </si>
  <si>
    <t>22402</t>
  </si>
  <si>
    <t>22024</t>
  </si>
  <si>
    <t>23088</t>
  </si>
  <si>
    <t>22091</t>
  </si>
  <si>
    <t>21788</t>
  </si>
  <si>
    <t>22860</t>
  </si>
  <si>
    <t>20967</t>
  </si>
  <si>
    <t>21803</t>
  </si>
  <si>
    <t>22231</t>
  </si>
  <si>
    <t>21679</t>
  </si>
  <si>
    <t>15044C</t>
  </si>
  <si>
    <t>23545</t>
  </si>
  <si>
    <t>22614</t>
  </si>
  <si>
    <t>22679</t>
  </si>
  <si>
    <t>20966</t>
  </si>
  <si>
    <t>21188</t>
  </si>
  <si>
    <t>23452</t>
  </si>
  <si>
    <t>23153</t>
  </si>
  <si>
    <t>22673</t>
  </si>
  <si>
    <t>22459</t>
  </si>
  <si>
    <t>23544</t>
  </si>
  <si>
    <t>85039A</t>
  </si>
  <si>
    <t>21617</t>
  </si>
  <si>
    <t>21354</t>
  </si>
  <si>
    <t>23107</t>
  </si>
  <si>
    <t>21198</t>
  </si>
  <si>
    <t>22279</t>
  </si>
  <si>
    <t>23460</t>
  </si>
  <si>
    <t>72816</t>
  </si>
  <si>
    <t>21467</t>
  </si>
  <si>
    <t>22098</t>
  </si>
  <si>
    <t>23121</t>
  </si>
  <si>
    <t>22695</t>
  </si>
  <si>
    <t>23281</t>
  </si>
  <si>
    <t>21355</t>
  </si>
  <si>
    <t>23533</t>
  </si>
  <si>
    <t>85232D</t>
  </si>
  <si>
    <t>22069</t>
  </si>
  <si>
    <t>23517</t>
  </si>
  <si>
    <t>84558A</t>
  </si>
  <si>
    <t>10125</t>
  </si>
  <si>
    <t>22242</t>
  </si>
  <si>
    <t>21648</t>
  </si>
  <si>
    <t>20886</t>
  </si>
  <si>
    <t>35651</t>
  </si>
  <si>
    <t>35471D</t>
  </si>
  <si>
    <t>20802</t>
  </si>
  <si>
    <t>23380</t>
  </si>
  <si>
    <t>23518</t>
  </si>
  <si>
    <t>22500</t>
  </si>
  <si>
    <t>21948</t>
  </si>
  <si>
    <t>22857</t>
  </si>
  <si>
    <t>23514</t>
  </si>
  <si>
    <t>23512</t>
  </si>
  <si>
    <t>85064</t>
  </si>
  <si>
    <t>22681</t>
  </si>
  <si>
    <t>84843</t>
  </si>
  <si>
    <t>22307</t>
  </si>
  <si>
    <t>22209</t>
  </si>
  <si>
    <t>21058</t>
  </si>
  <si>
    <t>22599</t>
  </si>
  <si>
    <t>23183</t>
  </si>
  <si>
    <t>21389</t>
  </si>
  <si>
    <t>47504H</t>
  </si>
  <si>
    <t>70007</t>
  </si>
  <si>
    <t>22246</t>
  </si>
  <si>
    <t>22540</t>
  </si>
  <si>
    <t>22210</t>
  </si>
  <si>
    <t>20846</t>
  </si>
  <si>
    <t>22994</t>
  </si>
  <si>
    <t>20733</t>
  </si>
  <si>
    <t>22262</t>
  </si>
  <si>
    <t>84913A</t>
  </si>
  <si>
    <t>84819</t>
  </si>
  <si>
    <t>84509G</t>
  </si>
  <si>
    <t>84596G</t>
  </si>
  <si>
    <t>21683</t>
  </si>
  <si>
    <t>23540</t>
  </si>
  <si>
    <t>21717</t>
  </si>
  <si>
    <t>15044B</t>
  </si>
  <si>
    <t>47593B</t>
  </si>
  <si>
    <t>22270</t>
  </si>
  <si>
    <t>23178</t>
  </si>
  <si>
    <t>22132</t>
  </si>
  <si>
    <t>35646</t>
  </si>
  <si>
    <t>22281</t>
  </si>
  <si>
    <t>20752</t>
  </si>
  <si>
    <t>20686</t>
  </si>
  <si>
    <t>21462</t>
  </si>
  <si>
    <t>22893</t>
  </si>
  <si>
    <t>21682</t>
  </si>
  <si>
    <t>23179</t>
  </si>
  <si>
    <t>23413</t>
  </si>
  <si>
    <t>22046</t>
  </si>
  <si>
    <t>22103</t>
  </si>
  <si>
    <t>85185B</t>
  </si>
  <si>
    <t>23099</t>
  </si>
  <si>
    <t>23002</t>
  </si>
  <si>
    <t>85103</t>
  </si>
  <si>
    <t>22701</t>
  </si>
  <si>
    <t>17091J</t>
  </si>
  <si>
    <t>21802</t>
  </si>
  <si>
    <t>85114C</t>
  </si>
  <si>
    <t>72799E</t>
  </si>
  <si>
    <t>21786</t>
  </si>
  <si>
    <t>23338</t>
  </si>
  <si>
    <t>85034A</t>
  </si>
  <si>
    <t>82001s</t>
  </si>
  <si>
    <t>23472</t>
  </si>
  <si>
    <t>21894</t>
  </si>
  <si>
    <t>23004</t>
  </si>
  <si>
    <t>37501</t>
  </si>
  <si>
    <t>22519</t>
  </si>
  <si>
    <t>84519A</t>
  </si>
  <si>
    <t>85114B</t>
  </si>
  <si>
    <t>23532</t>
  </si>
  <si>
    <t>85131A</t>
  </si>
  <si>
    <t>22118</t>
  </si>
  <si>
    <t>22106</t>
  </si>
  <si>
    <t>21465</t>
  </si>
  <si>
    <t>22277</t>
  </si>
  <si>
    <t>22682</t>
  </si>
  <si>
    <t>23502</t>
  </si>
  <si>
    <t>21631</t>
  </si>
  <si>
    <t>22936</t>
  </si>
  <si>
    <t>22719</t>
  </si>
  <si>
    <t>21633</t>
  </si>
  <si>
    <t>22761</t>
  </si>
  <si>
    <t>22814</t>
  </si>
  <si>
    <t>22251</t>
  </si>
  <si>
    <t>21743</t>
  </si>
  <si>
    <t>84823</t>
  </si>
  <si>
    <t>21189</t>
  </si>
  <si>
    <t>21199</t>
  </si>
  <si>
    <t>84536B</t>
  </si>
  <si>
    <t>21209</t>
  </si>
  <si>
    <t>22524</t>
  </si>
  <si>
    <t>46776F</t>
  </si>
  <si>
    <t>22317</t>
  </si>
  <si>
    <t>22321</t>
  </si>
  <si>
    <t>85176</t>
  </si>
  <si>
    <t>23479</t>
  </si>
  <si>
    <t>84997a</t>
  </si>
  <si>
    <t>84030e</t>
  </si>
  <si>
    <t>22308</t>
  </si>
  <si>
    <t>23423</t>
  </si>
  <si>
    <t>21695</t>
  </si>
  <si>
    <t>21399</t>
  </si>
  <si>
    <t>22343</t>
  </si>
  <si>
    <t>22565</t>
  </si>
  <si>
    <t>22683</t>
  </si>
  <si>
    <t>85049H</t>
  </si>
  <si>
    <t>23220</t>
  </si>
  <si>
    <t>21204</t>
  </si>
  <si>
    <t>21708</t>
  </si>
  <si>
    <t>22068</t>
  </si>
  <si>
    <t>21359</t>
  </si>
  <si>
    <t>84849D</t>
  </si>
  <si>
    <t>21880</t>
  </si>
  <si>
    <t>85135C</t>
  </si>
  <si>
    <t>21823</t>
  </si>
  <si>
    <t>85183A</t>
  </si>
  <si>
    <t>84535B</t>
  </si>
  <si>
    <t>84006</t>
  </si>
  <si>
    <t>22706</t>
  </si>
  <si>
    <t>22105</t>
  </si>
  <si>
    <t>22537</t>
  </si>
  <si>
    <t>22862</t>
  </si>
  <si>
    <t>23564</t>
  </si>
  <si>
    <t>22162</t>
  </si>
  <si>
    <t>23551</t>
  </si>
  <si>
    <t>37327</t>
  </si>
  <si>
    <t>20839</t>
  </si>
  <si>
    <t>21694</t>
  </si>
  <si>
    <t>15034</t>
  </si>
  <si>
    <t>22276</t>
  </si>
  <si>
    <t>22254</t>
  </si>
  <si>
    <t>21125</t>
  </si>
  <si>
    <t>20986</t>
  </si>
  <si>
    <t>22587</t>
  </si>
  <si>
    <t>22217</t>
  </si>
  <si>
    <t>22102</t>
  </si>
  <si>
    <t>21642</t>
  </si>
  <si>
    <t>21804</t>
  </si>
  <si>
    <t>22454</t>
  </si>
  <si>
    <t>22341</t>
  </si>
  <si>
    <t>22249</t>
  </si>
  <si>
    <t>23017</t>
  </si>
  <si>
    <t>21294</t>
  </si>
  <si>
    <t>22093</t>
  </si>
  <si>
    <t>85194L</t>
  </si>
  <si>
    <t>21905</t>
  </si>
  <si>
    <t>72818</t>
  </si>
  <si>
    <t>21291</t>
  </si>
  <si>
    <t>23186</t>
  </si>
  <si>
    <t>23324</t>
  </si>
  <si>
    <t>23106</t>
  </si>
  <si>
    <t>85169A</t>
  </si>
  <si>
    <t>85049a</t>
  </si>
  <si>
    <t>79191C</t>
  </si>
  <si>
    <t>23022</t>
  </si>
  <si>
    <t>21789</t>
  </si>
  <si>
    <t>84509B</t>
  </si>
  <si>
    <t>22099</t>
  </si>
  <si>
    <t>22268</t>
  </si>
  <si>
    <t>79160</t>
  </si>
  <si>
    <t>23409</t>
  </si>
  <si>
    <t>22705</t>
  </si>
  <si>
    <t>22546</t>
  </si>
  <si>
    <t>85170D</t>
  </si>
  <si>
    <t>23487</t>
  </si>
  <si>
    <t>85035A</t>
  </si>
  <si>
    <t>85173</t>
  </si>
  <si>
    <t>22566</t>
  </si>
  <si>
    <t>21162</t>
  </si>
  <si>
    <t>23521</t>
  </si>
  <si>
    <t>23335</t>
  </si>
  <si>
    <t>23519</t>
  </si>
  <si>
    <t>22340</t>
  </si>
  <si>
    <t>21504</t>
  </si>
  <si>
    <t>23568</t>
  </si>
  <si>
    <t>21680</t>
  </si>
  <si>
    <t>84279B</t>
  </si>
  <si>
    <t>23115</t>
  </si>
  <si>
    <t>21158</t>
  </si>
  <si>
    <t>21272</t>
  </si>
  <si>
    <t>85163B</t>
  </si>
  <si>
    <t>22518</t>
  </si>
  <si>
    <t>84660A</t>
  </si>
  <si>
    <t>85159A</t>
  </si>
  <si>
    <t>22685</t>
  </si>
  <si>
    <t>22451</t>
  </si>
  <si>
    <t>22228</t>
  </si>
  <si>
    <t>21983</t>
  </si>
  <si>
    <t>85231B</t>
  </si>
  <si>
    <t>85032A</t>
  </si>
  <si>
    <t>22422</t>
  </si>
  <si>
    <t>84509a</t>
  </si>
  <si>
    <t>22586</t>
  </si>
  <si>
    <t>84519B</t>
  </si>
  <si>
    <t>22522</t>
  </si>
  <si>
    <t>21084</t>
  </si>
  <si>
    <t>21927</t>
  </si>
  <si>
    <t>21618</t>
  </si>
  <si>
    <t>22133</t>
  </si>
  <si>
    <t>84609</t>
  </si>
  <si>
    <t>22252</t>
  </si>
  <si>
    <t>85125</t>
  </si>
  <si>
    <t>21530</t>
  </si>
  <si>
    <t>23140</t>
  </si>
  <si>
    <t>22025</t>
  </si>
  <si>
    <t>23006</t>
  </si>
  <si>
    <t>22786</t>
  </si>
  <si>
    <t>21707</t>
  </si>
  <si>
    <t>23550</t>
  </si>
  <si>
    <t>23458</t>
  </si>
  <si>
    <t>85212</t>
  </si>
  <si>
    <t>23025</t>
  </si>
  <si>
    <t>85130B</t>
  </si>
  <si>
    <t>23123</t>
  </si>
  <si>
    <t>17084R</t>
  </si>
  <si>
    <t>21287</t>
  </si>
  <si>
    <t>10002</t>
  </si>
  <si>
    <t>21822</t>
  </si>
  <si>
    <t>85036A</t>
  </si>
  <si>
    <t>22753</t>
  </si>
  <si>
    <t>23282</t>
  </si>
  <si>
    <t>22480</t>
  </si>
  <si>
    <t>21383</t>
  </si>
  <si>
    <t>22336</t>
  </si>
  <si>
    <t>84913B</t>
  </si>
  <si>
    <t>23454</t>
  </si>
  <si>
    <t>23223</t>
  </si>
  <si>
    <t>22495</t>
  </si>
  <si>
    <t>22523</t>
  </si>
  <si>
    <t>23124</t>
  </si>
  <si>
    <t>20748</t>
  </si>
  <si>
    <t>21126</t>
  </si>
  <si>
    <t>84763</t>
  </si>
  <si>
    <t>22481</t>
  </si>
  <si>
    <t>22322</t>
  </si>
  <si>
    <t>85032B</t>
  </si>
  <si>
    <t>21215</t>
  </si>
  <si>
    <t>22258</t>
  </si>
  <si>
    <t>22316</t>
  </si>
  <si>
    <t>21643</t>
  </si>
  <si>
    <t>22393</t>
  </si>
  <si>
    <t>23325</t>
  </si>
  <si>
    <t>22097</t>
  </si>
  <si>
    <t>22264</t>
  </si>
  <si>
    <t>23114</t>
  </si>
  <si>
    <t>21677</t>
  </si>
  <si>
    <t>79030G</t>
  </si>
  <si>
    <t>84660B</t>
  </si>
  <si>
    <t>23435</t>
  </si>
  <si>
    <t>22250</t>
  </si>
  <si>
    <t>22400</t>
  </si>
  <si>
    <t>72803A</t>
  </si>
  <si>
    <t>22821</t>
  </si>
  <si>
    <t>23562</t>
  </si>
  <si>
    <t>21398</t>
  </si>
  <si>
    <t>22856</t>
  </si>
  <si>
    <t>90200D</t>
  </si>
  <si>
    <t>22684</t>
  </si>
  <si>
    <t>20996</t>
  </si>
  <si>
    <t>23522</t>
  </si>
  <si>
    <t>22718</t>
  </si>
  <si>
    <t>84754</t>
  </si>
  <si>
    <t>21883</t>
  </si>
  <si>
    <t>85131D</t>
  </si>
  <si>
    <t>46775D</t>
  </si>
  <si>
    <t>22287</t>
  </si>
  <si>
    <t>85032C</t>
  </si>
  <si>
    <t>79067</t>
  </si>
  <si>
    <t>23222</t>
  </si>
  <si>
    <t>21630</t>
  </si>
  <si>
    <t>84581</t>
  </si>
  <si>
    <t>22026</t>
  </si>
  <si>
    <t>21775</t>
  </si>
  <si>
    <t>22201</t>
  </si>
  <si>
    <t>23042</t>
  </si>
  <si>
    <t>20866</t>
  </si>
  <si>
    <t>84817</t>
  </si>
  <si>
    <t>21636</t>
  </si>
  <si>
    <t>23070</t>
  </si>
  <si>
    <t>21143</t>
  </si>
  <si>
    <t>21739</t>
  </si>
  <si>
    <t>21289</t>
  </si>
  <si>
    <t>22514</t>
  </si>
  <si>
    <t>22981</t>
  </si>
  <si>
    <t>21356</t>
  </si>
  <si>
    <t>16235</t>
  </si>
  <si>
    <t>21106</t>
  </si>
  <si>
    <t>79164</t>
  </si>
  <si>
    <t>21476</t>
  </si>
  <si>
    <t>21208</t>
  </si>
  <si>
    <t>20704</t>
  </si>
  <si>
    <t>85049D</t>
  </si>
  <si>
    <t>85078</t>
  </si>
  <si>
    <t>23120</t>
  </si>
  <si>
    <t>84707A</t>
  </si>
  <si>
    <t>23187</t>
  </si>
  <si>
    <t>21066</t>
  </si>
  <si>
    <t>84660C</t>
  </si>
  <si>
    <t>21650</t>
  </si>
  <si>
    <t>16225</t>
  </si>
  <si>
    <t>35923</t>
  </si>
  <si>
    <t>21696</t>
  </si>
  <si>
    <t>22403</t>
  </si>
  <si>
    <t>21317</t>
  </si>
  <si>
    <t>79066K</t>
  </si>
  <si>
    <t>85071B</t>
  </si>
  <si>
    <t>22324</t>
  </si>
  <si>
    <t>21629</t>
  </si>
  <si>
    <t>20902</t>
  </si>
  <si>
    <t>23597</t>
  </si>
  <si>
    <t>21163</t>
  </si>
  <si>
    <t>22339</t>
  </si>
  <si>
    <t>85019B</t>
  </si>
  <si>
    <t>22062</t>
  </si>
  <si>
    <t>35001G</t>
  </si>
  <si>
    <t>22136</t>
  </si>
  <si>
    <t>46776B</t>
  </si>
  <si>
    <t>21205</t>
  </si>
  <si>
    <t>22806</t>
  </si>
  <si>
    <t>84659A</t>
  </si>
  <si>
    <t>23428</t>
  </si>
  <si>
    <t>40001</t>
  </si>
  <si>
    <t>22267</t>
  </si>
  <si>
    <t>21351</t>
  </si>
  <si>
    <t>47591d</t>
  </si>
  <si>
    <t>21261</t>
  </si>
  <si>
    <t>37475</t>
  </si>
  <si>
    <t>84923</t>
  </si>
  <si>
    <t>22618</t>
  </si>
  <si>
    <t>22535</t>
  </si>
  <si>
    <t>22204</t>
  </si>
  <si>
    <t>22057</t>
  </si>
  <si>
    <t>23024</t>
  </si>
  <si>
    <t>47574A</t>
  </si>
  <si>
    <t>20767</t>
  </si>
  <si>
    <t>85199L</t>
  </si>
  <si>
    <t>21613</t>
  </si>
  <si>
    <t>23547</t>
  </si>
  <si>
    <t>22450</t>
  </si>
  <si>
    <t>23482</t>
  </si>
  <si>
    <t>22615</t>
  </si>
  <si>
    <t>18098C</t>
  </si>
  <si>
    <t>72349b</t>
  </si>
  <si>
    <t>22756</t>
  </si>
  <si>
    <t>22448</t>
  </si>
  <si>
    <t>20658</t>
  </si>
  <si>
    <t>46776A</t>
  </si>
  <si>
    <t>21187</t>
  </si>
  <si>
    <t>23224</t>
  </si>
  <si>
    <t>22525</t>
  </si>
  <si>
    <t>22953</t>
  </si>
  <si>
    <t>22533</t>
  </si>
  <si>
    <t>22715</t>
  </si>
  <si>
    <t>21747</t>
  </si>
  <si>
    <t>22067</t>
  </si>
  <si>
    <t>85177</t>
  </si>
  <si>
    <t>23408</t>
  </si>
  <si>
    <t>84789</t>
  </si>
  <si>
    <t>21640</t>
  </si>
  <si>
    <t>17021</t>
  </si>
  <si>
    <t>21808</t>
  </si>
  <si>
    <t>22389</t>
  </si>
  <si>
    <t>21446</t>
  </si>
  <si>
    <t>35810A</t>
  </si>
  <si>
    <t>84800L</t>
  </si>
  <si>
    <t>84929</t>
  </si>
  <si>
    <t>85141</t>
  </si>
  <si>
    <t>23492</t>
  </si>
  <si>
    <t>21054</t>
  </si>
  <si>
    <t>22396</t>
  </si>
  <si>
    <t>23456</t>
  </si>
  <si>
    <t>84086C</t>
  </si>
  <si>
    <t>21784</t>
  </si>
  <si>
    <t>20840</t>
  </si>
  <si>
    <t>23453</t>
  </si>
  <si>
    <t>23216</t>
  </si>
  <si>
    <t>72232</t>
  </si>
  <si>
    <t>21417</t>
  </si>
  <si>
    <t>84596L</t>
  </si>
  <si>
    <t>23019</t>
  </si>
  <si>
    <t>20932</t>
  </si>
  <si>
    <t>23027</t>
  </si>
  <si>
    <t>23471</t>
  </si>
  <si>
    <t>79163</t>
  </si>
  <si>
    <t>22559</t>
  </si>
  <si>
    <t>20735</t>
  </si>
  <si>
    <t>22194</t>
  </si>
  <si>
    <t>21865</t>
  </si>
  <si>
    <t>84665</t>
  </si>
  <si>
    <t>21426</t>
  </si>
  <si>
    <t>22269</t>
  </si>
  <si>
    <t>22035</t>
  </si>
  <si>
    <t>21684</t>
  </si>
  <si>
    <t>22520</t>
  </si>
  <si>
    <t>23425</t>
  </si>
  <si>
    <t>20772</t>
  </si>
  <si>
    <t>23180</t>
  </si>
  <si>
    <t>22116</t>
  </si>
  <si>
    <t>84637</t>
  </si>
  <si>
    <t>21473</t>
  </si>
  <si>
    <t>22288</t>
  </si>
  <si>
    <t>21171</t>
  </si>
  <si>
    <t>23018</t>
  </si>
  <si>
    <t>22420</t>
  </si>
  <si>
    <t>20893</t>
  </si>
  <si>
    <t>20764</t>
  </si>
  <si>
    <t>22021</t>
  </si>
  <si>
    <t>85036B</t>
  </si>
  <si>
    <t>22515</t>
  </si>
  <si>
    <t>22359</t>
  </si>
  <si>
    <t>85170C</t>
  </si>
  <si>
    <t>22233</t>
  </si>
  <si>
    <t>21769</t>
  </si>
  <si>
    <t>21709</t>
  </si>
  <si>
    <t>72598</t>
  </si>
  <si>
    <t>84625A</t>
  </si>
  <si>
    <t>22232</t>
  </si>
  <si>
    <t>23520</t>
  </si>
  <si>
    <t>22255</t>
  </si>
  <si>
    <t>21159</t>
  </si>
  <si>
    <t>35971</t>
  </si>
  <si>
    <t>21448</t>
  </si>
  <si>
    <t>85017B</t>
  </si>
  <si>
    <t>21014</t>
  </si>
  <si>
    <t>22266</t>
  </si>
  <si>
    <t>22642</t>
  </si>
  <si>
    <t>17012B</t>
  </si>
  <si>
    <t>21292</t>
  </si>
  <si>
    <t>23377</t>
  </si>
  <si>
    <t>21253</t>
  </si>
  <si>
    <t>22247</t>
  </si>
  <si>
    <t>21581</t>
  </si>
  <si>
    <t>21015</t>
  </si>
  <si>
    <t>22319</t>
  </si>
  <si>
    <t>23499</t>
  </si>
  <si>
    <t>85180B</t>
  </si>
  <si>
    <t>22096</t>
  </si>
  <si>
    <t>85144</t>
  </si>
  <si>
    <t>23565</t>
  </si>
  <si>
    <t>84748</t>
  </si>
  <si>
    <t>21576</t>
  </si>
  <si>
    <t>22825</t>
  </si>
  <si>
    <t>22703</t>
  </si>
  <si>
    <t>85071A</t>
  </si>
  <si>
    <t>85172</t>
  </si>
  <si>
    <t>20832</t>
  </si>
  <si>
    <t>23537</t>
  </si>
  <si>
    <t>21096</t>
  </si>
  <si>
    <t>85136A</t>
  </si>
  <si>
    <t>20702</t>
  </si>
  <si>
    <t>22260</t>
  </si>
  <si>
    <t>84352</t>
  </si>
  <si>
    <t>21264</t>
  </si>
  <si>
    <t>22820</t>
  </si>
  <si>
    <t>23016</t>
  </si>
  <si>
    <t>23125</t>
  </si>
  <si>
    <t>22337</t>
  </si>
  <si>
    <t>21675</t>
  </si>
  <si>
    <t>21468</t>
  </si>
  <si>
    <t>21277</t>
  </si>
  <si>
    <t>47310M</t>
  </si>
  <si>
    <t>23455</t>
  </si>
  <si>
    <t>85130D</t>
  </si>
  <si>
    <t>21251</t>
  </si>
  <si>
    <t>23069</t>
  </si>
  <si>
    <t>85161</t>
  </si>
  <si>
    <t>23219</t>
  </si>
  <si>
    <t>84796A</t>
  </si>
  <si>
    <t>23381</t>
  </si>
  <si>
    <t>21488</t>
  </si>
  <si>
    <t>22482</t>
  </si>
  <si>
    <t>22272</t>
  </si>
  <si>
    <t>85019A</t>
  </si>
  <si>
    <t>23272</t>
  </si>
  <si>
    <t>84569D</t>
  </si>
  <si>
    <t>21219</t>
  </si>
  <si>
    <t>85032D</t>
  </si>
  <si>
    <t>71279</t>
  </si>
  <si>
    <t>84912A</t>
  </si>
  <si>
    <t>85016</t>
  </si>
  <si>
    <t>85163A</t>
  </si>
  <si>
    <t>21849</t>
  </si>
  <si>
    <t>85025B</t>
  </si>
  <si>
    <t>23451</t>
  </si>
  <si>
    <t>21194</t>
  </si>
  <si>
    <t>90062</t>
  </si>
  <si>
    <t>21662</t>
  </si>
  <si>
    <t>85187</t>
  </si>
  <si>
    <t>23074</t>
  </si>
  <si>
    <t>23457</t>
  </si>
  <si>
    <t>84951B</t>
  </si>
  <si>
    <t>17129F</t>
  </si>
  <si>
    <t>84951A</t>
  </si>
  <si>
    <t>35599D</t>
  </si>
  <si>
    <t>23473</t>
  </si>
  <si>
    <t>47563A</t>
  </si>
  <si>
    <t>21638</t>
  </si>
  <si>
    <t>35599B</t>
  </si>
  <si>
    <t>35965</t>
  </si>
  <si>
    <t>17012D</t>
  </si>
  <si>
    <t>22903</t>
  </si>
  <si>
    <t>21397</t>
  </si>
  <si>
    <t>22261</t>
  </si>
  <si>
    <t>23549</t>
  </si>
  <si>
    <t>23484</t>
  </si>
  <si>
    <t>21128</t>
  </si>
  <si>
    <t>85107</t>
  </si>
  <si>
    <t>84598</t>
  </si>
  <si>
    <t>22023</t>
  </si>
  <si>
    <t>22513</t>
  </si>
  <si>
    <t>23043</t>
  </si>
  <si>
    <t>23398</t>
  </si>
  <si>
    <t>22496</t>
  </si>
  <si>
    <t>84625C</t>
  </si>
  <si>
    <t>22717</t>
  </si>
  <si>
    <t>82613D</t>
  </si>
  <si>
    <t>85088</t>
  </si>
  <si>
    <t>23660</t>
  </si>
  <si>
    <t>85114c</t>
  </si>
  <si>
    <t>22521</t>
  </si>
  <si>
    <t>22543</t>
  </si>
  <si>
    <t>17012F</t>
  </si>
  <si>
    <t>35241</t>
  </si>
  <si>
    <t>21801</t>
  </si>
  <si>
    <t>21270</t>
  </si>
  <si>
    <t>23139</t>
  </si>
  <si>
    <t>75131</t>
  </si>
  <si>
    <t>22709</t>
  </si>
  <si>
    <t>21059</t>
  </si>
  <si>
    <t>23060</t>
  </si>
  <si>
    <t>22707</t>
  </si>
  <si>
    <t>22275</t>
  </si>
  <si>
    <t>22248</t>
  </si>
  <si>
    <t>85104</t>
  </si>
  <si>
    <t>85135B</t>
  </si>
  <si>
    <t>20785</t>
  </si>
  <si>
    <t>22861</t>
  </si>
  <si>
    <t>85025C</t>
  </si>
  <si>
    <t>23336</t>
  </si>
  <si>
    <t>85131B</t>
  </si>
  <si>
    <t>84816</t>
  </si>
  <si>
    <t>84313B</t>
  </si>
  <si>
    <t>20761</t>
  </si>
  <si>
    <t>21455</t>
  </si>
  <si>
    <t>21711</t>
  </si>
  <si>
    <t>22216</t>
  </si>
  <si>
    <t>23136</t>
  </si>
  <si>
    <t>22280</t>
  </si>
  <si>
    <t>21926</t>
  </si>
  <si>
    <t>21654</t>
  </si>
  <si>
    <t>72819</t>
  </si>
  <si>
    <t>84520B</t>
  </si>
  <si>
    <t>20681</t>
  </si>
  <si>
    <t>21067</t>
  </si>
  <si>
    <t>82616B</t>
  </si>
  <si>
    <t>20998</t>
  </si>
  <si>
    <t>23021</t>
  </si>
  <si>
    <t>22127</t>
  </si>
  <si>
    <t>84687</t>
  </si>
  <si>
    <t>84616</t>
  </si>
  <si>
    <t>21925</t>
  </si>
  <si>
    <t>84509C</t>
  </si>
  <si>
    <t>23560</t>
  </si>
  <si>
    <t>21710</t>
  </si>
  <si>
    <t>82613B</t>
  </si>
  <si>
    <t>82616C</t>
  </si>
  <si>
    <t>85231G</t>
  </si>
  <si>
    <t>23117</t>
  </si>
  <si>
    <t>20766</t>
  </si>
  <si>
    <t>22181</t>
  </si>
  <si>
    <t>21972</t>
  </si>
  <si>
    <t>22050</t>
  </si>
  <si>
    <t>23466</t>
  </si>
  <si>
    <t>23045</t>
  </si>
  <si>
    <t>22516</t>
  </si>
  <si>
    <t>84970s</t>
  </si>
  <si>
    <t>22511</t>
  </si>
  <si>
    <t>21358</t>
  </si>
  <si>
    <t>21850</t>
  </si>
  <si>
    <t>35598D</t>
  </si>
  <si>
    <t>46776C</t>
  </si>
  <si>
    <t>21632</t>
  </si>
  <si>
    <t>85194S</t>
  </si>
  <si>
    <t>35809A</t>
  </si>
  <si>
    <t>21202</t>
  </si>
  <si>
    <t>21867</t>
  </si>
  <si>
    <t>21454</t>
  </si>
  <si>
    <t>84820</t>
  </si>
  <si>
    <t>17012C</t>
  </si>
  <si>
    <t>23218</t>
  </si>
  <si>
    <t>21634</t>
  </si>
  <si>
    <t>22638</t>
  </si>
  <si>
    <t>23691</t>
  </si>
  <si>
    <t>22230</t>
  </si>
  <si>
    <t>21587</t>
  </si>
  <si>
    <t>90209C</t>
  </si>
  <si>
    <t>21741</t>
  </si>
  <si>
    <t>84849B</t>
  </si>
  <si>
    <t>20803</t>
  </si>
  <si>
    <t>23422</t>
  </si>
  <si>
    <t>85049F</t>
  </si>
  <si>
    <t>21472</t>
  </si>
  <si>
    <t>23561</t>
  </si>
  <si>
    <t>85093</t>
  </si>
  <si>
    <t>22184</t>
  </si>
  <si>
    <t>21366</t>
  </si>
  <si>
    <t>84674</t>
  </si>
  <si>
    <t>20716</t>
  </si>
  <si>
    <t>20707</t>
  </si>
  <si>
    <t>20615</t>
  </si>
  <si>
    <t>20831</t>
  </si>
  <si>
    <t>84917</t>
  </si>
  <si>
    <t>22647</t>
  </si>
  <si>
    <t>23379</t>
  </si>
  <si>
    <t>21374</t>
  </si>
  <si>
    <t>22517</t>
  </si>
  <si>
    <t>20838</t>
  </si>
  <si>
    <t>35598B</t>
  </si>
  <si>
    <t>21003</t>
  </si>
  <si>
    <t>22344</t>
  </si>
  <si>
    <t>21063</t>
  </si>
  <si>
    <t>21062</t>
  </si>
  <si>
    <t>23023</t>
  </si>
  <si>
    <t>21220</t>
  </si>
  <si>
    <t>17096</t>
  </si>
  <si>
    <t>21851</t>
  </si>
  <si>
    <t>35004G</t>
  </si>
  <si>
    <t>21415</t>
  </si>
  <si>
    <t>84920</t>
  </si>
  <si>
    <t>84916</t>
  </si>
  <si>
    <t>85169C</t>
  </si>
  <si>
    <t>23509</t>
  </si>
  <si>
    <t>21061</t>
  </si>
  <si>
    <t>21641</t>
  </si>
  <si>
    <t>23548</t>
  </si>
  <si>
    <t>48189</t>
  </si>
  <si>
    <t>84872A</t>
  </si>
  <si>
    <t>20770</t>
  </si>
  <si>
    <t>22640</t>
  </si>
  <si>
    <t>22598</t>
  </si>
  <si>
    <t>20669</t>
  </si>
  <si>
    <t>21365</t>
  </si>
  <si>
    <t>84600</t>
  </si>
  <si>
    <t>22486</t>
  </si>
  <si>
    <t>84976</t>
  </si>
  <si>
    <t>22390</t>
  </si>
  <si>
    <t>22643</t>
  </si>
  <si>
    <t>82613C</t>
  </si>
  <si>
    <t>21656</t>
  </si>
  <si>
    <t>21580</t>
  </si>
  <si>
    <t>20903</t>
  </si>
  <si>
    <t>20768</t>
  </si>
  <si>
    <t>85111</t>
  </si>
  <si>
    <t>35637A</t>
  </si>
  <si>
    <t>20619</t>
  </si>
  <si>
    <t>21828</t>
  </si>
  <si>
    <t>85130C</t>
  </si>
  <si>
    <t>22545</t>
  </si>
  <si>
    <t>17107D</t>
  </si>
  <si>
    <t>23044</t>
  </si>
  <si>
    <t>84360</t>
  </si>
  <si>
    <t>35653</t>
  </si>
  <si>
    <t>85168B</t>
  </si>
  <si>
    <t>22229</t>
  </si>
  <si>
    <t>84931B</t>
  </si>
  <si>
    <t>23058</t>
  </si>
  <si>
    <t>20705</t>
  </si>
  <si>
    <t>21002</t>
  </si>
  <si>
    <t>21088</t>
  </si>
  <si>
    <t>77101A</t>
  </si>
  <si>
    <t>85071C</t>
  </si>
  <si>
    <t>21758</t>
  </si>
  <si>
    <t>84658</t>
  </si>
  <si>
    <t>21318</t>
  </si>
  <si>
    <t>20934</t>
  </si>
  <si>
    <t>72799F</t>
  </si>
  <si>
    <t>20765</t>
  </si>
  <si>
    <t>90200E</t>
  </si>
  <si>
    <t>90154</t>
  </si>
  <si>
    <t>85136C</t>
  </si>
  <si>
    <t>20762</t>
  </si>
  <si>
    <t>22051</t>
  </si>
  <si>
    <t>21129</t>
  </si>
  <si>
    <t>22134</t>
  </si>
  <si>
    <t>85208</t>
  </si>
  <si>
    <t>84970l</t>
  </si>
  <si>
    <t>90114</t>
  </si>
  <si>
    <t>22405</t>
  </si>
  <si>
    <t>84821</t>
  </si>
  <si>
    <t>22214</t>
  </si>
  <si>
    <t>21147</t>
  </si>
  <si>
    <t>22108</t>
  </si>
  <si>
    <t>21817</t>
  </si>
  <si>
    <t>21579</t>
  </si>
  <si>
    <t>21285</t>
  </si>
  <si>
    <t>21884</t>
  </si>
  <si>
    <t>90161C</t>
  </si>
  <si>
    <t>23459</t>
  </si>
  <si>
    <t>15056p</t>
  </si>
  <si>
    <t>23415</t>
  </si>
  <si>
    <t>84596E</t>
  </si>
  <si>
    <t>84806B</t>
  </si>
  <si>
    <t>22447</t>
  </si>
  <si>
    <t>20830</t>
  </si>
  <si>
    <t>85203</t>
  </si>
  <si>
    <t>16219</t>
  </si>
  <si>
    <t>22510</t>
  </si>
  <si>
    <t>35964</t>
  </si>
  <si>
    <t>23339</t>
  </si>
  <si>
    <t>22406</t>
  </si>
  <si>
    <t>23576</t>
  </si>
  <si>
    <t>23429</t>
  </si>
  <si>
    <t>23039</t>
  </si>
  <si>
    <t>22345</t>
  </si>
  <si>
    <t>37476</t>
  </si>
  <si>
    <t>21131</t>
  </si>
  <si>
    <t>84974</t>
  </si>
  <si>
    <t>18007</t>
  </si>
  <si>
    <t>47421</t>
  </si>
  <si>
    <t>22256</t>
  </si>
  <si>
    <t>23661</t>
  </si>
  <si>
    <t>22048</t>
  </si>
  <si>
    <t>20867</t>
  </si>
  <si>
    <t>84247E</t>
  </si>
  <si>
    <t>90200B</t>
  </si>
  <si>
    <t>23116</t>
  </si>
  <si>
    <t>84826</t>
  </si>
  <si>
    <t>23150</t>
  </si>
  <si>
    <t>85232A</t>
  </si>
  <si>
    <t>21373</t>
  </si>
  <si>
    <t>23337</t>
  </si>
  <si>
    <t>35095A</t>
  </si>
  <si>
    <t>21879</t>
  </si>
  <si>
    <t>20854</t>
  </si>
  <si>
    <t>21881</t>
  </si>
  <si>
    <t>21197</t>
  </si>
  <si>
    <t>84919</t>
  </si>
  <si>
    <t>22346</t>
  </si>
  <si>
    <t>85179A</t>
  </si>
  <si>
    <t>21562</t>
  </si>
  <si>
    <t>16045</t>
  </si>
  <si>
    <t>46776D</t>
  </si>
  <si>
    <t>90161B</t>
  </si>
  <si>
    <t>21051</t>
  </si>
  <si>
    <t>90160C</t>
  </si>
  <si>
    <t>47367B</t>
  </si>
  <si>
    <t>21284</t>
  </si>
  <si>
    <t>17012A</t>
  </si>
  <si>
    <t>84559A</t>
  </si>
  <si>
    <t>21635</t>
  </si>
  <si>
    <t>84663A</t>
  </si>
  <si>
    <t>20782</t>
  </si>
  <si>
    <t>21945</t>
  </si>
  <si>
    <t>16011</t>
  </si>
  <si>
    <t>84915</t>
  </si>
  <si>
    <t>21689</t>
  </si>
  <si>
    <t>84563A</t>
  </si>
  <si>
    <t>23575</t>
  </si>
  <si>
    <t>22532</t>
  </si>
  <si>
    <t>22769</t>
  </si>
  <si>
    <t>22265</t>
  </si>
  <si>
    <t>21000</t>
  </si>
  <si>
    <t>21320</t>
  </si>
  <si>
    <t>23579</t>
  </si>
  <si>
    <t>21286</t>
  </si>
  <si>
    <t>35957</t>
  </si>
  <si>
    <t>21348</t>
  </si>
  <si>
    <t>16008</t>
  </si>
  <si>
    <t>85049e</t>
  </si>
  <si>
    <t>84632</t>
  </si>
  <si>
    <t>35954</t>
  </si>
  <si>
    <t>21060</t>
  </si>
  <si>
    <t>84563B</t>
  </si>
  <si>
    <t>90209B</t>
  </si>
  <si>
    <t>20856</t>
  </si>
  <si>
    <t>21263</t>
  </si>
  <si>
    <t>22100</t>
  </si>
  <si>
    <t>82095</t>
  </si>
  <si>
    <t>85169D</t>
  </si>
  <si>
    <t>85169B</t>
  </si>
  <si>
    <t>84569A</t>
  </si>
  <si>
    <t>21724</t>
  </si>
  <si>
    <t>21001</t>
  </si>
  <si>
    <t>37482P</t>
  </si>
  <si>
    <t>21664</t>
  </si>
  <si>
    <t>21723</t>
  </si>
  <si>
    <t>23420</t>
  </si>
  <si>
    <t>23421</t>
  </si>
  <si>
    <t>21222</t>
  </si>
  <si>
    <t>79030D</t>
  </si>
  <si>
    <t>35095B</t>
  </si>
  <si>
    <t>20652</t>
  </si>
  <si>
    <t>21555</t>
  </si>
  <si>
    <t>22529</t>
  </si>
  <si>
    <t>84924A</t>
  </si>
  <si>
    <t>84631</t>
  </si>
  <si>
    <t>21421</t>
  </si>
  <si>
    <t>23015</t>
  </si>
  <si>
    <t>20700</t>
  </si>
  <si>
    <t>47591B</t>
  </si>
  <si>
    <t>84849A</t>
  </si>
  <si>
    <t>85129D</t>
  </si>
  <si>
    <t>22104</t>
  </si>
  <si>
    <t>90149</t>
  </si>
  <si>
    <t>47559b</t>
  </si>
  <si>
    <t>84766</t>
  </si>
  <si>
    <t>21221</t>
  </si>
  <si>
    <t>71270</t>
  </si>
  <si>
    <t>22547</t>
  </si>
  <si>
    <t>21167</t>
  </si>
  <si>
    <t>72122</t>
  </si>
  <si>
    <t>84926E</t>
  </si>
  <si>
    <t>85213</t>
  </si>
  <si>
    <t>23047</t>
  </si>
  <si>
    <t>85230B</t>
  </si>
  <si>
    <t>22259</t>
  </si>
  <si>
    <t>84952B</t>
  </si>
  <si>
    <t>84638</t>
  </si>
  <si>
    <t>21248</t>
  </si>
  <si>
    <t>90200A</t>
  </si>
  <si>
    <t>16259</t>
  </si>
  <si>
    <t>84708B</t>
  </si>
  <si>
    <t>85204</t>
  </si>
  <si>
    <t>23037</t>
  </si>
  <si>
    <t>23478</t>
  </si>
  <si>
    <t>90147</t>
  </si>
  <si>
    <t>23695</t>
  </si>
  <si>
    <t>85205B</t>
  </si>
  <si>
    <t>22135</t>
  </si>
  <si>
    <t>84931A</t>
  </si>
  <si>
    <t>84509c</t>
  </si>
  <si>
    <t>21403</t>
  </si>
  <si>
    <t>22092</t>
  </si>
  <si>
    <t>16238</t>
  </si>
  <si>
    <t>21425</t>
  </si>
  <si>
    <t>16236</t>
  </si>
  <si>
    <t>21371</t>
  </si>
  <si>
    <t>20936</t>
  </si>
  <si>
    <t>21026</t>
  </si>
  <si>
    <t>22202</t>
  </si>
  <si>
    <t>90161D</t>
  </si>
  <si>
    <t>72586</t>
  </si>
  <si>
    <t>84876B</t>
  </si>
  <si>
    <t>20780</t>
  </si>
  <si>
    <t>84884a</t>
  </si>
  <si>
    <t>46118</t>
  </si>
  <si>
    <t>22765</t>
  </si>
  <si>
    <t>85170B</t>
  </si>
  <si>
    <t>35915C</t>
  </si>
  <si>
    <t>90198A</t>
  </si>
  <si>
    <t>21375</t>
  </si>
  <si>
    <t>85202</t>
  </si>
  <si>
    <t>47594B</t>
  </si>
  <si>
    <t>84584</t>
  </si>
  <si>
    <t>21841</t>
  </si>
  <si>
    <t>17084N</t>
  </si>
  <si>
    <t>85014b</t>
  </si>
  <si>
    <t>21942</t>
  </si>
  <si>
    <t>84358</t>
  </si>
  <si>
    <t>21442</t>
  </si>
  <si>
    <t>21944</t>
  </si>
  <si>
    <t>47021G</t>
  </si>
  <si>
    <t>22124</t>
  </si>
  <si>
    <t>21719</t>
  </si>
  <si>
    <t>23495</t>
  </si>
  <si>
    <t>20622</t>
  </si>
  <si>
    <t>22040</t>
  </si>
  <si>
    <t>22043</t>
  </si>
  <si>
    <t>22641</t>
  </si>
  <si>
    <t>23430</t>
  </si>
  <si>
    <t>35912B</t>
  </si>
  <si>
    <t>84661B</t>
  </si>
  <si>
    <t>22409</t>
  </si>
  <si>
    <t>21761</t>
  </si>
  <si>
    <t>23440</t>
  </si>
  <si>
    <t>20897</t>
  </si>
  <si>
    <t>90184B</t>
  </si>
  <si>
    <t>84596J</t>
  </si>
  <si>
    <t>22049</t>
  </si>
  <si>
    <t>85186A</t>
  </si>
  <si>
    <t>79051A</t>
  </si>
  <si>
    <t>20655</t>
  </si>
  <si>
    <t>35911A</t>
  </si>
  <si>
    <t>21441</t>
  </si>
  <si>
    <t>23567</t>
  </si>
  <si>
    <t>72800B</t>
  </si>
  <si>
    <t>21386</t>
  </si>
  <si>
    <t>23410</t>
  </si>
  <si>
    <t>16015</t>
  </si>
  <si>
    <t>85024B</t>
  </si>
  <si>
    <t>21503</t>
  </si>
  <si>
    <t>46776E</t>
  </si>
  <si>
    <t>79190B</t>
  </si>
  <si>
    <t>71403</t>
  </si>
  <si>
    <t>20618</t>
  </si>
  <si>
    <t>37413</t>
  </si>
  <si>
    <t>18094C</t>
  </si>
  <si>
    <t>21666</t>
  </si>
  <si>
    <t>16218</t>
  </si>
  <si>
    <t>20794</t>
  </si>
  <si>
    <t>20777</t>
  </si>
  <si>
    <t>84341B</t>
  </si>
  <si>
    <t>84872a</t>
  </si>
  <si>
    <t>23481</t>
  </si>
  <si>
    <t>22257</t>
  </si>
  <si>
    <t>71101E</t>
  </si>
  <si>
    <t>85188A</t>
  </si>
  <si>
    <t>21725</t>
  </si>
  <si>
    <t>16169M</t>
  </si>
  <si>
    <t>21293</t>
  </si>
  <si>
    <t>84926D</t>
  </si>
  <si>
    <t>85049g</t>
  </si>
  <si>
    <t>23137</t>
  </si>
  <si>
    <t>21250</t>
  </si>
  <si>
    <t>20684</t>
  </si>
  <si>
    <t>22512</t>
  </si>
  <si>
    <t>22052</t>
  </si>
  <si>
    <t>84859A</t>
  </si>
  <si>
    <t>23141</t>
  </si>
  <si>
    <t>22889</t>
  </si>
  <si>
    <t>20755</t>
  </si>
  <si>
    <t>21815</t>
  </si>
  <si>
    <t>20734</t>
  </si>
  <si>
    <t>85214</t>
  </si>
  <si>
    <t>23474</t>
  </si>
  <si>
    <t>85019C</t>
  </si>
  <si>
    <t>21275</t>
  </si>
  <si>
    <t>35001W</t>
  </si>
  <si>
    <t>20771</t>
  </si>
  <si>
    <t>21785</t>
  </si>
  <si>
    <t>85186C</t>
  </si>
  <si>
    <t>21644</t>
  </si>
  <si>
    <t>21332</t>
  </si>
  <si>
    <t>17013D</t>
  </si>
  <si>
    <t>21445</t>
  </si>
  <si>
    <t>85230E</t>
  </si>
  <si>
    <t>21265</t>
  </si>
  <si>
    <t>84795b</t>
  </si>
  <si>
    <t>21279</t>
  </si>
  <si>
    <t>20699</t>
  </si>
  <si>
    <t>85039C</t>
  </si>
  <si>
    <t>90160A</t>
  </si>
  <si>
    <t>72800C</t>
  </si>
  <si>
    <t>23476</t>
  </si>
  <si>
    <t>90160D</t>
  </si>
  <si>
    <t>84952A</t>
  </si>
  <si>
    <t>85124B</t>
  </si>
  <si>
    <t>18098c</t>
  </si>
  <si>
    <t>85124C</t>
  </si>
  <si>
    <t>84858C</t>
  </si>
  <si>
    <t>47422</t>
  </si>
  <si>
    <t>16012</t>
  </si>
  <si>
    <t>79337</t>
  </si>
  <si>
    <t>21324</t>
  </si>
  <si>
    <t>78124</t>
  </si>
  <si>
    <t>20997</t>
  </si>
  <si>
    <t>35915B</t>
  </si>
  <si>
    <t>85230G</t>
  </si>
  <si>
    <t>21458</t>
  </si>
  <si>
    <t>21427</t>
  </si>
  <si>
    <t>84952C</t>
  </si>
  <si>
    <t>21269</t>
  </si>
  <si>
    <t>21379</t>
  </si>
  <si>
    <t>21547</t>
  </si>
  <si>
    <t>48173c</t>
  </si>
  <si>
    <t>90201B</t>
  </si>
  <si>
    <t>21882</t>
  </si>
  <si>
    <t>35967</t>
  </si>
  <si>
    <t>90143</t>
  </si>
  <si>
    <t>23149</t>
  </si>
  <si>
    <t>22164</t>
  </si>
  <si>
    <t>85071D</t>
  </si>
  <si>
    <t>20659</t>
  </si>
  <si>
    <t>21647</t>
  </si>
  <si>
    <t>22954</t>
  </si>
  <si>
    <t>23465</t>
  </si>
  <si>
    <t>22410</t>
  </si>
  <si>
    <t>84678</t>
  </si>
  <si>
    <t>22869</t>
  </si>
  <si>
    <t>90175A</t>
  </si>
  <si>
    <t>22391</t>
  </si>
  <si>
    <t>21676</t>
  </si>
  <si>
    <t>21190</t>
  </si>
  <si>
    <t>20819</t>
  </si>
  <si>
    <t>84422</t>
  </si>
  <si>
    <t>20616</t>
  </si>
  <si>
    <t>85095</t>
  </si>
  <si>
    <t>85094</t>
  </si>
  <si>
    <t>22870</t>
  </si>
  <si>
    <t>23475</t>
  </si>
  <si>
    <t>84592</t>
  </si>
  <si>
    <t>47469</t>
  </si>
  <si>
    <t>23143</t>
  </si>
  <si>
    <t>21028</t>
  </si>
  <si>
    <t>72131</t>
  </si>
  <si>
    <t>22137</t>
  </si>
  <si>
    <t>23580</t>
  </si>
  <si>
    <t>21360</t>
  </si>
  <si>
    <t>85023B</t>
  </si>
  <si>
    <t>20775</t>
  </si>
  <si>
    <t>47351B</t>
  </si>
  <si>
    <t>16216</t>
  </si>
  <si>
    <t>23036</t>
  </si>
  <si>
    <t>21025</t>
  </si>
  <si>
    <t>90058B</t>
  </si>
  <si>
    <t>84857C</t>
  </si>
  <si>
    <t>85099f</t>
  </si>
  <si>
    <t>23447</t>
  </si>
  <si>
    <t>84712B</t>
  </si>
  <si>
    <t>21161</t>
  </si>
  <si>
    <t>20696</t>
  </si>
  <si>
    <t>22394</t>
  </si>
  <si>
    <t>21973</t>
  </si>
  <si>
    <t>23446</t>
  </si>
  <si>
    <t>90206C</t>
  </si>
  <si>
    <t>85040B</t>
  </si>
  <si>
    <t>72800D</t>
  </si>
  <si>
    <t>85200</t>
  </si>
  <si>
    <t>90010E</t>
  </si>
  <si>
    <t>21157</t>
  </si>
  <si>
    <t>23003</t>
  </si>
  <si>
    <t>90201D</t>
  </si>
  <si>
    <t>22031</t>
  </si>
  <si>
    <t>85014a</t>
  </si>
  <si>
    <t>90158</t>
  </si>
  <si>
    <t>21657</t>
  </si>
  <si>
    <t>84218</t>
  </si>
  <si>
    <t>21364</t>
  </si>
  <si>
    <t>21456</t>
  </si>
  <si>
    <t>84711A</t>
  </si>
  <si>
    <t>20781</t>
  </si>
  <si>
    <t>84876D</t>
  </si>
  <si>
    <t>22395</t>
  </si>
  <si>
    <t>35914</t>
  </si>
  <si>
    <t>20868</t>
  </si>
  <si>
    <t>75178</t>
  </si>
  <si>
    <t>21378</t>
  </si>
  <si>
    <t>21316</t>
  </si>
  <si>
    <t>90014A</t>
  </si>
  <si>
    <t>20847</t>
  </si>
  <si>
    <t>20769</t>
  </si>
  <si>
    <t>21132</t>
  </si>
  <si>
    <t>84559B</t>
  </si>
  <si>
    <t>84051</t>
  </si>
  <si>
    <t>21377</t>
  </si>
  <si>
    <t>90120C</t>
  </si>
  <si>
    <t>21520</t>
  </si>
  <si>
    <t>84510C</t>
  </si>
  <si>
    <t>22882</t>
  </si>
  <si>
    <t>90200C</t>
  </si>
  <si>
    <t>72127</t>
  </si>
  <si>
    <t>84877B</t>
  </si>
  <si>
    <t>84707B</t>
  </si>
  <si>
    <t>84926A</t>
  </si>
  <si>
    <t>90175D</t>
  </si>
  <si>
    <t>90160B</t>
  </si>
  <si>
    <t>21750</t>
  </si>
  <si>
    <t>90192</t>
  </si>
  <si>
    <t>21651</t>
  </si>
  <si>
    <t>90119</t>
  </si>
  <si>
    <t>16048</t>
  </si>
  <si>
    <t>20763</t>
  </si>
  <si>
    <t>21726</t>
  </si>
  <si>
    <t>22878</t>
  </si>
  <si>
    <t>84875B</t>
  </si>
  <si>
    <t>85230A</t>
  </si>
  <si>
    <t>21911</t>
  </si>
  <si>
    <t>84688</t>
  </si>
  <si>
    <t>47578A</t>
  </si>
  <si>
    <t>90201A</t>
  </si>
  <si>
    <t>22541</t>
  </si>
  <si>
    <t>85179C</t>
  </si>
  <si>
    <t>22880</t>
  </si>
  <si>
    <t>44235</t>
  </si>
  <si>
    <t>84968e</t>
  </si>
  <si>
    <t>47594A</t>
  </si>
  <si>
    <t>16156L</t>
  </si>
  <si>
    <t>22038</t>
  </si>
  <si>
    <t>21367</t>
  </si>
  <si>
    <t>22289</t>
  </si>
  <si>
    <t>21376</t>
  </si>
  <si>
    <t>22881</t>
  </si>
  <si>
    <t>90019A</t>
  </si>
  <si>
    <t>22263</t>
  </si>
  <si>
    <t>22044</t>
  </si>
  <si>
    <t>71143</t>
  </si>
  <si>
    <t>90013A</t>
  </si>
  <si>
    <t>84926F</t>
  </si>
  <si>
    <t>20617</t>
  </si>
  <si>
    <t>23697</t>
  </si>
  <si>
    <t>22884</t>
  </si>
  <si>
    <t>20654</t>
  </si>
  <si>
    <t>90018A</t>
  </si>
  <si>
    <t>90082A</t>
  </si>
  <si>
    <t>21306</t>
  </si>
  <si>
    <t>84910A</t>
  </si>
  <si>
    <t>22883</t>
  </si>
  <si>
    <t>47471</t>
  </si>
  <si>
    <t>85045</t>
  </si>
  <si>
    <t>90030B</t>
  </si>
  <si>
    <t>90184C</t>
  </si>
  <si>
    <t>21027</t>
  </si>
  <si>
    <t>21418</t>
  </si>
  <si>
    <t>21196</t>
  </si>
  <si>
    <t>21807</t>
  </si>
  <si>
    <t>21311</t>
  </si>
  <si>
    <t>85020</t>
  </si>
  <si>
    <t>84804B</t>
  </si>
  <si>
    <t>20694</t>
  </si>
  <si>
    <t>84711B</t>
  </si>
  <si>
    <t>84535A</t>
  </si>
  <si>
    <t>21826</t>
  </si>
  <si>
    <t>21402</t>
  </si>
  <si>
    <t>84429A</t>
  </si>
  <si>
    <t>90201C</t>
  </si>
  <si>
    <t>78033</t>
  </si>
  <si>
    <t>72801d</t>
  </si>
  <si>
    <t>23416</t>
  </si>
  <si>
    <t>90016B</t>
  </si>
  <si>
    <t>85055</t>
  </si>
  <si>
    <t>84509E</t>
  </si>
  <si>
    <t>84927F</t>
  </si>
  <si>
    <t>22032</t>
  </si>
  <si>
    <t>84907</t>
  </si>
  <si>
    <t>85215</t>
  </si>
  <si>
    <t>72801C</t>
  </si>
  <si>
    <t>84804A</t>
  </si>
  <si>
    <t>84859C</t>
  </si>
  <si>
    <t>22157</t>
  </si>
  <si>
    <t>21721</t>
  </si>
  <si>
    <t>79190A</t>
  </si>
  <si>
    <t>40003</t>
  </si>
  <si>
    <t>16258A</t>
  </si>
  <si>
    <t>21847</t>
  </si>
  <si>
    <t>85131C</t>
  </si>
  <si>
    <t>22872</t>
  </si>
  <si>
    <t>84685</t>
  </si>
  <si>
    <t>21319</t>
  </si>
  <si>
    <t>84507C</t>
  </si>
  <si>
    <t>85211</t>
  </si>
  <si>
    <t>22764</t>
  </si>
  <si>
    <t>90197B</t>
  </si>
  <si>
    <t>84691</t>
  </si>
  <si>
    <t>84800M</t>
  </si>
  <si>
    <t>35810B</t>
  </si>
  <si>
    <t>84905</t>
  </si>
  <si>
    <t>22042</t>
  </si>
  <si>
    <t>16168M</t>
  </si>
  <si>
    <t>22885</t>
  </si>
  <si>
    <t>47481</t>
  </si>
  <si>
    <t>21030</t>
  </si>
  <si>
    <t>82011C</t>
  </si>
  <si>
    <t>84963A</t>
  </si>
  <si>
    <t>62086A</t>
  </si>
  <si>
    <t>90082B</t>
  </si>
  <si>
    <t>85146</t>
  </si>
  <si>
    <t>21763</t>
  </si>
  <si>
    <t>85129B</t>
  </si>
  <si>
    <t>21333</t>
  </si>
  <si>
    <t>90145</t>
  </si>
  <si>
    <t>84661A</t>
  </si>
  <si>
    <t>85145</t>
  </si>
  <si>
    <t>90010A</t>
  </si>
  <si>
    <t>21457</t>
  </si>
  <si>
    <t>21280</t>
  </si>
  <si>
    <t>21331</t>
  </si>
  <si>
    <t>72225C</t>
  </si>
  <si>
    <t>23694</t>
  </si>
  <si>
    <t>22538</t>
  </si>
  <si>
    <t>21698</t>
  </si>
  <si>
    <t>90120B</t>
  </si>
  <si>
    <t>90191</t>
  </si>
  <si>
    <t>90209A</t>
  </si>
  <si>
    <t>22408</t>
  </si>
  <si>
    <t>22871</t>
  </si>
  <si>
    <t>16207A</t>
  </si>
  <si>
    <t>21100</t>
  </si>
  <si>
    <t>84683</t>
  </si>
  <si>
    <t>85114a</t>
  </si>
  <si>
    <t>21369</t>
  </si>
  <si>
    <t>85027L</t>
  </si>
  <si>
    <t>84799</t>
  </si>
  <si>
    <t>21344</t>
  </si>
  <si>
    <t>23305</t>
  </si>
  <si>
    <t>84993A</t>
  </si>
  <si>
    <t>90014B</t>
  </si>
  <si>
    <t>84247G</t>
  </si>
  <si>
    <t>90013C</t>
  </si>
  <si>
    <t>17038</t>
  </si>
  <si>
    <t>23417</t>
  </si>
  <si>
    <t>84508C</t>
  </si>
  <si>
    <t>90134</t>
  </si>
  <si>
    <t>84882</t>
  </si>
  <si>
    <t>35649</t>
  </si>
  <si>
    <t>23468</t>
  </si>
  <si>
    <t>84673B</t>
  </si>
  <si>
    <t>44234</t>
  </si>
  <si>
    <t>21349</t>
  </si>
  <si>
    <t>22353</t>
  </si>
  <si>
    <t>84595E</t>
  </si>
  <si>
    <t>23496</t>
  </si>
  <si>
    <t>84827</t>
  </si>
  <si>
    <t>21614</t>
  </si>
  <si>
    <t>21145</t>
  </si>
  <si>
    <t>90198B</t>
  </si>
  <si>
    <t>84877D</t>
  </si>
  <si>
    <t>84865</t>
  </si>
  <si>
    <t>72128</t>
  </si>
  <si>
    <t>21401</t>
  </si>
  <si>
    <t>22415</t>
  </si>
  <si>
    <t>85135A</t>
  </si>
  <si>
    <t>22874</t>
  </si>
  <si>
    <t>DCGSSBOY</t>
  </si>
  <si>
    <t>21738</t>
  </si>
  <si>
    <t>21459</t>
  </si>
  <si>
    <t>84629</t>
  </si>
  <si>
    <t>84963B</t>
  </si>
  <si>
    <t>90013B</t>
  </si>
  <si>
    <t>46000R</t>
  </si>
  <si>
    <t>21117</t>
  </si>
  <si>
    <t>22875</t>
  </si>
  <si>
    <t>90185D</t>
  </si>
  <si>
    <t>84576</t>
  </si>
  <si>
    <t>21486</t>
  </si>
  <si>
    <t>37479P</t>
  </si>
  <si>
    <t>82011B</t>
  </si>
  <si>
    <t>22868</t>
  </si>
  <si>
    <t>22886</t>
  </si>
  <si>
    <t>84870B</t>
  </si>
  <si>
    <t>84870C</t>
  </si>
  <si>
    <t>90116</t>
  </si>
  <si>
    <t>22873</t>
  </si>
  <si>
    <t>84508B</t>
  </si>
  <si>
    <t>47343A</t>
  </si>
  <si>
    <t>85118</t>
  </si>
  <si>
    <t>DCGSSGIRL</t>
  </si>
  <si>
    <t>20757</t>
  </si>
  <si>
    <t>21368</t>
  </si>
  <si>
    <t>84192</t>
  </si>
  <si>
    <t>21082</t>
  </si>
  <si>
    <t>20837</t>
  </si>
  <si>
    <t>22033</t>
  </si>
  <si>
    <t>20774</t>
  </si>
  <si>
    <t>20661</t>
  </si>
  <si>
    <t>84796a</t>
  </si>
  <si>
    <t>20836</t>
  </si>
  <si>
    <t>90164B</t>
  </si>
  <si>
    <t>16054</t>
  </si>
  <si>
    <t>90170</t>
  </si>
  <si>
    <t>84744</t>
  </si>
  <si>
    <t>22125</t>
  </si>
  <si>
    <t>23463</t>
  </si>
  <si>
    <t>22876</t>
  </si>
  <si>
    <t>75011</t>
  </si>
  <si>
    <t>35922</t>
  </si>
  <si>
    <t>23304</t>
  </si>
  <si>
    <t>79191B</t>
  </si>
  <si>
    <t>22877</t>
  </si>
  <si>
    <t>20758</t>
  </si>
  <si>
    <t>90181B</t>
  </si>
  <si>
    <t>21736</t>
  </si>
  <si>
    <t>21637</t>
  </si>
  <si>
    <t>84660c</t>
  </si>
  <si>
    <t>90073</t>
  </si>
  <si>
    <t>90115</t>
  </si>
  <si>
    <t>21943</t>
  </si>
  <si>
    <t>90028</t>
  </si>
  <si>
    <t>46000U</t>
  </si>
  <si>
    <t>72130</t>
  </si>
  <si>
    <t>35921</t>
  </si>
  <si>
    <t>20823</t>
  </si>
  <si>
    <t>90208</t>
  </si>
  <si>
    <t>62096A</t>
  </si>
  <si>
    <t>21518</t>
  </si>
  <si>
    <t>90210D</t>
  </si>
  <si>
    <t>85039a</t>
  </si>
  <si>
    <t>90185A</t>
  </si>
  <si>
    <t>90164A</t>
  </si>
  <si>
    <t>90210C</t>
  </si>
  <si>
    <t>84510a</t>
  </si>
  <si>
    <t>37467</t>
  </si>
  <si>
    <t>90000D</t>
  </si>
  <si>
    <t>21281</t>
  </si>
  <si>
    <t>47590b</t>
  </si>
  <si>
    <t>72799C</t>
  </si>
  <si>
    <t>21400</t>
  </si>
  <si>
    <t>20826</t>
  </si>
  <si>
    <t>35638B</t>
  </si>
  <si>
    <t>84846A</t>
  </si>
  <si>
    <t>84800S</t>
  </si>
  <si>
    <t>90180A</t>
  </si>
  <si>
    <t>85130A</t>
  </si>
  <si>
    <t>79190D</t>
  </si>
  <si>
    <t>22887</t>
  </si>
  <si>
    <t>23303</t>
  </si>
  <si>
    <t>85067</t>
  </si>
  <si>
    <t>90199C</t>
  </si>
  <si>
    <t>23578</t>
  </si>
  <si>
    <t>84968a</t>
  </si>
  <si>
    <t>22888</t>
  </si>
  <si>
    <t>84228</t>
  </si>
  <si>
    <t>21420</t>
  </si>
  <si>
    <t>23477</t>
  </si>
  <si>
    <t>37343</t>
  </si>
  <si>
    <t>90058A</t>
  </si>
  <si>
    <t>84906</t>
  </si>
  <si>
    <t>90195A</t>
  </si>
  <si>
    <t>90070</t>
  </si>
  <si>
    <t>85086A</t>
  </si>
  <si>
    <t>90129B</t>
  </si>
  <si>
    <t>37333</t>
  </si>
  <si>
    <t>20845</t>
  </si>
  <si>
    <t>90173</t>
  </si>
  <si>
    <t>23467</t>
  </si>
  <si>
    <t>35972</t>
  </si>
  <si>
    <t>90161A</t>
  </si>
  <si>
    <t>90124B</t>
  </si>
  <si>
    <t>90003C</t>
  </si>
  <si>
    <t>84569B</t>
  </si>
  <si>
    <t>90122C</t>
  </si>
  <si>
    <t>10080</t>
  </si>
  <si>
    <t>21032</t>
  </si>
  <si>
    <t>84709B</t>
  </si>
  <si>
    <t>85114b</t>
  </si>
  <si>
    <t>21095</t>
  </si>
  <si>
    <t>84507B</t>
  </si>
  <si>
    <t>90184A</t>
  </si>
  <si>
    <t>21814</t>
  </si>
  <si>
    <t>90183A</t>
  </si>
  <si>
    <t>84741C</t>
  </si>
  <si>
    <t>23151</t>
  </si>
  <si>
    <t>23185</t>
  </si>
  <si>
    <t>72780</t>
  </si>
  <si>
    <t>51020A</t>
  </si>
  <si>
    <t>72812</t>
  </si>
  <si>
    <t>84809A</t>
  </si>
  <si>
    <t>16052</t>
  </si>
  <si>
    <t>90148</t>
  </si>
  <si>
    <t>90130B</t>
  </si>
  <si>
    <t>47518F</t>
  </si>
  <si>
    <t>84457</t>
  </si>
  <si>
    <t>72801D</t>
  </si>
  <si>
    <t>20795</t>
  </si>
  <si>
    <t>47503H</t>
  </si>
  <si>
    <t>84925F</t>
  </si>
  <si>
    <t>90003D</t>
  </si>
  <si>
    <t>90096</t>
  </si>
  <si>
    <t>21678</t>
  </si>
  <si>
    <t>90214A</t>
  </si>
  <si>
    <t>90036E</t>
  </si>
  <si>
    <t>90185C</t>
  </si>
  <si>
    <t>90125D</t>
  </si>
  <si>
    <t>20731</t>
  </si>
  <si>
    <t>85167B</t>
  </si>
  <si>
    <t>21278</t>
  </si>
  <si>
    <t>90124C</t>
  </si>
  <si>
    <t>90122A</t>
  </si>
  <si>
    <t>85096</t>
  </si>
  <si>
    <t>20894</t>
  </si>
  <si>
    <t>21372</t>
  </si>
  <si>
    <t>35916C</t>
  </si>
  <si>
    <t>17090A</t>
  </si>
  <si>
    <t>85129C</t>
  </si>
  <si>
    <t>21904</t>
  </si>
  <si>
    <t>23626</t>
  </si>
  <si>
    <t>35818P</t>
  </si>
  <si>
    <t>35819B</t>
  </si>
  <si>
    <t>90125A</t>
  </si>
  <si>
    <t>20657</t>
  </si>
  <si>
    <t>20898</t>
  </si>
  <si>
    <t>90016A</t>
  </si>
  <si>
    <t>85040a</t>
  </si>
  <si>
    <t>22039</t>
  </si>
  <si>
    <t>23574</t>
  </si>
  <si>
    <t>35920</t>
  </si>
  <si>
    <t>84661C</t>
  </si>
  <si>
    <t>84461</t>
  </si>
  <si>
    <t>17084P</t>
  </si>
  <si>
    <t>20796</t>
  </si>
  <si>
    <t>79144B</t>
  </si>
  <si>
    <t>90032</t>
  </si>
  <si>
    <t>22879</t>
  </si>
  <si>
    <t>90063A</t>
  </si>
  <si>
    <t>90196A</t>
  </si>
  <si>
    <t>20701</t>
  </si>
  <si>
    <t>35637C</t>
  </si>
  <si>
    <t>16033</t>
  </si>
  <si>
    <t>35911B</t>
  </si>
  <si>
    <t>21370</t>
  </si>
  <si>
    <t>22407</t>
  </si>
  <si>
    <t>90010B</t>
  </si>
  <si>
    <t>23611</t>
  </si>
  <si>
    <t>90081C</t>
  </si>
  <si>
    <t>17091A</t>
  </si>
  <si>
    <t>23464</t>
  </si>
  <si>
    <t>84510c</t>
  </si>
  <si>
    <t>84898F</t>
  </si>
  <si>
    <t>79144C</t>
  </si>
  <si>
    <t>90101</t>
  </si>
  <si>
    <t>84723</t>
  </si>
  <si>
    <t>47369B</t>
  </si>
  <si>
    <t>90185B</t>
  </si>
  <si>
    <t>84806A</t>
  </si>
  <si>
    <t>90204</t>
  </si>
  <si>
    <t>84801A</t>
  </si>
  <si>
    <t>90019B</t>
  </si>
  <si>
    <t>72801c</t>
  </si>
  <si>
    <t>21722</t>
  </si>
  <si>
    <t>90174</t>
  </si>
  <si>
    <t>21777</t>
  </si>
  <si>
    <t>90036D</t>
  </si>
  <si>
    <t>90146</t>
  </si>
  <si>
    <t>90178A</t>
  </si>
  <si>
    <t>20653</t>
  </si>
  <si>
    <t>84527</t>
  </si>
  <si>
    <t>84666</t>
  </si>
  <si>
    <t>90133</t>
  </si>
  <si>
    <t>82613A</t>
  </si>
  <si>
    <t>47369A</t>
  </si>
  <si>
    <t>20773</t>
  </si>
  <si>
    <t>90018B</t>
  </si>
  <si>
    <t>35933</t>
  </si>
  <si>
    <t>85132a</t>
  </si>
  <si>
    <t>82615</t>
  </si>
  <si>
    <t>90030C</t>
  </si>
  <si>
    <t>90175B</t>
  </si>
  <si>
    <t>20901</t>
  </si>
  <si>
    <t>20662</t>
  </si>
  <si>
    <t>85230F</t>
  </si>
  <si>
    <t>90163A</t>
  </si>
  <si>
    <t>90022</t>
  </si>
  <si>
    <t>21690</t>
  </si>
  <si>
    <t>72051S</t>
  </si>
  <si>
    <t>35833P</t>
  </si>
  <si>
    <t>35400</t>
  </si>
  <si>
    <t>20892</t>
  </si>
  <si>
    <t>90123A</t>
  </si>
  <si>
    <t>84984A</t>
  </si>
  <si>
    <t>84306</t>
  </si>
  <si>
    <t>90166</t>
  </si>
  <si>
    <t>90129F</t>
  </si>
  <si>
    <t>84531B</t>
  </si>
  <si>
    <t>84989a</t>
  </si>
  <si>
    <t>23442</t>
  </si>
  <si>
    <t>20869</t>
  </si>
  <si>
    <t>21038</t>
  </si>
  <si>
    <t>23614</t>
  </si>
  <si>
    <t>90003E</t>
  </si>
  <si>
    <t>79403</t>
  </si>
  <si>
    <t>75172</t>
  </si>
  <si>
    <t>20821</t>
  </si>
  <si>
    <t>16169K</t>
  </si>
  <si>
    <t>20941</t>
  </si>
  <si>
    <t>90072</t>
  </si>
  <si>
    <t>22016</t>
  </si>
  <si>
    <t>90123C</t>
  </si>
  <si>
    <t>90129A</t>
  </si>
  <si>
    <t>84881</t>
  </si>
  <si>
    <t>35638A</t>
  </si>
  <si>
    <t>35968</t>
  </si>
  <si>
    <t>16049</t>
  </si>
  <si>
    <t>90108</t>
  </si>
  <si>
    <t>21226</t>
  </si>
  <si>
    <t>20664</t>
  </si>
  <si>
    <t>71496A</t>
  </si>
  <si>
    <t>90175C</t>
  </si>
  <si>
    <t>84249A</t>
  </si>
  <si>
    <t>84927E</t>
  </si>
  <si>
    <t>90129C</t>
  </si>
  <si>
    <t>90124A</t>
  </si>
  <si>
    <t>90162B</t>
  </si>
  <si>
    <t>84984B</t>
  </si>
  <si>
    <t>72811</t>
  </si>
  <si>
    <t>84847</t>
  </si>
  <si>
    <t>90039D</t>
  </si>
  <si>
    <t>37479B</t>
  </si>
  <si>
    <t>90000A</t>
  </si>
  <si>
    <t>90086</t>
  </si>
  <si>
    <t>90129E</t>
  </si>
  <si>
    <t>20980</t>
  </si>
  <si>
    <t>84531A</t>
  </si>
  <si>
    <t>35916B</t>
  </si>
  <si>
    <t>46000P</t>
  </si>
  <si>
    <t>84840</t>
  </si>
  <si>
    <t>90099</t>
  </si>
  <si>
    <t>90063B</t>
  </si>
  <si>
    <t>90177C</t>
  </si>
  <si>
    <t>16207B</t>
  </si>
  <si>
    <t>20798</t>
  </si>
  <si>
    <t>21946</t>
  </si>
  <si>
    <t>21413</t>
  </si>
  <si>
    <t>84968d</t>
  </si>
  <si>
    <t>84251G</t>
  </si>
  <si>
    <t>17012E</t>
  </si>
  <si>
    <t>90118</t>
  </si>
  <si>
    <t>85132b</t>
  </si>
  <si>
    <t>85198</t>
  </si>
  <si>
    <t>21087</t>
  </si>
  <si>
    <t>90059A</t>
  </si>
  <si>
    <t>90081A</t>
  </si>
  <si>
    <t>90098</t>
  </si>
  <si>
    <t>90177D</t>
  </si>
  <si>
    <t>85197</t>
  </si>
  <si>
    <t>90214C</t>
  </si>
  <si>
    <t>90103</t>
  </si>
  <si>
    <t>84231</t>
  </si>
  <si>
    <t>20960</t>
  </si>
  <si>
    <t>72801G</t>
  </si>
  <si>
    <t>90030A</t>
  </si>
  <si>
    <t>90036C</t>
  </si>
  <si>
    <t>17014A</t>
  </si>
  <si>
    <t>20933</t>
  </si>
  <si>
    <t>90214S</t>
  </si>
  <si>
    <t>90211A</t>
  </si>
  <si>
    <t>47589</t>
  </si>
  <si>
    <t>84251B</t>
  </si>
  <si>
    <t>51020B</t>
  </si>
  <si>
    <t>84927A</t>
  </si>
  <si>
    <t>85026B</t>
  </si>
  <si>
    <t>90051</t>
  </si>
  <si>
    <t>16161G</t>
  </si>
  <si>
    <t>16020C</t>
  </si>
  <si>
    <t>90125C</t>
  </si>
  <si>
    <t>46126A</t>
  </si>
  <si>
    <t>81952V</t>
  </si>
  <si>
    <t>90199A</t>
  </si>
  <si>
    <t>84549</t>
  </si>
  <si>
    <t>90019C</t>
  </si>
  <si>
    <t>85188B</t>
  </si>
  <si>
    <t>90151</t>
  </si>
  <si>
    <t>90194</t>
  </si>
  <si>
    <t>84247K</t>
  </si>
  <si>
    <t>90000B</t>
  </si>
  <si>
    <t>90155</t>
  </si>
  <si>
    <t>84874B</t>
  </si>
  <si>
    <t>82011A</t>
  </si>
  <si>
    <t>85049B</t>
  </si>
  <si>
    <t>35916A</t>
  </si>
  <si>
    <t>90144</t>
  </si>
  <si>
    <t>90024B</t>
  </si>
  <si>
    <t>37444A</t>
  </si>
  <si>
    <t>84859B</t>
  </si>
  <si>
    <t>90040B</t>
  </si>
  <si>
    <t>35819P</t>
  </si>
  <si>
    <t>84686</t>
  </si>
  <si>
    <t>17011F</t>
  </si>
  <si>
    <t>72807a</t>
  </si>
  <si>
    <t>20663</t>
  </si>
  <si>
    <t>85008</t>
  </si>
  <si>
    <t>20835</t>
  </si>
  <si>
    <t>21031</t>
  </si>
  <si>
    <t>90214L</t>
  </si>
  <si>
    <t>84247N</t>
  </si>
  <si>
    <t>90186B</t>
  </si>
  <si>
    <t>90202D</t>
  </si>
  <si>
    <t>90082D</t>
  </si>
  <si>
    <t>90202A</t>
  </si>
  <si>
    <t>90036F</t>
  </si>
  <si>
    <t>90181A</t>
  </si>
  <si>
    <t>21692</t>
  </si>
  <si>
    <t>84875D</t>
  </si>
  <si>
    <t>84673A</t>
  </si>
  <si>
    <t>72133</t>
  </si>
  <si>
    <t>90196B</t>
  </si>
  <si>
    <t>35815P</t>
  </si>
  <si>
    <t>62094B</t>
  </si>
  <si>
    <t>90141A</t>
  </si>
  <si>
    <t>22145</t>
  </si>
  <si>
    <t>84452</t>
  </si>
  <si>
    <t>40046A</t>
  </si>
  <si>
    <t>84760S</t>
  </si>
  <si>
    <t>72351a</t>
  </si>
  <si>
    <t>85160B</t>
  </si>
  <si>
    <t>84247L</t>
  </si>
  <si>
    <t>20848</t>
  </si>
  <si>
    <t>90210B</t>
  </si>
  <si>
    <t>90087</t>
  </si>
  <si>
    <t>16151A</t>
  </si>
  <si>
    <t>90183B</t>
  </si>
  <si>
    <t>71495B</t>
  </si>
  <si>
    <t>84985A</t>
  </si>
  <si>
    <t>21655</t>
  </si>
  <si>
    <t>90065A</t>
  </si>
  <si>
    <t>90214K</t>
  </si>
  <si>
    <t>84984D</t>
  </si>
  <si>
    <t>84805A</t>
  </si>
  <si>
    <t>90031</t>
  </si>
  <si>
    <t>90206A</t>
  </si>
  <si>
    <t>23629</t>
  </si>
  <si>
    <t>21910</t>
  </si>
  <si>
    <t>79071B</t>
  </si>
  <si>
    <t>90202C</t>
  </si>
  <si>
    <t>20760</t>
  </si>
  <si>
    <t>84798A</t>
  </si>
  <si>
    <t>72134</t>
  </si>
  <si>
    <t>90190C</t>
  </si>
  <si>
    <t>84877A</t>
  </si>
  <si>
    <t>72802a</t>
  </si>
  <si>
    <t>71406C</t>
  </si>
  <si>
    <t>16046</t>
  </si>
  <si>
    <t>90210A</t>
  </si>
  <si>
    <t>84466</t>
  </si>
  <si>
    <t>84597C</t>
  </si>
  <si>
    <t>85006</t>
  </si>
  <si>
    <t>90214J</t>
  </si>
  <si>
    <t>21460</t>
  </si>
  <si>
    <t>90199B</t>
  </si>
  <si>
    <t>44236</t>
  </si>
  <si>
    <t>90003B</t>
  </si>
  <si>
    <t>47341B</t>
  </si>
  <si>
    <t>90038A</t>
  </si>
  <si>
    <t>90050</t>
  </si>
  <si>
    <t>84679</t>
  </si>
  <si>
    <t>90023</t>
  </si>
  <si>
    <t>84750B</t>
  </si>
  <si>
    <t>90071</t>
  </si>
  <si>
    <t>72132</t>
  </si>
  <si>
    <t>21336</t>
  </si>
  <si>
    <t>90040C</t>
  </si>
  <si>
    <t>20759</t>
  </si>
  <si>
    <t>90040A</t>
  </si>
  <si>
    <t>20793</t>
  </si>
  <si>
    <t>79323B</t>
  </si>
  <si>
    <t>84251C</t>
  </si>
  <si>
    <t>90012A</t>
  </si>
  <si>
    <t>90035A</t>
  </si>
  <si>
    <t>20697</t>
  </si>
  <si>
    <t>20756</t>
  </si>
  <si>
    <t>20851</t>
  </si>
  <si>
    <t>47586A</t>
  </si>
  <si>
    <t>90123B</t>
  </si>
  <si>
    <t>90211B</t>
  </si>
  <si>
    <t>90214E</t>
  </si>
  <si>
    <t>20857</t>
  </si>
  <si>
    <t>90163B</t>
  </si>
  <si>
    <t>90168</t>
  </si>
  <si>
    <t>84805B</t>
  </si>
  <si>
    <t>84842</t>
  </si>
  <si>
    <t>90176D</t>
  </si>
  <si>
    <t>90138</t>
  </si>
  <si>
    <t>90141C</t>
  </si>
  <si>
    <t>84927D</t>
  </si>
  <si>
    <t>35265</t>
  </si>
  <si>
    <t>85028S</t>
  </si>
  <si>
    <t>90205A</t>
  </si>
  <si>
    <t>84597B</t>
  </si>
  <si>
    <t>20910</t>
  </si>
  <si>
    <t>84534B</t>
  </si>
  <si>
    <t>17007B</t>
  </si>
  <si>
    <t>90018C</t>
  </si>
  <si>
    <t>47348A</t>
  </si>
  <si>
    <t>44242B</t>
  </si>
  <si>
    <t>90214D</t>
  </si>
  <si>
    <t>90214M</t>
  </si>
  <si>
    <t>90180B</t>
  </si>
  <si>
    <t>23603</t>
  </si>
  <si>
    <t>90079</t>
  </si>
  <si>
    <t>20667</t>
  </si>
  <si>
    <t>90202B</t>
  </si>
  <si>
    <t>90142D</t>
  </si>
  <si>
    <t>90157</t>
  </si>
  <si>
    <t>21816</t>
  </si>
  <si>
    <t>21089</t>
  </si>
  <si>
    <t>90038B</t>
  </si>
  <si>
    <t>84497</t>
  </si>
  <si>
    <t>90002D</t>
  </si>
  <si>
    <t>21720</t>
  </si>
  <si>
    <t>DCGS0076</t>
  </si>
  <si>
    <t>84559a</t>
  </si>
  <si>
    <t>84510E</t>
  </si>
  <si>
    <t>90205C</t>
  </si>
  <si>
    <t>84402B</t>
  </si>
  <si>
    <t>90125B</t>
  </si>
  <si>
    <t>90169</t>
  </si>
  <si>
    <t>90036A</t>
  </si>
  <si>
    <t>90165B</t>
  </si>
  <si>
    <t>17084J</t>
  </si>
  <si>
    <t>84086B</t>
  </si>
  <si>
    <t>84706F</t>
  </si>
  <si>
    <t>84715</t>
  </si>
  <si>
    <t>84750A</t>
  </si>
  <si>
    <t>84857B</t>
  </si>
  <si>
    <t>90190A</t>
  </si>
  <si>
    <t>21392</t>
  </si>
  <si>
    <t>84801B</t>
  </si>
  <si>
    <t>85031A</t>
  </si>
  <si>
    <t>90012B</t>
  </si>
  <si>
    <t>90064B</t>
  </si>
  <si>
    <t>23625</t>
  </si>
  <si>
    <t>90141B</t>
  </si>
  <si>
    <t>85185D</t>
  </si>
  <si>
    <t>20670</t>
  </si>
  <si>
    <t>47344B</t>
  </si>
  <si>
    <t>79063C</t>
  </si>
  <si>
    <t>90056</t>
  </si>
  <si>
    <t>20698</t>
  </si>
  <si>
    <t>90014C</t>
  </si>
  <si>
    <t>46138B</t>
  </si>
  <si>
    <t>37444C</t>
  </si>
  <si>
    <t>23038</t>
  </si>
  <si>
    <t>84539</t>
  </si>
  <si>
    <t>22987</t>
  </si>
  <si>
    <t>20818</t>
  </si>
  <si>
    <t>16254</t>
  </si>
  <si>
    <t>84922</t>
  </si>
  <si>
    <t>90029</t>
  </si>
  <si>
    <t>90024F</t>
  </si>
  <si>
    <t>47570b</t>
  </si>
  <si>
    <t>17084A</t>
  </si>
  <si>
    <t>90120D</t>
  </si>
  <si>
    <t>20666</t>
  </si>
  <si>
    <t>15030</t>
  </si>
  <si>
    <t>72807c</t>
  </si>
  <si>
    <t>90059D</t>
  </si>
  <si>
    <t>90059E</t>
  </si>
  <si>
    <t>90039B</t>
  </si>
  <si>
    <t>85089</t>
  </si>
  <si>
    <t>90162C</t>
  </si>
  <si>
    <t>23448</t>
  </si>
  <si>
    <t>75013B</t>
  </si>
  <si>
    <t>84921</t>
  </si>
  <si>
    <t>90067A</t>
  </si>
  <si>
    <t>90177E</t>
  </si>
  <si>
    <t>90177B</t>
  </si>
  <si>
    <t>90182C</t>
  </si>
  <si>
    <t>90130C</t>
  </si>
  <si>
    <t>90177A</t>
  </si>
  <si>
    <t>10120</t>
  </si>
  <si>
    <t>71495A</t>
  </si>
  <si>
    <t>90214G</t>
  </si>
  <si>
    <t>85092</t>
  </si>
  <si>
    <t>90187B</t>
  </si>
  <si>
    <t>90165A</t>
  </si>
  <si>
    <t>72369A</t>
  </si>
  <si>
    <t>90135</t>
  </si>
  <si>
    <t>84725</t>
  </si>
  <si>
    <t>84596f</t>
  </si>
  <si>
    <t>84575A</t>
  </si>
  <si>
    <t>21307</t>
  </si>
  <si>
    <t>35910A</t>
  </si>
  <si>
    <t>47341A</t>
  </si>
  <si>
    <t>90064A</t>
  </si>
  <si>
    <t>84751B</t>
  </si>
  <si>
    <t>21393</t>
  </si>
  <si>
    <t>47420</t>
  </si>
  <si>
    <t>84559b</t>
  </si>
  <si>
    <t>84746</t>
  </si>
  <si>
    <t>84617</t>
  </si>
  <si>
    <t>84925D</t>
  </si>
  <si>
    <t>90190B</t>
  </si>
  <si>
    <t>81952B</t>
  </si>
  <si>
    <t>84033</t>
  </si>
  <si>
    <t>84809B</t>
  </si>
  <si>
    <t>90075</t>
  </si>
  <si>
    <t>90199D</t>
  </si>
  <si>
    <t>90212B</t>
  </si>
  <si>
    <t>79191D</t>
  </si>
  <si>
    <t>72709</t>
  </si>
  <si>
    <t>35809a</t>
  </si>
  <si>
    <t>84509b</t>
  </si>
  <si>
    <t>90074</t>
  </si>
  <si>
    <t>84522</t>
  </si>
  <si>
    <t>90085</t>
  </si>
  <si>
    <t>90214H</t>
  </si>
  <si>
    <t>71510</t>
  </si>
  <si>
    <t>35913B</t>
  </si>
  <si>
    <t>84548</t>
  </si>
  <si>
    <t>17090D</t>
  </si>
  <si>
    <t>84226</t>
  </si>
  <si>
    <t>85216</t>
  </si>
  <si>
    <t>90094</t>
  </si>
  <si>
    <t>90179C</t>
  </si>
  <si>
    <t>79063D</t>
  </si>
  <si>
    <t>90123D</t>
  </si>
  <si>
    <t>90179A</t>
  </si>
  <si>
    <t>90011B</t>
  </si>
  <si>
    <t>90060F</t>
  </si>
  <si>
    <t>90186A</t>
  </si>
  <si>
    <t>90131</t>
  </si>
  <si>
    <t>90049</t>
  </si>
  <si>
    <t>90059F</t>
  </si>
  <si>
    <t>20827</t>
  </si>
  <si>
    <t>79406</t>
  </si>
  <si>
    <t>81950B</t>
  </si>
  <si>
    <t>84873A</t>
  </si>
  <si>
    <t>90026C</t>
  </si>
  <si>
    <t>90024C</t>
  </si>
  <si>
    <t>17136A</t>
  </si>
  <si>
    <t>90038C</t>
  </si>
  <si>
    <t>72783</t>
  </si>
  <si>
    <t>90129D</t>
  </si>
  <si>
    <t>37423</t>
  </si>
  <si>
    <t>72807b</t>
  </si>
  <si>
    <t>35610C</t>
  </si>
  <si>
    <t>37468</t>
  </si>
  <si>
    <t>17109D</t>
  </si>
  <si>
    <t>84824</t>
  </si>
  <si>
    <t>90036B</t>
  </si>
  <si>
    <t>20878</t>
  </si>
  <si>
    <t>23632</t>
  </si>
  <si>
    <t>44228</t>
  </si>
  <si>
    <t>85018D</t>
  </si>
  <si>
    <t>37471</t>
  </si>
  <si>
    <t>90176B</t>
  </si>
  <si>
    <t>35610B</t>
  </si>
  <si>
    <t>90176E</t>
  </si>
  <si>
    <t>90195B</t>
  </si>
  <si>
    <t>90039A</t>
  </si>
  <si>
    <t>21310</t>
  </si>
  <si>
    <t>90122B</t>
  </si>
  <si>
    <t>21667</t>
  </si>
  <si>
    <t>90136</t>
  </si>
  <si>
    <t>84660a</t>
  </si>
  <si>
    <t>90159</t>
  </si>
  <si>
    <t>90001D</t>
  </si>
  <si>
    <t>90120A</t>
  </si>
  <si>
    <t>21040</t>
  </si>
  <si>
    <t>21757</t>
  </si>
  <si>
    <t>35816P</t>
  </si>
  <si>
    <t>90214I</t>
  </si>
  <si>
    <t>84706D</t>
  </si>
  <si>
    <t>84465</t>
  </si>
  <si>
    <t>90162D</t>
  </si>
  <si>
    <t>82605</t>
  </si>
  <si>
    <t>84558a</t>
  </si>
  <si>
    <t>85030</t>
  </si>
  <si>
    <t>90214N</t>
  </si>
  <si>
    <t>84199</t>
  </si>
  <si>
    <t>21011</t>
  </si>
  <si>
    <t>46776f</t>
  </si>
  <si>
    <t>90152A</t>
  </si>
  <si>
    <t>84803B</t>
  </si>
  <si>
    <t>90093</t>
  </si>
  <si>
    <t>90027D</t>
  </si>
  <si>
    <t>17165D</t>
  </si>
  <si>
    <t>84798B</t>
  </si>
  <si>
    <t>90005A</t>
  </si>
  <si>
    <t>90214R</t>
  </si>
  <si>
    <t>84613A</t>
  </si>
  <si>
    <t>79066k</t>
  </si>
  <si>
    <t>23613</t>
  </si>
  <si>
    <t>23637</t>
  </si>
  <si>
    <t>85126</t>
  </si>
  <si>
    <t>85017C</t>
  </si>
  <si>
    <t>23702</t>
  </si>
  <si>
    <t>79323P</t>
  </si>
  <si>
    <t>84993a</t>
  </si>
  <si>
    <t>35598A</t>
  </si>
  <si>
    <t>84675</t>
  </si>
  <si>
    <t>90059B</t>
  </si>
  <si>
    <t>21836</t>
  </si>
  <si>
    <t>72140E</t>
  </si>
  <si>
    <t>90212C</t>
  </si>
  <si>
    <t>23636</t>
  </si>
  <si>
    <t>90183C</t>
  </si>
  <si>
    <t>21461</t>
  </si>
  <si>
    <t>84968B</t>
  </si>
  <si>
    <t>90026D</t>
  </si>
  <si>
    <t>84968f</t>
  </si>
  <si>
    <t>35910B</t>
  </si>
  <si>
    <t>90026B</t>
  </si>
  <si>
    <t>90037B</t>
  </si>
  <si>
    <t>90013D</t>
  </si>
  <si>
    <t>90188</t>
  </si>
  <si>
    <t>84596e</t>
  </si>
  <si>
    <t>90033</t>
  </si>
  <si>
    <t>90016C</t>
  </si>
  <si>
    <t>23620</t>
  </si>
  <si>
    <t>15060b</t>
  </si>
  <si>
    <t>85034a</t>
  </si>
  <si>
    <t>85115B</t>
  </si>
  <si>
    <t>85132c</t>
  </si>
  <si>
    <t>90043</t>
  </si>
  <si>
    <t>90059C</t>
  </si>
  <si>
    <t>90214B</t>
  </si>
  <si>
    <t>20778</t>
  </si>
  <si>
    <t>20820</t>
  </si>
  <si>
    <t>84854</t>
  </si>
  <si>
    <t>90141E</t>
  </si>
  <si>
    <t>84993B</t>
  </si>
  <si>
    <t>90076</t>
  </si>
  <si>
    <t>47503J</t>
  </si>
  <si>
    <t>84562A</t>
  </si>
  <si>
    <t>21357</t>
  </si>
  <si>
    <t>35909A</t>
  </si>
  <si>
    <t>35909B</t>
  </si>
  <si>
    <t>90083</t>
  </si>
  <si>
    <t>90176C</t>
  </si>
  <si>
    <t>23623</t>
  </si>
  <si>
    <t>90182A</t>
  </si>
  <si>
    <t>90104</t>
  </si>
  <si>
    <t>85195</t>
  </si>
  <si>
    <t>85206B</t>
  </si>
  <si>
    <t>22351</t>
  </si>
  <si>
    <t>90214Y</t>
  </si>
  <si>
    <t>90054</t>
  </si>
  <si>
    <t>90039C</t>
  </si>
  <si>
    <t>90176A</t>
  </si>
  <si>
    <t>23640</t>
  </si>
  <si>
    <t>23645</t>
  </si>
  <si>
    <t>21018</t>
  </si>
  <si>
    <t>90035C</t>
  </si>
  <si>
    <t>84387A</t>
  </si>
  <si>
    <t>84551</t>
  </si>
  <si>
    <t>20695</t>
  </si>
  <si>
    <t>90001B</t>
  </si>
  <si>
    <t>90001C</t>
  </si>
  <si>
    <t>90125E</t>
  </si>
  <si>
    <t>16169P</t>
  </si>
  <si>
    <t>23692</t>
  </si>
  <si>
    <t>90001A</t>
  </si>
  <si>
    <t>17001</t>
  </si>
  <si>
    <t>47518f</t>
  </si>
  <si>
    <t>46776a</t>
  </si>
  <si>
    <t>90141D</t>
  </si>
  <si>
    <t>90214P</t>
  </si>
  <si>
    <t>90034</t>
  </si>
  <si>
    <t>84415B</t>
  </si>
  <si>
    <t>23601</t>
  </si>
  <si>
    <t>23616</t>
  </si>
  <si>
    <t>23646</t>
  </si>
  <si>
    <t>21681</t>
  </si>
  <si>
    <t>35817P</t>
  </si>
  <si>
    <t>37491A</t>
  </si>
  <si>
    <t>85024C</t>
  </si>
  <si>
    <t>90156</t>
  </si>
  <si>
    <t>37487B</t>
  </si>
  <si>
    <t>85028L</t>
  </si>
  <si>
    <t>79062D</t>
  </si>
  <si>
    <t>85047</t>
  </si>
  <si>
    <t>21416</t>
  </si>
  <si>
    <t>21538</t>
  </si>
  <si>
    <t>44092C</t>
  </si>
  <si>
    <t>84856S</t>
  </si>
  <si>
    <t>90041</t>
  </si>
  <si>
    <t>35607B</t>
  </si>
  <si>
    <t>72821</t>
  </si>
  <si>
    <t>21661</t>
  </si>
  <si>
    <t>90060D</t>
  </si>
  <si>
    <t>84856L</t>
  </si>
  <si>
    <t>20935</t>
  </si>
  <si>
    <t>90162A</t>
  </si>
  <si>
    <t>90027A</t>
  </si>
  <si>
    <t>90179B</t>
  </si>
  <si>
    <t>84596b</t>
  </si>
  <si>
    <t>90011A</t>
  </si>
  <si>
    <t>79331</t>
  </si>
  <si>
    <t>90130A</t>
  </si>
  <si>
    <t>35597D</t>
  </si>
  <si>
    <t>23627</t>
  </si>
  <si>
    <t>37489D</t>
  </si>
  <si>
    <t>35645</t>
  </si>
  <si>
    <t>47574B</t>
  </si>
  <si>
    <t>85084</t>
  </si>
  <si>
    <t>90026A</t>
  </si>
  <si>
    <t>21120</t>
  </si>
  <si>
    <t>20954</t>
  </si>
  <si>
    <t>21595</t>
  </si>
  <si>
    <t>85035a</t>
  </si>
  <si>
    <t>90024D</t>
  </si>
  <si>
    <t>90024E</t>
  </si>
  <si>
    <t>21144</t>
  </si>
  <si>
    <t>37489B</t>
  </si>
  <si>
    <t>23644</t>
  </si>
  <si>
    <t>84031a</t>
  </si>
  <si>
    <t>84031b</t>
  </si>
  <si>
    <t>DCGS0004</t>
  </si>
  <si>
    <t>85036a</t>
  </si>
  <si>
    <t>90137</t>
  </si>
  <si>
    <t>16248B</t>
  </si>
  <si>
    <t>35647</t>
  </si>
  <si>
    <t>90089</t>
  </si>
  <si>
    <t>85160a</t>
  </si>
  <si>
    <t>90214V</t>
  </si>
  <si>
    <t>72815</t>
  </si>
  <si>
    <t>84795C</t>
  </si>
  <si>
    <t>85136B</t>
  </si>
  <si>
    <t>DCGS0069</t>
  </si>
  <si>
    <t>20816</t>
  </si>
  <si>
    <t>78034B</t>
  </si>
  <si>
    <t>90214F</t>
  </si>
  <si>
    <t>84989A</t>
  </si>
  <si>
    <t>90132</t>
  </si>
  <si>
    <t>72024U</t>
  </si>
  <si>
    <t>90140</t>
  </si>
  <si>
    <t>84660b</t>
  </si>
  <si>
    <t>35610A</t>
  </si>
  <si>
    <t>17191A</t>
  </si>
  <si>
    <t>23449</t>
  </si>
  <si>
    <t>84415A</t>
  </si>
  <si>
    <t>84462</t>
  </si>
  <si>
    <t>84705C</t>
  </si>
  <si>
    <t>90069</t>
  </si>
  <si>
    <t>90078</t>
  </si>
  <si>
    <t>90189A</t>
  </si>
  <si>
    <t>90025F</t>
  </si>
  <si>
    <t>23621</t>
  </si>
  <si>
    <t>84509g</t>
  </si>
  <si>
    <t>85031C</t>
  </si>
  <si>
    <t>90046</t>
  </si>
  <si>
    <t>90048</t>
  </si>
  <si>
    <t>84593</t>
  </si>
  <si>
    <t>23634</t>
  </si>
  <si>
    <t>16202B</t>
  </si>
  <si>
    <t>90027C</t>
  </si>
  <si>
    <t>90182B</t>
  </si>
  <si>
    <t>37489A</t>
  </si>
  <si>
    <t>47593A</t>
  </si>
  <si>
    <t>90052</t>
  </si>
  <si>
    <t>62043B</t>
  </si>
  <si>
    <t>79336</t>
  </si>
  <si>
    <t>37489C</t>
  </si>
  <si>
    <t>85017A</t>
  </si>
  <si>
    <t>90065B</t>
  </si>
  <si>
    <t>90214T</t>
  </si>
  <si>
    <t>84745A</t>
  </si>
  <si>
    <t>84745B</t>
  </si>
  <si>
    <t>23639</t>
  </si>
  <si>
    <t>23607</t>
  </si>
  <si>
    <t>37491C</t>
  </si>
  <si>
    <t>84388</t>
  </si>
  <si>
    <t>37462E</t>
  </si>
  <si>
    <t>16162L</t>
  </si>
  <si>
    <t>47013C</t>
  </si>
  <si>
    <t>18097A</t>
  </si>
  <si>
    <t>21895</t>
  </si>
  <si>
    <t>DCGS0070</t>
  </si>
  <si>
    <t>90042C</t>
  </si>
  <si>
    <t>90055</t>
  </si>
  <si>
    <t>90037C</t>
  </si>
  <si>
    <t>20671</t>
  </si>
  <si>
    <t>23635</t>
  </si>
  <si>
    <t>90020</t>
  </si>
  <si>
    <t>23654</t>
  </si>
  <si>
    <t>82613c</t>
  </si>
  <si>
    <t>17164B</t>
  </si>
  <si>
    <t>79329</t>
  </si>
  <si>
    <t>84016</t>
  </si>
  <si>
    <t>90021</t>
  </si>
  <si>
    <t>90178B</t>
  </si>
  <si>
    <t>44092B</t>
  </si>
  <si>
    <t>84614A</t>
  </si>
  <si>
    <t>84620</t>
  </si>
  <si>
    <t>90214Z</t>
  </si>
  <si>
    <t>37444B</t>
  </si>
  <si>
    <t>35818B</t>
  </si>
  <si>
    <t>16043</t>
  </si>
  <si>
    <t>16162M</t>
  </si>
  <si>
    <t>23605</t>
  </si>
  <si>
    <t>23608</t>
  </si>
  <si>
    <t>85184c</t>
  </si>
  <si>
    <t>71050</t>
  </si>
  <si>
    <t>72798C</t>
  </si>
  <si>
    <t>90152B</t>
  </si>
  <si>
    <t>90025D</t>
  </si>
  <si>
    <t>84536a</t>
  </si>
  <si>
    <t>37488A</t>
  </si>
  <si>
    <t>79026B</t>
  </si>
  <si>
    <t>16161M</t>
  </si>
  <si>
    <t>16169N</t>
  </si>
  <si>
    <t>35966</t>
  </si>
  <si>
    <t>35958</t>
  </si>
  <si>
    <t>40005B</t>
  </si>
  <si>
    <t>85109</t>
  </si>
  <si>
    <t>44089C</t>
  </si>
  <si>
    <t>90053</t>
  </si>
  <si>
    <t>23615</t>
  </si>
  <si>
    <t>23619</t>
  </si>
  <si>
    <t>23624</t>
  </si>
  <si>
    <t>23650</t>
  </si>
  <si>
    <t>37474</t>
  </si>
  <si>
    <t>84689</t>
  </si>
  <si>
    <t>82613b</t>
  </si>
  <si>
    <t>DCGS0003</t>
  </si>
  <si>
    <t>37491D</t>
  </si>
  <si>
    <t>85231g</t>
  </si>
  <si>
    <t>44242A</t>
  </si>
  <si>
    <t>23441</t>
  </si>
  <si>
    <t>35809B</t>
  </si>
  <si>
    <t>90181C</t>
  </si>
  <si>
    <t>90184c</t>
  </si>
  <si>
    <t>37351</t>
  </si>
  <si>
    <t>81950V</t>
  </si>
  <si>
    <t>20906</t>
  </si>
  <si>
    <t>45013</t>
  </si>
  <si>
    <t>84773</t>
  </si>
  <si>
    <t>90077</t>
  </si>
  <si>
    <t>90011D</t>
  </si>
  <si>
    <t>90011E</t>
  </si>
  <si>
    <t>90027B</t>
  </si>
  <si>
    <t>16206B</t>
  </si>
  <si>
    <t>90130D</t>
  </si>
  <si>
    <t>84732B</t>
  </si>
  <si>
    <t>44265</t>
  </si>
  <si>
    <t>90102</t>
  </si>
  <si>
    <t>90167</t>
  </si>
  <si>
    <t>21410</t>
  </si>
  <si>
    <t>72803b</t>
  </si>
  <si>
    <t>85035b</t>
  </si>
  <si>
    <t>85035c</t>
  </si>
  <si>
    <t>85036b</t>
  </si>
  <si>
    <t>84975</t>
  </si>
  <si>
    <t>20871</t>
  </si>
  <si>
    <t>21594</t>
  </si>
  <si>
    <t>23612</t>
  </si>
  <si>
    <t>72802c</t>
  </si>
  <si>
    <t>85034b</t>
  </si>
  <si>
    <t>84924F</t>
  </si>
  <si>
    <t>16244B</t>
  </si>
  <si>
    <t>35607A</t>
  </si>
  <si>
    <t>85189</t>
  </si>
  <si>
    <t>90042A</t>
  </si>
  <si>
    <t>79149B</t>
  </si>
  <si>
    <t>16202E</t>
  </si>
  <si>
    <t>21827</t>
  </si>
  <si>
    <t>37379A</t>
  </si>
  <si>
    <t>85160A</t>
  </si>
  <si>
    <t>90025A</t>
  </si>
  <si>
    <t>90068</t>
  </si>
  <si>
    <t>23633</t>
  </si>
  <si>
    <t>62097B</t>
  </si>
  <si>
    <t>90128A</t>
  </si>
  <si>
    <t>84596g</t>
  </si>
  <si>
    <t>71496B</t>
  </si>
  <si>
    <t>10124G</t>
  </si>
  <si>
    <t>90214O</t>
  </si>
  <si>
    <t>90214W</t>
  </si>
  <si>
    <t>35443</t>
  </si>
  <si>
    <t>84802B</t>
  </si>
  <si>
    <t>10124A</t>
  </si>
  <si>
    <t>21186</t>
  </si>
  <si>
    <t>35833G</t>
  </si>
  <si>
    <t>62074B</t>
  </si>
  <si>
    <t>23604</t>
  </si>
  <si>
    <t>20678</t>
  </si>
  <si>
    <t>37491B</t>
  </si>
  <si>
    <t>90126C</t>
  </si>
  <si>
    <t>44089A</t>
  </si>
  <si>
    <t>85224</t>
  </si>
  <si>
    <t>21228</t>
  </si>
  <si>
    <t>35591T</t>
  </si>
  <si>
    <t>85225</t>
  </si>
  <si>
    <t>23610</t>
  </si>
  <si>
    <t>84499</t>
  </si>
  <si>
    <t>90060B</t>
  </si>
  <si>
    <t>90152C</t>
  </si>
  <si>
    <t>35598C</t>
  </si>
  <si>
    <t>79161A</t>
  </si>
  <si>
    <t>23617</t>
  </si>
  <si>
    <t>23638</t>
  </si>
  <si>
    <t>23652</t>
  </si>
  <si>
    <t>90011C</t>
  </si>
  <si>
    <t>90067B</t>
  </si>
  <si>
    <t>23630</t>
  </si>
  <si>
    <t>21839</t>
  </si>
  <si>
    <t>35004P</t>
  </si>
  <si>
    <t>81953P</t>
  </si>
  <si>
    <t>20964</t>
  </si>
  <si>
    <t>37509</t>
  </si>
  <si>
    <t>90142A</t>
  </si>
  <si>
    <t>84803A</t>
  </si>
  <si>
    <t>22034</t>
  </si>
  <si>
    <t>23649</t>
  </si>
  <si>
    <t>47593b</t>
  </si>
  <si>
    <t>90135A</t>
  </si>
  <si>
    <t>90128C</t>
  </si>
  <si>
    <t>90128D</t>
  </si>
  <si>
    <t>84661a</t>
  </si>
  <si>
    <t>84661b</t>
  </si>
  <si>
    <t>35650</t>
  </si>
  <si>
    <t>85031B</t>
  </si>
  <si>
    <t>90081B</t>
  </si>
  <si>
    <t>84971l</t>
  </si>
  <si>
    <t>85049b</t>
  </si>
  <si>
    <t>85049d</t>
  </si>
  <si>
    <t>85231b</t>
  </si>
  <si>
    <t>90127A</t>
  </si>
  <si>
    <t>84613C</t>
  </si>
  <si>
    <t>71215</t>
  </si>
  <si>
    <t>79151B</t>
  </si>
  <si>
    <t>84206A</t>
  </si>
  <si>
    <t>84732D</t>
  </si>
  <si>
    <t>20703</t>
  </si>
  <si>
    <t>22218</t>
  </si>
  <si>
    <t>79157V</t>
  </si>
  <si>
    <t>20861</t>
  </si>
  <si>
    <t>47016</t>
  </si>
  <si>
    <t>22206</t>
  </si>
  <si>
    <t>46776b</t>
  </si>
  <si>
    <t>46776e</t>
  </si>
  <si>
    <t>47591b</t>
  </si>
  <si>
    <t>84536b</t>
  </si>
  <si>
    <t>17174</t>
  </si>
  <si>
    <t>44091A</t>
  </si>
  <si>
    <t>90128B</t>
  </si>
  <si>
    <t>37464</t>
  </si>
  <si>
    <t>79192A</t>
  </si>
  <si>
    <t>90025B</t>
  </si>
  <si>
    <t>90025E</t>
  </si>
  <si>
    <t>35271S</t>
  </si>
  <si>
    <t>16010</t>
  </si>
  <si>
    <t>84270</t>
  </si>
  <si>
    <t>16202A</t>
  </si>
  <si>
    <t>90214U</t>
  </si>
  <si>
    <t>79157B</t>
  </si>
  <si>
    <t>84802A</t>
  </si>
  <si>
    <t>21160</t>
  </si>
  <si>
    <t>22528</t>
  </si>
  <si>
    <t>85119</t>
  </si>
  <si>
    <t>90126A</t>
  </si>
  <si>
    <t>23643</t>
  </si>
  <si>
    <t>84534b</t>
  </si>
  <si>
    <t>90187A</t>
  </si>
  <si>
    <t>10123C</t>
  </si>
  <si>
    <t>47013A</t>
  </si>
  <si>
    <t>23602</t>
  </si>
  <si>
    <t>23609</t>
  </si>
  <si>
    <t>23628</t>
  </si>
  <si>
    <t>90183c</t>
  </si>
  <si>
    <t>90100</t>
  </si>
  <si>
    <t>17028J</t>
  </si>
  <si>
    <t>35609A</t>
  </si>
  <si>
    <t>62096B</t>
  </si>
  <si>
    <t>90037A</t>
  </si>
  <si>
    <t>84201B</t>
  </si>
  <si>
    <t>82613a</t>
  </si>
  <si>
    <t>84510e</t>
  </si>
  <si>
    <t>84596l</t>
  </si>
  <si>
    <t>85049c</t>
  </si>
  <si>
    <t>85179a</t>
  </si>
  <si>
    <t>37330</t>
  </si>
  <si>
    <t>46115B</t>
  </si>
  <si>
    <t>77079</t>
  </si>
  <si>
    <t>20860</t>
  </si>
  <si>
    <t>21414</t>
  </si>
  <si>
    <t>47579</t>
  </si>
  <si>
    <t>85170A</t>
  </si>
  <si>
    <t>90112</t>
  </si>
  <si>
    <t>81953B</t>
  </si>
  <si>
    <t>84731</t>
  </si>
  <si>
    <t>21491</t>
  </si>
  <si>
    <t>22146</t>
  </si>
  <si>
    <t>22323</t>
  </si>
  <si>
    <t>90092</t>
  </si>
  <si>
    <t>23664</t>
  </si>
  <si>
    <t>84550</t>
  </si>
  <si>
    <t>84206C</t>
  </si>
  <si>
    <t>21009</t>
  </si>
  <si>
    <t>35597A</t>
  </si>
  <si>
    <t>35597B</t>
  </si>
  <si>
    <t>37461</t>
  </si>
  <si>
    <t>84569C</t>
  </si>
  <si>
    <t>84743C</t>
  </si>
  <si>
    <t>84977</t>
  </si>
  <si>
    <t>84990</t>
  </si>
  <si>
    <t>84201C</t>
  </si>
  <si>
    <t>84206B</t>
  </si>
  <si>
    <t>90084</t>
  </si>
  <si>
    <t>21268</t>
  </si>
  <si>
    <t>51014c</t>
  </si>
  <si>
    <t>84227</t>
  </si>
  <si>
    <t>PADS</t>
  </si>
  <si>
    <t>20957</t>
  </si>
  <si>
    <t>21412</t>
  </si>
  <si>
    <t>21645</t>
  </si>
  <si>
    <t>35832</t>
  </si>
  <si>
    <t>37503</t>
  </si>
  <si>
    <t>79320</t>
  </si>
  <si>
    <t>79323W</t>
  </si>
  <si>
    <t>84839</t>
  </si>
  <si>
    <t>85023C</t>
  </si>
  <si>
    <t>85042</t>
  </si>
  <si>
    <t>85063</t>
  </si>
  <si>
    <t>85065</t>
  </si>
  <si>
    <t>85068</t>
  </si>
  <si>
    <t>85098B</t>
  </si>
  <si>
    <t>TransactionClass</t>
  </si>
  <si>
    <t>Rows</t>
  </si>
  <si>
    <t>InvoiceIDs</t>
  </si>
  <si>
    <t>AmountUnits4</t>
  </si>
  <si>
    <t>SignedAmountGBP</t>
  </si>
  <si>
    <t>ReviewFlagRows</t>
  </si>
  <si>
    <t>MerchandiseSale</t>
  </si>
  <si>
    <t>MerchandiseCancellation</t>
  </si>
  <si>
    <t>SpecialOperation</t>
  </si>
  <si>
    <t>ZeroPriceAdjustment</t>
  </si>
  <si>
    <t>UnresolvedReview</t>
  </si>
  <si>
    <t>Step</t>
  </si>
  <si>
    <t>ChangeGBP</t>
  </si>
  <si>
    <t>Raw signed transactions</t>
  </si>
  <si>
    <t>Separate SpecialOperation</t>
  </si>
  <si>
    <t>Separate ZeroPriceAdjustment</t>
  </si>
  <si>
    <t>Separate UnresolvedReview</t>
  </si>
  <si>
    <t>Merchandise signed balance</t>
  </si>
  <si>
    <t>Flag</t>
  </si>
  <si>
    <t>Label</t>
  </si>
  <si>
    <t>Kind</t>
  </si>
  <si>
    <t>SourceRowExample</t>
  </si>
  <si>
    <t>Definition</t>
  </si>
  <si>
    <t>HasMissingCustomer</t>
  </si>
  <si>
    <t>Missing customer ID</t>
  </si>
  <si>
    <t>review</t>
  </si>
  <si>
    <t>624.0</t>
  </si>
  <si>
    <t>Customer ID null; sale remains eligible</t>
  </si>
  <si>
    <t>HasMissingDescription</t>
  </si>
  <si>
    <t>Missing description</t>
  </si>
  <si>
    <t>Description null or whitespace-only text</t>
  </si>
  <si>
    <t>HasNonTextDescription</t>
  </si>
  <si>
    <t>Non-text description</t>
  </si>
  <si>
    <t>420393.0</t>
  </si>
  <si>
    <t>Nonempty description is not text</t>
  </si>
  <si>
    <t>HasOuterWhitespace</t>
  </si>
  <si>
    <t>Description outer whitespace</t>
  </si>
  <si>
    <t>format</t>
  </si>
  <si>
    <t>12.0</t>
  </si>
  <si>
    <t>Raw text differs from trimmed text</t>
  </si>
  <si>
    <t>IsExactDuplicateMember</t>
  </si>
  <si>
    <t>Exact duplicate group member</t>
  </si>
  <si>
    <t>487.0</t>
  </si>
  <si>
    <t>All eight raw fields equal; all group members</t>
  </si>
  <si>
    <t>IsDuplicateBeyondFirst</t>
  </si>
  <si>
    <t>Exact duplicate beyond first</t>
  </si>
  <si>
    <t>scenario</t>
  </si>
  <si>
    <t>519.0</t>
  </si>
  <si>
    <t>SourceRow greater than group minimum</t>
  </si>
  <si>
    <t>IsDescriptionVariantDuplicate</t>
  </si>
  <si>
    <t>Description-only duplicate candidate</t>
  </si>
  <si>
    <t>199126.0</t>
  </si>
  <si>
    <t>Seven other raw fields equal; descriptions differ</t>
  </si>
  <si>
    <t>HasMultipleDescriptions</t>
  </si>
  <si>
    <t>Code with multiple descriptions</t>
  </si>
  <si>
    <t>2.0</t>
  </si>
  <si>
    <t>Code has &gt;1 nonblank raw text description</t>
  </si>
  <si>
    <t>IsNonCNegative</t>
  </si>
  <si>
    <t>Negative quantity without C</t>
  </si>
  <si>
    <t>2408.0</t>
  </si>
  <si>
    <t>Quantity &lt; 0 and no C invoice prefix</t>
  </si>
  <si>
    <t>IsZeroPrice</t>
  </si>
  <si>
    <t>Zero price</t>
  </si>
  <si>
    <t>UnitPrice == 0</t>
  </si>
  <si>
    <t>IsNegativePrice</t>
  </si>
  <si>
    <t>Negative price</t>
  </si>
  <si>
    <t>299985.0</t>
  </si>
  <si>
    <t>UnitPrice &lt; 0</t>
  </si>
  <si>
    <t>IsLargeAmount</t>
  </si>
  <si>
    <t>Large absolute line amount</t>
  </si>
  <si>
    <t>15018.0</t>
  </si>
  <si>
    <t>abs(LineAmount) &gt;= GBP 10000</t>
  </si>
  <si>
    <t>IsUnmappedCode</t>
  </si>
  <si>
    <t>Unmapped nonstandard code</t>
  </si>
  <si>
    <t>Neither explicit code rule nor common merchandise format</t>
  </si>
  <si>
    <t>IsInvoicePatternException</t>
  </si>
  <si>
    <t>Invoice pattern outside numeric/C</t>
  </si>
  <si>
    <t>context</t>
  </si>
  <si>
    <t>299984.0</t>
  </si>
  <si>
    <t>Neither six digits nor C + six digits</t>
  </si>
  <si>
    <t>IsCancellationCode</t>
  </si>
  <si>
    <t>C cancellation prefix</t>
  </si>
  <si>
    <t>143.0</t>
  </si>
  <si>
    <t>InvoiceNo starts with uppercase C</t>
  </si>
  <si>
    <t>Control</t>
  </si>
  <si>
    <t>Expected</t>
  </si>
  <si>
    <t>Actual</t>
  </si>
  <si>
    <t>Status</t>
  </si>
  <si>
    <t>Scope</t>
  </si>
  <si>
    <t>Unique source RecordID</t>
  </si>
  <si>
    <t>541909</t>
  </si>
  <si>
    <t>PASS</t>
  </si>
  <si>
    <t>Python reference</t>
  </si>
  <si>
    <t>Source rows preserved</t>
  </si>
  <si>
    <t>Exactly one class per row</t>
  </si>
  <si>
    <t>No unassigned class</t>
  </si>
  <si>
    <t>0</t>
  </si>
  <si>
    <t>Class amounts reconcile (integer units)</t>
  </si>
  <si>
    <t>97477479340</t>
  </si>
  <si>
    <t>Product dictionary join rows preserved</t>
  </si>
  <si>
    <t>Product dictionary nonmissing matches</t>
  </si>
  <si>
    <t>Monthly source rows reconcile</t>
  </si>
  <si>
    <t>Monthly sales reconcile</t>
  </si>
  <si>
    <t>10271433.063</t>
  </si>
  <si>
    <t>Country sales reconcile</t>
  </si>
  <si>
    <t>10271433.063000001</t>
  </si>
  <si>
    <t>Product sales reconcile</t>
  </si>
  <si>
    <t>Bridge closes to reporting scope</t>
  </si>
  <si>
    <t>9792708.883</t>
  </si>
  <si>
    <t>Duplicate scenario rows removed</t>
  </si>
  <si>
    <t>5268</t>
  </si>
  <si>
    <t>Duplicate scenario amount delta (integer units)</t>
  </si>
  <si>
    <t>217409800</t>
  </si>
  <si>
    <t>Original source SHA256</t>
  </si>
  <si>
    <t>43465a06f2ccf7c8b5bd2892bc7defb52f97487934fe93b16ae4c3936424676d</t>
  </si>
  <si>
    <t>Baseline rows</t>
  </si>
  <si>
    <t>Baseline invoice IDs</t>
  </si>
  <si>
    <t>25900</t>
  </si>
  <si>
    <t>Baseline missing CustomerID</t>
  </si>
  <si>
    <t>135080</t>
  </si>
  <si>
    <t>Baseline missing Description</t>
  </si>
  <si>
    <t>1454</t>
  </si>
  <si>
    <t>Baseline duplicate groups</t>
  </si>
  <si>
    <t>4879</t>
  </si>
  <si>
    <t>Baseline duplicate members</t>
  </si>
  <si>
    <t>10147</t>
  </si>
  <si>
    <t>Baseline duplicate extras</t>
  </si>
  <si>
    <t>Baseline C-prefix rows</t>
  </si>
  <si>
    <t>9288</t>
  </si>
  <si>
    <t>Baseline non-C negative</t>
  </si>
  <si>
    <t>1336</t>
  </si>
  <si>
    <t>Baseline zero prices</t>
  </si>
  <si>
    <t>2515</t>
  </si>
  <si>
    <t>Baseline negative prices</t>
  </si>
  <si>
    <t>2</t>
  </si>
  <si>
    <t>Baseline multidescription codes</t>
  </si>
  <si>
    <t>650</t>
  </si>
  <si>
    <t>Baseline outer whitespace</t>
  </si>
  <si>
    <t>113452</t>
  </si>
  <si>
    <t>Baseline raw amount units</t>
  </si>
  <si>
    <t>Real Excel / Power Query execution and refresh</t>
  </si>
  <si>
    <t>User runs Excel checklist</t>
  </si>
  <si>
    <t>Desktop Excel unavailable in Linux environment</t>
  </si>
  <si>
    <t>PENDING</t>
  </si>
  <si>
    <t>Excel required</t>
  </si>
  <si>
    <t>Sales invoice cube partition</t>
  </si>
  <si>
    <t>Scenario</t>
  </si>
  <si>
    <t>RawAmountUnits4</t>
  </si>
  <si>
    <t>RawSignedGBP</t>
  </si>
  <si>
    <t>CustomerSalesIDs</t>
  </si>
  <si>
    <t>Main: retain all rows</t>
  </si>
  <si>
    <t>Alternative: first exact record only</t>
  </si>
  <si>
    <t>RecordID</t>
  </si>
  <si>
    <t>SourceRow</t>
  </si>
  <si>
    <t>InvoiceNo_Raw</t>
  </si>
  <si>
    <t>StockCode_Raw</t>
  </si>
  <si>
    <t>Description_Raw</t>
  </si>
  <si>
    <t>DescriptionTrim</t>
  </si>
  <si>
    <t>CustomerID_Raw</t>
  </si>
  <si>
    <t>CustomerID</t>
  </si>
  <si>
    <t>ReviewReasons</t>
  </si>
  <si>
    <t>LineAmount</t>
  </si>
  <si>
    <t>Online Retail.xlsx|Online Retail|000000012</t>
  </si>
  <si>
    <t xml:space="preserve">POPPY'S PLAYHOUSE BEDROOM </t>
  </si>
  <si>
    <t>POPPY'S PLAYHOUSE BEDROOM</t>
  </si>
  <si>
    <t>13047</t>
  </si>
  <si>
    <t>Online Retail.xlsx|Online Retail|000000487</t>
  </si>
  <si>
    <t>SCOTTIE DOG HOT WATER BOTTLE</t>
  </si>
  <si>
    <t>17908</t>
  </si>
  <si>
    <t>Online Retail.xlsx|Online Retail|000000541</t>
  </si>
  <si>
    <t>Online Retail.xlsx|Online Retail|000000624</t>
  </si>
  <si>
    <t>Missing customer ID; Missing description; Code with multiple descriptions; Zero price; Unresolved transaction class</t>
  </si>
  <si>
    <t>Online Retail.xlsx|Online Retail|000001445</t>
  </si>
  <si>
    <t>DECORATIVE ROSE BATHROOM BOTTLE</t>
  </si>
  <si>
    <t>Online Retail.xlsx|Online Retail|000009304</t>
  </si>
  <si>
    <t>ROUND CAKE TIN VINTAGE GREEN</t>
  </si>
  <si>
    <t>12647</t>
  </si>
  <si>
    <t>Zero price; Unresolved transaction class</t>
  </si>
  <si>
    <t>Online Retail.xlsx|Online Retail|000199126</t>
  </si>
  <si>
    <t xml:space="preserve">BUNTING , SPOTTY </t>
  </si>
  <si>
    <t>BUNTING , SPOTTY</t>
  </si>
  <si>
    <t>12909</t>
  </si>
  <si>
    <t>Description-only duplicate candidate; Code with multiple descriptions</t>
  </si>
  <si>
    <t>Online Retail.xlsx|Online Retail|000199146</t>
  </si>
  <si>
    <t>SPOTTY BUNTING</t>
  </si>
  <si>
    <t>Online Retail.xlsx|Online Retail|000299985</t>
  </si>
  <si>
    <t>A563186</t>
  </si>
  <si>
    <t>B</t>
  </si>
  <si>
    <t>Adjust bad debt</t>
  </si>
  <si>
    <t>Missing customer ID; Negative price; Large absolute line amount</t>
  </si>
  <si>
    <t>Online Retail.xlsx|Online Retail|000420393</t>
  </si>
  <si>
    <t>Missing customer ID; Non-text description; Code with multiple descriptions; Negative quantity without C; Zero price; Unresolved transaction class</t>
  </si>
  <si>
    <t>Online Retail.xlsx|Online Retail|000540423</t>
  </si>
  <si>
    <t>PAPER CRAFT , LITTLE BIRDIE</t>
  </si>
  <si>
    <t>16446</t>
  </si>
  <si>
    <t>Online Retail.xlsx|Online Retail|000540424</t>
  </si>
  <si>
    <t>C581484</t>
  </si>
  <si>
    <t>DescriptionVariantCount</t>
  </si>
  <si>
    <t>TrimmedVariantCount</t>
  </si>
  <si>
    <t>NormalizedVariantCount</t>
  </si>
  <si>
    <t>RawDescriptions</t>
  </si>
  <si>
    <t>TrimmedDescriptions</t>
  </si>
  <si>
    <t>SafeDisplayLabel</t>
  </si>
  <si>
    <t xml:space="preserve">INFLATABLE POLITICAL GLOBE </t>
  </si>
  <si>
    <t>INFLATABLE POLITICAL GLOBE</t>
  </si>
  <si>
    <t>GROOVY CACTUS INFLATABLE | check</t>
  </si>
  <si>
    <t>[multiple/absent descriptions; use code]</t>
  </si>
  <si>
    <t>DOGGY RUBBER</t>
  </si>
  <si>
    <t xml:space="preserve">HEARTS WRAPPING TAPE </t>
  </si>
  <si>
    <t>HEARTS WRAPPING TAPE</t>
  </si>
  <si>
    <t>10123G</t>
  </si>
  <si>
    <t>SPOTS ON RED BOOKCOVER TAPE</t>
  </si>
  <si>
    <t>ARMY CAMO BOOKCOVER TAPE</t>
  </si>
  <si>
    <t>MINI FUNKY DESIGN TAPES</t>
  </si>
  <si>
    <t>COLOURING PENCILS BROWN TUBE | damaged</t>
  </si>
  <si>
    <t>10134</t>
  </si>
  <si>
    <t>COLOURING PENCILS BROWN TUBE</t>
  </si>
  <si>
    <t>ASSTD DESIGN RACING CAR PEN</t>
  </si>
  <si>
    <t xml:space="preserve">FAN BLACK FRAME </t>
  </si>
  <si>
    <t>FAN BLACK FRAME</t>
  </si>
  <si>
    <t xml:space="preserve">PAPER POCKET TRAVELING FAN </t>
  </si>
  <si>
    <t>PAPER POCKET TRAVELING FAN</t>
  </si>
  <si>
    <t>ASSORTED COLOURS SILK FAN</t>
  </si>
  <si>
    <t>SANDALWOOD FAN</t>
  </si>
  <si>
    <t xml:space="preserve">PINK PAPER PARASOL </t>
  </si>
  <si>
    <t>PINK PAPER PARASOL</t>
  </si>
  <si>
    <t xml:space="preserve">BLUE PAPER PARASOL </t>
  </si>
  <si>
    <t>BLUE PAPER PARASOL</t>
  </si>
  <si>
    <t>PURPLE PAPER PARASOL</t>
  </si>
  <si>
    <t>RED PAPER PARASOL</t>
  </si>
  <si>
    <t>EDWARDIAN PARASOL BLACK</t>
  </si>
  <si>
    <t>EDWARDIAN PARASOL NATURAL</t>
  </si>
  <si>
    <t>EDWARDIAN PARASOL PINK</t>
  </si>
  <si>
    <t>BLUE POLKADOT GARDEN PARASOL | wet/rusty</t>
  </si>
  <si>
    <t>PINK POLKADOT GARDEN PARASOL</t>
  </si>
  <si>
    <t>ICE CREAM DESIGN GARDEN PARASOL | wet/rusty</t>
  </si>
  <si>
    <t>FAIRY CAKE DESIGN UMBRELLA</t>
  </si>
  <si>
    <t>SMALL FOLDING SCISSOR(POINTED EDGE) | check</t>
  </si>
  <si>
    <t>FOLDING CAMPING SCISSOR W/KNIF &amp; S</t>
  </si>
  <si>
    <t>ANIMAL STICKERS</t>
  </si>
  <si>
    <t>FOOD/DRINK SPONGE STICKERS</t>
  </si>
  <si>
    <t>SMALL CHINESE STYLE SCISSOR</t>
  </si>
  <si>
    <t>MEDIUM CHINESE STYLE SCISSOR</t>
  </si>
  <si>
    <t>LARGE CHINESE STYLE SCISSOR</t>
  </si>
  <si>
    <t xml:space="preserve">CLEAR STATIONERY BOX SET </t>
  </si>
  <si>
    <t>CLEAR STATIONERY BOX SET</t>
  </si>
  <si>
    <t>MINI HIGHLIGHTER PENS</t>
  </si>
  <si>
    <t xml:space="preserve">POP ART PUSH DOWN RUBBER </t>
  </si>
  <si>
    <t>POP ART PUSH DOWN RUBBER</t>
  </si>
  <si>
    <t>POPART WOODEN PENCILS ASST | check</t>
  </si>
  <si>
    <t>TEATIME PEN CASE &amp; PENS</t>
  </si>
  <si>
    <t xml:space="preserve">TEATIME ROUND PENCIL SHARPENER </t>
  </si>
  <si>
    <t>TEATIME ROUND PENCIL SHARPENER</t>
  </si>
  <si>
    <t>TEATIME GEL PENS ASST</t>
  </si>
  <si>
    <t>TEATIME PUSH DOWN RUBBER</t>
  </si>
  <si>
    <t>16053</t>
  </si>
  <si>
    <t>POPART RECT PENCIL SHARPENER ASST</t>
  </si>
  <si>
    <t>FLOWERS HANDBAG blue and orange</t>
  </si>
  <si>
    <t>WRAP CAROUSEL | WRAP, CAROUSEL</t>
  </si>
  <si>
    <t xml:space="preserve">WRAP PINK FAIRY CAKES </t>
  </si>
  <si>
    <t>WRAP PINK FAIRY CAKES</t>
  </si>
  <si>
    <t>WRAP BAD HAIR DAY</t>
  </si>
  <si>
    <t>WRAP  PINK FLOCK</t>
  </si>
  <si>
    <t xml:space="preserve">WRAP ENGLISH ROSE </t>
  </si>
  <si>
    <t>WRAP ENGLISH ROSE</t>
  </si>
  <si>
    <t>WRAP SUKI AND FRIENDS</t>
  </si>
  <si>
    <t>THE KING GIFT BAG</t>
  </si>
  <si>
    <t>THE KING GIFT BAG 25x24x12cm | alan hodge cant mamage this section</t>
  </si>
  <si>
    <t>FUNKY MONKEY GIFT BAG MEDIUM | found</t>
  </si>
  <si>
    <t>WRAP 50'S  CHRISTMAS | check</t>
  </si>
  <si>
    <t>WRAP FOLK ART</t>
  </si>
  <si>
    <t xml:space="preserve">WRAP DAISY CARPET </t>
  </si>
  <si>
    <t>WRAP DAISY CARPET</t>
  </si>
  <si>
    <t>WRAP BLUE RUSSIAN FOLKART</t>
  </si>
  <si>
    <t xml:space="preserve">WRAP GREEN RUSSIAN FOLKART </t>
  </si>
  <si>
    <t>WRAP GREEN RUSSIAN FOLKART</t>
  </si>
  <si>
    <t xml:space="preserve">PASTEL PINK PHOTO ALBUM </t>
  </si>
  <si>
    <t>PASTEL PINK PHOTO ALBUM</t>
  </si>
  <si>
    <t xml:space="preserve">PASTEL BLUE PHOTO ALBUM </t>
  </si>
  <si>
    <t>PASTEL BLUE PHOTO ALBUM</t>
  </si>
  <si>
    <t xml:space="preserve">BLACK PHOTO ALBUM </t>
  </si>
  <si>
    <t>BLACK PHOTO ALBUM</t>
  </si>
  <si>
    <t>RED PURSE WITH PINK HEART</t>
  </si>
  <si>
    <t>PINK STRAWBERRY HANDBAG  | check</t>
  </si>
  <si>
    <t>PINK STRAWBERRY HANDBAG | check</t>
  </si>
  <si>
    <t>PINK HEART RED HANDBAG</t>
  </si>
  <si>
    <t>LETTER SHAPE PENCIL SHARPENER</t>
  </si>
  <si>
    <t>CARTOON  PENCIL SHARPENERS</t>
  </si>
  <si>
    <t>HOUSE SHAPE PENCIL SHARPENER</t>
  </si>
  <si>
    <t>RATTLE SNAKE EGGS</t>
  </si>
  <si>
    <t>RECYCLED PENCIL WITH RABBIT ERASER</t>
  </si>
  <si>
    <t>KITTY PENCIL ERASERS</t>
  </si>
  <si>
    <t>SLEEPING CAT ERASERS</t>
  </si>
  <si>
    <t>PARTY TIME PENCIL ERASERS</t>
  </si>
  <si>
    <t>MAXWELL 2 TONE BLUE 60 PAGE PHOTO A</t>
  </si>
  <si>
    <t>BLUE HOLE PUNCH</t>
  </si>
  <si>
    <t>TRANSPARENT ACRYLIC TAPE DISPENSER</t>
  </si>
  <si>
    <t>SWIRLY CIRCULAR RUBBERS IN BAG</t>
  </si>
  <si>
    <t>PIECE OF CAMO STATIONERY SET</t>
  </si>
  <si>
    <t>HEAVENS SCENT FRAGRANCE OILS ASSTD</t>
  </si>
  <si>
    <t xml:space="preserve">BROCADE RING PURSE </t>
  </si>
  <si>
    <t>BROCADE RING PURSE</t>
  </si>
  <si>
    <t>S/3 POT POURI CUSHIONS BLUE COLOURS</t>
  </si>
  <si>
    <t>17011A</t>
  </si>
  <si>
    <t>ORIGAMI SANDLEWOOD INCENSE+FLOWER</t>
  </si>
  <si>
    <t xml:space="preserve">ORIGAMI VANILLA INCENSE/CANDLE SET </t>
  </si>
  <si>
    <t>ORIGAMI VANILLA INCENSE/CANDLE SET</t>
  </si>
  <si>
    <t>ORIGAMI JASMINE INCENSE/CANDLE SET | check</t>
  </si>
  <si>
    <t>ORIGAMI LAVENDER INCENSE/CANDL SET  | check</t>
  </si>
  <si>
    <t>ORIGAMI LAVENDER INCENSE/CANDL SET | check</t>
  </si>
  <si>
    <t xml:space="preserve">ORIGAMI ROSE INCENSE/CANDLE SET </t>
  </si>
  <si>
    <t>ORIGAMI ROSE INCENSE/CANDLE SET</t>
  </si>
  <si>
    <t xml:space="preserve">ORIGAMI OPIUM INCENSE/CANDLE SET </t>
  </si>
  <si>
    <t>ORIGAMI OPIUM INCENSE/CANDLE SET</t>
  </si>
  <si>
    <t>ORIGAMI SANDLEWOOD INCENSE/CAND SET | check</t>
  </si>
  <si>
    <t>ORIGAMI ROSE INCENSE IN TUBE</t>
  </si>
  <si>
    <t>ORIGAMI VANILLA INCENSE CONES</t>
  </si>
  <si>
    <t>NAMASTE SWAGAT INCENSE</t>
  </si>
  <si>
    <t>INCENSE BAZAAR PEACH</t>
  </si>
  <si>
    <t>PORCELAIN BUDAH INCENSE HOLDER</t>
  </si>
  <si>
    <t>TRANQUILITY MASALA INCENSE</t>
  </si>
  <si>
    <t>LOVE POTION MASALA INCENSE</t>
  </si>
  <si>
    <t xml:space="preserve">FAIRY DREAMS INCENSE </t>
  </si>
  <si>
    <t>FAIRY DREAMS INCENSE</t>
  </si>
  <si>
    <t>DRAGONS BLOOD INCENSE</t>
  </si>
  <si>
    <t>ASSORTED INCENSE PACK</t>
  </si>
  <si>
    <t>LAVENDER INCENSE 40 CONES IN TIN</t>
  </si>
  <si>
    <t>VANILLA INCENSE 40 CONES IN TIN</t>
  </si>
  <si>
    <t>LAVENDER INCENSE IN TIN | found</t>
  </si>
  <si>
    <t>VANILLA INCENSE IN TIN</t>
  </si>
  <si>
    <t>ASSORTED LAQUERED INCENSE HOLDERS</t>
  </si>
  <si>
    <t>FLOWER FAIRY 5 DRAWER LINERS | FLOWER FAIRY 5 SUMMER DRAW LINERS | FLOWER FAIRY,5 SUMMER B'DRAW LINERS</t>
  </si>
  <si>
    <t>Adjustment | FLOWER FAIRY INCENSE BOUQUET</t>
  </si>
  <si>
    <t>BLUE GLASS GEMS IN BAG</t>
  </si>
  <si>
    <t>BLUE STONES ON WIRE FOR CANDLE | check</t>
  </si>
  <si>
    <t>ASS COL SMALL SAND GECKO P'WEIGHT</t>
  </si>
  <si>
    <t>ASS COL LARGE SAND FROG P'WEIGHT</t>
  </si>
  <si>
    <t>ASSTD RASTA KEY-CHAINS</t>
  </si>
  <si>
    <t>ROSE FLOWER CANDLE+INCENSE 16X16CM</t>
  </si>
  <si>
    <t>ESSENTIAL BALM 3.5g TIN IN ENVELOPE</t>
  </si>
  <si>
    <t>WHITE AND BLUE CERAMIC OIL BURNER</t>
  </si>
  <si>
    <t xml:space="preserve">PINK TALL PORCELAIN T-LIGHT HOLDER </t>
  </si>
  <si>
    <t>PINK TALL PORCELAIN T-LIGHT HOLDER</t>
  </si>
  <si>
    <t>WHITE TALL PORCELAIN T-LIGHT HOLDER</t>
  </si>
  <si>
    <t>PORCELAIN BUTTERFLY OIL BURNER</t>
  </si>
  <si>
    <t>BLUE POLKADOT PASSPORT COVER</t>
  </si>
  <si>
    <t>CHERRY BLOSSOM PASSPORT COVER</t>
  </si>
  <si>
    <t xml:space="preserve">FIRST CLASS PASSPORT COVER </t>
  </si>
  <si>
    <t>FIRST CLASS PASSPORT COVER</t>
  </si>
  <si>
    <t xml:space="preserve">QUEEN OF THE SKIES PASSPORT COVER </t>
  </si>
  <si>
    <t>QUEEN OF THE SKIES PASSPORT COVER</t>
  </si>
  <si>
    <t xml:space="preserve">TROPICAL PASSPORT COVER </t>
  </si>
  <si>
    <t>TROPICAL PASSPORT COVER</t>
  </si>
  <si>
    <t xml:space="preserve">VIP PASSPORT COVER  | VIPPASSPORT COVER </t>
  </si>
  <si>
    <t>VIP PASSPORT COVER | VIPPASSPORT COVER</t>
  </si>
  <si>
    <t>BLUE POLKADOT LUGGAGE TAG  | check</t>
  </si>
  <si>
    <t>BLUE POLKADOT LUGGAGE TAG | check</t>
  </si>
  <si>
    <t>CHERRY BLOSSOM LUGGAGE TAG</t>
  </si>
  <si>
    <t xml:space="preserve">FIRST CLASS LUGGAGE TAG </t>
  </si>
  <si>
    <t>FIRST CLASS LUGGAGE TAG</t>
  </si>
  <si>
    <t>QUEEN OF SKIES LUGGAGE TAG</t>
  </si>
  <si>
    <t>TROPICAL LUGGAGE TAG</t>
  </si>
  <si>
    <t>RED RETROSPOT LUGGAGE TAG</t>
  </si>
  <si>
    <t>ECONOMY LUGGAGE TAG</t>
  </si>
  <si>
    <t xml:space="preserve">BLUE POLKADOT PURSE </t>
  </si>
  <si>
    <t>BLUE POLKADOT PURSE</t>
  </si>
  <si>
    <t xml:space="preserve">FIRST CLASS HOLIDAY PURSE </t>
  </si>
  <si>
    <t>FIRST CLASS HOLIDAY PURSE</t>
  </si>
  <si>
    <t xml:space="preserve">QUEEN OF THE SKIES HOLIDAY PURSE </t>
  </si>
  <si>
    <t>QUEEN OF THE SKIES HOLIDAY PURSE</t>
  </si>
  <si>
    <t xml:space="preserve">TROPICAL HOLIDAY PURSE </t>
  </si>
  <si>
    <t>TROPICAL HOLIDAY PURSE</t>
  </si>
  <si>
    <t>RED RETROSPOT PURSE  | adjustment | dotcom</t>
  </si>
  <si>
    <t>RED RETROSPOT PURSE | adjustment | dotcom</t>
  </si>
  <si>
    <t>ECONOMY HOLIDAY PURSE</t>
  </si>
  <si>
    <t>CHERRY BLOSSOM PURSE</t>
  </si>
  <si>
    <t>DISCO BALL CHRISTMAS DECORATION</t>
  </si>
  <si>
    <t>RED HEART LUGGAGE TAG</t>
  </si>
  <si>
    <t>VIP HOLIDAY PURSE</t>
  </si>
  <si>
    <t xml:space="preserve">BLUE TEATIME PRINT BOWL </t>
  </si>
  <si>
    <t>BLUE TEATIME PRINT BOWL</t>
  </si>
  <si>
    <t>GREEN POLKADOT BOWL</t>
  </si>
  <si>
    <t>BLUE POLKADOT BOWL</t>
  </si>
  <si>
    <t>RED RETROSPOT BOWL</t>
  </si>
  <si>
    <t>PINK POLKADOT BOWL</t>
  </si>
  <si>
    <t>LARGE BLACK DIAMANTE HAIRSLIDE</t>
  </si>
  <si>
    <t>EDWARDIAN PARASOL RED</t>
  </si>
  <si>
    <t>MIA | PINK POLKADOT CHILDRENS UMBRELLA</t>
  </si>
  <si>
    <t>RED RETROSPOT CHILDRENS UMBRELLA</t>
  </si>
  <si>
    <t>STRAWBERRY DREAM CHILDS UMBRELLA</t>
  </si>
  <si>
    <t>DOORMAT RED RETROSPOT</t>
  </si>
  <si>
    <t>DOLLY MIXTURE CHILDREN'S UMBRELLA</t>
  </si>
  <si>
    <t>20689</t>
  </si>
  <si>
    <t>? | FLORAL PINK MONSTER</t>
  </si>
  <si>
    <t>FLORAL BLUE MONSTER</t>
  </si>
  <si>
    <t>FLORAL SOFT CAR TOY</t>
  </si>
  <si>
    <t>LITTLE GREEN MONSTER SOFT TOY</t>
  </si>
  <si>
    <t>LITTLE PINK MONSTER SOFT TOY</t>
  </si>
  <si>
    <t>MOUSEY LONG LEGS SOFT TOY</t>
  </si>
  <si>
    <t xml:space="preserve">? | GREEN CAT FLORAL CUSHION COVER </t>
  </si>
  <si>
    <t>? | GREEN CAT FLORAL CUSHION COVER</t>
  </si>
  <si>
    <t xml:space="preserve">PINK CAT FLORAL CUSHION COVER </t>
  </si>
  <si>
    <t>PINK CAT FLORAL CUSHION COVER</t>
  </si>
  <si>
    <t>PINK PADDED MOBILE</t>
  </si>
  <si>
    <t>BLUE PADDED SOFT MOBILE</t>
  </si>
  <si>
    <t>MR ROBOT SOFT TOY</t>
  </si>
  <si>
    <t>MRS ROBOT SOFT TOY</t>
  </si>
  <si>
    <t>CRAZY DAISY HEART DECORATION</t>
  </si>
  <si>
    <t>JUMBO BAG TOYS  | check | lost in space</t>
  </si>
  <si>
    <t>JUMBO BAG TOYS | check | lost in space</t>
  </si>
  <si>
    <t>JUMBO BAG WOODLAND ANIMALS</t>
  </si>
  <si>
    <t>Found | JUMBO BAG OWLS | Marked as 23343 | found | wrongly coded 23343 | wrongly coded-23343 | wrongly marked 23343 | wrongly marked. 23343 in box</t>
  </si>
  <si>
    <t>PARTY FOOD SHOPPER BAG</t>
  </si>
  <si>
    <t>STRAWBERRY SHOPPER BAG</t>
  </si>
  <si>
    <t>RED RETROSPOT SHOPPER BAG</t>
  </si>
  <si>
    <t>WOODLAND CHARLOTTE BAG</t>
  </si>
  <si>
    <t>STRAWBERRY CHARLOTTE BAG</t>
  </si>
  <si>
    <t>RED RETROSPOT CHARLOTTE BAG</t>
  </si>
  <si>
    <t>LUNCH BAG RED RETROSPOT | LUNCH BAG RED SPOTTY</t>
  </si>
  <si>
    <t>LUNCH BAG WOODLAND</t>
  </si>
  <si>
    <t>LUNCH BAG  BLACK SKULL.</t>
  </si>
  <si>
    <t>LUNCH BAG CARS BLUE</t>
  </si>
  <si>
    <t>POSY CANDY BAG</t>
  </si>
  <si>
    <t xml:space="preserve">GOLD MINI TAPE MEASURE </t>
  </si>
  <si>
    <t>GOLD MINI TAPE MEASURE</t>
  </si>
  <si>
    <t xml:space="preserve">SILVER MINI TAPE MEASURE </t>
  </si>
  <si>
    <t>SILVER MINI TAPE MEASURE</t>
  </si>
  <si>
    <t xml:space="preserve">BLACK MINI TAPE MEASURE </t>
  </si>
  <si>
    <t>BLACK MINI TAPE MEASURE</t>
  </si>
  <si>
    <t>20738</t>
  </si>
  <si>
    <t>Found | KENSINGTON COFFEE SET</t>
  </si>
  <si>
    <t>ASSORTED COLOUR MINI CASES</t>
  </si>
  <si>
    <t>RED RETROSPOT MINI CASES</t>
  </si>
  <si>
    <t>FUNKY WASHING UP GLOVES ASSORTED | check</t>
  </si>
  <si>
    <t>BLUE POLKADOT WASHING UP GLOVES | check</t>
  </si>
  <si>
    <t>Found | RETROSPOT RED WASHING UP GLOVES</t>
  </si>
  <si>
    <t>BLUE PAISLEY POCKET BOOK</t>
  </si>
  <si>
    <t>GREEN FERN POCKET BOOK</t>
  </si>
  <si>
    <t xml:space="preserve">RED DAISY POCKET BOOK </t>
  </si>
  <si>
    <t>RED DAISY POCKET BOOK</t>
  </si>
  <si>
    <t>ABSTRACT CIRCLES POCKET BOOK</t>
  </si>
  <si>
    <t xml:space="preserve">CHRYSANTHEMUM POCKET BOOK </t>
  </si>
  <si>
    <t>CHRYSANTHEMUM POCKET BOOK</t>
  </si>
  <si>
    <t>GARDEN PATH POCKET BOOK</t>
  </si>
  <si>
    <t>BLUE PAISLEY SKETCHBOOK</t>
  </si>
  <si>
    <t xml:space="preserve">GREEN FERN SKETCHBOOK </t>
  </si>
  <si>
    <t>GREEN FERN SKETCHBOOK</t>
  </si>
  <si>
    <t xml:space="preserve">DAISY SKETCHBOOK </t>
  </si>
  <si>
    <t>DAISY SKETCHBOOK</t>
  </si>
  <si>
    <t xml:space="preserve">ABSTRACT CIRCLES SKETCHBOOK </t>
  </si>
  <si>
    <t>ABSTRACT CIRCLES SKETCHBOOK</t>
  </si>
  <si>
    <t xml:space="preserve">CHRYSANTHEMUM SKETCHBOOK </t>
  </si>
  <si>
    <t>CHRYSANTHEMUM SKETCHBOOK</t>
  </si>
  <si>
    <t>GARDEN PATH SKETCHBOOK</t>
  </si>
  <si>
    <t xml:space="preserve">BLUE PAISLEY JOURNAL </t>
  </si>
  <si>
    <t>BLUE PAISLEY JOURNAL</t>
  </si>
  <si>
    <t xml:space="preserve">GREEN FERN JOURNAL </t>
  </si>
  <si>
    <t>GREEN FERN JOURNAL</t>
  </si>
  <si>
    <t xml:space="preserve">DAISY JOURNAL </t>
  </si>
  <si>
    <t>DAISY JOURNAL</t>
  </si>
  <si>
    <t xml:space="preserve">ABSTRACT CIRCLE JOURNAL </t>
  </si>
  <si>
    <t>ABSTRACT CIRCLE JOURNAL</t>
  </si>
  <si>
    <t>CHRYSANTHEMUM  JOURNAL</t>
  </si>
  <si>
    <t>GARDEN PATH JOURNAL</t>
  </si>
  <si>
    <t>BLUE PAISLEY NOTEBOOK</t>
  </si>
  <si>
    <t>GREEN FERN NOTEBOOK | damaged</t>
  </si>
  <si>
    <t xml:space="preserve">DAISY NOTEBOOK </t>
  </si>
  <si>
    <t>DAISY NOTEBOOK</t>
  </si>
  <si>
    <t>CHRYSANTHEMUM NOTEBOOK</t>
  </si>
  <si>
    <t xml:space="preserve">GARDEN PATH NOTEBOOK </t>
  </si>
  <si>
    <t>GARDEN PATH NOTEBOOK</t>
  </si>
  <si>
    <t>BLACK EAR MUFF HEADPHONES</t>
  </si>
  <si>
    <t>GOLD EAR MUFF HEADPHONES</t>
  </si>
  <si>
    <t>CAMOUFLAGE EAR MUFF HEADPHONES</t>
  </si>
  <si>
    <t>FUSCHIA RETRO BAR STOOL</t>
  </si>
  <si>
    <t>BLUE TILED TRAY</t>
  </si>
  <si>
    <t>BLUE  TILE HOOK</t>
  </si>
  <si>
    <t>LARGE BLUE PROVENCAL CERAMIC BALL</t>
  </si>
  <si>
    <t>SMALL BLUE PROVENCAL CERAMIC BALL</t>
  </si>
  <si>
    <t>CLEAR MILKSHAKE GLASS</t>
  </si>
  <si>
    <t>LARGE PINK GLASS SUNDAE DISH</t>
  </si>
  <si>
    <t>SMALL GLASS SUNDAE DISH CLEAR</t>
  </si>
  <si>
    <t>SMALL PINK GLASS SUNDAE DISH | damages</t>
  </si>
  <si>
    <t xml:space="preserve">GOLD FLOWER CUSHION COVER </t>
  </si>
  <si>
    <t>GOLD FLOWER CUSHION COVER</t>
  </si>
  <si>
    <t>GOLD TEDDY BEAR</t>
  </si>
  <si>
    <t>SILVER TEDDY BEAR</t>
  </si>
  <si>
    <t>SILVER LOOKING MIRROR</t>
  </si>
  <si>
    <t>GOLDIE LOOKING MIRROR</t>
  </si>
  <si>
    <t>GOLD WINE GOBLET</t>
  </si>
  <si>
    <t>20825</t>
  </si>
  <si>
    <t>SILVER APERITIF GLASS</t>
  </si>
  <si>
    <t>GOLD APERITIF GLASS | damages</t>
  </si>
  <si>
    <t>GLITTER BUTTERFLY CLIPS</t>
  </si>
  <si>
    <t>GLITTER HANGING BUTTERFLY STRING</t>
  </si>
  <si>
    <t>SILVER PHOTO FRAME</t>
  </si>
  <si>
    <t>GOLD PHOTO FRAME</t>
  </si>
  <si>
    <t>RED FLOCK LOVE HEART PHOTO FRAME | check</t>
  </si>
  <si>
    <t xml:space="preserve">FRENCH LATTICE CUSHION COVER </t>
  </si>
  <si>
    <t>FRENCH LATTICE CUSHION COVER</t>
  </si>
  <si>
    <t>FRENCH PAISLEY CUSHION COVER</t>
  </si>
  <si>
    <t xml:space="preserve">FRENCH FLORAL CUSHION COVER </t>
  </si>
  <si>
    <t>FRENCH FLORAL CUSHION COVER</t>
  </si>
  <si>
    <t>FRENCH PAISLEY CUSHION COVER  | damages</t>
  </si>
  <si>
    <t>FRENCH PAISLEY CUSHION COVER | damages</t>
  </si>
  <si>
    <t>FRENCH FLORAL CUSHION COVER  | damages</t>
  </si>
  <si>
    <t>FRENCH FLORAL CUSHION COVER | damages</t>
  </si>
  <si>
    <t>ZINC HEART LATTICE 2 WALL PLANTER</t>
  </si>
  <si>
    <t>ZINC HEART LATTICE T-LIGHT HOLDER</t>
  </si>
  <si>
    <t>ZINC HEART LATTICE CHARGER LARGE</t>
  </si>
  <si>
    <t>ZINC HEART LATTICE CHARGER SMALL</t>
  </si>
  <si>
    <t>20849</t>
  </si>
  <si>
    <t>20850</t>
  </si>
  <si>
    <t xml:space="preserve">ZINC HEART LATTICE TRAY OVAL </t>
  </si>
  <si>
    <t>ZINC HEART LATTICE TRAY OVAL</t>
  </si>
  <si>
    <t>BLUE PATCH PURSE PINK HEART</t>
  </si>
  <si>
    <t>?? | DENIM PATCH PURSE PINK BUTTERFLY</t>
  </si>
  <si>
    <t>BLUE ROSE PATCH PURSE PINK BUTTERFL</t>
  </si>
  <si>
    <t>GOLD COSMETICS BAG WITH BUTTERFLY</t>
  </si>
  <si>
    <t>GOLD COSMETIC BAG PINK STAR</t>
  </si>
  <si>
    <t>20863</t>
  </si>
  <si>
    <t>20864</t>
  </si>
  <si>
    <t>? | BLUE ROSE FABRIC MIRROR</t>
  </si>
  <si>
    <t>? | PINK ROSE FABRIC MIRROR</t>
  </si>
  <si>
    <t>SILVER FABRIC MIRROR</t>
  </si>
  <si>
    <t>GOLD FABRIC MIRROR</t>
  </si>
  <si>
    <t>OPULENT VELVET SET/3 CANDLES</t>
  </si>
  <si>
    <t xml:space="preserve">SET/9 CHRISTMAS T-LIGHTS SCENTED </t>
  </si>
  <si>
    <t>SET/9 CHRISTMAS T-LIGHTS SCENTED</t>
  </si>
  <si>
    <t>BOX OF 9 PEBBLE CANDLES</t>
  </si>
  <si>
    <t>SET/3 TALL GLASS CANDLE HOLDER PINK</t>
  </si>
  <si>
    <t>HANGING BAUBLE T-LIGHT HOLDER SMALL | damages | damages/display</t>
  </si>
  <si>
    <t>HANGING BAUBLE T-LIGHT HOLDER LARGE</t>
  </si>
  <si>
    <t>20896</t>
  </si>
  <si>
    <t>VINTAGE NOTEBOOK PARIS DAYS</t>
  </si>
  <si>
    <t>VINTAGE NOTEBOOK TRAVELOGUE | check</t>
  </si>
  <si>
    <t>VINTAGE KEEPSAKE BOX PINK FLOWER</t>
  </si>
  <si>
    <t>VINTAGE KEEPSAKE BOX PARIS DAYS | check</t>
  </si>
  <si>
    <t>VINTAGE KEEPSAKE BOX TRAVELOGUE</t>
  </si>
  <si>
    <t>VINTAGE NOTEBOOK BEAUTY GIRL</t>
  </si>
  <si>
    <t>VINTAGE PHOTO ALBUM PARIS DAYS</t>
  </si>
  <si>
    <t>SET/5 RED RETROSPOT LID GLASS BOWLS | SET/5 RED SPOTTY LID GLASS BOWLS</t>
  </si>
  <si>
    <t xml:space="preserve">BLUE POT PLANT CANDLE </t>
  </si>
  <si>
    <t>BLUE POT PLANT CANDLE</t>
  </si>
  <si>
    <t>PINK POT PLANT CANDLE</t>
  </si>
  <si>
    <t>YELLOW POT PLANT CANDLE</t>
  </si>
  <si>
    <t>SET/3 POT PLANT CANDLES</t>
  </si>
  <si>
    <t>ROUND CACTUS CANDLE</t>
  </si>
  <si>
    <t>FORKED CACTUS CANDLE</t>
  </si>
  <si>
    <t>FROG CANDLE</t>
  </si>
  <si>
    <t>20950</t>
  </si>
  <si>
    <t>*USB Office Mirror Ball</t>
  </si>
  <si>
    <t>? | PORCELAIN T-LIGHT HOLDERS ASSORTED | check</t>
  </si>
  <si>
    <t>PORCELAIN HANGING BELL SMALL</t>
  </si>
  <si>
    <t>WATERMELON BATH SPONGE</t>
  </si>
  <si>
    <t xml:space="preserve">STRAWBERRY BATH SPONGE </t>
  </si>
  <si>
    <t>STRAWBERRY BATH SPONGE</t>
  </si>
  <si>
    <t>APPLE BATH SPONGE</t>
  </si>
  <si>
    <t>POLYESTER FILLER PAD 60x40cm</t>
  </si>
  <si>
    <t>SANDWICH BATH SPONGE</t>
  </si>
  <si>
    <t>Amazon Adjustment | GREY FLORAL FELTCRAFT SHOULDER BAG</t>
  </si>
  <si>
    <t>RED FLORAL FELTCRAFT SHOULDER BAG</t>
  </si>
  <si>
    <t>PINK FLORAL FELTCRAFT SHOULDER BAG</t>
  </si>
  <si>
    <t>PINK BLUE FELT CRAFT TRINKET BOX</t>
  </si>
  <si>
    <t xml:space="preserve">PINK CREAM FELT CRAFT TRINKET BOX </t>
  </si>
  <si>
    <t>PINK CREAM FELT CRAFT TRINKET BOX</t>
  </si>
  <si>
    <t>12 PENCIL SMALL TUBE WOODLAND</t>
  </si>
  <si>
    <t>12 PENCILS SMALL TUBE SKULL</t>
  </si>
  <si>
    <t>12 PENCILS SMALL TUBE RED RETROSPOT</t>
  </si>
  <si>
    <t>36 PENCILS TUBE WOODLAND</t>
  </si>
  <si>
    <t>36 PENCILS TUBE SKULLS</t>
  </si>
  <si>
    <t>36 PENCILS TUBE RED RETROSPOT</t>
  </si>
  <si>
    <t>36 PENCILS TUBE POSY</t>
  </si>
  <si>
    <t>12 PENCILS TALL TUBE WOODLAND</t>
  </si>
  <si>
    <t>12 PENCILS TALL TUBE SKULLS</t>
  </si>
  <si>
    <t>12 PENCILS TALL TUBE RED RETROSPOT</t>
  </si>
  <si>
    <t>12 PENCILS TALL TUBE POSY | damaged | found</t>
  </si>
  <si>
    <t>HEART CALCULATOR</t>
  </si>
  <si>
    <t>BLUE CALCULATOR RULER</t>
  </si>
  <si>
    <t>JAZZ HEARTS PURSE NOTEBOOK</t>
  </si>
  <si>
    <t>JAZZ HEARTS ADDRESS BOOK</t>
  </si>
  <si>
    <t xml:space="preserve">ROSE DU SUD CUSHION COVER </t>
  </si>
  <si>
    <t>ROSE DU SUD CUSHION COVER</t>
  </si>
  <si>
    <t>ROSE DU SUD OVEN GLOVE</t>
  </si>
  <si>
    <t>ROSE DU SUD COSMETICS BAG</t>
  </si>
  <si>
    <t xml:space="preserve">ROSE DU SUD WASHBAG </t>
  </si>
  <si>
    <t>ROSE DU SUD WASHBAG</t>
  </si>
  <si>
    <t>ROSE DU SUD DRAWSTRING BAG</t>
  </si>
  <si>
    <t>ETCHED GLASS STAR TREE DECORATION</t>
  </si>
  <si>
    <t>GLITTER SNOW PEAR TREE DECORATION</t>
  </si>
  <si>
    <t>ANTIQUE ALL GLASS CANDLESTICK</t>
  </si>
  <si>
    <t>SWISS CHALET TREE DECORATION  | check</t>
  </si>
  <si>
    <t>SWISS CHALET TREE DECORATION | check</t>
  </si>
  <si>
    <t>DARK BIRD HOUSE TREE DECORATION</t>
  </si>
  <si>
    <t>BIRD BOX CHRISTMAS TREE DECORATION | damaged</t>
  </si>
  <si>
    <t>SPACE FROG</t>
  </si>
  <si>
    <t>SPACE OWL</t>
  </si>
  <si>
    <t>NINJA RABBIT PINK</t>
  </si>
  <si>
    <t>NINJA RABBIT BLACK</t>
  </si>
  <si>
    <t>SPACE CADET RED</t>
  </si>
  <si>
    <t>SPACE CADET BLACK</t>
  </si>
  <si>
    <t>SPACE CADET WHITE</t>
  </si>
  <si>
    <t>JUMBO BAG CHARLIE AND LOLA TOYS | taig adjust no stock</t>
  </si>
  <si>
    <t>REX CASH+CARRY JUMBO SHOPPER</t>
  </si>
  <si>
    <t xml:space="preserve">SET/2 RED RETROSPOT TEA TOWELS </t>
  </si>
  <si>
    <t>SET/2 RED RETROSPOT TEA TOWELS</t>
  </si>
  <si>
    <t>SET/4 MODERN VINTAGE COTTON NAPKINS</t>
  </si>
  <si>
    <t>RED RETROSPOT SHOPPING BAG</t>
  </si>
  <si>
    <t>MODERN VINTAGE COTTON SHOPPING BAG</t>
  </si>
  <si>
    <t>RED RETROSPOT OVEN GLOVE DOUBLE</t>
  </si>
  <si>
    <t xml:space="preserve">RED RETROSPOT APRON </t>
  </si>
  <si>
    <t>RED RETROSPOT APRON</t>
  </si>
  <si>
    <t>APRON MODERN VINTAGE COTTON</t>
  </si>
  <si>
    <t>RIBBONS PURSE  | found</t>
  </si>
  <si>
    <t>RIBBONS PURSE | found</t>
  </si>
  <si>
    <t>NURSE'S BAG SOFT TOY</t>
  </si>
  <si>
    <t xml:space="preserve">TOOL BOX SOFT TOY </t>
  </si>
  <si>
    <t>TOOL BOX SOFT TOY</t>
  </si>
  <si>
    <t>DOCTOR'S BAG SOFT TOY</t>
  </si>
  <si>
    <t>PARTY INVITES WOODLAND</t>
  </si>
  <si>
    <t>PARTY INVITES DINOSAURS</t>
  </si>
  <si>
    <t>PARTY INVITES BALLOON GIRL</t>
  </si>
  <si>
    <t>PARTY INVITES FOOTBALL</t>
  </si>
  <si>
    <t>PARTY INVITES SPACEMAN</t>
  </si>
  <si>
    <t>PARTY INVITES JAZZ HEARTS</t>
  </si>
  <si>
    <t>BOOM BOX SPEAKER BOYS</t>
  </si>
  <si>
    <t>BOOM BOX SPEAKER GIRLS</t>
  </si>
  <si>
    <t>VINTAGE RED MUG</t>
  </si>
  <si>
    <t>VINTAGE RED TEATIME MUG</t>
  </si>
  <si>
    <t>VINTAGE BILLBOARD LOVE/HATE MUG</t>
  </si>
  <si>
    <t>VINTAGE BILLBOARD TEA MUG</t>
  </si>
  <si>
    <t xml:space="preserve">VINTAGE BILLBOARD MUG </t>
  </si>
  <si>
    <t>VINTAGE BILLBOARD MUG</t>
  </si>
  <si>
    <t>VINTAGE BILLBOARD DRINK ME MUG | check</t>
  </si>
  <si>
    <t xml:space="preserve">SET/20 STRAWBERRY PAPER NAPKINS </t>
  </si>
  <si>
    <t>SET/20 STRAWBERRY PAPER NAPKINS</t>
  </si>
  <si>
    <t xml:space="preserve">SET/20 RED RETROSPOT PAPER NAPKINS </t>
  </si>
  <si>
    <t>SET/20 RED RETROSPOT PAPER NAPKINS</t>
  </si>
  <si>
    <t>SET/20 FRUIT SALAD PAPER NAPKINS  | found</t>
  </si>
  <si>
    <t>SET/20 FRUIT SALAD PAPER NAPKINS | found</t>
  </si>
  <si>
    <t>SET/6 COLLAGE PAPER CUPS</t>
  </si>
  <si>
    <t>SET/6 RED SPOTTY PAPER CUPS</t>
  </si>
  <si>
    <t>SET/6 POSIES PAPER CUPS</t>
  </si>
  <si>
    <t>SET/6 FRUIT SALAD PAPER CUPS</t>
  </si>
  <si>
    <t>SET/6 GREEN SPRING PAPER CUPS | damaged</t>
  </si>
  <si>
    <t>SET/6 COLLAGE PAPER PLATES | WET/MOULDY</t>
  </si>
  <si>
    <t>SET/6 RED SPOTTY PAPER PLATES</t>
  </si>
  <si>
    <t>SET/6 POSIES PAPER PLATES</t>
  </si>
  <si>
    <t>SET/6 FRUIT SALAD  PAPER PLATES</t>
  </si>
  <si>
    <t>CHRISTMAS TOILET ROLL | damages? | had been put aside</t>
  </si>
  <si>
    <t>CHARLIE AND LOLA CHARLOTTE BAG | Damaged</t>
  </si>
  <si>
    <t xml:space="preserve">CREAM SLICE FLANNEL CHOCOLATE SPOT </t>
  </si>
  <si>
    <t>CREAM SLICE FLANNEL CHOCOLATE SPOT</t>
  </si>
  <si>
    <t xml:space="preserve">CREAM SLICE FLANNEL PINK SPOT </t>
  </si>
  <si>
    <t>CREAM SLICE FLANNEL PINK SPOT</t>
  </si>
  <si>
    <t>FAIRY CAKE FLANNEL ASSORTED COLOUR</t>
  </si>
  <si>
    <t>LARGE CAKE TOWEL CHOCOLATE SPOTS | LARGE CAKE TOWEL, CHOCOLATE SPOTS | wet</t>
  </si>
  <si>
    <t>LARGE CAKE TOWEL PINK SPOTS</t>
  </si>
  <si>
    <t>SWISS ROLL TOWEL, CHOCOLATE  SPOTS</t>
  </si>
  <si>
    <t>SWISS ROLL TOWEL PINK  SPOTS | SWISS ROLL TOWEL, PINK  SPOTS</t>
  </si>
  <si>
    <t>LAVENDER SCENTED FABRIC HEART</t>
  </si>
  <si>
    <t>ROSE CARAVAN DOORSTOP</t>
  </si>
  <si>
    <t>OWL DOORSTOP</t>
  </si>
  <si>
    <t>BLOND DOLL DOORSTOP</t>
  </si>
  <si>
    <t>*Boombox Ipod Classic</t>
  </si>
  <si>
    <t>SET/10 RED POLKADOT PARTY CANDLES</t>
  </si>
  <si>
    <t>SET/10 PINK POLKADOT PARTY CANDLES</t>
  </si>
  <si>
    <t>SET/10 IVORY POLKADOT PARTY CANDLES</t>
  </si>
  <si>
    <t>SET/10 BLUE POLKADOT PARTY CANDLES</t>
  </si>
  <si>
    <t>SET 6 FOOTBALL CELEBRATION CANDLES</t>
  </si>
  <si>
    <t>SET OF 6 GIRLS CELEBRATION CANDLES</t>
  </si>
  <si>
    <t>GOLD FISHING GNOME</t>
  </si>
  <si>
    <t xml:space="preserve">SILVER FISHING GNOME </t>
  </si>
  <si>
    <t>SILVER FISHING GNOME</t>
  </si>
  <si>
    <t>GOLD STANDING GNOME</t>
  </si>
  <si>
    <t xml:space="preserve">SILVER STANDING GNOME   </t>
  </si>
  <si>
    <t>SILVER STANDING GNOME</t>
  </si>
  <si>
    <t>21134</t>
  </si>
  <si>
    <t>VICTORIAN  METAL POSTCARD SPRING | sold as set on dotcom | wet rusty</t>
  </si>
  <si>
    <t>PAINTED METAL PEARS ASSORTED | sold as set on dotcom</t>
  </si>
  <si>
    <t>BLACK RECORD COVER FRAME</t>
  </si>
  <si>
    <t xml:space="preserve">ANTIQUE GLASS HEART DECORATION </t>
  </si>
  <si>
    <t>ANTIQUE GLASS HEART DECORATION</t>
  </si>
  <si>
    <t xml:space="preserve">PINK POODLE HANGING DECORATION </t>
  </si>
  <si>
    <t>PINK POODLE HANGING DECORATION</t>
  </si>
  <si>
    <t>ANTIQUE GLASS PLACE SETTING</t>
  </si>
  <si>
    <t>? | JINGLE BELLS TREE DECORATION | found</t>
  </si>
  <si>
    <t xml:space="preserve">RED RETROSPOT OVEN GLOVE </t>
  </si>
  <si>
    <t>RED RETROSPOT OVEN GLOVE</t>
  </si>
  <si>
    <t>RED RETROSPOT PEG BAG</t>
  </si>
  <si>
    <t>RETROSPOT CHILDRENS APRON</t>
  </si>
  <si>
    <t>RED RETROSPOT WASHBAG</t>
  </si>
  <si>
    <t xml:space="preserve">MOODY GIRL DOOR HANGER </t>
  </si>
  <si>
    <t>MOODY GIRL DOOR HANGER</t>
  </si>
  <si>
    <t>MOODY BOY  DOOR HANGER  | damaged</t>
  </si>
  <si>
    <t>MOODY BOY  DOOR HANGER | damaged</t>
  </si>
  <si>
    <t xml:space="preserve">KEEP OUT GIRLS DOOR HANGER </t>
  </si>
  <si>
    <t>KEEP OUT GIRLS DOOR HANGER</t>
  </si>
  <si>
    <t xml:space="preserve">KEEP OUT BOYS DOOR HANGER </t>
  </si>
  <si>
    <t>KEEP OUT BOYS DOOR HANGER</t>
  </si>
  <si>
    <t xml:space="preserve">TOXIC AREA  DOOR HANGER </t>
  </si>
  <si>
    <t>TOXIC AREA  DOOR HANGER</t>
  </si>
  <si>
    <t xml:space="preserve">DO NOT TOUCH MY STUFF DOOR HANGER </t>
  </si>
  <si>
    <t>DO NOT TOUCH MY STUFF DOOR HANGER</t>
  </si>
  <si>
    <t xml:space="preserve">HOME SWEET HOME METAL SIGN </t>
  </si>
  <si>
    <t>HOME SWEET HOME METAL SIGN</t>
  </si>
  <si>
    <t>BEWARE OF THE CAT METAL SIGN  | check</t>
  </si>
  <si>
    <t>BEWARE OF THE CAT METAL SIGN | check</t>
  </si>
  <si>
    <t xml:space="preserve">? | COOK WITH WINE METAL SIGN </t>
  </si>
  <si>
    <t>? | COOK WITH WINE METAL SIGN</t>
  </si>
  <si>
    <t>WHITE SAGE INCENSE</t>
  </si>
  <si>
    <t xml:space="preserve">YOU'RE CONFUSING ME METAL SIGN </t>
  </si>
  <si>
    <t>YOU'RE CONFUSING ME METAL SIGN</t>
  </si>
  <si>
    <t xml:space="preserve">BATHROOM METAL SIGN </t>
  </si>
  <si>
    <t>BATHROOM METAL SIGN</t>
  </si>
  <si>
    <t xml:space="preserve">PARTY METAL SIGN </t>
  </si>
  <si>
    <t>PARTY METAL SIGN</t>
  </si>
  <si>
    <t>POTTERING IN THE SHED METAL SIGN | found</t>
  </si>
  <si>
    <t>GIN + TONIC DIET METAL SIGN | GIN AND TONIC DIET METAL SIGN</t>
  </si>
  <si>
    <t>NO JUNK MAIL METAL SIGN | damaged</t>
  </si>
  <si>
    <t>PLEASE ONE PERSON METAL SIGN | adjustment | check | dotcom | on cargo order</t>
  </si>
  <si>
    <t>WHITE DOVE HONEYCOMB PAPER GARLAND</t>
  </si>
  <si>
    <t xml:space="preserve">WHITE BELL HONEYCOMB PAPER GARLAND </t>
  </si>
  <si>
    <t>WHITE BELL HONEYCOMB PAPER GARLAND</t>
  </si>
  <si>
    <t>3D HEARTS  HONEYCOMB PAPER GARLAND</t>
  </si>
  <si>
    <t xml:space="preserve">WHITE HONEYCOMB PAPER GARLAND </t>
  </si>
  <si>
    <t>WHITE HONEYCOMB PAPER GARLAND</t>
  </si>
  <si>
    <t>PINK HEARTS PAPER GARLAND</t>
  </si>
  <si>
    <t xml:space="preserve">LARGE WHITE HONEYCOMB PAPER BELL  </t>
  </si>
  <si>
    <t>LARGE WHITE HONEYCOMB PAPER BELL</t>
  </si>
  <si>
    <t>WHITE BELL HONEYCOMB PAPER  | check | wrongly marked</t>
  </si>
  <si>
    <t>WHITE BELL HONEYCOMB PAPER | check | wrongly marked</t>
  </si>
  <si>
    <t>PINK  HONEYCOMB PAPER FAN</t>
  </si>
  <si>
    <t xml:space="preserve">PINK  HONEYCOMB PAPER BALL </t>
  </si>
  <si>
    <t>PINK  HONEYCOMB PAPER BALL</t>
  </si>
  <si>
    <t>ROUND WHITE CONFETTI IN TUBE</t>
  </si>
  <si>
    <t>MULTICOLOUR  CONFETTI IN TUBE</t>
  </si>
  <si>
    <t>WHITE HEART CONFETTI IN TUBE</t>
  </si>
  <si>
    <t>PINK  HEART CONFETTI IN TUBE</t>
  </si>
  <si>
    <t>MULTICOLOUR HONEYCOMB PAPER GARLAND</t>
  </si>
  <si>
    <t xml:space="preserve">??? | TROPICAL  HONEYCOMB PAPER GARLAND </t>
  </si>
  <si>
    <t>??? | TROPICAL  HONEYCOMB PAPER GARLAND</t>
  </si>
  <si>
    <t>DOLLY HONEYCOMB GARLAND</t>
  </si>
  <si>
    <t xml:space="preserve">DAISIES  HONEYCOMB GARLAND </t>
  </si>
  <si>
    <t>DAISIES  HONEYCOMB GARLAND</t>
  </si>
  <si>
    <t>MULTICOLOUR 3D BALLS GARLAND</t>
  </si>
  <si>
    <t xml:space="preserve">STRAWBERRY HONEYCOMB  GARLAND </t>
  </si>
  <si>
    <t>STRAWBERRY HONEYCOMB  GARLAND</t>
  </si>
  <si>
    <t xml:space="preserve">SKULL AND CROSSBONES  GARLAND </t>
  </si>
  <si>
    <t>SKULL AND CROSSBONES  GARLAND</t>
  </si>
  <si>
    <t>PASTEL COLOUR HONEYCOMB FAN</t>
  </si>
  <si>
    <t>MULTICOLOUR HONEYCOMB FAN</t>
  </si>
  <si>
    <t>SET OF 72 RETROSPOT PAPER  DOILIES</t>
  </si>
  <si>
    <t>SET OF 72 SKULL PAPER  DOILIES</t>
  </si>
  <si>
    <t>PACK OF 72 RETROSPOT CAKE CASES</t>
  </si>
  <si>
    <t>PACK OF 72 SKULL CAKE CASES</t>
  </si>
  <si>
    <t xml:space="preserve">IVORY PAPER CUP CAKE CASES </t>
  </si>
  <si>
    <t>IVORY PAPER CUP CAKE CASES</t>
  </si>
  <si>
    <t>SET 3 RETROSPOT TEA,COFFEE,SUGAR</t>
  </si>
  <si>
    <t>RED RETROSPOT ROUND CAKE TINS</t>
  </si>
  <si>
    <t>RED SPOTTY BISCUIT TIN</t>
  </si>
  <si>
    <t>SET/4 BADGES BALLOON GIRL</t>
  </si>
  <si>
    <t>SET/4 BADGES DOGS</t>
  </si>
  <si>
    <t>SET/4 BADGES CUTE CREATURES</t>
  </si>
  <si>
    <t>SET/4 BADGES BEETLES</t>
  </si>
  <si>
    <t>SET/4 SKULL BADGES</t>
  </si>
  <si>
    <t>POCKET MIRROR WOODLAND</t>
  </si>
  <si>
    <t>POCKET MIRROR "GLAMOROUS"</t>
  </si>
  <si>
    <t>SWEETHEART CERAMIC TRINKET BOX</t>
  </si>
  <si>
    <t>STRAWBERRY CERAMIC TRINKET BOX | STRAWBERRY CERAMIC TRINKET POT</t>
  </si>
  <si>
    <t>RED RETROSPOT CUP</t>
  </si>
  <si>
    <t>PINK  POLKADOT CUP</t>
  </si>
  <si>
    <t>BLUE POLKADOT CUP</t>
  </si>
  <si>
    <t xml:space="preserve">RED RETROSPOT PLATE </t>
  </si>
  <si>
    <t>RED RETROSPOT PLATE</t>
  </si>
  <si>
    <t xml:space="preserve">PINK  POLKADOT PLATE  | PINK POLKADOT PLATE </t>
  </si>
  <si>
    <t>PINK  POLKADOT PLATE | PINK POLKADOT PLATE</t>
  </si>
  <si>
    <t xml:space="preserve">BLUE POLKADOT PLATE </t>
  </si>
  <si>
    <t>BLUE POLKADOT PLATE</t>
  </si>
  <si>
    <t xml:space="preserve">GREEN POLKADOT PLATE </t>
  </si>
  <si>
    <t>GREEN POLKADOT PLATE</t>
  </si>
  <si>
    <t>RED RETROSPOT BIG BOWL | damaged</t>
  </si>
  <si>
    <t>DOOR HANGER  MUM + DADS ROOM</t>
  </si>
  <si>
    <t xml:space="preserve">WOODLAND  HEIGHT CHART STICKERS </t>
  </si>
  <si>
    <t>WOODLAND  HEIGHT CHART STICKERS</t>
  </si>
  <si>
    <t>SET OF SKULL WALL STICKERS</t>
  </si>
  <si>
    <t>DINOSAUR HEIGHT CHART STICKER SET</t>
  </si>
  <si>
    <t>SET OF PICTURE FRAME  STICKERS</t>
  </si>
  <si>
    <t>? | VICTORIAN SEWING BOX MEDIUM</t>
  </si>
  <si>
    <t>? | VICTORIAN SEWING BOX LARGE</t>
  </si>
  <si>
    <t xml:space="preserve">VICTORIAN SEWING BOX SMALL </t>
  </si>
  <si>
    <t>VICTORIAN SEWING BOX SMALL</t>
  </si>
  <si>
    <t>FIRST AID TIN</t>
  </si>
  <si>
    <t xml:space="preserve">GREEN GOOSE FEATHER CHRISTMAS TREE </t>
  </si>
  <si>
    <t>GREEN GOOSE FEATHER CHRISTMAS TREE</t>
  </si>
  <si>
    <t xml:space="preserve">WHITE GOOSE FEATHER CHRISTMAS TREE </t>
  </si>
  <si>
    <t>WHITE GOOSE FEATHER CHRISTMAS TREE</t>
  </si>
  <si>
    <t>GREEN GOOSE FEATHER TREE 60CM</t>
  </si>
  <si>
    <t xml:space="preserve">WHITE GOOSE FEATHER TREE 60CM </t>
  </si>
  <si>
    <t>WHITE GOOSE FEATHER TREE 60CM</t>
  </si>
  <si>
    <t>PINK GOOSE FEATHER TREE 60CM</t>
  </si>
  <si>
    <t>VINTAGE BLUE TINSEL REEL</t>
  </si>
  <si>
    <t xml:space="preserve">ANTIQUE CREAM CUTLERY SHELF </t>
  </si>
  <si>
    <t>ANTIQUE CREAM CUTLERY SHELF</t>
  </si>
  <si>
    <t>ANTIQUE CREAM CUTLERY CUPBOARD</t>
  </si>
  <si>
    <t>? | SALLE DE BAIN HOOK</t>
  </si>
  <si>
    <t>21274</t>
  </si>
  <si>
    <t xml:space="preserve">? | ZINC TOP  2 DOOR WOODEN SHELF </t>
  </si>
  <si>
    <t>? | ZINC TOP  2 DOOR WOODEN SHELF</t>
  </si>
  <si>
    <t>FRENCH STYLE EMBOSSED HEART CABINET</t>
  </si>
  <si>
    <t>VINTAGE KITCHEN PRINT PUDDINGS</t>
  </si>
  <si>
    <t>VINTAGE KITCHEN PRINT FRUITS</t>
  </si>
  <si>
    <t>VINTAGE KITCHEN PRINT VEGETABLES</t>
  </si>
  <si>
    <t>VINTAGE KITCHEN PRINT SEAFOOD</t>
  </si>
  <si>
    <t>21282</t>
  </si>
  <si>
    <t>21283</t>
  </si>
  <si>
    <t>RETROSPOT CANDLE  SMALL</t>
  </si>
  <si>
    <t>RETROSPOT CANDLE  MEDIUM</t>
  </si>
  <si>
    <t>RETROSPOT CANDLE  LARGE</t>
  </si>
  <si>
    <t xml:space="preserve">SCENTED VELVET LOUNGE CANDLE </t>
  </si>
  <si>
    <t>SCENTED VELVET LOUNGE CANDLE</t>
  </si>
  <si>
    <t>STRIPEY CHOCOLATE NESTING BOXES</t>
  </si>
  <si>
    <t>LARGE STRIPES CHOCOLATE GIFT BAG</t>
  </si>
  <si>
    <t xml:space="preserve">SMALL POLKADOT CHOCOLATE GIFT BAG </t>
  </si>
  <si>
    <t>SMALL POLKADOT CHOCOLATE GIFT BAG</t>
  </si>
  <si>
    <t xml:space="preserve">SMALL STRIPES CHOCOLATE GIFT BAG </t>
  </si>
  <si>
    <t>SMALL STRIPES CHOCOLATE GIFT BAG</t>
  </si>
  <si>
    <t>MIRRORED DOVE WALL DECORATION</t>
  </si>
  <si>
    <t>ETCHED GLASS COASTER | damaged</t>
  </si>
  <si>
    <t>SET/4 DAISY MIRROR MAGNETS</t>
  </si>
  <si>
    <t>SET/4 BUTTERFLY MIRROR MAGNETS</t>
  </si>
  <si>
    <t>CAPIZ CHANDELIER</t>
  </si>
  <si>
    <t xml:space="preserve">SET/4 BIRD MIRROR MAGNETS </t>
  </si>
  <si>
    <t>SET/4 BIRD MIRROR MAGNETS</t>
  </si>
  <si>
    <t xml:space="preserve">GLASS HEART T-LIGHT HOLDER </t>
  </si>
  <si>
    <t>GLASS HEART T-LIGHT HOLDER</t>
  </si>
  <si>
    <t>SMALL GLASS HEART TRINKET POT</t>
  </si>
  <si>
    <t>SMALL CHUNKY GLASS ROMAN  BOWL</t>
  </si>
  <si>
    <t>GLASS SPHERE CANDLE STAND MEDIUM</t>
  </si>
  <si>
    <t xml:space="preserve">GLASS CHALICE BLUE SMALL </t>
  </si>
  <si>
    <t>GLASS CHALICE BLUE SMALL</t>
  </si>
  <si>
    <t>GLASS CHALICE GREEN  SMALL  | adjustment</t>
  </si>
  <si>
    <t>GLASS CHALICE GREEN  SMALL | adjustment</t>
  </si>
  <si>
    <t>GLASS CHALICE GREEN  LARGE  | broken</t>
  </si>
  <si>
    <t>GLASS CHALICE GREEN  LARGE | broken</t>
  </si>
  <si>
    <t>HANGING MEDINA LANTERN SMALL</t>
  </si>
  <si>
    <t>AGED GLASS SILVER T-LIGHT HOLDER</t>
  </si>
  <si>
    <t xml:space="preserve">SKULLS WRITING SET </t>
  </si>
  <si>
    <t>SKULLS WRITING SET</t>
  </si>
  <si>
    <t xml:space="preserve">BALLOONS  WRITING SET </t>
  </si>
  <si>
    <t>BALLOONS  WRITING SET</t>
  </si>
  <si>
    <t xml:space="preserve">DINOSAURS  WRITING SET </t>
  </si>
  <si>
    <t>DINOSAURS  WRITING SET</t>
  </si>
  <si>
    <t>21330</t>
  </si>
  <si>
    <t>MOROCCAN BEATEN METAL DISH LARGE</t>
  </si>
  <si>
    <t>MOROCCAN BEATEN METAL MIRROR</t>
  </si>
  <si>
    <t>CLASSIC WHITE FRAME</t>
  </si>
  <si>
    <t>GOLD WASHBAG</t>
  </si>
  <si>
    <t>21337</t>
  </si>
  <si>
    <t>CLASSIC METAL BIRDCAGE PLANT HOLDER</t>
  </si>
  <si>
    <t>MOROCCAN BEATEN METAL DISH</t>
  </si>
  <si>
    <t xml:space="preserve">PINK SPOTS CHOCOLATE NESTING BOXES </t>
  </si>
  <si>
    <t>PINK SPOTS CHOCOLATE NESTING BOXES</t>
  </si>
  <si>
    <t>IVY HEART WREATH | check</t>
  </si>
  <si>
    <t>CINAMMON &amp; ORANGE WREATH | damaged</t>
  </si>
  <si>
    <t>EUCALYPTUS &amp; PINECONE  WREATH | check</t>
  </si>
  <si>
    <t>TOAST ITS - BEST MUM</t>
  </si>
  <si>
    <t xml:space="preserve">TOAST ITS - I LOVE YOU </t>
  </si>
  <si>
    <t>TOAST ITS - I LOVE YOU</t>
  </si>
  <si>
    <t>TOAST ITS - FAIRY FLOWER</t>
  </si>
  <si>
    <t>TOAST ITS - DINOSAUR</t>
  </si>
  <si>
    <t>TOAST ITS - HAPPY BIRTHDAY</t>
  </si>
  <si>
    <t>RELAX LARGE WOOD LETTERS</t>
  </si>
  <si>
    <t>JOY LARGE WOOD LETTERS | Show Samples</t>
  </si>
  <si>
    <t xml:space="preserve">LOVE LARGE WOOD LETTERS </t>
  </si>
  <si>
    <t>LOVE LARGE WOOD LETTERS</t>
  </si>
  <si>
    <t>HOME SMALL WOOD LETTERS</t>
  </si>
  <si>
    <t>PEACE SMALL WOOD LETTERS</t>
  </si>
  <si>
    <t>MIRRORED WALL ART STARS</t>
  </si>
  <si>
    <t>MIRRORED WALL ART PHOTO FRAMES</t>
  </si>
  <si>
    <t>MIRRORED WALL ART GENTS</t>
  </si>
  <si>
    <t>MIRRORED WALL ART LADIES</t>
  </si>
  <si>
    <t>MIRRORED WALL ART SPLODGES</t>
  </si>
  <si>
    <t>MIRRORED WALL ART FOXY</t>
  </si>
  <si>
    <t>MIRRORED WALL ART POPPIES</t>
  </si>
  <si>
    <t>MIRRORED WALL ART TABLE LAMP</t>
  </si>
  <si>
    <t>MIRRORED WALL ART SNOWFLAKES</t>
  </si>
  <si>
    <t>MIRRORED WALL ART SKULLS</t>
  </si>
  <si>
    <t xml:space="preserve">LARGE CAMPHOR WOOD FIELD MUSHROOM </t>
  </si>
  <si>
    <t>LARGE CAMPHOR WOOD FIELD MUSHROOM</t>
  </si>
  <si>
    <t xml:space="preserve">LARGE  TALL CAMPHOR WOOD TOADSTOOL </t>
  </si>
  <si>
    <t>LARGE  TALL CAMPHOR WOOD TOADSTOOL</t>
  </si>
  <si>
    <t>SMALL CAMPHOR WOOD FIELD  MUSHROOM</t>
  </si>
  <si>
    <t>SMALL TALL CAMPHOR WOOD TOADSTOOL</t>
  </si>
  <si>
    <t>CAMPHOR WOOD PORTOBELLO MUSHROOM</t>
  </si>
  <si>
    <t>WOODEN HAPPY BIRTHDAY GARLAND</t>
  </si>
  <si>
    <t>MINI WOODEN HAPPY BIRTHDAY GARLAND</t>
  </si>
  <si>
    <t>SET/4 SPRING FLOWER DECORATION</t>
  </si>
  <si>
    <t>PACK OF 12 STICKY BUNNIES</t>
  </si>
  <si>
    <t>IVORY HANGING DECORATION  HEART</t>
  </si>
  <si>
    <t>IVORY HANGING DECORATION  EGG</t>
  </si>
  <si>
    <t>IVORY HANGING DECORATION  BIRD</t>
  </si>
  <si>
    <t>FILIGRIS HEART WITH BUTTERFLY</t>
  </si>
  <si>
    <t>FRENCH LAVENDER SCENT HEART | Sold as 1 on dotcom</t>
  </si>
  <si>
    <t>RED POLKADOT PUDDING BOWL</t>
  </si>
  <si>
    <t>BLUE POLKADOT PUDDING BOWL</t>
  </si>
  <si>
    <t>RED POLKADOT BEAKER  | damages</t>
  </si>
  <si>
    <t>RED POLKADOT BEAKER | damages</t>
  </si>
  <si>
    <t xml:space="preserve">BLUE POLKADOT BEAKER </t>
  </si>
  <si>
    <t>BLUE POLKADOT BEAKER</t>
  </si>
  <si>
    <t>BLUE POLKADOT EGG CUP  | damaged</t>
  </si>
  <si>
    <t>BLUE POLKADOT EGG CUP | damaged</t>
  </si>
  <si>
    <t>RED POLKADOT COFFEE  MUG | damages</t>
  </si>
  <si>
    <t>BLUE POLKADOT COFFEE MUG</t>
  </si>
  <si>
    <t>RED PUDDING SPOON</t>
  </si>
  <si>
    <t>BLUE PUDDING SPOON</t>
  </si>
  <si>
    <t>RED  EGG  SPOON</t>
  </si>
  <si>
    <t>BLUE EGG  SPOON</t>
  </si>
  <si>
    <t xml:space="preserve">BROWN CHECK CAT DOORSTOP </t>
  </si>
  <si>
    <t>BROWN CHECK CAT DOORSTOP</t>
  </si>
  <si>
    <t>SPOTTY PINK DUCK DOORSTOP</t>
  </si>
  <si>
    <t>COUNTRY COTTAGE  DOORSTOP GREEN</t>
  </si>
  <si>
    <t>GINGHAM HEART  DOORSTOP RED</t>
  </si>
  <si>
    <t>VINTAGE GOLD TINSEL REEL</t>
  </si>
  <si>
    <t>PERIWINKLE T-LIGHT HOLDER</t>
  </si>
  <si>
    <t>SCALLOP SHELL SOAP DISH</t>
  </si>
  <si>
    <t xml:space="preserve">CLAM SHELL SMALL </t>
  </si>
  <si>
    <t>CLAM SHELL SMALL</t>
  </si>
  <si>
    <t>CLAM SHELL LARGE</t>
  </si>
  <si>
    <t>COCKLE SHELL DISH</t>
  </si>
  <si>
    <t>STARFISH SOAP DISH</t>
  </si>
  <si>
    <t>OYSTER TRINKET BOX</t>
  </si>
  <si>
    <t>PORCELAIN ROSE LARGE  | damaged</t>
  </si>
  <si>
    <t>PORCELAIN ROSE LARGE | damaged</t>
  </si>
  <si>
    <t>PORCELAIN ROSE SMALL</t>
  </si>
  <si>
    <t>WOODLAND STORAGE BOX LARGE  | damages</t>
  </si>
  <si>
    <t>WOODLAND STORAGE BOX LARGE | damages</t>
  </si>
  <si>
    <t>SKULLS STORAGE BOX LARGE</t>
  </si>
  <si>
    <t>WOODLAND STORAGE BOX SMALL</t>
  </si>
  <si>
    <t>SKULLS STORAGE BOX SMALL</t>
  </si>
  <si>
    <t xml:space="preserve">SET3 BOOK BOX GREEN GINGHAM FLOWER </t>
  </si>
  <si>
    <t>SET3 BOOK BOX GREEN GINGHAM FLOWER</t>
  </si>
  <si>
    <t>RED GINGHAM ROSE JEWELLERY BOX</t>
  </si>
  <si>
    <t>SET/3 RED GINGHAM ROSE STORAGE BOX</t>
  </si>
  <si>
    <t>21431</t>
  </si>
  <si>
    <t>21432</t>
  </si>
  <si>
    <t>BASKET OF TOADSTOOLS</t>
  </si>
  <si>
    <t>BLUE BIRDHOUSE DECORATION</t>
  </si>
  <si>
    <t>GREEN BIRDHOUSE DECORATION</t>
  </si>
  <si>
    <t>12 PINK ROSE PEG PLACE SETTINGS</t>
  </si>
  <si>
    <t>12 RED ROSE PEG PLACE SETTINGS</t>
  </si>
  <si>
    <t>12 IVORY ROSE PEG PLACE SETTINGS</t>
  </si>
  <si>
    <t>12 DAISY PEGS IN WOOD BOX</t>
  </si>
  <si>
    <t>TOADSTOOL MONEY BOX</t>
  </si>
  <si>
    <t xml:space="preserve">PAINTED PINK RABBIT </t>
  </si>
  <si>
    <t>PAINTED PINK RABBIT</t>
  </si>
  <si>
    <t>PAINTED YELLOW WOODEN DAISY</t>
  </si>
  <si>
    <t>2 PICTURE BOOK EGGS EASTER CHICKS</t>
  </si>
  <si>
    <t>2 PICTURE BOOK EGGS EASTER DUCKS</t>
  </si>
  <si>
    <t>2 PICTURE BOOK EGGS EASTER BUNNY</t>
  </si>
  <si>
    <t>YELLOW EASTER EGG HUNT START POST</t>
  </si>
  <si>
    <t>GREEN EASTER EGG HUNT START POST</t>
  </si>
  <si>
    <t>BLUE EASTER EGG HUNT START POST</t>
  </si>
  <si>
    <t>NURSERY A,B,C PAINTED LETTERS</t>
  </si>
  <si>
    <t xml:space="preserve">MIRRORED DISCO BALL </t>
  </si>
  <si>
    <t>MIRRORED DISCO BALL</t>
  </si>
  <si>
    <t>DISCO BALL ROTATOR BATTERY OPERATED</t>
  </si>
  <si>
    <t>PINK FLOWER CROCHET FOOD COVER</t>
  </si>
  <si>
    <t>RED FLOWER CROCHET FOOD COVER</t>
  </si>
  <si>
    <t>CHERRY CROCHET FOOD COVER</t>
  </si>
  <si>
    <t>BUTTERFLY CROCHET FOOD COVER</t>
  </si>
  <si>
    <t>POLKA DOT RAFFIA FOOD COVER</t>
  </si>
  <si>
    <t>FLOWER VINE RAFFIA FOOD COVER</t>
  </si>
  <si>
    <t>STRAWBERRY RAFFIA FOOD COVER</t>
  </si>
  <si>
    <t>LADYBIRD + BEE RAFFIA FOOD COVER</t>
  </si>
  <si>
    <t>SWEETHEART CREAM STEEL TABLE RECT</t>
  </si>
  <si>
    <t>21474</t>
  </si>
  <si>
    <t>STEEL SWEETHEART ROUND TABLE CREAM</t>
  </si>
  <si>
    <t xml:space="preserve">? | WHITE SKULL HOT WATER BOTTLE </t>
  </si>
  <si>
    <t>? | WHITE SKULL HOT WATER BOTTLE</t>
  </si>
  <si>
    <t>FAWN BLUE HOT WATER BOTTLE</t>
  </si>
  <si>
    <t>CHICK GREY HOT WATER BOTTLE</t>
  </si>
  <si>
    <t>RETROSPOT HEART HOT WATER BOTTLE</t>
  </si>
  <si>
    <t>PINK HEART DOTS HOT WATER BOTTLE</t>
  </si>
  <si>
    <t>RED WHITE SCARF  HOT WATER BOTTLE</t>
  </si>
  <si>
    <t>SET OF THREE VINTAGE GIFT WRAPS</t>
  </si>
  <si>
    <t>ROTATING LEAVES T-LIGHT HOLDER</t>
  </si>
  <si>
    <t>SKULLS AND CROSSBONES WRAP</t>
  </si>
  <si>
    <t>FANCY FONTS BIRTHDAY WRAP</t>
  </si>
  <si>
    <t xml:space="preserve">RED RETROSPOT WRAP </t>
  </si>
  <si>
    <t>RED RETROSPOT WRAP</t>
  </si>
  <si>
    <t>BLUE POLKADOT WRAP</t>
  </si>
  <si>
    <t xml:space="preserve">PINK POLKADOT WRAP </t>
  </si>
  <si>
    <t>PINK POLKADOT WRAP</t>
  </si>
  <si>
    <t xml:space="preserve">TOYBOX  WRAP </t>
  </si>
  <si>
    <t>TOYBOX  WRAP</t>
  </si>
  <si>
    <t>SKULLS GREETING CARD</t>
  </si>
  <si>
    <t xml:space="preserve">FANCY FONT BIRTHDAY CARD, </t>
  </si>
  <si>
    <t>FANCY FONT BIRTHDAY CARD,</t>
  </si>
  <si>
    <t xml:space="preserve">ELEPHANT BIRTHDAY CARD  | ELEPHANT, BIRTHDAY CARD, </t>
  </si>
  <si>
    <t>ELEPHANT BIRTHDAY CARD | ELEPHANT, BIRTHDAY CARD,</t>
  </si>
  <si>
    <t xml:space="preserve">VINTAGE KID DOLLY CARD </t>
  </si>
  <si>
    <t>VINTAGE KID DOLLY CARD</t>
  </si>
  <si>
    <t xml:space="preserve">COWBOYS AND INDIANS BIRTHDAY CARD </t>
  </si>
  <si>
    <t>COWBOYS AND INDIANS BIRTHDAY CARD</t>
  </si>
  <si>
    <t>21511</t>
  </si>
  <si>
    <t xml:space="preserve">BANK ACCOUNT  GREETING  CARD </t>
  </si>
  <si>
    <t>BANK ACCOUNT  GREETING  CARD</t>
  </si>
  <si>
    <t>GIN &amp; TONIC DIET GREETING CARD  | check</t>
  </si>
  <si>
    <t>GIN &amp; TONIC DIET GREETING CARD | check</t>
  </si>
  <si>
    <t xml:space="preserve">BOOZE &amp; WOMEN GREETING CARD </t>
  </si>
  <si>
    <t>BOOZE &amp; WOMEN GREETING CARD</t>
  </si>
  <si>
    <t>DOORMAT FANCY FONT HOME SWEET HOME</t>
  </si>
  <si>
    <t>DOORMAT SPOTTY HOME SWEET HOME</t>
  </si>
  <si>
    <t>RED RETROSPOT TRADITIONAL TEAPOT  | damages</t>
  </si>
  <si>
    <t>RED RETROSPOT TRADITIONAL TEAPOT | damages</t>
  </si>
  <si>
    <t xml:space="preserve">DAIRY MAID TRADITIONAL TEAPOT </t>
  </si>
  <si>
    <t>DAIRY MAID TRADITIONAL TEAPOT</t>
  </si>
  <si>
    <t>DAIRY MAID TOASTRACK</t>
  </si>
  <si>
    <t>RED RETROSPOT SUGAR JAM BOWL</t>
  </si>
  <si>
    <t>RETROSPOT LARGE MILK JUG</t>
  </si>
  <si>
    <t>DAIRY MAID LARGE MILK JUG</t>
  </si>
  <si>
    <t>RED RETROSPOT SMALL MILK JUG</t>
  </si>
  <si>
    <t>? | RED RETROSPOT PUDDING BOWL</t>
  </si>
  <si>
    <t>DAIRY MAID  PUDDING BOWL</t>
  </si>
  <si>
    <t>RED RETROSPOT BUTTER DISH | check | damages?</t>
  </si>
  <si>
    <t xml:space="preserve">SKULLS  WATER TRANSFER TATTOOS </t>
  </si>
  <si>
    <t>SKULLS  WATER TRANSFER TATTOOS</t>
  </si>
  <si>
    <t>CERAMIC BIRDHOUSE CRESTED TIT SMALL</t>
  </si>
  <si>
    <t>CERAMIC STRAWBERRY TRINKET TRAY</t>
  </si>
  <si>
    <t>CERAMIC STRAWBERRY MONEY BOX</t>
  </si>
  <si>
    <t>SET OF 6 FUNKY BEAKERS</t>
  </si>
  <si>
    <t xml:space="preserve">SKULL LUNCH BOX WITH CUTLERY </t>
  </si>
  <si>
    <t>SKULL LUNCH BOX WITH CUTLERY</t>
  </si>
  <si>
    <t>STRAWBERRY LUNCH BOX WITH CUTLERY</t>
  </si>
  <si>
    <t>DINOSAUR LUNCH BOX WITH CUTLERY</t>
  </si>
  <si>
    <t xml:space="preserve">HAWAIIAN GRASS SKIRT </t>
  </si>
  <si>
    <t>HAWAIIAN GRASS SKIRT</t>
  </si>
  <si>
    <t xml:space="preserve">RED HEART SHAPE LOVE BUCKET </t>
  </si>
  <si>
    <t>RED HEART SHAPE LOVE BUCKET</t>
  </si>
  <si>
    <t xml:space="preserve">PINK  HEART SHAPE LOVE BUCKET </t>
  </si>
  <si>
    <t>PINK  HEART SHAPE LOVE BUCKET</t>
  </si>
  <si>
    <t>LETS GO SHOPPING COTTON TOTE BAG</t>
  </si>
  <si>
    <t>SAVE THE PLANET COTTON TOTE BAG</t>
  </si>
  <si>
    <t>? | WOODLAND DESIGN  COTTON TOTE BAG | found</t>
  </si>
  <si>
    <t>LOLITA  DESIGN  COTTON TOTE BAG</t>
  </si>
  <si>
    <t>RABBIT  DESIGN  COTTON TOTE BAG</t>
  </si>
  <si>
    <t>SKULLS  DESIGN  COTTON TOTE BAG</t>
  </si>
  <si>
    <t>RETROSPOT SMALL TUBE MATCHES</t>
  </si>
  <si>
    <t>KINGS CHOICE GIANT TUBE MATCHES</t>
  </si>
  <si>
    <t>COSY HOUR GIANT TUBE MATCHES</t>
  </si>
  <si>
    <t>RETROSPOT GIANT TUBE MATCHES</t>
  </si>
  <si>
    <t>21589</t>
  </si>
  <si>
    <t>COSY HOUR CIGAR BOX MATCHES  | check</t>
  </si>
  <si>
    <t>COSY HOUR CIGAR BOX MATCHES | check</t>
  </si>
  <si>
    <t xml:space="preserve">RETROSPOT CIGAR BOX MATCHES </t>
  </si>
  <si>
    <t>RETROSPOT CIGAR BOX MATCHES</t>
  </si>
  <si>
    <t>Dr. Jam's Arouzer Stress Ball</t>
  </si>
  <si>
    <t>Dad's Cab Electronic Meter</t>
  </si>
  <si>
    <t>SET 12 LAVENDER  BOTANICAL T-LIGHTS</t>
  </si>
  <si>
    <t>21610</t>
  </si>
  <si>
    <t>S/12 VANILLA  BOTANICAL T-LIGHTS</t>
  </si>
  <si>
    <t>SET OF 12 ROSE BOTANICAL T-LIGHTS</t>
  </si>
  <si>
    <t>4 LAVENDER BOTANICAL DINNER CANDLES | check</t>
  </si>
  <si>
    <t>4 PEAR BOTANICAL DINNER CANDLES</t>
  </si>
  <si>
    <t>4 LILY  BOTANICAL DINNER CANDLES</t>
  </si>
  <si>
    <t>4 WILDFLOWER BOTANICAL CANDLES | CHECK</t>
  </si>
  <si>
    <t>4 VANILLA BOTANICAL CANDLES | check</t>
  </si>
  <si>
    <t>SET OF 4 ROSE BOTANICAL CANDLES | check | mystery! Only ever imported 1800</t>
  </si>
  <si>
    <t>? | VINTAGE UNION JACK BUNTING | rcvd be air temp fix for dotcom sit | re dotcom quick fix.</t>
  </si>
  <si>
    <t>POSSIBLE DAMAGES OR LOST? | VINTAGE UNION JACK CUSHION COVER | damages</t>
  </si>
  <si>
    <t>VINTAGE UNION JACK MEMOBOARD</t>
  </si>
  <si>
    <t>VINTAGE UNION JACK DOORSTOP</t>
  </si>
  <si>
    <t>VINTAGE UNION JACK APRON</t>
  </si>
  <si>
    <t>VINTAGE UNION JACK PENNANT</t>
  </si>
  <si>
    <t>ELEPHANT CARNIVAL POUFFE | check</t>
  </si>
  <si>
    <t xml:space="preserve">TRIANGULAR POUFFE VINTAGE </t>
  </si>
  <si>
    <t>TRIANGULAR POUFFE VINTAGE</t>
  </si>
  <si>
    <t>SQUARE FLOOR CUSHION VINTAGE RED</t>
  </si>
  <si>
    <t>FLOOR CUSHION ELEPHANT CARNIVAL</t>
  </si>
  <si>
    <t>HIPPY CHIC DECORATIVE PARASOL</t>
  </si>
  <si>
    <t>VINTAGE PINK DECORATIVE PARASOL</t>
  </si>
  <si>
    <t>SUNFLOWER DECORATIVE PARASOL</t>
  </si>
  <si>
    <t>ASSORTED MINI MADRAS NOTEBOOK</t>
  </si>
  <si>
    <t xml:space="preserve">MADRAS NOTEBOOK LARGE </t>
  </si>
  <si>
    <t>MADRAS NOTEBOOK LARGE</t>
  </si>
  <si>
    <t>MADRAS NOTEBOOK MEDIUM | check</t>
  </si>
  <si>
    <t>ASSORTED SANSKRIT MINI NOTEBOOK</t>
  </si>
  <si>
    <t>ASSORTED TUTTI FRUTTI NOTEBOOK</t>
  </si>
  <si>
    <t>ASSORTED TUTTI FRUTTI  FOB NOTEBOOK</t>
  </si>
  <si>
    <t>ASSORTED TUTTI FRUTTI KEYRING BALL</t>
  </si>
  <si>
    <t>ASSORTED TUTTI FRUTTI PEN | check</t>
  </si>
  <si>
    <t>ASSORTED TUTTI FRUTTI MIRROR | damaged</t>
  </si>
  <si>
    <t>ASSORTED TUTTI FRUTTI HEART BOX | check | found</t>
  </si>
  <si>
    <t>ASSORTED TUTTI FRUTTI ROUND BOX</t>
  </si>
  <si>
    <t>ASSORTED TUTTI FRUTTI LARGE PURSE</t>
  </si>
  <si>
    <t>ASSORTED TUTTI FRUTTI SMALL PURSE</t>
  </si>
  <si>
    <t>ASSORTED TUTTI FRUTTI BRACELET</t>
  </si>
  <si>
    <t>HANGING GLASS ETCHED TEALIGHT</t>
  </si>
  <si>
    <t>21653</t>
  </si>
  <si>
    <t>Damaged | RIDGED GLASS FINGER BOWL</t>
  </si>
  <si>
    <t>HANGING RIDGE GLASS T-LIGHT HOLDER</t>
  </si>
  <si>
    <t>RIDGED GLASS POSY VASE  | samples</t>
  </si>
  <si>
    <t>RIDGED GLASS POSY VASE | samples</t>
  </si>
  <si>
    <t xml:space="preserve">MILK BOTTLE WITH GLASS STOPPER </t>
  </si>
  <si>
    <t>MILK BOTTLE WITH GLASS STOPPER</t>
  </si>
  <si>
    <t>GLASS  BEURRE DISH</t>
  </si>
  <si>
    <t>VINTAGE GLASS TEA CADDY</t>
  </si>
  <si>
    <t>VINTAGE GLASS COFFEE CADDY</t>
  </si>
  <si>
    <t>RIDGED GLASS STORAGE JAR CREAM LID</t>
  </si>
  <si>
    <t>RIDGED GLASS T-LIGHT HOLDER</t>
  </si>
  <si>
    <t>GLASS CAKE COVER AND PLATE</t>
  </si>
  <si>
    <t>RED STRIPE CERAMIC DRAWER KNOB</t>
  </si>
  <si>
    <t>BLUE STRIPE CERAMIC DRAWER KNOB</t>
  </si>
  <si>
    <t>BLUE SPOT CERAMIC DRAWER KNOB</t>
  </si>
  <si>
    <t>RED SPOT CERAMIC DRAWER KNOB</t>
  </si>
  <si>
    <t>WHITE SPOT RED CERAMIC DRAWER KNOB</t>
  </si>
  <si>
    <t>WHITE SPOT BLUE CERAMIC DRAWER KNOB</t>
  </si>
  <si>
    <t>BUTTERFLIES STICKERS</t>
  </si>
  <si>
    <t>FLOWERS  STICKERS</t>
  </si>
  <si>
    <t>HEARTS  STICKERS</t>
  </si>
  <si>
    <t>PAISLEY PATTERN  STICKERS</t>
  </si>
  <si>
    <t>SKULLS  STICKERS</t>
  </si>
  <si>
    <t>WOODLAND  STICKERS</t>
  </si>
  <si>
    <t xml:space="preserve">GIANT MEDINA STAMPED METAL BOWL </t>
  </si>
  <si>
    <t>GIANT MEDINA STAMPED METAL BOWL</t>
  </si>
  <si>
    <t xml:space="preserve">?display? | LARGE MEDINA STAMPED METAL BOWL </t>
  </si>
  <si>
    <t>?display? | LARGE MEDINA STAMPED METAL BOWL</t>
  </si>
  <si>
    <t xml:space="preserve">MEDIUM MEDINA STAMPED METAL BOWL </t>
  </si>
  <si>
    <t>MEDIUM MEDINA STAMPED METAL BOWL</t>
  </si>
  <si>
    <t xml:space="preserve">SMALL MEDINA STAMPED METAL BOWL </t>
  </si>
  <si>
    <t>SMALL MEDINA STAMPED METAL BOWL</t>
  </si>
  <si>
    <t>MEDINA STAMPED METAL STOOL</t>
  </si>
  <si>
    <t>SILVER PLATE CANDLE BOWL SMALL | mixed up</t>
  </si>
  <si>
    <t>SILVER VANILLA  FLOWER CANDLE POT | wrong barcode</t>
  </si>
  <si>
    <t xml:space="preserve">SILVER  CANDLEPOT JARDIN </t>
  </si>
  <si>
    <t>SILVER  CANDLEPOT JARDIN</t>
  </si>
  <si>
    <t>SILVER LATTICE VANILLA CANDLE POT</t>
  </si>
  <si>
    <t>SMALL HAMMERED SILVER CANDLEPOT  | mixed up</t>
  </si>
  <si>
    <t>SMALL HAMMERED SILVER CANDLEPOT | mixed up</t>
  </si>
  <si>
    <t xml:space="preserve">SMALL REGAL  SILVER CANDLEPOT </t>
  </si>
  <si>
    <t>SMALL REGAL  SILVER CANDLEPOT</t>
  </si>
  <si>
    <t>SMALL SILVER FLOWER CANDLE POT</t>
  </si>
  <si>
    <t>SMALL SILVER TRELLIS CANDLEPOT</t>
  </si>
  <si>
    <t>MOCK LOBSTER FRIDGE MAGNET</t>
  </si>
  <si>
    <t>BIG DOUGHNUT FRIDGE MAGNETS | check | sold as set on dotcom and amazon</t>
  </si>
  <si>
    <t>BAG 125g SWIRLY MARBLES</t>
  </si>
  <si>
    <t>BAG 250g SWIRLY MARBLES</t>
  </si>
  <si>
    <t>BAG 500g SWIRLY MARBLES</t>
  </si>
  <si>
    <t>FOLDING UMBRELLA RED/WHITE POLKADOT</t>
  </si>
  <si>
    <t>FOLDING UMBRELLA BLACKBLUE POLKADOT</t>
  </si>
  <si>
    <t>FOLDING UMBRELLA CREAM POLKADOT</t>
  </si>
  <si>
    <t>FOLDING UMBRELLA CHOCOLATE POLKADOT</t>
  </si>
  <si>
    <t>FOLDING UMBRELLA PINKWHITE POLKADOT</t>
  </si>
  <si>
    <t>FOLDING UMBRELLA WHITE/RED POLKADOT</t>
  </si>
  <si>
    <t>CITRONELLA CANDLE FLOWERPOT</t>
  </si>
  <si>
    <t>CITRONELLA CANDLE GARDEN POT</t>
  </si>
  <si>
    <t>GIRLS VINTAGE TIN SEASIDE BUCKET</t>
  </si>
  <si>
    <t>BOYS VINTAGE TIN SEASIDE BUCKET</t>
  </si>
  <si>
    <t>EASTER TIN BUCKET</t>
  </si>
  <si>
    <t xml:space="preserve">RED METAL BEACH SPADE </t>
  </si>
  <si>
    <t>RED METAL BEACH SPADE</t>
  </si>
  <si>
    <t>LOVELY BONBON STICKER SHEET</t>
  </si>
  <si>
    <t>CAKE SHOP  STICKER SHEET</t>
  </si>
  <si>
    <t>CANDY SHOP  STICKER SHEET</t>
  </si>
  <si>
    <t>SWEET PUDDING STICKER SHEET</t>
  </si>
  <si>
    <t>ALPHABET HEARTS STICKER SHEET</t>
  </si>
  <si>
    <t>PANDA AND BUNNIES STICKER SHEET</t>
  </si>
  <si>
    <t>SWEETIES  STICKERS</t>
  </si>
  <si>
    <t>MULTI HEARTS  STICKERS</t>
  </si>
  <si>
    <t>GLASS STAR FROSTED T-LIGHT HOLDER</t>
  </si>
  <si>
    <t>RED TOADSTOOL LED NIGHT LIGHT</t>
  </si>
  <si>
    <t>RED HANGING HEART T-LIGHT HOLDER</t>
  </si>
  <si>
    <t>TWO DOOR CURIO CABINET | damages</t>
  </si>
  <si>
    <t>Adjustment | GOLD SCROLL GLASS T-LIGHT HOLDER</t>
  </si>
  <si>
    <t xml:space="preserve">COSY SLIPPER SHOES SMALL  RED </t>
  </si>
  <si>
    <t>COSY SLIPPER SHOES SMALL  RED</t>
  </si>
  <si>
    <t>COSY SLIPPER SHOES SMALL GREEN</t>
  </si>
  <si>
    <t>COSY SLIPPER SHOES LARGE GREEN</t>
  </si>
  <si>
    <t xml:space="preserve">LARGE ROUND WICKER PLATTER </t>
  </si>
  <si>
    <t>LARGE ROUND WICKER PLATTER</t>
  </si>
  <si>
    <t xml:space="preserve">STAR PORTABLE TABLE LIGHT </t>
  </si>
  <si>
    <t>STAR PORTABLE TABLE LIGHT</t>
  </si>
  <si>
    <t>SNOWFLAKE PORTABLE TABLE LIGHT  | check</t>
  </si>
  <si>
    <t>SNOWFLAKE PORTABLE TABLE LIGHT | check</t>
  </si>
  <si>
    <t xml:space="preserve">GAOLERS KEYS DECORATIVE GARDEN </t>
  </si>
  <si>
    <t>GAOLERS KEYS DECORATIVE GARDEN</t>
  </si>
  <si>
    <t>SMALL RED RETROSPOT WINDMILL</t>
  </si>
  <si>
    <t>SMALL SKULL WINDMILL</t>
  </si>
  <si>
    <t>LARGE RED RETROSPOT WINDMILL</t>
  </si>
  <si>
    <t>LARGE SKULL WINDMILL</t>
  </si>
  <si>
    <t>HOME BUILDING BLOCK WORD</t>
  </si>
  <si>
    <t>LOVE BUILDING BLOCK WORD</t>
  </si>
  <si>
    <t>BATH BUILDING BLOCK WORD</t>
  </si>
  <si>
    <t>LIGHTHOUSE PRINTED METAL SIGN</t>
  </si>
  <si>
    <t>VINTAGE SHELLS PRINT</t>
  </si>
  <si>
    <t>WOOD AND GLASS MEDICINE CABINET | damaged</t>
  </si>
  <si>
    <t>VINTAGE WOODEN BAR STOOL</t>
  </si>
  <si>
    <t>21765</t>
  </si>
  <si>
    <t>VINTAGE POST OFFICE CABINET | showroom</t>
  </si>
  <si>
    <t>OPEN CLOSED METAL SIGN</t>
  </si>
  <si>
    <t>DECORATIVE CATS BATHROOM BOTTLE</t>
  </si>
  <si>
    <t>DECORATIVE FLORE BATHROOM BOTTLE</t>
  </si>
  <si>
    <t>RECIPE BOX WITH METAL HEART</t>
  </si>
  <si>
    <t>MA CAMPAGNE CUTLERY BOX | damages?</t>
  </si>
  <si>
    <t xml:space="preserve">SHOE SHINE BOX </t>
  </si>
  <si>
    <t>SHOE SHINE BOX</t>
  </si>
  <si>
    <t xml:space="preserve">RAIN PONCHO </t>
  </si>
  <si>
    <t>RAIN PONCHO</t>
  </si>
  <si>
    <t>POLKADOT RAIN HAT  | check</t>
  </si>
  <si>
    <t>POLKADOT RAIN HAT | check</t>
  </si>
  <si>
    <t>RAIN PONCHO RETROSPOT</t>
  </si>
  <si>
    <t>KIDS RAIN MAC BLUE</t>
  </si>
  <si>
    <t>KIDS RAIN MAC PINK</t>
  </si>
  <si>
    <t>VINTAGE SNAP CARDS</t>
  </si>
  <si>
    <t xml:space="preserve">VINTAGE HEADS AND TAILS CARD GAME </t>
  </si>
  <si>
    <t>VINTAGE HEADS AND TAILS CARD GAME</t>
  </si>
  <si>
    <t xml:space="preserve">CLASSIC FRENCH STYLE BASKET GREEN </t>
  </si>
  <si>
    <t>CLASSIC FRENCH STYLE BASKET GREEN</t>
  </si>
  <si>
    <t>CLASSIC FRENCH STYLE BASKET BROWN | check</t>
  </si>
  <si>
    <t>CLASSIC FRENCH STYLE BASKET NATURAL | adjustment</t>
  </si>
  <si>
    <t>CHRISTMAS TREE DECORATION WITH BELL</t>
  </si>
  <si>
    <t>CHRISTMAS TREE HEART DECORATION</t>
  </si>
  <si>
    <t>CHRISTMAS TREE STAR DECORATION | check</t>
  </si>
  <si>
    <t>WHITE CHRISTMAS GARLAND STARS TREES | check | dotcom</t>
  </si>
  <si>
    <t>21805</t>
  </si>
  <si>
    <t>21806</t>
  </si>
  <si>
    <t>WHITE CHRISTMAS STAR DECORATION</t>
  </si>
  <si>
    <t>CHRISTMAS GARLAND STARS,TREES</t>
  </si>
  <si>
    <t>CHRISTMAS HANGING TREE WITH BELL</t>
  </si>
  <si>
    <t>CHRISTMAS HANGING STAR WITH BELL | check</t>
  </si>
  <si>
    <t>CHRISTMAS HANGING HEART WITH BELL | HANGING HEART WITH BELL | check</t>
  </si>
  <si>
    <t>GARLAND WITH HEARTS AND BELLS</t>
  </si>
  <si>
    <t>GARLAND WITH STARS AND BELLS</t>
  </si>
  <si>
    <t xml:space="preserve">HEART T-LIGHT HOLDER </t>
  </si>
  <si>
    <t>HEART T-LIGHT HOLDER</t>
  </si>
  <si>
    <t xml:space="preserve">? | STAR  T-LIGHT HOLDER </t>
  </si>
  <si>
    <t>? | STAR  T-LIGHT HOLDER</t>
  </si>
  <si>
    <t>CHRISTMAS TREE T-LIGHT HOLDER</t>
  </si>
  <si>
    <t>GLITTER CHRISTMAS TREE | check</t>
  </si>
  <si>
    <t>GLITTER CHRISTMAS HEART  | GLITTER HEART DECORATION | check</t>
  </si>
  <si>
    <t>GLITTER CHRISTMAS HEART | GLITTER HEART DECORATION | check</t>
  </si>
  <si>
    <t>GLITTER CHRISTMAS STAR  | check</t>
  </si>
  <si>
    <t>GLITTER CHRISTMAS STAR | check</t>
  </si>
  <si>
    <t xml:space="preserve">GLITTER HEART GARLAND WITH BELLS </t>
  </si>
  <si>
    <t>GLITTER HEART GARLAND WITH BELLS</t>
  </si>
  <si>
    <t xml:space="preserve">GLITTER STAR GARLAND WITH BELLS </t>
  </si>
  <si>
    <t>GLITTER STAR GARLAND WITH BELLS</t>
  </si>
  <si>
    <t>GLITTER CHRISTMAS TREE WITH BELLS</t>
  </si>
  <si>
    <t>PAINTED METAL HEART WITH HOLLY BELL | amazon adjust | check | damaged</t>
  </si>
  <si>
    <t>PAINTED METAL STAR WITH HOLLY BELLS | check</t>
  </si>
  <si>
    <t>21825</t>
  </si>
  <si>
    <t>EIGHT PIECE DINOSAUR SET</t>
  </si>
  <si>
    <t>EIGHT PIECE CREEPY CRAWLIE SET</t>
  </si>
  <si>
    <t>EIGHT PIECE SNAKE  SET</t>
  </si>
  <si>
    <t>?missing | DINOSAUR KEYRINGS ASSORTED | adjustment | sold as 1</t>
  </si>
  <si>
    <t>? | ASSORTED CREEPY CRAWLIES | MERCHANT CHANDLER CREDIT ERROR, STO | OOPS ! adjustment | damaged | sold as 1</t>
  </si>
  <si>
    <t>CHOCOLATE CALCULATOR</t>
  </si>
  <si>
    <t>CAMOUFLAGE LED TORCH | damages</t>
  </si>
  <si>
    <t xml:space="preserve">GINGHAM OVEN GLOVE RED HEART </t>
  </si>
  <si>
    <t>GINGHAM OVEN GLOVE RED HEART</t>
  </si>
  <si>
    <t>MUMMY MOUSE RED GINGHAM RIBBON</t>
  </si>
  <si>
    <t>BABY MOUSE RED GINGHAM DRESS</t>
  </si>
  <si>
    <t>RED RETROSPOT CAKE STAND | smashed</t>
  </si>
  <si>
    <t>RED RETROSPOT MUG</t>
  </si>
  <si>
    <t>DAIRY MAID STRIPE MUG</t>
  </si>
  <si>
    <t>PINK DIAMANTE PEN IN GIFT BOX</t>
  </si>
  <si>
    <t>GREEN  DIAMANTE PEN IN GIFT BOX</t>
  </si>
  <si>
    <t>SILVER DIAMANTE PEN IN GIFT BOX</t>
  </si>
  <si>
    <t>BLUE  DIAMANTE PEN IN GIFT BOX</t>
  </si>
  <si>
    <t>LILAC DIAMANTE PEN IN GIFT BOX</t>
  </si>
  <si>
    <t>21854</t>
  </si>
  <si>
    <t>21858</t>
  </si>
  <si>
    <t xml:space="preserve">UNION JACK FLAG PASSPORT COVER </t>
  </si>
  <si>
    <t>UNION JACK FLAG PASSPORT COVER</t>
  </si>
  <si>
    <t xml:space="preserve">PINK UNION JACK  PASSPORT COVER </t>
  </si>
  <si>
    <t>PINK UNION JACK  PASSPORT COVER</t>
  </si>
  <si>
    <t>UNION JACK FLAG LUGGAGE TAG</t>
  </si>
  <si>
    <t>PINK UNION JACK  LUGGAGE TAG</t>
  </si>
  <si>
    <t>Amazon | POTTING SHED TEA MUG | check</t>
  </si>
  <si>
    <t>I CAN ONLY PLEASE ONE PERSON MUG</t>
  </si>
  <si>
    <t>SAVE THE PLANET MUG</t>
  </si>
  <si>
    <t>GLAMOROUS  MUG</t>
  </si>
  <si>
    <t>IF YOU CAN'T STAND THE HEAT MUG</t>
  </si>
  <si>
    <t>GIN AND TONIC MUG</t>
  </si>
  <si>
    <t>KINGS CHOICE MUG</t>
  </si>
  <si>
    <t>POTTERING MUG</t>
  </si>
  <si>
    <t>HOME SWEET HOME MUG</t>
  </si>
  <si>
    <t>PACK OF 6 SANDCASTLE FLAGS ASSORTED</t>
  </si>
  <si>
    <t>HEARTS GIFT TAPE</t>
  </si>
  <si>
    <t>RED RETROSPOT TAPE</t>
  </si>
  <si>
    <t>CUTE CATS TAPE</t>
  </si>
  <si>
    <t>SKULLS TAPE</t>
  </si>
  <si>
    <t xml:space="preserve">STARS GIFT TAPE </t>
  </si>
  <si>
    <t>STARS GIFT TAPE</t>
  </si>
  <si>
    <t>CAKES AND BOWS GIFT  TAPE</t>
  </si>
  <si>
    <t>Amazon | BINGO SET | check</t>
  </si>
  <si>
    <t>WOODEN BOX OF DOMINOES</t>
  </si>
  <si>
    <t>S/6 WOODEN SKITTLES IN COTTON BAG | missing</t>
  </si>
  <si>
    <t>TRADITIONAL WOODEN SKIPPING ROPE</t>
  </si>
  <si>
    <t xml:space="preserve">TRADITIONAL WOODEN CATCH CUP GAME </t>
  </si>
  <si>
    <t>TRADITIONAL WOODEN CATCH CUP GAME</t>
  </si>
  <si>
    <t>POTTING SHED SEED ENVELOPES</t>
  </si>
  <si>
    <t>POTTING SHED SOW 'N' GROW SET</t>
  </si>
  <si>
    <t>POTTING SHED TWINE</t>
  </si>
  <si>
    <t>POTTING SHED CANDLE CITRONELLA</t>
  </si>
  <si>
    <t>POTTING SHED ROSE CANDLE</t>
  </si>
  <si>
    <t>GARAGE KEY FOB | KEY FOB , GARAGE DESIGN</t>
  </si>
  <si>
    <t>KEY FOB , SHED</t>
  </si>
  <si>
    <t xml:space="preserve">KEY FOB , BACK DOOR </t>
  </si>
  <si>
    <t>KEY FOB , BACK DOOR</t>
  </si>
  <si>
    <t xml:space="preserve">KEY FOB , FRONT  DOOR </t>
  </si>
  <si>
    <t>KEY FOB , FRONT  DOOR</t>
  </si>
  <si>
    <t>MAN FLU METAL SIGN</t>
  </si>
  <si>
    <t xml:space="preserve">HOUSE WRECKING METAL SIGN </t>
  </si>
  <si>
    <t>HOUSE WRECKING METAL SIGN</t>
  </si>
  <si>
    <t xml:space="preserve">MORE BUTTER METAL SIGN </t>
  </si>
  <si>
    <t>MORE BUTTER METAL SIGN</t>
  </si>
  <si>
    <t>PHARMACIE FIRST AID TIN</t>
  </si>
  <si>
    <t>I'M ON HOLIDAY METAL SIGN</t>
  </si>
  <si>
    <t>CHOCOLATE THIS WAY METAL SIGN</t>
  </si>
  <si>
    <t xml:space="preserve">WAY OUT METAL SIGN </t>
  </si>
  <si>
    <t>WAY OUT METAL SIGN</t>
  </si>
  <si>
    <t xml:space="preserve">GARDEN METAL SIGN </t>
  </si>
  <si>
    <t>GARDEN METAL SIGN</t>
  </si>
  <si>
    <t>VINTAGE SNAKES &amp; LADDERS</t>
  </si>
  <si>
    <t>VINTAGE SEASIDE JIGSAW PUZZLES</t>
  </si>
  <si>
    <t xml:space="preserve">BLUE HARMONICA IN BOX </t>
  </si>
  <si>
    <t>BLUE HARMONICA IN BOX</t>
  </si>
  <si>
    <t xml:space="preserve">John Lewis | RED  HARMONICA IN BOX </t>
  </si>
  <si>
    <t>John Lewis | RED  HARMONICA IN BOX</t>
  </si>
  <si>
    <t>SET 12 RETRO WHITE CHALK STICKS</t>
  </si>
  <si>
    <t>SET 12 KIDS  WHITE CHALK STICKS</t>
  </si>
  <si>
    <t>SET 12 KIDS COLOUR  CHALK STICKS</t>
  </si>
  <si>
    <t>UNION STRIPE WITH FRINGE  HAMMOCK</t>
  </si>
  <si>
    <t>21923</t>
  </si>
  <si>
    <t xml:space="preserve">UNION STRIPE CUSHION COVER </t>
  </si>
  <si>
    <t>UNION STRIPE CUSHION COVER</t>
  </si>
  <si>
    <t xml:space="preserve">RED/CREAM STRIPE CUSHION COVER </t>
  </si>
  <si>
    <t>RED/CREAM STRIPE CUSHION COVER</t>
  </si>
  <si>
    <t xml:space="preserve">BLUE/CREAM STRIPE CUSHION COVER </t>
  </si>
  <si>
    <t>BLUE/CREAM STRIPE CUSHION COVER</t>
  </si>
  <si>
    <t>JUMBO BAG SCANDINAVIAN BLUE PAISLEY | JUMBO BAG SCANDINAVIAN PAISLEY</t>
  </si>
  <si>
    <t>JUMBO BAG PINK VINTAGE PAISLEY</t>
  </si>
  <si>
    <t>JUMBO STORAGE BAG SKULLS</t>
  </si>
  <si>
    <t>JUMBO STORAGE BAG SUKI</t>
  </si>
  <si>
    <t>SCANDINAVIAN PAISLEY PICNIC BAG</t>
  </si>
  <si>
    <t>PINK VINTAGE PAISLEY PICNIC BAG</t>
  </si>
  <si>
    <t>SKULL SHOULDER BAG</t>
  </si>
  <si>
    <t>SUKI  SHOULDER BAG</t>
  </si>
  <si>
    <t>RED RETROSPOT PICNIC BAG</t>
  </si>
  <si>
    <t>? | STRAWBERRY   PICNIC BAG | found</t>
  </si>
  <si>
    <t>SKULLS DESIGN FLANNEL</t>
  </si>
  <si>
    <t xml:space="preserve">CAKES AND RABBITS DESIGN FLANNEL </t>
  </si>
  <si>
    <t>CAKES AND RABBITS DESIGN FLANNEL</t>
  </si>
  <si>
    <t>KITTENS DESIGN FLANNEL</t>
  </si>
  <si>
    <t xml:space="preserve">STRAWBERRIES  DESIGN FLANNEL </t>
  </si>
  <si>
    <t>STRAWBERRIES  DESIGN FLANNEL</t>
  </si>
  <si>
    <t>PARTY TIME DESIGN FLANNEL</t>
  </si>
  <si>
    <t>SET OF 6 HEART CHOPSTICKS</t>
  </si>
  <si>
    <t>SET OF 6 CAKE CHOPSTICKS</t>
  </si>
  <si>
    <t>SET OF 6 STRAWBERRY CHOPSTICKS</t>
  </si>
  <si>
    <t>DOORMAT UNION JACK GUNS AND ROSES</t>
  </si>
  <si>
    <t>PACK OF 12 SKULL TISSUES</t>
  </si>
  <si>
    <t>SET OF 36 DINOSAUR PAPER DOILIES</t>
  </si>
  <si>
    <t>SET OF 36 MUSHROOM PAPER DOILIES</t>
  </si>
  <si>
    <t>SET OF 36 PAISLEY FLOWER DOILIES</t>
  </si>
  <si>
    <t>PACK OF 60 DINOSAUR CAKE CASES</t>
  </si>
  <si>
    <t>PACK OF 60 MUSHROOM CAKE CASES</t>
  </si>
  <si>
    <t>PACK OF 60 PINK PAISLEY CAKE CASES</t>
  </si>
  <si>
    <t xml:space="preserve">PACK OF 12 RED RETROSPOT TISSUES </t>
  </si>
  <si>
    <t>PACK OF 12 RED RETROSPOT TISSUES</t>
  </si>
  <si>
    <t xml:space="preserve">PACK OF 12 WOODLAND TISSUES </t>
  </si>
  <si>
    <t>PACK OF 12 WOODLAND TISSUES</t>
  </si>
  <si>
    <t xml:space="preserve">PACK OF 12 SUKI TISSUES </t>
  </si>
  <si>
    <t>PACK OF 12 SUKI TISSUES</t>
  </si>
  <si>
    <t xml:space="preserve">PACK OF 12 BLUE PAISLEY TISSUES </t>
  </si>
  <si>
    <t>PACK OF 12 BLUE PAISLEY TISSUES</t>
  </si>
  <si>
    <t xml:space="preserve">PACK OF 12 PINK PAISLEY TISSUES </t>
  </si>
  <si>
    <t>PACK OF 12 PINK PAISLEY TISSUES</t>
  </si>
  <si>
    <t xml:space="preserve">PACK OF 12 HEARTS DESIGN TISSUES </t>
  </si>
  <si>
    <t>PACK OF 12 HEARTS DESIGN TISSUES</t>
  </si>
  <si>
    <t>PACK OF 12 PINK POLKADOT TISSUES</t>
  </si>
  <si>
    <t>PACK OF 6 SKULL PAPER CUPS</t>
  </si>
  <si>
    <t>PACK OF 6 SKULL PAPER PLATES</t>
  </si>
  <si>
    <t>PACK OF 20 SKULL PAPER NAPKINS</t>
  </si>
  <si>
    <t>MODERN FLORAL STATIONERY SET</t>
  </si>
  <si>
    <t>BOHEMIAN COLLAGE STATIONERY SET</t>
  </si>
  <si>
    <t>VINTAGE PAISLEY STATIONERY SET | check</t>
  </si>
  <si>
    <t>FLORAL FOLK STATIONERY SET</t>
  </si>
  <si>
    <t>Dotcomgiftshop Gift Voucher £100.00</t>
  </si>
  <si>
    <t>BLUE FELT EASTER EGG BASKET</t>
  </si>
  <si>
    <t>EMPIRE BIRTHDAY CARD</t>
  </si>
  <si>
    <t>RAINY LADIES BIRTHDAY CARD</t>
  </si>
  <si>
    <t>RING OF ROSES BIRTHDAY CARD | check</t>
  </si>
  <si>
    <t xml:space="preserve">BANQUET BIRTHDAY  CARD  </t>
  </si>
  <si>
    <t>BANQUET BIRTHDAY  CARD</t>
  </si>
  <si>
    <t>TEA PARTY BIRTHDAY CARD</t>
  </si>
  <si>
    <t>PENNY FARTHING BIRTHDAY CARD</t>
  </si>
  <si>
    <t>SPACEBOY BIRTHDAY CARD</t>
  </si>
  <si>
    <t>?? | SWALLOWS GREETING CARD</t>
  </si>
  <si>
    <t>BOTANICAL LAVENDER BIRTHDAY CARD</t>
  </si>
  <si>
    <t>BOTANICAL LILY GREETING CARD</t>
  </si>
  <si>
    <t>BOTANICAL ROSE GREETING CARD</t>
  </si>
  <si>
    <t>ROBIN CHRISTMAS CARD</t>
  </si>
  <si>
    <t>VINTAGE CARAVAN GREETING CARD  | taig adjust</t>
  </si>
  <si>
    <t>VINTAGE CARAVAN GREETING CARD | taig adjust</t>
  </si>
  <si>
    <t>22036</t>
  </si>
  <si>
    <t>ROBOT BIRTHDAY CARD</t>
  </si>
  <si>
    <t xml:space="preserve">BOTANICAL LAVENDER GIFT WRAP </t>
  </si>
  <si>
    <t>BOTANICAL LAVENDER GIFT WRAP</t>
  </si>
  <si>
    <t>BOTANICAL LILY GIFT WRAP</t>
  </si>
  <si>
    <t>BOTANICAL ROSE GIFT WRAP</t>
  </si>
  <si>
    <t xml:space="preserve">RECORD FRAME 7" SINGLE SIZE </t>
  </si>
  <si>
    <t>RECORD FRAME 7" SINGLE SIZE</t>
  </si>
  <si>
    <t>CHRISTMAS CARD SINGING ANGEL</t>
  </si>
  <si>
    <t>CHRISTMAS CARD SCREEN PRINT  | check | dotcom</t>
  </si>
  <si>
    <t>CHRISTMAS CARD SCREEN PRINT | check | dotcom</t>
  </si>
  <si>
    <t>CHRISTMAS CARD STACK OF PRESENTS</t>
  </si>
  <si>
    <t>SPACEBOY GIFT WRAP</t>
  </si>
  <si>
    <t xml:space="preserve">TEA PARTY  WRAPPING PAPER </t>
  </si>
  <si>
    <t>TEA PARTY  WRAPPING PAPER</t>
  </si>
  <si>
    <t>EMPIRE GIFT WRAP</t>
  </si>
  <si>
    <t>BIRTHDAY BANQUET GIFT WRAP</t>
  </si>
  <si>
    <t>WRAP CHRISTMAS SCREEN PRINT | damaged</t>
  </si>
  <si>
    <t>PINK PAISLEY ROSE GIFT WRAP</t>
  </si>
  <si>
    <t>? | BLUE SCANDINAVIAN PAISLEY WRAP</t>
  </si>
  <si>
    <t>VINTAGE CARAVAN GIFT WRAP</t>
  </si>
  <si>
    <t>EMPIRE DESIGN ROSETTE</t>
  </si>
  <si>
    <t>MINI CAKE STAND  HANGING STRAWBERY</t>
  </si>
  <si>
    <t>CERAMIC PLATE STRAWBERRY DESIGN</t>
  </si>
  <si>
    <t>CERAMIC STRAWBERRY DESIGN MUG</t>
  </si>
  <si>
    <t>LARGE CAKE STAND HANGING HEARTS | damaged</t>
  </si>
  <si>
    <t>LARGE CAKE STAND  HANGING STRAWBERY</t>
  </si>
  <si>
    <t>CERAMIC BOWL WITH LOVE HEART DESIGN</t>
  </si>
  <si>
    <t>CERAMIC BOWL WITH STRAWBERRY DESIGN</t>
  </si>
  <si>
    <t xml:space="preserve">PINK DOUGHNUT TRINKET POT </t>
  </si>
  <si>
    <t>PINK DOUGHNUT TRINKET POT</t>
  </si>
  <si>
    <t xml:space="preserve">CHRISTMAS PUDDING TRINKET POT </t>
  </si>
  <si>
    <t>CHRISTMAS PUDDING TRINKET POT</t>
  </si>
  <si>
    <t>LOVE HEART TRINKET POT</t>
  </si>
  <si>
    <t xml:space="preserve">CHOC TRUFFLE GOLD TRINKET POT </t>
  </si>
  <si>
    <t>CHOC TRUFFLE GOLD TRINKET POT</t>
  </si>
  <si>
    <t>BLACK PIRATE TREASURE CHEST</t>
  </si>
  <si>
    <t xml:space="preserve">BROWN  PIRATE TREASURE CHEST </t>
  </si>
  <si>
    <t>BROWN  PIRATE TREASURE CHEST</t>
  </si>
  <si>
    <t xml:space="preserve">SMALL RED RETROSPOT MUG IN BOX </t>
  </si>
  <si>
    <t>SMALL RED RETROSPOT MUG IN BOX</t>
  </si>
  <si>
    <t xml:space="preserve">SMALL WHITE RETROSPOT MUG IN BOX </t>
  </si>
  <si>
    <t>SMALL WHITE RETROSPOT MUG IN BOX</t>
  </si>
  <si>
    <t xml:space="preserve">RED RETROSPOT TEA CUP AND SAUCER </t>
  </si>
  <si>
    <t>RED RETROSPOT TEA CUP AND SAUCER</t>
  </si>
  <si>
    <t>RED RETROSPOT STORAGE JAR</t>
  </si>
  <si>
    <t xml:space="preserve">6 RIBBONS SHIMMERING PINKS </t>
  </si>
  <si>
    <t>6 RIBBONS SHIMMERING PINKS</t>
  </si>
  <si>
    <t xml:space="preserve">6 RIBBONS ELEGANT CHRISTMAS </t>
  </si>
  <si>
    <t>6 RIBBONS ELEGANT CHRISTMAS</t>
  </si>
  <si>
    <t xml:space="preserve">6 RIBBONS EMPIRE  </t>
  </si>
  <si>
    <t>6 RIBBONS EMPIRE</t>
  </si>
  <si>
    <t>6 RIBBONS RUSTIC CHARM</t>
  </si>
  <si>
    <t xml:space="preserve">RIBBON REEL LACE DESIGN </t>
  </si>
  <si>
    <t>RIBBON REEL LACE DESIGN</t>
  </si>
  <si>
    <t xml:space="preserve">RIBBON REEL HEARTS DESIGN </t>
  </si>
  <si>
    <t>RIBBON REEL HEARTS DESIGN</t>
  </si>
  <si>
    <t xml:space="preserve">RIBBON REEL POLKADOTS </t>
  </si>
  <si>
    <t>RIBBON REEL POLKADOTS</t>
  </si>
  <si>
    <t xml:space="preserve">RIBBON REEL FLORA + FAUNA </t>
  </si>
  <si>
    <t>RIBBON REEL FLORA + FAUNA</t>
  </si>
  <si>
    <t xml:space="preserve">RIBBON REEL STRIPES DESIGN </t>
  </si>
  <si>
    <t>RIBBON REEL STRIPES DESIGN</t>
  </si>
  <si>
    <t>PAPER CHAIN KIT RETROSPOT</t>
  </si>
  <si>
    <t>PAPER CHAIN KIT EMPIRE</t>
  </si>
  <si>
    <t xml:space="preserve">PAPER CHAIN KIT SKULLS </t>
  </si>
  <si>
    <t>PAPER CHAIN KIT SKULLS</t>
  </si>
  <si>
    <t xml:space="preserve">PAPER CHAIN KIT 50'S CHRISTMAS </t>
  </si>
  <si>
    <t>PAPER CHAIN KIT 50'S CHRISTMAS</t>
  </si>
  <si>
    <t>Amazon | PAPER BUNTING WHITE LACE</t>
  </si>
  <si>
    <t>PAPER BUNTING COLOURED LACE</t>
  </si>
  <si>
    <t>PAPER BUNTING VINTAGE PAISLEY</t>
  </si>
  <si>
    <t>PAPER BUNTING RETROSPOT</t>
  </si>
  <si>
    <t>EMPIRE TISSUE BOX</t>
  </si>
  <si>
    <t>BLUE PAISLEY TISSUE BOX</t>
  </si>
  <si>
    <t>MOTORING TISSUE BOX</t>
  </si>
  <si>
    <t>RED RETROSPOT TISSUE BOX</t>
  </si>
  <si>
    <t>LADS ONLY TISSUE BOX</t>
  </si>
  <si>
    <t xml:space="preserve">PINK PAISLEY SQUARE TISSUE BOX </t>
  </si>
  <si>
    <t>PINK PAISLEY SQUARE TISSUE BOX</t>
  </si>
  <si>
    <t>SWALLOW SQUARE TISSUE BOX</t>
  </si>
  <si>
    <t>BOUDOIR SQUARE TISSUE BOX</t>
  </si>
  <si>
    <t>CARAVAN SQUARE TISSUE BOX</t>
  </si>
  <si>
    <t>SKULLS SQUARE TISSUE BOX</t>
  </si>
  <si>
    <t>MIRROR MOSAIC VOTIVE HOLDER</t>
  </si>
  <si>
    <t xml:space="preserve">MIRROR MOSAIC T-LIGHT HOLDER </t>
  </si>
  <si>
    <t>MIRROR MOSAIC T-LIGHT HOLDER</t>
  </si>
  <si>
    <t>MIRROR MOSAIC T-LIGHT HOLDER ROUND</t>
  </si>
  <si>
    <t>MIRROR MOSAIC CANDLE PLATE</t>
  </si>
  <si>
    <t>MIRROR MOSAIC GOBLET CANDLE HOLDER</t>
  </si>
  <si>
    <t xml:space="preserve">MIRROR MOSAIC HURRICANE LAMP </t>
  </si>
  <si>
    <t>MIRROR MOSAIC HURRICANE LAMP</t>
  </si>
  <si>
    <t>PIZZA PLATE IN BOX</t>
  </si>
  <si>
    <t>PING! MICROWAVE PLATE</t>
  </si>
  <si>
    <t>FULL ENGLISH BREAKFAST PLATE</t>
  </si>
  <si>
    <t>BIRD HOUSE HOT WATER BOTTLE</t>
  </si>
  <si>
    <t>CHOCOLATE HOT WATER BOTTLE</t>
  </si>
  <si>
    <t>GREY HEART HOT WATER BOTTLE</t>
  </si>
  <si>
    <t>HOT WATER BOTTLE TEA AND SYMPATHY</t>
  </si>
  <si>
    <t>METAL SIGN EMPIRE TEA</t>
  </si>
  <si>
    <t>METAL SIGN HIS DINNER IS SERVED</t>
  </si>
  <si>
    <t>METAL SIGN HER DINNER IS SERVED  | check</t>
  </si>
  <si>
    <t>METAL SIGN HER DINNER IS SERVED | check</t>
  </si>
  <si>
    <t>JOY WOODEN BLOCK LETTERS</t>
  </si>
  <si>
    <t>PEACE WOODEN BLOCK LETTERS</t>
  </si>
  <si>
    <t>WELCOME  WOODEN BLOCK LETTERS</t>
  </si>
  <si>
    <t>? | NOEL WOODEN BLOCK LETTERS  | check | had been put aside</t>
  </si>
  <si>
    <t>? | NOEL WOODEN BLOCK LETTERS | check | had been put aside</t>
  </si>
  <si>
    <t>PING MICROWAVE APRON</t>
  </si>
  <si>
    <t>SET OF 2 TEA TOWELS PING MICROWAVE</t>
  </si>
  <si>
    <t xml:space="preserve">UNION JACK HOT WATER BOTTLE </t>
  </si>
  <si>
    <t>UNION JACK HOT WATER BOTTLE</t>
  </si>
  <si>
    <t>Dotcom sold in 6's | PARTY CONES CARNIVAL ASSORTED | sold in set?</t>
  </si>
  <si>
    <t>PARTY CONES CANDY ASSORTED | sold as set on dotcom</t>
  </si>
  <si>
    <t>PARTY CONES CANDY DECORATION | PARTY CONES CANDY TREE DECORATION</t>
  </si>
  <si>
    <t>PARTY CONE CHRISTMAS DECORATION  | sold as set on dotcom</t>
  </si>
  <si>
    <t>PARTY CONE CHRISTMAS DECORATION | sold as set on dotcom</t>
  </si>
  <si>
    <t xml:space="preserve">FOOD CONTAINER SET 3 LOVE HEART </t>
  </si>
  <si>
    <t>FOOD CONTAINER SET 3 LOVE HEART</t>
  </si>
  <si>
    <t>RED LOVE HEART SHAPE CUP</t>
  </si>
  <si>
    <t>PINK LOVE HEART SHAPE CUP</t>
  </si>
  <si>
    <t xml:space="preserve">LADLE LOVE HEART RED  | MINI LADLE LOVE HEART RED </t>
  </si>
  <si>
    <t>LADLE LOVE HEART RED | MINI LADLE LOVE HEART RED</t>
  </si>
  <si>
    <t>LADLE LOVE HEART PINK | MINI LADLE LOVE HEART PINK</t>
  </si>
  <si>
    <t>LOVE HEART SOCK HANGER</t>
  </si>
  <si>
    <t>BATHROOM SET LOVE HEART DESIGN</t>
  </si>
  <si>
    <t xml:space="preserve">BAKING SET 9 PIECE RETROSPOT </t>
  </si>
  <si>
    <t>BAKING SET 9 PIECE RETROSPOT</t>
  </si>
  <si>
    <t>RETROSPOT TEA SET CERAMIC 11 PC  | amazon</t>
  </si>
  <si>
    <t>RETROSPOT TEA SET CERAMIC 11 PC | amazon</t>
  </si>
  <si>
    <t>CHRISTMAS CRAFT TREE TOP ANGEL</t>
  </si>
  <si>
    <t>CHRISTMAS CRAFT WHITE FAIRY  | check</t>
  </si>
  <si>
    <t>CHRISTMAS CRAFT WHITE FAIRY | check</t>
  </si>
  <si>
    <t>22143</t>
  </si>
  <si>
    <t>CHRISTMAS CRAFT LITTLE FRIENDS</t>
  </si>
  <si>
    <t xml:space="preserve">CHRISTMAS CRAFT HEART STOCKING </t>
  </si>
  <si>
    <t>CHRISTMAS CRAFT HEART STOCKING</t>
  </si>
  <si>
    <t>EASTER CRAFT IVY WREATH WITH CHICK</t>
  </si>
  <si>
    <t>FELTCRAFT BUTTERFLY HEARTS | check</t>
  </si>
  <si>
    <t xml:space="preserve">EASTER CRAFT 4 CHICKS </t>
  </si>
  <si>
    <t>EASTER CRAFT 4 CHICKS</t>
  </si>
  <si>
    <t>FELTCRAFT 6 FLOWER FRIENDS | check | damages</t>
  </si>
  <si>
    <t>3 STRIPEY MICE FELTCRAFT</t>
  </si>
  <si>
    <t>PLACE SETTING WHITE HEART</t>
  </si>
  <si>
    <t>PLACE SETTING WHITE STAR | check</t>
  </si>
  <si>
    <t>ANGEL DECORATION STARS ON DRESS</t>
  </si>
  <si>
    <t xml:space="preserve">ANGEL DECORATION 3 BUTTONS </t>
  </si>
  <si>
    <t>ANGEL DECORATION 3 BUTTONS</t>
  </si>
  <si>
    <t>STAR DECORATION RUSTIC</t>
  </si>
  <si>
    <t xml:space="preserve">HEART DECORATION WITH PEARLS </t>
  </si>
  <si>
    <t>HEART DECORATION WITH PEARLS</t>
  </si>
  <si>
    <t>ANGEL DECORATION WITH LACE PADDED</t>
  </si>
  <si>
    <t>3 HEARTS HANGING DECORATION RUSTIC</t>
  </si>
  <si>
    <t xml:space="preserve">HEART DECORATION RUSTIC HANGING </t>
  </si>
  <si>
    <t>HEART DECORATION RUSTIC HANGING</t>
  </si>
  <si>
    <t>HEART GARLAND RUSTIC PADDED</t>
  </si>
  <si>
    <t>HEART STRING MEMO HOLDER HANGING</t>
  </si>
  <si>
    <t>STRING OF STARS CARD HOLDER</t>
  </si>
  <si>
    <t xml:space="preserve">DIAMANTE HEART SHAPED WALL MIRROR, </t>
  </si>
  <si>
    <t>DIAMANTE HEART SHAPED WALL MIRROR,</t>
  </si>
  <si>
    <t>WALL MIRROR RECTANGLE DIAMANTE PINK</t>
  </si>
  <si>
    <t xml:space="preserve"> OVAL WALL MIRROR DIAMANTE </t>
  </si>
  <si>
    <t>OVAL WALL MIRROR DIAMANTE</t>
  </si>
  <si>
    <t xml:space="preserve">ORGANISER WOOD ANTIQUE WHITE </t>
  </si>
  <si>
    <t>ORGANISER WOOD ANTIQUE WHITE</t>
  </si>
  <si>
    <t>FAMILY ALBUM WHITE PICTURE FRAME</t>
  </si>
  <si>
    <t>PICTURE FRAME WOOD TRIPLE PORTRAIT</t>
  </si>
  <si>
    <t>3 HOOK PHOTO SHELF ANTIQUE WHITE | ?</t>
  </si>
  <si>
    <t>METAL 4 HOOK HANGER FRENCH CHATEAU</t>
  </si>
  <si>
    <t>PHOTO CUBE</t>
  </si>
  <si>
    <t>PINK OWL SOFT TOY</t>
  </si>
  <si>
    <t>BLUE OWL SOFT TOY | amazon | check</t>
  </si>
  <si>
    <t>VICTORIAN GLASS HANGING T-LIGHT</t>
  </si>
  <si>
    <t>SET 10 LIGHTS NIGHT OWL | SET 10 NIGHT OWL LIGHTS</t>
  </si>
  <si>
    <t>RETROSPOT LAMP</t>
  </si>
  <si>
    <t>SNOWSTORM PHOTO FRAME FRIDGE MAGNET | check</t>
  </si>
  <si>
    <t>CAKE STAND VICTORIAN FILIGREE SMALL</t>
  </si>
  <si>
    <t>CAKE STAND VICTORIAN FILIGREE MED</t>
  </si>
  <si>
    <t>CAKE STAND VICTORIAN FILIGREE LARGE</t>
  </si>
  <si>
    <t>SLATE TILE NATURAL HANGING</t>
  </si>
  <si>
    <t>RED STAR CARD HOLDER</t>
  </si>
  <si>
    <t>GREEN CHRISTMAS TREE CARD HOLDER</t>
  </si>
  <si>
    <t>BLACK HEART CARD HOLDER</t>
  </si>
  <si>
    <t>CREAM HEART CARD HOLDER</t>
  </si>
  <si>
    <t>LOCAL CAFE MUG</t>
  </si>
  <si>
    <t>IVORY DINER WALL CLOCK</t>
  </si>
  <si>
    <t>BLUE DINER WALL CLOCK</t>
  </si>
  <si>
    <t>RED DINER WALL CLOCK</t>
  </si>
  <si>
    <t>BLACK DINER WALL CLOCK</t>
  </si>
  <si>
    <t>LARGE HEART MEASURING SPOONS</t>
  </si>
  <si>
    <t>SMALL HEART MEASURING SPOONS</t>
  </si>
  <si>
    <t>POPCORN HOLDER | SMALL POPCORN HOLDER</t>
  </si>
  <si>
    <t xml:space="preserve">LARGE POPCORN HOLDER </t>
  </si>
  <si>
    <t>LARGE POPCORN HOLDER</t>
  </si>
  <si>
    <t>FRYING PAN RED POLKADOT  | FRYING PAN RED RETROSPOT</t>
  </si>
  <si>
    <t>FRYING PAN RED POLKADOT | FRYING PAN RED RETROSPOT</t>
  </si>
  <si>
    <t>FRYING PAN PINK POLKADOT</t>
  </si>
  <si>
    <t>FRYING PAN BLUE POLKADOT</t>
  </si>
  <si>
    <t>MILK PAN PINK POLKADOT</t>
  </si>
  <si>
    <t>MILK PAN RED RETROSPOT</t>
  </si>
  <si>
    <t>MILK PAN BLUE POLKADOT</t>
  </si>
  <si>
    <t xml:space="preserve">MUG , DOTCOMGIFTSHOP.COM </t>
  </si>
  <si>
    <t>MUG , DOTCOMGIFTSHOP.COM</t>
  </si>
  <si>
    <t>FRYING PAN UNION FLAG</t>
  </si>
  <si>
    <t>WOOD STAMP SET THANK YOU</t>
  </si>
  <si>
    <t>WOOD STAMP SET HAPPY BIRTHDAY</t>
  </si>
  <si>
    <t>WOOD STAMP SET BEST WISHES</t>
  </si>
  <si>
    <t>WOOD STAMP SET FLOWERS</t>
  </si>
  <si>
    <t>FOUR HOOK  WHITE LOVEBIRDS</t>
  </si>
  <si>
    <t>CANDLE PLATE LACE WHITE</t>
  </si>
  <si>
    <t>CAKE STAND WHITE TWO TIER LACE</t>
  </si>
  <si>
    <t>T-LIGHT HOLDER WHITE LACE</t>
  </si>
  <si>
    <t>T-LIGHT HOLDER HANGING LACE | damages?</t>
  </si>
  <si>
    <t>CAKE STAND LACE WHITE</t>
  </si>
  <si>
    <t xml:space="preserve">???lost | LOVEBIRD HANGING DECORATION WHITE </t>
  </si>
  <si>
    <t>???lost | LOVEBIRD HANGING DECORATION WHITE</t>
  </si>
  <si>
    <t>CAKE STAND LOVEBIRD 2 TIER WHITE</t>
  </si>
  <si>
    <t>CAKE STAND LOVEBIRD 2 TIER PINK</t>
  </si>
  <si>
    <t>CAKE PLATE LOVEBIRD WHITE</t>
  </si>
  <si>
    <t>CAKE PLATE LOVEBIRD PINK</t>
  </si>
  <si>
    <t>WHITE LOVEBIRD LANTERN</t>
  </si>
  <si>
    <t xml:space="preserve">HANGING HEART MIRROR DECORATION </t>
  </si>
  <si>
    <t>HANGING HEART MIRROR DECORATION</t>
  </si>
  <si>
    <t xml:space="preserve">BUNNY WOODEN PAINTED WITH BIRD </t>
  </si>
  <si>
    <t>BUNNY WOODEN PAINTED WITH BIRD</t>
  </si>
  <si>
    <t xml:space="preserve">BUNNY WOODEN PAINTED WITH FLOWER </t>
  </si>
  <si>
    <t>BUNNY WOODEN PAINTED WITH FLOWER</t>
  </si>
  <si>
    <t>JIGSAW TREE WITH WATERING CAN</t>
  </si>
  <si>
    <t>JIGSAW TREE WITH BIRDHOUSE</t>
  </si>
  <si>
    <t>JIGSAW TOADSTOOLS 3 PIECE</t>
  </si>
  <si>
    <t>JIGSAW RABBIT AND BIRDHOUSE</t>
  </si>
  <si>
    <t>CAKE STAND 3 TIER MAGIC GARDEN</t>
  </si>
  <si>
    <t>GARLAND WOODEN HAPPY EASTER</t>
  </si>
  <si>
    <t>5 HOOK HANGER MAGIC TOADSTOOL</t>
  </si>
  <si>
    <t>5 HOOK HANGER RED MAGIC TOADSTOOL</t>
  </si>
  <si>
    <t>3 HOOK HANGER MAGIC GARDEN</t>
  </si>
  <si>
    <t>HOOK, 1 HANGER ,MAGIC GARDEN</t>
  </si>
  <si>
    <t xml:space="preserve">GARLAND, MAGIC GARDEN 1.8M | MAGIC GARDEN FELT GARLAND </t>
  </si>
  <si>
    <t>GARLAND, MAGIC GARDEN 1.8M | MAGIC GARDEN FELT GARLAND</t>
  </si>
  <si>
    <t>BUNNY DECORATION MAGIC GARDEN</t>
  </si>
  <si>
    <t>DECORATION  PINK CHICK MAGIC GARDEN</t>
  </si>
  <si>
    <t>DECORATION WHITE CHICK MAGIC GARDEN</t>
  </si>
  <si>
    <t>DECORATION  BUTTERFLY  MAGIC GARDEN</t>
  </si>
  <si>
    <t>BIRDHOUSE DECORATION MAGIC GARDEN</t>
  </si>
  <si>
    <t>BIRDCAGE DECORATION TEALIGHT HOLDER</t>
  </si>
  <si>
    <t>FELT TOADSTOOL LARGE</t>
  </si>
  <si>
    <t>FELT TOADSTOOL  SMALL</t>
  </si>
  <si>
    <t>FELT FARM ANIMAL CHICKEN</t>
  </si>
  <si>
    <t>FELT FARM ANIMAL SHEEP</t>
  </si>
  <si>
    <t>FELT FARM ANIMAL RABBIT</t>
  </si>
  <si>
    <t>FELT FARM ANIMAL HEN</t>
  </si>
  <si>
    <t xml:space="preserve">FELT EGG COSY BLUE RABBIT </t>
  </si>
  <si>
    <t>FELT EGG COSY BLUE RABBIT</t>
  </si>
  <si>
    <t xml:space="preserve">FELT EGG COSY WHITE RABBIT </t>
  </si>
  <si>
    <t>FELT EGG COSY WHITE RABBIT</t>
  </si>
  <si>
    <t>FELT EGG COSY CHICKEN</t>
  </si>
  <si>
    <t xml:space="preserve">FELT EGG COSY LADYBIRD </t>
  </si>
  <si>
    <t>FELT EGG COSY LADYBIRD</t>
  </si>
  <si>
    <t xml:space="preserve">FELT FARM ANIMAL WHITE BUNNY </t>
  </si>
  <si>
    <t>FELT FARM ANIMAL WHITE BUNNY</t>
  </si>
  <si>
    <t>EASTER DECORATION NATURAL CHICK</t>
  </si>
  <si>
    <t>EASTER DECORATION HANGING BUNNY</t>
  </si>
  <si>
    <t xml:space="preserve">EASTER DECORATION EGG BUNNY </t>
  </si>
  <si>
    <t>EASTER DECORATION EGG BUNNY</t>
  </si>
  <si>
    <t>DECORATION SITTING BUNNY | EASTER DECORATION SITTING BUNNY | check</t>
  </si>
  <si>
    <t>EGG CUP NATURAL CHICKEN</t>
  </si>
  <si>
    <t>HAPPY EASTER HANGING DECORATION</t>
  </si>
  <si>
    <t>FELTCRAFT DOLL ROSIE | check</t>
  </si>
  <si>
    <t>Damaged | FELTCRAFT DOLL MARIA</t>
  </si>
  <si>
    <t>FELTCRAFT DOLL MOLLY</t>
  </si>
  <si>
    <t>FELTCRAFT DOLL EMILY</t>
  </si>
  <si>
    <t>WEEKEND BAG VINTAGE ROSE PAISLEY</t>
  </si>
  <si>
    <t>WASH BAG VINTAGE ROSE PAISLEY</t>
  </si>
  <si>
    <t>COSMETIC BAG VINTAGE ROSE PAISLEY</t>
  </si>
  <si>
    <t>OVERNIGHT BAG VINTAGE ROSE PAISLEY</t>
  </si>
  <si>
    <t>POCKET BAG BLUE PAISLEY RED SPOT</t>
  </si>
  <si>
    <t>POCKET BAG PINK PAISELY BROWN SPOT</t>
  </si>
  <si>
    <t>EASTER TREE YELLOW BIRDS</t>
  </si>
  <si>
    <t>12 EGG HOUSE PAINTED WOOD</t>
  </si>
  <si>
    <t>6 EGG HOUSE PAINTED WOOD</t>
  </si>
  <si>
    <t>HEN HOUSE DECORATION</t>
  </si>
  <si>
    <t>DECORATION HEN ON NEST, HANGING | HANGING HEN ON NEST DECORATION</t>
  </si>
  <si>
    <t>DECORATION , WOBBLY RABBIT , METAL  | DECORATION WOBBLY RABBIT METAL  | check</t>
  </si>
  <si>
    <t>DECORATION , WOBBLY RABBIT , METAL | DECORATION WOBBLY RABBIT METAL | check</t>
  </si>
  <si>
    <t>DECORATION , WOBBLY CHICKEN, METAL  | DECORATION WOBBLY CHICKEN</t>
  </si>
  <si>
    <t>DECORATION , WOBBLY CHICKEN, METAL | DECORATION WOBBLY CHICKEN</t>
  </si>
  <si>
    <t>HANGING METAL RABBIT DECORATION</t>
  </si>
  <si>
    <t>HANGING METAL CHICKEN DECORATION</t>
  </si>
  <si>
    <t>HANGING CHICK CREAM DECORATION</t>
  </si>
  <si>
    <t>HANGING CHICK  YELLOW DECORATION</t>
  </si>
  <si>
    <t>HANGING CHICK GREEN DECORATION</t>
  </si>
  <si>
    <t>HEART FILIGREE DOVE  SMALL</t>
  </si>
  <si>
    <t>HEART FILIGREE DOVE LARGE</t>
  </si>
  <si>
    <t>HEART IVORY TRELLIS LARGE</t>
  </si>
  <si>
    <t>HEART IVORY TRELLIS SMALL</t>
  </si>
  <si>
    <t xml:space="preserve">PIG KEYRING WITH LIGHT &amp; SOUND </t>
  </si>
  <si>
    <t>PIG KEYRING WITH LIGHT &amp; SOUND</t>
  </si>
  <si>
    <t>COFFEE MUG DOG + BALL DESIGN</t>
  </si>
  <si>
    <t>COFFEE MUG CAT + BIRD DESIGN</t>
  </si>
  <si>
    <t>COFFEE MUG PEARS  DESIGN</t>
  </si>
  <si>
    <t>COFFEE MUG APPLES DESIGN</t>
  </si>
  <si>
    <t>COFFEE MUG BLUE PAISLEY DESIGN</t>
  </si>
  <si>
    <t>COFFEE MUG PINK PAISLEY DESIGN</t>
  </si>
  <si>
    <t>SILVER MUG BONE CHINA TREE OF LIFE</t>
  </si>
  <si>
    <t>GOLD MUG BONE CHINA TREE OF LIFE</t>
  </si>
  <si>
    <t>TEA COSY BLUE STRIPE</t>
  </si>
  <si>
    <t>TEA COSY RED  STRIPE</t>
  </si>
  <si>
    <t xml:space="preserve">IVORY KNITTED MUG COSY </t>
  </si>
  <si>
    <t>IVORY KNITTED MUG COSY</t>
  </si>
  <si>
    <t xml:space="preserve">OFFICE MUG WARMER BLACK+SILVER </t>
  </si>
  <si>
    <t>OFFICE MUG WARMER BLACK+SILVER</t>
  </si>
  <si>
    <t>OFFICE MUG WARMER POLKADOT</t>
  </si>
  <si>
    <t>OFFICE MUG WARMER PINK</t>
  </si>
  <si>
    <t>OFFICE MUG WARMER CHOC+BLUE</t>
  </si>
  <si>
    <t>200 RED + WHITE BENDY STRAWS</t>
  </si>
  <si>
    <t>200 BENDY SKULL STRAWS</t>
  </si>
  <si>
    <t>FIVE CATS HANGING DECORATION</t>
  </si>
  <si>
    <t>FIVE HEART HANGING DECORATION</t>
  </si>
  <si>
    <t>HAIRCLIPS FORTIES FABRIC ASSORTED</t>
  </si>
  <si>
    <t>BIRDS MOBILE VINTAGE DESIGN</t>
  </si>
  <si>
    <t>BIRD DECORATION RED RETROSPOT</t>
  </si>
  <si>
    <t>BIRD DECORATION GREEN POLKADOT</t>
  </si>
  <si>
    <t>PINK POLKADOT KIDS BAG</t>
  </si>
  <si>
    <t>BLUE POLKADOT KIDS BAG</t>
  </si>
  <si>
    <t xml:space="preserve">MOBILE VINTAGE HEARTS </t>
  </si>
  <si>
    <t>MOBILE VINTAGE HEARTS</t>
  </si>
  <si>
    <t xml:space="preserve">ROUND SNACK BOXES SET OF4 WOODLAND </t>
  </si>
  <si>
    <t>ROUND SNACK BOXES SET OF4 WOODLAND</t>
  </si>
  <si>
    <t>ROUND SNACK BOXES SET OF 4 SKULLS</t>
  </si>
  <si>
    <t xml:space="preserve">ROUND SNACK BOXES SET OF 4 FRUITS </t>
  </si>
  <si>
    <t>ROUND SNACK BOXES SET OF 4 FRUITS</t>
  </si>
  <si>
    <t>ROUND CONTAINER SET OF 5 RETROSPOT</t>
  </si>
  <si>
    <t>WOODLAND PARTY BAG + STICKER SET</t>
  </si>
  <si>
    <t>SKULLS PARTY BAG + STICKER SET</t>
  </si>
  <si>
    <t>RETROSPOT PARTY BAG + STICKER SET</t>
  </si>
  <si>
    <t>DINOSAUR PARTY BAG + STICKER SET</t>
  </si>
  <si>
    <t xml:space="preserve">HEART DECORATION PAINTED ZINC </t>
  </si>
  <si>
    <t>HEART DECORATION PAINTED ZINC</t>
  </si>
  <si>
    <t>DOVE DECORATION PAINTED ZINC  | damaged</t>
  </si>
  <si>
    <t>DOVE DECORATION PAINTED ZINC | damaged</t>
  </si>
  <si>
    <t xml:space="preserve">ANGEL DECORATION PAINTED ZINC </t>
  </si>
  <si>
    <t>ANGEL DECORATION PAINTED ZINC</t>
  </si>
  <si>
    <t xml:space="preserve">STAR DECORATION PAINTED ZINC </t>
  </si>
  <si>
    <t>STAR DECORATION PAINTED ZINC</t>
  </si>
  <si>
    <t>CHRISTMAS TREE PAINTED ZINC  | check</t>
  </si>
  <si>
    <t>CHRISTMAS TREE PAINTED ZINC | check</t>
  </si>
  <si>
    <t xml:space="preserve">NOEL GARLAND PAINTED ZINC </t>
  </si>
  <si>
    <t>NOEL GARLAND PAINTED ZINC</t>
  </si>
  <si>
    <t xml:space="preserve">LOVE GARLAND PAINTED ZINC </t>
  </si>
  <si>
    <t>LOVE GARLAND PAINTED ZINC</t>
  </si>
  <si>
    <t xml:space="preserve">HOME GARLAND PAINTED ZINC </t>
  </si>
  <si>
    <t>HOME GARLAND PAINTED ZINC</t>
  </si>
  <si>
    <t>PARTY PIZZA DISH RED RETROSPOT</t>
  </si>
  <si>
    <t>PARTY PIZZA DISH PINK POLKADOT</t>
  </si>
  <si>
    <t>PARTY PIZZA DISH BLUE POLKADOT</t>
  </si>
  <si>
    <t>PARTY PIZZA DISH GREEN POLKADOT</t>
  </si>
  <si>
    <t>TEA BAG PLATE RED RETROSPOT</t>
  </si>
  <si>
    <t>DOG BOWL CHASING BALL DESIGN</t>
  </si>
  <si>
    <t xml:space="preserve">ILLUSTRATED CAT BOWL </t>
  </si>
  <si>
    <t>ILLUSTRATED CAT BOWL</t>
  </si>
  <si>
    <t>DOTCOMGIFTSHOP TEA TOWEL | Given away</t>
  </si>
  <si>
    <t xml:space="preserve">LUNCH BOX WITH CUTLERY RETROSPOT </t>
  </si>
  <si>
    <t>LUNCH BOX WITH CUTLERY RETROSPOT</t>
  </si>
  <si>
    <t xml:space="preserve">LUNCH BOX WITH CUTLERY FAIRY CAKES </t>
  </si>
  <si>
    <t>LUNCH BOX WITH CUTLERY FAIRY CAKES</t>
  </si>
  <si>
    <t>RETROSPOT PADDED SEAT CUSHION</t>
  </si>
  <si>
    <t>CHARLOTTE BAG SUKI DESIGN | test</t>
  </si>
  <si>
    <t>CHARLOTTE BAG PINK POLKADOT</t>
  </si>
  <si>
    <t>KINGS CHOICE BISCUIT TIN</t>
  </si>
  <si>
    <t xml:space="preserve">KINGS CHOICE TEA CADDY </t>
  </si>
  <si>
    <t>KINGS CHOICE TEA CADDY</t>
  </si>
  <si>
    <t>GLASS JAR KINGS CHOICE</t>
  </si>
  <si>
    <t>GLASS JAR ENGLISH CONFECTIONERY</t>
  </si>
  <si>
    <t>GLASS JAR DAISY FRESH COTTON WOOL</t>
  </si>
  <si>
    <t>GLASS JAR PEACOCK BATH SALTS</t>
  </si>
  <si>
    <t xml:space="preserve">GLASS JAR MARMALADE </t>
  </si>
  <si>
    <t>GLASS JAR MARMALADE</t>
  </si>
  <si>
    <t>GLASS JAR DIGESTIVE BISCUITS</t>
  </si>
  <si>
    <t>DOORMAT RESPECTABLE HOUSE</t>
  </si>
  <si>
    <t xml:space="preserve">DOORMAT AIRMAIL </t>
  </si>
  <si>
    <t>DOORMAT AIRMAIL</t>
  </si>
  <si>
    <t>CHILDRENS APRON SPACEBOY DESIGN</t>
  </si>
  <si>
    <t>AIRLINE BAG VINTAGE TOKYO 78</t>
  </si>
  <si>
    <t xml:space="preserve">AIRLINE BAG VINTAGE WORLD CHAMPION </t>
  </si>
  <si>
    <t>AIRLINE BAG VINTAGE WORLD CHAMPION</t>
  </si>
  <si>
    <t>AIRLINE BAG VINTAGE JET SET RED</t>
  </si>
  <si>
    <t>AIRLINE BAG VINTAGE JET SET BROWN</t>
  </si>
  <si>
    <t>AIRLINE BAG VINTAGE JET SET WHITE</t>
  </si>
  <si>
    <t xml:space="preserve">BOTTLE BAG RETROSPOT </t>
  </si>
  <si>
    <t>BOTTLE BAG RETROSPOT</t>
  </si>
  <si>
    <t xml:space="preserve">WALL TIDY RETROSPOT </t>
  </si>
  <si>
    <t>WALL TIDY RETROSPOT</t>
  </si>
  <si>
    <t xml:space="preserve">RECYCLING BAG RETROSPOT </t>
  </si>
  <si>
    <t>RECYCLING BAG RETROSPOT</t>
  </si>
  <si>
    <t xml:space="preserve">TOY TIDY SPACEBOY  </t>
  </si>
  <si>
    <t>TOY TIDY SPACEBOY</t>
  </si>
  <si>
    <t>TOY TIDY PINK POLKADOT</t>
  </si>
  <si>
    <t xml:space="preserve">LUNCH BAG SPACEBOY DESIGN </t>
  </si>
  <si>
    <t>LUNCH BAG SPACEBOY DESIGN</t>
  </si>
  <si>
    <t xml:space="preserve">LUNCH BAG SUKI  DESIGN  | LUNCH BAG SUKI DESIGN </t>
  </si>
  <si>
    <t>LUNCH BAG SUKI  DESIGN | LUNCH BAG SUKI DESIGN</t>
  </si>
  <si>
    <t>LUNCH BAG PINK POLKADOT</t>
  </si>
  <si>
    <t>JUMBO BAG SPACEBOY DESIGN</t>
  </si>
  <si>
    <t>JUMBO BAG PINK POLKADOT</t>
  </si>
  <si>
    <t>PAPERWEIGHT SAVE THE PLANET</t>
  </si>
  <si>
    <t>PAPERWEIGHT CHILDHOOD MEMORIES</t>
  </si>
  <si>
    <t>PAPERWEIGHT HOME SWEET HOME</t>
  </si>
  <si>
    <t>PAPERWEIGHT VINTAGE COLLAGE</t>
  </si>
  <si>
    <t xml:space="preserve">PAPERWEIGHT KINGS CHOICE </t>
  </si>
  <si>
    <t>PAPERWEIGHT KINGS CHOICE</t>
  </si>
  <si>
    <t>PAPERWEIGHT VINTAGE PAISLEY</t>
  </si>
  <si>
    <t>MAGNETS PACK OF 4 RETRO PHOTO</t>
  </si>
  <si>
    <t>MAGNETS PACK OF 4 SWALLOWS</t>
  </si>
  <si>
    <t>MAGNETS PACK OF 4 CHILDHOOD MEMORY</t>
  </si>
  <si>
    <t>MAGNETS PACK OF 4 HOME SWEET HOME</t>
  </si>
  <si>
    <t>MAGNETS PACK OF 4 VINTAGE COLLAGE</t>
  </si>
  <si>
    <t xml:space="preserve">MAGNETS PACK OF 4 VINTAGE LABELS </t>
  </si>
  <si>
    <t>MAGNETS PACK OF 4 VINTAGE LABELS</t>
  </si>
  <si>
    <t>MONEY BOX POCKET MONEY DESIGN</t>
  </si>
  <si>
    <t>MONEY BOX KINGS CHOICE DESIGN</t>
  </si>
  <si>
    <t>MONEY BOX FIRST ADE DESIGN | MONEY BOX FIRST AID DESIGN</t>
  </si>
  <si>
    <t>MONEY BOX CONFECTIONERY DESIGN</t>
  </si>
  <si>
    <t>MONEY BOX BISCUITS DESIGN</t>
  </si>
  <si>
    <t>MONEY BOX HOUSEKEEPING DESIGN</t>
  </si>
  <si>
    <t>JUMBO SHOPPER VINTAGE RED PAISLEY</t>
  </si>
  <si>
    <t xml:space="preserve">METAL SIGN NEIGHBOURHOOD WITCH </t>
  </si>
  <si>
    <t>METAL SIGN NEIGHBOURHOOD WITCH</t>
  </si>
  <si>
    <t xml:space="preserve">METAL SIGN TAKE IT OR LEAVE IT </t>
  </si>
  <si>
    <t>METAL SIGN TAKE IT OR LEAVE IT</t>
  </si>
  <si>
    <t xml:space="preserve">DOORMAT NEIGHBOURHOOD WITCH </t>
  </si>
  <si>
    <t>DOORMAT NEIGHBOURHOOD WITCH</t>
  </si>
  <si>
    <t>WHITE TISSUE REAM</t>
  </si>
  <si>
    <t>SET OF 36 DOILIES SPACEBOY DESIGN  | SET OF 36 SPACEBOY PAPER DOILIES</t>
  </si>
  <si>
    <t>SET OF 36 DOILIES SPACEBOY DESIGN | SET OF 36 SPACEBOY PAPER DOILIES</t>
  </si>
  <si>
    <t>PACK OF 60 SPACEBOY CAKE CASES</t>
  </si>
  <si>
    <t>10 COLOUR SPACEBOY PEN</t>
  </si>
  <si>
    <t>LIPSTICK PEN RED</t>
  </si>
  <si>
    <t>LIPSTICK PEN BABY PINK</t>
  </si>
  <si>
    <t>LIPSTICK PEN FUSCHIA</t>
  </si>
  <si>
    <t>TOOTHPASTE TUBE PEN</t>
  </si>
  <si>
    <t>REGENCY CAKESTAND 3 TIER | damages | faulty</t>
  </si>
  <si>
    <t>ENAMEL BREAD BIN CREAM</t>
  </si>
  <si>
    <t>ENAMEL COLANDER CREAM</t>
  </si>
  <si>
    <t>ENAMEL WASH BOWL CREAM | check</t>
  </si>
  <si>
    <t>ENAMEL FLOWER JUG CREAM | damages</t>
  </si>
  <si>
    <t>ENAMEL FIRE BUCKET CREAM</t>
  </si>
  <si>
    <t>ENAMEL MEASURING JUG CREAM</t>
  </si>
  <si>
    <t>ENAMEL WATERING CAN CREAM</t>
  </si>
  <si>
    <t>WATERING CAN BLUE ELEPHANT</t>
  </si>
  <si>
    <t>WATERING CAN PINK BUNNY</t>
  </si>
  <si>
    <t>WATERING CAN GREEN DINOSAUR</t>
  </si>
  <si>
    <t>BALLOON PUMP WITH 10 BALLOONS</t>
  </si>
  <si>
    <t>?missing | SET OF 9 HEART SHAPED BALLOONS</t>
  </si>
  <si>
    <t>12 COLOURED PARTY BALLOONS</t>
  </si>
  <si>
    <t>SET OF 9 BLACK SKULL BALLOONS</t>
  </si>
  <si>
    <t>BALLOON ART MAKE YOUR OWN FLOWERS</t>
  </si>
  <si>
    <t xml:space="preserve">6 ROCKET BALLOONS </t>
  </si>
  <si>
    <t>6 ROCKET BALLOONS</t>
  </si>
  <si>
    <t>BALLOON WATER BOMB PACK OF 35</t>
  </si>
  <si>
    <t>GROW YOUR OWN BASIL IN ENAMEL MUG</t>
  </si>
  <si>
    <t>GROW YOUR OWN FLOWERS SET OF 3</t>
  </si>
  <si>
    <t>GROW YOUR OWN HERBS SET OF 3</t>
  </si>
  <si>
    <t xml:space="preserve">GROW YOUR OWN PLANT IN A CAN </t>
  </si>
  <si>
    <t>GROW YOUR OWN PLANT IN A CAN</t>
  </si>
  <si>
    <t>PENCIL CASE LIFE IS BEAUTIFUL</t>
  </si>
  <si>
    <t>PIN CUSHION BABUSHKA PINK</t>
  </si>
  <si>
    <t>PIN CUSHION BABUSHKA BLUE</t>
  </si>
  <si>
    <t>PIN CUSHION BABUSHKA RED</t>
  </si>
  <si>
    <t>SILK PURSE BABUSHKA PINK | can't find</t>
  </si>
  <si>
    <t>SILK PURSE BABUSHKA BLUE</t>
  </si>
  <si>
    <t>SILK PURSE BABUSHKA RED</t>
  </si>
  <si>
    <t>MEASURING TAPE BABUSHKA PINK</t>
  </si>
  <si>
    <t>MEASURING TAPE BABUSHKA BLUE</t>
  </si>
  <si>
    <t>MEASURING TAPE BABUSHKA RED</t>
  </si>
  <si>
    <t xml:space="preserve">NATURAL SLATE CHALKBOARD LARGE </t>
  </si>
  <si>
    <t>NATURAL SLATE CHALKBOARD LARGE</t>
  </si>
  <si>
    <t xml:space="preserve">NATURAL SLATE HEART CHALKBOARD </t>
  </si>
  <si>
    <t>NATURAL SLATE HEART CHALKBOARD</t>
  </si>
  <si>
    <t>CAST IRON HOOK GARDEN FORK | Missing</t>
  </si>
  <si>
    <t>?lost | CAST IRON HOOK GARDEN TROWEL</t>
  </si>
  <si>
    <t>EMBOSSED GLASS TEALIGHT HOLDER</t>
  </si>
  <si>
    <t>SAVOY ART DECO CLOCK</t>
  </si>
  <si>
    <t>HANGING METAL HEART LANTERN</t>
  </si>
  <si>
    <t>HANGING METAL STAR LANTERN</t>
  </si>
  <si>
    <t>FAIRY TALE COTTAGE NIGHT LIGHT | FAIRY TALE COTTAGE NIGHTLIGHT</t>
  </si>
  <si>
    <t>GUMBALL COAT RACK | wrong code? | wrongly sold (22719) barcode</t>
  </si>
  <si>
    <t>BABUSHKA LIGHTS STRING OF 10</t>
  </si>
  <si>
    <t>HEART OF WICKER SMALL</t>
  </si>
  <si>
    <t>HEART OF WICKER LARGE</t>
  </si>
  <si>
    <t xml:space="preserve">TV DINNER TRAY AIR HOSTESS </t>
  </si>
  <si>
    <t>TV DINNER TRAY AIR HOSTESS</t>
  </si>
  <si>
    <t>TV DINNER TRAY DOLLY GIRL</t>
  </si>
  <si>
    <t>TV DINNER TRAY VINTAGE PAISLEY</t>
  </si>
  <si>
    <t>SPACEBOY TV DINNER TRAY</t>
  </si>
  <si>
    <t>SKULL DESIGN TV DINNER TRAY</t>
  </si>
  <si>
    <t>EMPIRE UNION JACK TV DINNER TRAY</t>
  </si>
  <si>
    <t>WATERING CAN GARDEN MARKER</t>
  </si>
  <si>
    <t xml:space="preserve">BIRDHOUSE GARDEN MARKER </t>
  </si>
  <si>
    <t>BIRDHOUSE GARDEN MARKER</t>
  </si>
  <si>
    <t>DAISY GARDEN MARKER</t>
  </si>
  <si>
    <t>RED TEA TOWEL CLASSIC DESIGN</t>
  </si>
  <si>
    <t>BLACK TEA TOWEL CLASSIC DESIGN | wet boxes</t>
  </si>
  <si>
    <t>BLUE TEA TOWEL CLASSIC DESIGN</t>
  </si>
  <si>
    <t xml:space="preserve">RED GINGHAM TEDDY BEAR </t>
  </si>
  <si>
    <t>RED GINGHAM TEDDY BEAR</t>
  </si>
  <si>
    <t>SET OF 2 WOODEN MARKET CRATES</t>
  </si>
  <si>
    <t>PLASMATRONIC LAMP</t>
  </si>
  <si>
    <t>WHITE WOOD GARDEN PLANT LADDER</t>
  </si>
  <si>
    <t>NATURAL SLATE RECTANGLE CHALKBOARD</t>
  </si>
  <si>
    <t>PACK OF 12 TRADITIONAL CRAYONS</t>
  </si>
  <si>
    <t>PACK OF 12 COLOURED PENCILS</t>
  </si>
  <si>
    <t xml:space="preserve">MINI PAINT SET VINTAGE </t>
  </si>
  <si>
    <t>MINI PAINT SET VINTAGE</t>
  </si>
  <si>
    <t>PAINT YOUR OWN CANVAS SET</t>
  </si>
  <si>
    <t xml:space="preserve">EMERGENCY FIRST AID TIN </t>
  </si>
  <si>
    <t>EMERGENCY FIRST AID TIN</t>
  </si>
  <si>
    <t xml:space="preserve">SET OF 2 ROUND TINS CAMEMBERT </t>
  </si>
  <si>
    <t>SET OF 2 ROUND TINS CAMEMBERT</t>
  </si>
  <si>
    <t>SET OF 2 ROUND TINS DUTCH CHEESE</t>
  </si>
  <si>
    <t xml:space="preserve">SET OF 2 TINS VINTAGE BATHROOM </t>
  </si>
  <si>
    <t>SET OF 2 TINS VINTAGE BATHROOM</t>
  </si>
  <si>
    <t>WOODEN REGATTA BUNTING</t>
  </si>
  <si>
    <t>WOODEN UNION JACK BUNTING</t>
  </si>
  <si>
    <t>SET OF 2 TINS JARDIN DE PROVENCE</t>
  </si>
  <si>
    <t>Found | PICNIC BASKET WICKER LARGE | incorrectly put back into stock | reverse 21/5/10 adjustment</t>
  </si>
  <si>
    <t>PICNIC BASKET WICKER 60 PIECES | PICNIC BASKET WICKER SMALL | reverse 21/5/10 adjustment</t>
  </si>
  <si>
    <t>CABIN BAG VINTAGE PAISLEY</t>
  </si>
  <si>
    <t>CABIN BAG VINTAGE RETROSPOT</t>
  </si>
  <si>
    <t>MEMO BOARD COTTAGE DESIGN</t>
  </si>
  <si>
    <t>MEMO BOARD RETROSPOT  DESIGN</t>
  </si>
  <si>
    <t>DOORSTOP RETROSPOT HEART</t>
  </si>
  <si>
    <t xml:space="preserve">SEWING BOX RETROSPOT DESIGN </t>
  </si>
  <si>
    <t>SEWING BOX RETROSPOT DESIGN</t>
  </si>
  <si>
    <t>GINGHAM BABUSHKA DOORSTOP</t>
  </si>
  <si>
    <t>RETROSPOT BABUSHKA DOORSTOP</t>
  </si>
  <si>
    <t>DOORSTOP RACING CAR DESIGN</t>
  </si>
  <si>
    <t>DOORSTOP FOOTBALL DESIGN</t>
  </si>
  <si>
    <t>CHILDS GARDEN SPADE BLUE</t>
  </si>
  <si>
    <t>CHILDS GARDEN SPADE PINK</t>
  </si>
  <si>
    <t>CHILDS GARDEN RAKE BLUE</t>
  </si>
  <si>
    <t>CHILDS GARDEN RAKE PINK</t>
  </si>
  <si>
    <t>CHILDS GARDEN BRUSH BLUE</t>
  </si>
  <si>
    <t>CHILDS GARDEN BRUSH PINK</t>
  </si>
  <si>
    <t xml:space="preserve">CHILDS GARDEN TROWEL BLUE </t>
  </si>
  <si>
    <t>CHILDS GARDEN TROWEL BLUE</t>
  </si>
  <si>
    <t>CHILDS GARDEN TROWEL PINK</t>
  </si>
  <si>
    <t>CHILDS GARDEN FORK BLUE  | check</t>
  </si>
  <si>
    <t>CHILDS GARDEN FORK BLUE | check</t>
  </si>
  <si>
    <t>? | CHILDS GARDEN FORK PINK</t>
  </si>
  <si>
    <t>CHILDRENS GARDEN GLOVES BLUE</t>
  </si>
  <si>
    <t>CHILDRENS GARDEN GLOVES PINK</t>
  </si>
  <si>
    <t xml:space="preserve">WHEELBARROW FOR CHILDREN </t>
  </si>
  <si>
    <t>WHEELBARROW FOR CHILDREN</t>
  </si>
  <si>
    <t>GARDENERS KNEELING PAD</t>
  </si>
  <si>
    <t xml:space="preserve">MAGIC DRAWING SLATE GO TO THE FAIR </t>
  </si>
  <si>
    <t>MAGIC DRAWING SLATE GO TO THE FAIR</t>
  </si>
  <si>
    <t xml:space="preserve">MAGIC DRAWING SLATE DOLLY GIRL </t>
  </si>
  <si>
    <t>MAGIC DRAWING SLATE DOLLY GIRL</t>
  </si>
  <si>
    <t xml:space="preserve">MAGIC DRAWING SLATE CIRCUS PARADE  </t>
  </si>
  <si>
    <t>MAGIC DRAWING SLATE CIRCUS PARADE</t>
  </si>
  <si>
    <t xml:space="preserve">MAGIC DRAWING SLATE LEAP FROG </t>
  </si>
  <si>
    <t>MAGIC DRAWING SLATE LEAP FROG</t>
  </si>
  <si>
    <t>MAGIC DRAWING SLATE BAKE A CAKE  | check</t>
  </si>
  <si>
    <t>MAGIC DRAWING SLATE BAKE A CAKE | check</t>
  </si>
  <si>
    <t xml:space="preserve">MAGIC DRAWING SLATE SPACEBOY </t>
  </si>
  <si>
    <t>MAGIC DRAWING SLATE SPACEBOY</t>
  </si>
  <si>
    <t xml:space="preserve">MAGIC DRAWING SLATE BUNNIES </t>
  </si>
  <si>
    <t>MAGIC DRAWING SLATE BUNNIES</t>
  </si>
  <si>
    <t>MAGIC DRAWING SLATE PURDEY</t>
  </si>
  <si>
    <t>MAGIC DRAWING SLATE DINOSAUR</t>
  </si>
  <si>
    <t>MINI JIGSAW GO TO THE FAIR</t>
  </si>
  <si>
    <t>MINI JIGSAW DOLLY GIRL</t>
  </si>
  <si>
    <t xml:space="preserve">MINI JIGSAW CIRCUS PARADE </t>
  </si>
  <si>
    <t>MINI JIGSAW CIRCUS PARADE</t>
  </si>
  <si>
    <t>MINI JIGSAW LEAP FROG</t>
  </si>
  <si>
    <t xml:space="preserve">MINI JIGSAW BAKE A CAKE </t>
  </si>
  <si>
    <t>MINI JIGSAW BAKE A CAKE</t>
  </si>
  <si>
    <t>MINI JIGSAW SPACEBOY</t>
  </si>
  <si>
    <t>MINI JIGSAW BUNNIES</t>
  </si>
  <si>
    <t>MINI JIGSAW PURDEY</t>
  </si>
  <si>
    <t xml:space="preserve">MINI JIGSAW DINOSAUR </t>
  </si>
  <si>
    <t>MINI JIGSAW DINOSAUR</t>
  </si>
  <si>
    <t>HEADS AND TAILS SPORTING FUN | adjustment</t>
  </si>
  <si>
    <t>PICTURE DOMINOES</t>
  </si>
  <si>
    <t>HOLIDAY FUN LUDO</t>
  </si>
  <si>
    <t>PLASTERS IN TIN SPACEBOY</t>
  </si>
  <si>
    <t>PLASTERS IN TIN SKULLS</t>
  </si>
  <si>
    <t>PLASTERS IN TIN WOODLAND ANIMALS</t>
  </si>
  <si>
    <t>PLASTERS IN TIN STRONGMAN</t>
  </si>
  <si>
    <t xml:space="preserve">PLASTERS IN TIN CIRCUS PARADE </t>
  </si>
  <si>
    <t>PLASTERS IN TIN CIRCUS PARADE</t>
  </si>
  <si>
    <t xml:space="preserve">PLASTERS IN TIN VINTAGE PAISLEY </t>
  </si>
  <si>
    <t>PLASTERS IN TIN VINTAGE PAISLEY</t>
  </si>
  <si>
    <t xml:space="preserve">CLOTHES PEGS RETROSPOT PACK 24 </t>
  </si>
  <si>
    <t>CLOTHES PEGS RETROSPOT PACK 24</t>
  </si>
  <si>
    <t>SEASIDE FLYING DISC</t>
  </si>
  <si>
    <t>TRADITIONAL MODELLING CLAY</t>
  </si>
  <si>
    <t>WOODEN SCHOOL COLOURING SET</t>
  </si>
  <si>
    <t>MONSTERS STENCIL CRAFT</t>
  </si>
  <si>
    <t>HAPPY STENCIL CRAFT</t>
  </si>
  <si>
    <t>ALPHABET STENCIL CRAFT</t>
  </si>
  <si>
    <t xml:space="preserve">FELTCRAFT HAIRBANDS PINK AND WHITE </t>
  </si>
  <si>
    <t>FELTCRAFT HAIRBANDS PINK AND WHITE</t>
  </si>
  <si>
    <t>FELTCRAFT HAIRBAND PINK AND PURPLE</t>
  </si>
  <si>
    <t>20 DOLLY PEGS RETROSPOT</t>
  </si>
  <si>
    <t>?? missing | FELTCRAFT CUSHION OWL</t>
  </si>
  <si>
    <t>? | FELTCRAFT CUSHION BUTTERFLY</t>
  </si>
  <si>
    <t>? | FELTCRAFT CUSHION RABBIT</t>
  </si>
  <si>
    <t xml:space="preserve">ROCKING HORSE RED CHRISTMAS </t>
  </si>
  <si>
    <t>ROCKING HORSE RED CHRISTMAS</t>
  </si>
  <si>
    <t xml:space="preserve">?? | ROCKING HORSE GREEN CHRISTMAS </t>
  </si>
  <si>
    <t>?? | ROCKING HORSE GREEN CHRISTMAS</t>
  </si>
  <si>
    <t>STAR WOODEN CHRISTMAS DECORATION</t>
  </si>
  <si>
    <t>HEART WOODEN CHRISTMAS DECORATION</t>
  </si>
  <si>
    <t>METAL MERRY CHRISTMAS WREATH | missing?</t>
  </si>
  <si>
    <t>SWALLOW WOODEN CHRISTMAS DECORATION | check</t>
  </si>
  <si>
    <t>WOODEN HEART CHRISTMAS SCANDINAVIAN | check</t>
  </si>
  <si>
    <t>WOODEN STAR CHRISTMAS SCANDINAVIAN | lost</t>
  </si>
  <si>
    <t>WOODEN TREE CHRISTMAS SCANDINAVIAN | dotcom</t>
  </si>
  <si>
    <t>ADVENT CALENDAR GINGHAM SACK</t>
  </si>
  <si>
    <t>WOOD STOCKING CHRISTMAS SCANDISPOT</t>
  </si>
  <si>
    <t>PACK OF 6 SWEETIE GIFT BOXES</t>
  </si>
  <si>
    <t>PACK OF 6 HANDBAG GIFT BOXES</t>
  </si>
  <si>
    <t>PACK OF 6 PANETTONE GIFT BOXES | PACK OF 6 PANNETONE GIFT BOXES</t>
  </si>
  <si>
    <t>PACK OF 6 BIRDY GIFT TAGS</t>
  </si>
  <si>
    <t>FELTCRAFT HAIRBAND PINK AND BLUE | check</t>
  </si>
  <si>
    <t>FELTCRAFT HAIRBAND RED AND BLUE | check</t>
  </si>
  <si>
    <t>CARD HOLDER GINGHAM HEART</t>
  </si>
  <si>
    <t>CARDHOLDER GINGHAM STAR</t>
  </si>
  <si>
    <t>CARDHOLDER GINGHAM CHRISTMAS TREE</t>
  </si>
  <si>
    <t>CARDHOLDER HOLLY WREATH METAL</t>
  </si>
  <si>
    <t>CHRISTMAS GINGHAM STAR</t>
  </si>
  <si>
    <t>CHRISTMAS GINGHAM TREE</t>
  </si>
  <si>
    <t>CHRISTMAS GINGHAM HEART | GINGHAM HEART DECORATION | check</t>
  </si>
  <si>
    <t>CHRISTMAS STAR WISH LIST CHALKBOARD</t>
  </si>
  <si>
    <t xml:space="preserve">CHRISTMAS MUSICAL ZINC HEART  | MUSICAL ZINC HEART DECORATION </t>
  </si>
  <si>
    <t>CHRISTMAS MUSICAL ZINC HEART | MUSICAL ZINC HEART DECORATION</t>
  </si>
  <si>
    <t>CHRISTMAS MUSICAL ZINC TREE</t>
  </si>
  <si>
    <t>CHRISTMAS MUSICAL ZINC STAR</t>
  </si>
  <si>
    <t>CHRISTMAS RETROSPOT STAR WOOD</t>
  </si>
  <si>
    <t>CHRISTMAS RETROSPOT ANGEL WOOD | check</t>
  </si>
  <si>
    <t>CHRISTMAS RETROSPOT HEART WOOD | RETROSPOT WOODEN HEART DECORATION</t>
  </si>
  <si>
    <t>CHRISTMAS RETROSPOT TREE WOOD</t>
  </si>
  <si>
    <t>SET OF 4 NAPKIN CHARMS CUTLERY</t>
  </si>
  <si>
    <t>WOODEN CROQUET GARDEN SET</t>
  </si>
  <si>
    <t>WOODEN SKITTLES GARDEN SET | check</t>
  </si>
  <si>
    <t xml:space="preserve">WOODEN ROUNDERS GARDEN SET </t>
  </si>
  <si>
    <t>WOODEN ROUNDERS GARDEN SET</t>
  </si>
  <si>
    <t xml:space="preserve">PENS ASSORTED FUNKY JEWELED </t>
  </si>
  <si>
    <t>PENS ASSORTED FUNKY JEWELED</t>
  </si>
  <si>
    <t>PENS ASSORTED SPACEBALL</t>
  </si>
  <si>
    <t>PENS ASSORTED FUNNY FACE</t>
  </si>
  <si>
    <t>VINTAGE UNION JACK SHOPPING BAG</t>
  </si>
  <si>
    <t>PACK OF 20 SPACEBOY NAPKINS</t>
  </si>
  <si>
    <t>PACK OF 12 SPACEBOY TISSUES</t>
  </si>
  <si>
    <t xml:space="preserve">PACK OF 12 CIRCUS PARADE TISSUES </t>
  </si>
  <si>
    <t>PACK OF 12 CIRCUS PARADE TISSUES</t>
  </si>
  <si>
    <t xml:space="preserve">PACK OF 12 LONDON TISSUES </t>
  </si>
  <si>
    <t>PACK OF 12 LONDON TISSUES</t>
  </si>
  <si>
    <t>BAKING SET SPACEBOY DESIGN | mouldy, thrown away.</t>
  </si>
  <si>
    <t>COOKING SET RETROSPOT | mouldy, unsaleable.</t>
  </si>
  <si>
    <t>SET OF 6 SOLDIER SKITTLES</t>
  </si>
  <si>
    <t>4 TRADITIONAL SPINNING TOPS</t>
  </si>
  <si>
    <t>TRADITIONAL KNITTING NANCY</t>
  </si>
  <si>
    <t>BOX OF VINTAGE ALPHABET BLOCKS</t>
  </si>
  <si>
    <t xml:space="preserve">BOX OF VINTAGE JIGSAW BLOCKS </t>
  </si>
  <si>
    <t>BOX OF VINTAGE JIGSAW BLOCKS</t>
  </si>
  <si>
    <t>IVORY KITCHEN SCALES</t>
  </si>
  <si>
    <t>RED KITCHEN SCALES</t>
  </si>
  <si>
    <t>BLACK KITCHEN SCALES</t>
  </si>
  <si>
    <t>MINT KITCHEN SCALES</t>
  </si>
  <si>
    <t xml:space="preserve">PICNIC BOXES SET OF 3 RETROSPOT </t>
  </si>
  <si>
    <t>PICNIC BOXES SET OF 3 RETROSPOT</t>
  </si>
  <si>
    <t xml:space="preserve">SPACEBOY LUNCH BOX </t>
  </si>
  <si>
    <t>SPACEBOY LUNCH BOX</t>
  </si>
  <si>
    <t>DOLLY GIRL LUNCH BOX</t>
  </si>
  <si>
    <t xml:space="preserve">CIRCUS PARADE LUNCH BOX </t>
  </si>
  <si>
    <t>CIRCUS PARADE LUNCH BOX</t>
  </si>
  <si>
    <t>HAND WARMER RED POLKA DOT | HAND WARMER RED RETROSPOT</t>
  </si>
  <si>
    <t>HAND WARMER UNION JACK</t>
  </si>
  <si>
    <t xml:space="preserve">CHILDS BREAKFAST SET SPACEBOY </t>
  </si>
  <si>
    <t>CHILDS BREAKFAST SET SPACEBOY</t>
  </si>
  <si>
    <t xml:space="preserve">CHILDS BREAKFAST SET DOLLY GIRL </t>
  </si>
  <si>
    <t>CHILDS BREAKFAST SET DOLLY GIRL</t>
  </si>
  <si>
    <t>CHILDS BREAKFAST SET CIRCUS PARADE</t>
  </si>
  <si>
    <t>PIGGY BANK RETROSPOT  | damages</t>
  </si>
  <si>
    <t>PIGGY BANK RETROSPOT | damages</t>
  </si>
  <si>
    <t xml:space="preserve">SET OF 4 NAPKIN CHARMS CROWNS </t>
  </si>
  <si>
    <t>SET OF 4 NAPKIN CHARMS CROWNS</t>
  </si>
  <si>
    <t>SET OF 4 NAPKIN CHARMS HEARTS</t>
  </si>
  <si>
    <t xml:space="preserve">SET OF 4 NAPKIN CHARMS 3 KEYS </t>
  </si>
  <si>
    <t>SET OF 4 NAPKIN CHARMS 3 KEYS</t>
  </si>
  <si>
    <t>SET OF 4 NAPKIN CHARMS INSTRUMENT</t>
  </si>
  <si>
    <t xml:space="preserve">SET OF 4 NAPKIN CHARMS STARS   </t>
  </si>
  <si>
    <t>SET OF 4 NAPKIN CHARMS STARS</t>
  </si>
  <si>
    <t xml:space="preserve">SET OF 4 NAPKIN CHARMS LEAVES   </t>
  </si>
  <si>
    <t>SET OF 4 NAPKIN CHARMS LEAVES</t>
  </si>
  <si>
    <t>CERAMIC CHERRY CAKE MONEY BANK</t>
  </si>
  <si>
    <t>CERAMIC HEART FAIRY CAKE MONEY BANK</t>
  </si>
  <si>
    <t>CERAMIC STRAWBERRY CAKE MONEY BANK</t>
  </si>
  <si>
    <t>CERAMIC LOVE HEART MONEY BANK</t>
  </si>
  <si>
    <t>STRAWBERRY FAIRY CAKE TEAPOT</t>
  </si>
  <si>
    <t>CERAMIC PIRATE CHEST MONEY BANK</t>
  </si>
  <si>
    <t xml:space="preserve">GENTLEMAN SHIRT REPAIR KIT </t>
  </si>
  <si>
    <t>GENTLEMAN SHIRT REPAIR KIT</t>
  </si>
  <si>
    <t>TRAVEL SEWING KIT | check</t>
  </si>
  <si>
    <t xml:space="preserve">BUTTON BOX </t>
  </si>
  <si>
    <t>BUTTON BOX</t>
  </si>
  <si>
    <t xml:space="preserve">DELUXE SEWING KIT </t>
  </si>
  <si>
    <t>DELUXE SEWING KIT</t>
  </si>
  <si>
    <t>VINTAGE RED KITCHEN CABINET | damages/showroom etc</t>
  </si>
  <si>
    <t>VINTAGE BLUE KITCHEN CABINET</t>
  </si>
  <si>
    <t>LUNCH BOX I LOVE LONDON</t>
  </si>
  <si>
    <t>DOORMAT I LOVE LONDON</t>
  </si>
  <si>
    <t>CHARLOTTE BAG DOLLY GIRL DESIGN</t>
  </si>
  <si>
    <t>LUNCH BAG DOLLY GIRL DESIGN</t>
  </si>
  <si>
    <t>JUMBO BAG DOLLY GIRL DESIGN</t>
  </si>
  <si>
    <t>TOY TIDY DOLLY GIRL DESIGN</t>
  </si>
  <si>
    <t>RECIPE BOX BLUE SKETCHBOOK DESIGN</t>
  </si>
  <si>
    <t>RECIPE BOX PANTRY YELLOW DESIGN</t>
  </si>
  <si>
    <t>RECIPE BOX RETROSPOT  | damaged</t>
  </si>
  <si>
    <t>RECIPE BOX RETROSPOT | damaged</t>
  </si>
  <si>
    <t>PINK BABY BUNTING</t>
  </si>
  <si>
    <t xml:space="preserve">RED BABY BUNTING </t>
  </si>
  <si>
    <t>RED BABY BUNTING</t>
  </si>
  <si>
    <t>FRENCH WC SIGN BLUE METAL</t>
  </si>
  <si>
    <t>FRENCH LAUNDRY SIGN BLUE METAL</t>
  </si>
  <si>
    <t>FRENCH BATHROOM SIGN BLUE METAL</t>
  </si>
  <si>
    <t>FRENCH GARDEN SIGN BLUE METAL</t>
  </si>
  <si>
    <t>FRENCH TOILET SIGN BLUE METAL</t>
  </si>
  <si>
    <t>FRENCH KITCHEN SIGN BLUE METAL</t>
  </si>
  <si>
    <t>FRENCH BLUE METAL DOOR SIGN 1</t>
  </si>
  <si>
    <t>FRENCH BLUE METAL DOOR SIGN 2</t>
  </si>
  <si>
    <t>FRENCH BLUE METAL DOOR SIGN 3</t>
  </si>
  <si>
    <t>FRENCH BLUE METAL DOOR SIGN 4</t>
  </si>
  <si>
    <t>FRENCH BLUE METAL DOOR SIGN 5</t>
  </si>
  <si>
    <t>FRENCH BLUE METAL DOOR SIGN 6</t>
  </si>
  <si>
    <t>FRENCH BLUE METAL DOOR SIGN 7</t>
  </si>
  <si>
    <t>FRENCH BLUE METAL DOOR SIGN 8</t>
  </si>
  <si>
    <t>FRENCH BLUE METAL DOOR SIGN 9</t>
  </si>
  <si>
    <t>FRENCH BLUE METAL DOOR SIGN 0</t>
  </si>
  <si>
    <t>FRENCH BLUE METAL DOOR SIGN No</t>
  </si>
  <si>
    <t>DOORMAT CHRISTMAS VILLAGE | adjustment | had been put aside</t>
  </si>
  <si>
    <t>DOORMAT PEACE ON EARTH BLUE</t>
  </si>
  <si>
    <t>DOORMAT MERRY CHRISTMAS RED  | had been put aside</t>
  </si>
  <si>
    <t>DOORMAT MERRY CHRISTMAS RED | had been put aside</t>
  </si>
  <si>
    <t xml:space="preserve">DOORMAT HOME SWEET HOME BLUE </t>
  </si>
  <si>
    <t>DOORMAT HOME SWEET HOME BLUE</t>
  </si>
  <si>
    <t>DOORMAT WELCOME SUNRISE</t>
  </si>
  <si>
    <t>DOORMAT WELCOME TO OUR HOME</t>
  </si>
  <si>
    <t>GROW A FLYTRAP OR SUNFLOWER IN TIN</t>
  </si>
  <si>
    <t xml:space="preserve">WICKER STAR </t>
  </si>
  <si>
    <t>WICKER STAR</t>
  </si>
  <si>
    <t>WICKER WREATH SMALL</t>
  </si>
  <si>
    <t>WICKER WREATH LARGE</t>
  </si>
  <si>
    <t>GREEN REGENCY TEACUP AND SAUCER</t>
  </si>
  <si>
    <t>PINK REGENCY TEACUP AND SAUCER</t>
  </si>
  <si>
    <t xml:space="preserve">ROSES REGENCY TEACUP AND SAUCER </t>
  </si>
  <si>
    <t>ROSES REGENCY TEACUP AND SAUCER</t>
  </si>
  <si>
    <t>BLACK AND WHITE DOG BOWL | smashed</t>
  </si>
  <si>
    <t>PINK DOG BOWL</t>
  </si>
  <si>
    <t>BLACK AND WHITE CAT BOWL</t>
  </si>
  <si>
    <t>PINK CAT BOWL</t>
  </si>
  <si>
    <t xml:space="preserve">WRAP RED APPLES </t>
  </si>
  <si>
    <t>WRAP RED APPLES</t>
  </si>
  <si>
    <t xml:space="preserve">WRAP GREEN PEARS </t>
  </si>
  <si>
    <t>WRAP GREEN PEARS</t>
  </si>
  <si>
    <t xml:space="preserve">WRAP COWBOYS  </t>
  </si>
  <si>
    <t>WRAP COWBOYS</t>
  </si>
  <si>
    <t xml:space="preserve">WRAP MONSTER FUN </t>
  </si>
  <si>
    <t>WRAP MONSTER FUN</t>
  </si>
  <si>
    <t>WRAP DOLLY GIRL</t>
  </si>
  <si>
    <t>WRAP WEDDING DAY</t>
  </si>
  <si>
    <t xml:space="preserve">WRAP I LOVE LONDON </t>
  </si>
  <si>
    <t>WRAP I LOVE LONDON</t>
  </si>
  <si>
    <t>WRAP CIRCUS PARADE</t>
  </si>
  <si>
    <t xml:space="preserve">CARD DOLLY GIRL </t>
  </si>
  <si>
    <t>CARD DOLLY GIRL</t>
  </si>
  <si>
    <t xml:space="preserve">CARD I LOVE LONDON </t>
  </si>
  <si>
    <t>CARD I LOVE LONDON</t>
  </si>
  <si>
    <t>CARD BIRTHDAY COWBOY</t>
  </si>
  <si>
    <t>CARD WEDDING DAY</t>
  </si>
  <si>
    <t>CARD CIRCUS PARADE</t>
  </si>
  <si>
    <t xml:space="preserve">CARD DOG AND BALL </t>
  </si>
  <si>
    <t>CARD DOG AND BALL</t>
  </si>
  <si>
    <t xml:space="preserve">CARD CAT AND TREE </t>
  </si>
  <si>
    <t>CARD CAT AND TREE</t>
  </si>
  <si>
    <t>GUMBALL MONOCHROME COAT RACK | sold as 22467 | wrong barcode (22467) | wrong code</t>
  </si>
  <si>
    <t xml:space="preserve">SET OF 3 CAKE TINS PANTRY DESIGN </t>
  </si>
  <si>
    <t>SET OF 3 CAKE TINS PANTRY DESIGN</t>
  </si>
  <si>
    <t>SET OF 3 CAKE TINS SKETCHBOOK</t>
  </si>
  <si>
    <t>SET OF 6 SPICE TINS PANTRY DESIGN</t>
  </si>
  <si>
    <t>SET OF 6 HERB TINS SKETCHBOOK</t>
  </si>
  <si>
    <t>ALARM CLOCK BAKELIKE CHOCOLATE</t>
  </si>
  <si>
    <t>ALARM CLOCK BAKELIKE GREEN</t>
  </si>
  <si>
    <t xml:space="preserve">ALARM CLOCK BAKELIKE RED </t>
  </si>
  <si>
    <t>ALARM CLOCK BAKELIKE RED</t>
  </si>
  <si>
    <t>ALARM CLOCK BAKELIKE PINK</t>
  </si>
  <si>
    <t>ALARM CLOCK BAKELIKE ORANGE</t>
  </si>
  <si>
    <t>ALARM CLOCK BAKELIKE IVORY</t>
  </si>
  <si>
    <t xml:space="preserve">3D CHRISTMAS STAMPS STICKERS </t>
  </si>
  <si>
    <t>3D CHRISTMAS STAMPS STICKERS</t>
  </si>
  <si>
    <t xml:space="preserve">3D VINTAGE CHRISTMAS STICKERS </t>
  </si>
  <si>
    <t>3D VINTAGE CHRISTMAS STICKERS</t>
  </si>
  <si>
    <t>3D TRADITIONAL CHRISTMAS STICKERS</t>
  </si>
  <si>
    <t>FOUND | SET OF 6 RIBBONS VINTAGE CHRISTMAS | amazon | amazon sales</t>
  </si>
  <si>
    <t>RIBBON REEL SOCKS AND MITTENS</t>
  </si>
  <si>
    <t xml:space="preserve">RIBBON REEL MAKING SNOWMEN </t>
  </si>
  <si>
    <t>RIBBON REEL MAKING SNOWMEN</t>
  </si>
  <si>
    <t xml:space="preserve">RIBBON REEL CHRISTMAS PRESENT </t>
  </si>
  <si>
    <t>RIBBON REEL CHRISTMAS PRESENT</t>
  </si>
  <si>
    <t>RIBBON REEL SNOWY VILLAGE</t>
  </si>
  <si>
    <t>RIBBON REEL CHRISTMAS SOCK BAUBLE</t>
  </si>
  <si>
    <t>? | POLKADOT PEN | adjustment</t>
  </si>
  <si>
    <t>FUNKY DIVA PEN</t>
  </si>
  <si>
    <t>MAKE YOUR OWN PLAYTIME CARD KIT</t>
  </si>
  <si>
    <t>MAKE YOUR OWN FLOWERPOWER CARD KIT</t>
  </si>
  <si>
    <t>MAKE YOUR OWN MONSOON CARD KIT</t>
  </si>
  <si>
    <t xml:space="preserve">POPPY'S PLAYHOUSE LIVINGROOM </t>
  </si>
  <si>
    <t>POPPY'S PLAYHOUSE LIVINGROOM</t>
  </si>
  <si>
    <t>POPPY'S PLAYHOUSE BATHROOM</t>
  </si>
  <si>
    <t>POPPY'S PLAYHOUSE KITCHEN</t>
  </si>
  <si>
    <t>FELTCRAFT PRINCESS CHARLOTTE DOLL</t>
  </si>
  <si>
    <t>FELTCRAFT PRINCESS LOLA DOLL</t>
  </si>
  <si>
    <t>FELTCRAFT PRINCESS OLIVIA DOLL</t>
  </si>
  <si>
    <t>SET 7 BABUSHKA NESTING BOXES</t>
  </si>
  <si>
    <t xml:space="preserve">SMALL YELLOW BABUSHKA NOTEBOOK </t>
  </si>
  <si>
    <t>SMALL YELLOW BABUSHKA NOTEBOOK</t>
  </si>
  <si>
    <t xml:space="preserve">SMALL RED BABUSHKA NOTEBOOK </t>
  </si>
  <si>
    <t>SMALL RED BABUSHKA NOTEBOOK</t>
  </si>
  <si>
    <t xml:space="preserve">SMALL PURPLE BABUSHKA NOTEBOOK </t>
  </si>
  <si>
    <t>SMALL PURPLE BABUSHKA NOTEBOOK</t>
  </si>
  <si>
    <t xml:space="preserve">LARGE YELLOW BABUSHKA NOTEBOOK </t>
  </si>
  <si>
    <t>LARGE YELLOW BABUSHKA NOTEBOOK</t>
  </si>
  <si>
    <t xml:space="preserve">LARGE RED BABUSHKA NOTEBOOK </t>
  </si>
  <si>
    <t>LARGE RED BABUSHKA NOTEBOOK</t>
  </si>
  <si>
    <t xml:space="preserve">LARGE PURPLE BABUSHKA NOTEBOOK  </t>
  </si>
  <si>
    <t>LARGE PURPLE BABUSHKA NOTEBOOK</t>
  </si>
  <si>
    <t>SET OF 3 NOTEBOOKS IN PARCEL | check | found</t>
  </si>
  <si>
    <t>TRAY, BREAKFAST IN BED</t>
  </si>
  <si>
    <t>CHEST 7 DRAWER MA CAMPAGNE</t>
  </si>
  <si>
    <t>CUPBOARD 3 DRAWER MA CAMPAGNE</t>
  </si>
  <si>
    <t>KEY CABINET MA CAMPAGNE</t>
  </si>
  <si>
    <t>RUSTIC WOODEN CABINET, GLASS DOORS</t>
  </si>
  <si>
    <t>NEWSPAPER STAND</t>
  </si>
  <si>
    <t>PHOTO FRAME CORNICE</t>
  </si>
  <si>
    <t xml:space="preserve">TRIPLE PHOTO FRAME CORNICE </t>
  </si>
  <si>
    <t>TRIPLE PHOTO FRAME CORNICE</t>
  </si>
  <si>
    <t>FAMILY PHOTO FRAME CORNICE</t>
  </si>
  <si>
    <t>CHALKBOARD KITCHEN ORGANISER</t>
  </si>
  <si>
    <t>MIRROR CORNICE</t>
  </si>
  <si>
    <t>CLEAR DRAWER KNOB ACRYLIC EDWARDIAN</t>
  </si>
  <si>
    <t>PINK DRAWER KNOB ACRYLIC EDWARDIAN</t>
  </si>
  <si>
    <t>GREEN DRAWER KNOB ACRYLIC EDWARDIAN</t>
  </si>
  <si>
    <t>RED DRAWER KNOB ACRYLIC EDWARDIAN</t>
  </si>
  <si>
    <t>PURPLE DRAWERKNOB ACRYLIC EDWARDIAN</t>
  </si>
  <si>
    <t>CAKESTAND, 3 TIER, LOVEHEART | SWEETHEART 3 TIER CAKE STAND  | SWEETHEART CAKESTAND 3 TIER</t>
  </si>
  <si>
    <t>CAKESTAND, 3 TIER, LOVEHEART | SWEETHEART 3 TIER CAKE STAND | SWEETHEART CAKESTAND 3 TIER</t>
  </si>
  <si>
    <t>GLASS BELL JAR LARGE | GLASS CLOCHE LARGE</t>
  </si>
  <si>
    <t>GLASS BELL JAR SMALL | GLASS CLOCHE SMALL | check</t>
  </si>
  <si>
    <t xml:space="preserve">WOODEN OWLS LIGHT GARLAND </t>
  </si>
  <si>
    <t>WOODEN OWLS LIGHT GARLAND</t>
  </si>
  <si>
    <t>LIGHT GARLAND BUTTERFILES PINK</t>
  </si>
  <si>
    <t>GUMBALL MAGAZINE RACK</t>
  </si>
  <si>
    <t xml:space="preserve">SET 3 WICKER STORAGE BASKETS </t>
  </si>
  <si>
    <t>SET 3 WICKER STORAGE BASKETS</t>
  </si>
  <si>
    <t>SET 3 WICKER OVAL BASKETS W LIDS</t>
  </si>
  <si>
    <t>LANTERN CREAM GAZEBO  | damages</t>
  </si>
  <si>
    <t>LANTERN CREAM GAZEBO | damages</t>
  </si>
  <si>
    <t>SQUARECUSHION COVER PINK UNION FLAG | SQUARECUSHION COVER PINK UNION JACK</t>
  </si>
  <si>
    <t>CUSHION COVER PINK UNION JACK</t>
  </si>
  <si>
    <t>BROCANTE COAT RACK</t>
  </si>
  <si>
    <t>T-LIGHT HOLDER SWEETHEART HANGING</t>
  </si>
  <si>
    <t>T-LIGHT GLASS FLUTED ANTIQUE</t>
  </si>
  <si>
    <t>FLUTED ANTIQUE CANDLE HOLDER | damages</t>
  </si>
  <si>
    <t>SWEETHEART WIRE MAGAZINE RACK</t>
  </si>
  <si>
    <t>SWEETHEART RECIPE BOOK STAND</t>
  </si>
  <si>
    <t>Not rcvd in 10/11/2010 delivery | PHOTO FRAME 3 CLASSIC HANGING</t>
  </si>
  <si>
    <t>CHEST OF DRAWERS GINGHAM HEART  | damages</t>
  </si>
  <si>
    <t>CHEST OF DRAWERS GINGHAM HEART | damages</t>
  </si>
  <si>
    <t>ANTIQUE GLASS DRESSING TABLE POT</t>
  </si>
  <si>
    <t>SWEETHEART WIRE FRUIT BOWL</t>
  </si>
  <si>
    <t>ANTIQUE TALL SWIRLGLASS TRINKET POT</t>
  </si>
  <si>
    <t>ANTIQUE GLASS PEDESTAL BOWL</t>
  </si>
  <si>
    <t>FAUX FUR CHOCOLATE THROW</t>
  </si>
  <si>
    <t xml:space="preserve">IVORY EMBROIDERED QUILT </t>
  </si>
  <si>
    <t>IVORY EMBROIDERED QUILT</t>
  </si>
  <si>
    <t>CANDLEHOLDER PINK HANGING HEART | PINK HANGING HEART T-LIGHT HOLDER | Wrongly mrked had 85123a in box</t>
  </si>
  <si>
    <t>BLUE DRAWER KNOB ACRYLIC EDWARDIAN</t>
  </si>
  <si>
    <t xml:space="preserve">SET OF 6 T-LIGHTS WEDDING CAKE </t>
  </si>
  <si>
    <t>SET OF 6 T-LIGHTS WEDDING CAKE</t>
  </si>
  <si>
    <t>SET OF 6 T-LIGHTS TOADSTOOLS</t>
  </si>
  <si>
    <t>SET OF 6 T-LIGHTS EASTER CHICKS</t>
  </si>
  <si>
    <t>SET OF 6 T-LIGHTS SANTA</t>
  </si>
  <si>
    <t>SET OF 6 T-LIGHTS SNOWMEN | check</t>
  </si>
  <si>
    <t xml:space="preserve">SET OF 6 T-LIGHTS CACTI </t>
  </si>
  <si>
    <t>SET OF 6 T-LIGHTS CACTI</t>
  </si>
  <si>
    <t>? | PACK 3 BOXES CHRISTMAS PANETTONE | PACK 3 BOXES CHRISTMAS PANNETONE | check</t>
  </si>
  <si>
    <t xml:space="preserve">PACK 3 BOXES BIRD PANETTONE  | PACK 3 BOXES BIRD PANNETONE </t>
  </si>
  <si>
    <t>PACK 3 BOXES BIRD PANETTONE | PACK 3 BOXES BIRD PANNETONE</t>
  </si>
  <si>
    <t xml:space="preserve">CARD PARTY GAMES </t>
  </si>
  <si>
    <t>CARD PARTY GAMES</t>
  </si>
  <si>
    <t>CARD PSYCHEDELIC APPLES</t>
  </si>
  <si>
    <t>CARD MOTORBIKE SANTA</t>
  </si>
  <si>
    <t>CARD SUKI BIRTHDAY</t>
  </si>
  <si>
    <t>CARD CHRISTMAS VILLAGE</t>
  </si>
  <si>
    <t>BIRTHDAY CARD, RETRO SPOT</t>
  </si>
  <si>
    <t>GIFT BAG BIRTHDAY</t>
  </si>
  <si>
    <t>GIFT BAG PSYCHEDELIC APPLES</t>
  </si>
  <si>
    <t>CREAM WALL PLANTER HEART SHAPED</t>
  </si>
  <si>
    <t>CHEST NATURAL WOOD 20 DRAWERS | test</t>
  </si>
  <si>
    <t>3 TIER SWEETHEART GARDEN SHELF</t>
  </si>
  <si>
    <t>DECORATIVE PLANT POT WITH FRIEZE</t>
  </si>
  <si>
    <t>LOVE SEAT ANTIQUE WHITE METAL</t>
  </si>
  <si>
    <t>RUSTIC  SEVENTEEN DRAWER SIDEBOARD</t>
  </si>
  <si>
    <t>REGENCY MIRROR WITH SHUTTERS</t>
  </si>
  <si>
    <t>SWEETHEART WIRE WALL TIDY</t>
  </si>
  <si>
    <t>UTILTY CABINET WITH HOOKS</t>
  </si>
  <si>
    <t>WHITE BROCANTE SOAP DISH</t>
  </si>
  <si>
    <t>BROCANTE SHELF WITH HOOKS</t>
  </si>
  <si>
    <t>HALL CABINET WITH 3 DRAWERS</t>
  </si>
  <si>
    <t>HAND WARMER BABUSHKA DESIGN</t>
  </si>
  <si>
    <t>HOT WATER BOTTLE I AM SO POORLY</t>
  </si>
  <si>
    <t>? | Found | HOT WATER BOTTLE BABUSHKA  | HOT WATER BOTTLE BABUSHKA LARGE</t>
  </si>
  <si>
    <t>? | Found | HOT WATER BOTTLE BABUSHKA | HOT WATER BOTTLE BABUSHKA LARGE</t>
  </si>
  <si>
    <t>3 TIER CAKE TIN RED AND CREAM</t>
  </si>
  <si>
    <t>3 TIER CAKE TIN GREEN AND CREAM</t>
  </si>
  <si>
    <t>ROUND CAKE TIN VINTAGE RED</t>
  </si>
  <si>
    <t>BISCUIT TIN VINTAGE RED</t>
  </si>
  <si>
    <t>BISCUIT TIN VINTAGE GREEN</t>
  </si>
  <si>
    <t>VINTAGE CREAM DOG FOOD CONTAINER</t>
  </si>
  <si>
    <t>VINTAGE CREAM CAT FOOD CONTAINER</t>
  </si>
  <si>
    <t xml:space="preserve">BREAD BIN DINER STYLE RED </t>
  </si>
  <si>
    <t>BREAD BIN DINER STYLE RED</t>
  </si>
  <si>
    <t>BREAD BIN DINER STYLE IVORY | BREAD BIN, DINER STYLE, IVORY</t>
  </si>
  <si>
    <t>AMAZON | BREAD BIN DINER STYLE PINK | check</t>
  </si>
  <si>
    <t>BREAD BIN DINER STYLE MINT | BREAD BIN, DINER STYLE, MINT</t>
  </si>
  <si>
    <t xml:space="preserve">SET 20 NAPKINS FAIRY CAKES DESIGN </t>
  </si>
  <si>
    <t>SET 20 NAPKINS FAIRY CAKES DESIGN</t>
  </si>
  <si>
    <t>DOG BOWL VINTAGE CREAM</t>
  </si>
  <si>
    <t>CAT BOWL VINTAGE CREAM</t>
  </si>
  <si>
    <t>CREAM SWEETHEART EGG HOLDER</t>
  </si>
  <si>
    <t xml:space="preserve">FINE WICKER HEART </t>
  </si>
  <si>
    <t>FINE WICKER HEART</t>
  </si>
  <si>
    <t>ASSORTED EASTER DECORATIONS  BELLS | sold as set on dotcom</t>
  </si>
  <si>
    <t>ASSORTED EASTER GIFT TAGS | sold as set on dotcom</t>
  </si>
  <si>
    <t>EASTER TIN KEEPSAKE</t>
  </si>
  <si>
    <t>EASTER TIN BUNNY BOUQUET</t>
  </si>
  <si>
    <t>EASTER TIN CHICKS PINK DAISY</t>
  </si>
  <si>
    <t>EASTER TIN CHICKS IN GARDEN</t>
  </si>
  <si>
    <t xml:space="preserve">LOVE HEART NAPKIN BOX </t>
  </si>
  <si>
    <t>LOVE HEART NAPKIN BOX</t>
  </si>
  <si>
    <t>SOAP DISH BROCANTE</t>
  </si>
  <si>
    <t>HAND WARMER OWL DESIGN</t>
  </si>
  <si>
    <t>HAND WARMER SCOTTY DOG DESIGN</t>
  </si>
  <si>
    <t>HAND WARMER BIRD DESIGN</t>
  </si>
  <si>
    <t xml:space="preserve">NUMBER TILE COTTAGE GARDEN 0 </t>
  </si>
  <si>
    <t>NUMBER TILE COTTAGE GARDEN 0</t>
  </si>
  <si>
    <t>NUMBER TILE COTTAGE GARDEN 1</t>
  </si>
  <si>
    <t>NUMBER TILE COTTAGE GARDEN 2</t>
  </si>
  <si>
    <t xml:space="preserve">NUMBER TILE COTTAGE GARDEN 3 </t>
  </si>
  <si>
    <t>NUMBER TILE COTTAGE GARDEN 3</t>
  </si>
  <si>
    <t>NUMBER TILE COTTAGE GARDEN 4</t>
  </si>
  <si>
    <t>NUMBER TILE COTTAGE GARDEN 5</t>
  </si>
  <si>
    <t>NUMBER TILE COTTAGE GARDEN 6</t>
  </si>
  <si>
    <t>NUMBER TILE COTTAGE GARDEN 7</t>
  </si>
  <si>
    <t>NUMBER TILE COTTAGE GARDEN 8</t>
  </si>
  <si>
    <t>NUMBER TILE COTTAGE GARDEN 9</t>
  </si>
  <si>
    <t>NUMBER TILE COTTAGE GARDEN No</t>
  </si>
  <si>
    <t>NUMBER TILE VINTAGE FONT 0</t>
  </si>
  <si>
    <t>NUMBER TILE VINTAGE FONT 1</t>
  </si>
  <si>
    <t>NUMBER TILE VINTAGE FONT 2</t>
  </si>
  <si>
    <t>NUMBER TILE VINTAGE FONT 3</t>
  </si>
  <si>
    <t>NUMBER TILE VINTAGE FONT 4</t>
  </si>
  <si>
    <t>NUMBER TILE VINTAGE FONT 5</t>
  </si>
  <si>
    <t xml:space="preserve">NUMBER TILE VINTAGE FONT 6 </t>
  </si>
  <si>
    <t>NUMBER TILE VINTAGE FONT 6</t>
  </si>
  <si>
    <t>NUMBER TILE VINTAGE FONT 7</t>
  </si>
  <si>
    <t>NUMBER TILE VINTAGE FONT 8</t>
  </si>
  <si>
    <t xml:space="preserve">NUMBER TILE VINTAGE FONT 9 </t>
  </si>
  <si>
    <t>NUMBER TILE VINTAGE FONT 9</t>
  </si>
  <si>
    <t xml:space="preserve">NUMBER TILE VINTAGE FONT No </t>
  </si>
  <si>
    <t>NUMBER TILE VINTAGE FONT No</t>
  </si>
  <si>
    <t>NOVELTY BISCUITS CAKE STAND 3 TIER</t>
  </si>
  <si>
    <t>TEA FOR ONE POLKADOT</t>
  </si>
  <si>
    <t>SET OF SALT AND PEPPER TOADSTOOLS | check</t>
  </si>
  <si>
    <t>MINI CAKE STAND T-LIGHT HOLDER</t>
  </si>
  <si>
    <t xml:space="preserve">TABLECLOTH RED APPLES DESIGN </t>
  </si>
  <si>
    <t>TABLECLOTH RED APPLES DESIGN</t>
  </si>
  <si>
    <t>SET OF 2 TEA TOWELS APPLE AND PEARS</t>
  </si>
  <si>
    <t>PEG BAG APPLE DESIGN | PEG BAG APPLES DESIGN</t>
  </si>
  <si>
    <t>OVEN MITT APPLES DESIGN</t>
  </si>
  <si>
    <t>CHILDRENS APRON APPLES DESIGN</t>
  </si>
  <si>
    <t xml:space="preserve">CHILDREN'S APRON DOLLY GIRL </t>
  </si>
  <si>
    <t>CHILDREN'S APRON DOLLY GIRL</t>
  </si>
  <si>
    <t xml:space="preserve"> SET 2 TEA TOWELS I LOVE LONDON  | SET 2 TEA TOWELS I LOVE LONDON </t>
  </si>
  <si>
    <t>SET 2 TEA TOWELS I LOVE LONDON</t>
  </si>
  <si>
    <t>TOTE BAG I LOVE LONDON</t>
  </si>
  <si>
    <t>CALENDAR FAMILY FAVOURITES</t>
  </si>
  <si>
    <t>CALENDAR PAPER CUT DESIGN</t>
  </si>
  <si>
    <t>CALENDAR IN SEASON DESIGN</t>
  </si>
  <si>
    <t>12 MESSAGE CARDS WITH ENVELOPES</t>
  </si>
  <si>
    <t>PACK OF 20 NAPKINS PANTRY DESIGN</t>
  </si>
  <si>
    <t>PACK OF 20 NAPKINS RED APPLES</t>
  </si>
  <si>
    <t>SET OF 20 VINTAGE CHRISTMAS NAPKINS</t>
  </si>
  <si>
    <t>PAPER CHAIN KIT VINTAGE CHRISTMAS</t>
  </si>
  <si>
    <t>PAPER CHAIN KIT LONDON</t>
  </si>
  <si>
    <t>YELLOW COAT RACK PARIS FASHION</t>
  </si>
  <si>
    <t>RED COAT RACK PARIS FASHION</t>
  </si>
  <si>
    <t>BLUE COAT RACK PARIS FASHION</t>
  </si>
  <si>
    <t>ASSORTED BOTTLE TOP  MAGNETS  | sold as set on dotcom</t>
  </si>
  <si>
    <t>ASSORTED BOTTLE TOP  MAGNETS | sold as set on dotcom</t>
  </si>
  <si>
    <t>HERB MARKER THYME</t>
  </si>
  <si>
    <t>HERB MARKER ROSEMARY</t>
  </si>
  <si>
    <t>HERB MARKER PARSLEY</t>
  </si>
  <si>
    <t>HERB MARKER MINT</t>
  </si>
  <si>
    <t>HERB MARKER BASIL</t>
  </si>
  <si>
    <t xml:space="preserve">HERB MARKER CHIVES </t>
  </si>
  <si>
    <t>HERB MARKER CHIVES</t>
  </si>
  <si>
    <t>FRIDGE MAGNETS US DINER ASSORTED | sold as set on dotcom</t>
  </si>
  <si>
    <t>FRIDGE MAGNETS LES ENFANTS ASSORTED | sold as set on dotcom</t>
  </si>
  <si>
    <t>FRIDGE MAGNETS LA VIE EN ROSE | sold as set on dotcom</t>
  </si>
  <si>
    <t>AMAZON | BLUE GIANT GARDEN THERMOMETER | check</t>
  </si>
  <si>
    <t>IVORY GIANT GARDEN THERMOMETER</t>
  </si>
  <si>
    <t>? | Amazon | GREEN GIANT GARDEN THERMOMETER | damaged</t>
  </si>
  <si>
    <t>YELLOW GIANT GARDEN THERMOMETER</t>
  </si>
  <si>
    <t xml:space="preserve">SCHOOL DESK AND CHAIR </t>
  </si>
  <si>
    <t>SCHOOL DESK AND CHAIR</t>
  </si>
  <si>
    <t>BAKING MOULD HEART MILK CHOCOLATE</t>
  </si>
  <si>
    <t>BAKING MOULD HEART WHITE CHOCOLATE</t>
  </si>
  <si>
    <t>BAKING MOULD TOFFEE CUP  CHOCOLATE | BAKING MOULD TOFFEE CUP CHOCOLATE</t>
  </si>
  <si>
    <t>BAKING MOULD EASTER EGG MILK CHOC</t>
  </si>
  <si>
    <t>BAKING MOULD EASTER EGG WHITE CHOC</t>
  </si>
  <si>
    <t>BAKING MOULD ROSE MILK CHOCOLATE</t>
  </si>
  <si>
    <t>BAKING MOULD ROSE WHITE CHOCOLATE</t>
  </si>
  <si>
    <t>BAKING MOULD CHOCOLATE CUP CAKES | BAKING MOULD CHOCOLATE CUPCAKES | BAKING MOULD CUPCAKE CHOCOLATE</t>
  </si>
  <si>
    <t>CUPCAKE LACE PAPER SET 6</t>
  </si>
  <si>
    <t>ADULT APRON APPLE DELIGHT | APRON APPLE DELIGHT</t>
  </si>
  <si>
    <t>FELTCRAFT CHRISTMAS FAIRY</t>
  </si>
  <si>
    <t>CHRISTMAS LIGHTS 10 REINDEER</t>
  </si>
  <si>
    <t xml:space="preserve">CHRISTMAS LIGHTS 10 SANTAS </t>
  </si>
  <si>
    <t>CHRISTMAS LIGHTS 10 SANTAS</t>
  </si>
  <si>
    <t>CHRISTMAS LIGHTS 10 VINTAGE BAUBLES | check</t>
  </si>
  <si>
    <t>CHRISTMAS METAL POSTCARD WITH BELLS | sold as set on dotcom</t>
  </si>
  <si>
    <t>CHRISTMAS METAL TAGS ASSORTED  | sold as set on dotcom</t>
  </si>
  <si>
    <t>CHRISTMAS METAL TAGS ASSORTED | sold as set on dotcom</t>
  </si>
  <si>
    <t>WOODEN ADVENT CALENDAR CREAM | check</t>
  </si>
  <si>
    <t>WOODEN ADVENT CALENDAR RED</t>
  </si>
  <si>
    <t>METAL DECORATION NAUGHTY CHILDREN  | sold as set on dotcom</t>
  </si>
  <si>
    <t>METAL DECORATION NAUGHTY CHILDREN | sold as set on dotcom</t>
  </si>
  <si>
    <t>36 DOILIES DOLLY GIRL | SET OF 36 DOLLY GIRL PAPER DOILIES</t>
  </si>
  <si>
    <t>36 DOILIES VINTAGE CHRISTMAS | SET OF 36 VINTAGE CHRISTMAS DOILIES</t>
  </si>
  <si>
    <t>60 CAKE CASES DOLLY GIRL DESIGN</t>
  </si>
  <si>
    <t>60 CAKE CASES VINTAGE CHRISTMAS | 72 CAKE CASES VINTAGE CHRISTMAS</t>
  </si>
  <si>
    <t>BIRTHDAY BANNER TAPE | BIRTHDAY PARTY CORDON BARRIER TAPE</t>
  </si>
  <si>
    <t>HEN PARTY CORDON BARRIER TAPE</t>
  </si>
  <si>
    <t xml:space="preserve">36 FOIL STAR CAKE CASES </t>
  </si>
  <si>
    <t>36 FOIL STAR CAKE CASES</t>
  </si>
  <si>
    <t>36 FOIL HEART CAKE CASES</t>
  </si>
  <si>
    <t>SET 3 PAPER VINTAGE CHICK PAPER EGG</t>
  </si>
  <si>
    <t>WRAP CHRISTMAS VILLAGE | check</t>
  </si>
  <si>
    <t>JAM MAKING SET WITH JARS</t>
  </si>
  <si>
    <t>JAM MAKING SET PRINTED</t>
  </si>
  <si>
    <t>JAM JAR WITH PINK LID</t>
  </si>
  <si>
    <t>JAM JAR WITH BLUE LID | JAM JAR WITH GREEN LID</t>
  </si>
  <si>
    <t>3 PIECE SPACEBOY COOKIE CUTTER SET</t>
  </si>
  <si>
    <t>3 TRADITIONAL COOKIE CUTTERS  SET | 3 TRADITIONAl BISCUIT CUTTERS  SET</t>
  </si>
  <si>
    <t>GINGERBREAD MAN COOKIE CUTTER</t>
  </si>
  <si>
    <t>SET 3 SONG BIRD PAPER EGGS ASSORTED</t>
  </si>
  <si>
    <t>ROSE COTTAGE KEEPSAKE BOX  | water damage</t>
  </si>
  <si>
    <t>ROSE COTTAGE KEEPSAKE BOX | water damage</t>
  </si>
  <si>
    <t>HOMEMADE JAM SCENTED CANDLES</t>
  </si>
  <si>
    <t>LONDON BUS COFFEE MUG</t>
  </si>
  <si>
    <t>QUEENS GUARD COFFEE MUG</t>
  </si>
  <si>
    <t>CHILDREN'S SPACEBOY MUG | CHILDRENS SPACEBOY MUG</t>
  </si>
  <si>
    <t>CHILDREN'S CIRCUS PARADE MUG</t>
  </si>
  <si>
    <t>CHILDRENS DOLLY GIRL MUG</t>
  </si>
  <si>
    <t>SPACEBOY CHILDRENS EGG CUP</t>
  </si>
  <si>
    <t xml:space="preserve">CIRCUS PARADE CHILDRENS EGG CUP </t>
  </si>
  <si>
    <t>CIRCUS PARADE CHILDRENS EGG CUP</t>
  </si>
  <si>
    <t>DOLLY GIRL CHILDRENS EGG CUP</t>
  </si>
  <si>
    <t>PANTRY ROLLING PIN</t>
  </si>
  <si>
    <t>PANTRY WASHING UP BRUSH</t>
  </si>
  <si>
    <t>PANTRY SCRUBBING BRUSH</t>
  </si>
  <si>
    <t>PANTRY APPLE CORER</t>
  </si>
  <si>
    <t>PANTRY PASTRY BRUSH</t>
  </si>
  <si>
    <t>CARD BILLBOARD FONT</t>
  </si>
  <si>
    <t xml:space="preserve">CARD GINGHAM ROSE </t>
  </si>
  <si>
    <t>CARD GINGHAM ROSE</t>
  </si>
  <si>
    <t>WRAP BILLBOARD FONTS DESIGN | WRAP, BILLBOARD FONTS DESIGN</t>
  </si>
  <si>
    <t xml:space="preserve">GINGHAM ROSE WRAP | WRAP GINGHAM ROSE </t>
  </si>
  <si>
    <t>GINGHAM ROSE WRAP | WRAP GINGHAM ROSE</t>
  </si>
  <si>
    <t>WRAP SUMMER ROSE DESIGN</t>
  </si>
  <si>
    <t xml:space="preserve">SOLDIERS EGG CUP </t>
  </si>
  <si>
    <t>SOLDIERS EGG CUP</t>
  </si>
  <si>
    <t>SET 2 PANTRY DESIGN TEA TOWELS</t>
  </si>
  <si>
    <t>COTTON APRON PANTRY DESIGN</t>
  </si>
  <si>
    <t>GIRAFFE WOODEN RULER</t>
  </si>
  <si>
    <t xml:space="preserve">REVOLVER WOODEN RULER </t>
  </si>
  <si>
    <t>REVOLVER WOODEN RULER</t>
  </si>
  <si>
    <t>SET OF 4 PANTRY JELLY MOULDS</t>
  </si>
  <si>
    <t>TRAVEL CARD WALLET RETROSPOT</t>
  </si>
  <si>
    <t>TRAVEL CARD WALLET SUKI</t>
  </si>
  <si>
    <t>TRAVEL CARD WALLET VINTAGE TICKET</t>
  </si>
  <si>
    <t>TRAVEL CARD WALLET UNION JACK</t>
  </si>
  <si>
    <t>TRAVEL CARD WALLET KEEP CALM</t>
  </si>
  <si>
    <t>TRAVEL CARD WALLET RETRO PETALS | TRAVEL CARD WALLET VINTAGE LEAF</t>
  </si>
  <si>
    <t>TRAVEL CARD WALLET TRANSPORT</t>
  </si>
  <si>
    <t>23001</t>
  </si>
  <si>
    <t>TRAVEL CARD WALLET DOTCOMGIFTSHOP</t>
  </si>
  <si>
    <t>TRAVEL CARD WALLET SKULLS</t>
  </si>
  <si>
    <t xml:space="preserve">Printing smudges/thrown away | TRAVEL CARD WALLET VINTAGE ROSE </t>
  </si>
  <si>
    <t>Printing smudges/thrown away | TRAVEL CARD WALLET VINTAGE ROSE</t>
  </si>
  <si>
    <t>TRAVEL CARD WALLET PANTRY</t>
  </si>
  <si>
    <t>TRAVEL CARD WALLET I LOVE LONDON | printing smudges/thrown away</t>
  </si>
  <si>
    <t>TRAVEL CARD WALLET FLOWER MEADOW</t>
  </si>
  <si>
    <t xml:space="preserve"> SPACEBOY BABY GIFT SET</t>
  </si>
  <si>
    <t>SPACEBOY BABY GIFT SET</t>
  </si>
  <si>
    <t>DOLLY GIRL BABY GIFT SET</t>
  </si>
  <si>
    <t>I LOVE LONDON BABY GIFT SET</t>
  </si>
  <si>
    <t>CIRCUS PARADE BABY GIFT SET</t>
  </si>
  <si>
    <t>GLASS APOTHECARY BOTTLE PERFUME</t>
  </si>
  <si>
    <t>GLASS APOTHECARY BOTTLE TONIC</t>
  </si>
  <si>
    <t>GLASS APOTHECARY BOTTLE ELIXIR</t>
  </si>
  <si>
    <t>CORDIAL GLASS JUG | CORDIAL JUG</t>
  </si>
  <si>
    <t>GLASS TWIST BON BON JAR</t>
  </si>
  <si>
    <t>APOTHECARY MEASURING JAR</t>
  </si>
  <si>
    <t xml:space="preserve">LARGE APOTHECARY MEASURING JAR </t>
  </si>
  <si>
    <t>LARGE APOTHECARY MEASURING JAR</t>
  </si>
  <si>
    <t xml:space="preserve">SMALL APOTHECARY MEASURING JAR </t>
  </si>
  <si>
    <t>SMALL APOTHECARY MEASURING JAR</t>
  </si>
  <si>
    <t>GLASS  SONGBIRD STORAGE JAR | GLASS SONGBIRD STORAGE JAR | smashed</t>
  </si>
  <si>
    <t>GLASS BONNE JAM JAR</t>
  </si>
  <si>
    <t>SMALL BONNE JAM JAR  T-LIGHT HOLDER</t>
  </si>
  <si>
    <t>RIDGED BONNE JAM JAR T-LIGHT HOLDER</t>
  </si>
  <si>
    <t>LARGE BONNE JAM JAR  T-LIGHT HOLDER</t>
  </si>
  <si>
    <t>DRAWER KNOB VINTAGE GLASS BALL</t>
  </si>
  <si>
    <t>DRAWER KNOB VINTAGE GLASS STAR</t>
  </si>
  <si>
    <t>DRAWER KNOB VINTAGE GLASS HEXAGON</t>
  </si>
  <si>
    <t>DOORKNOB CRACKED GLAZE BLUE | DRAWER KNOB CRACKLE GLAZE BLUE</t>
  </si>
  <si>
    <t>DOORKNOB CRACKED GLAZE GREEN | DRAWER KNOB CRACKLE GLAZE GREEN | damages</t>
  </si>
  <si>
    <t>DOORKNOB CRACKED GLAZE PINK | DRAWER KNOB CRACKLE GLAZE PINK</t>
  </si>
  <si>
    <t>DOORKNOB CRACKED GLAZE IVORY | DRAWER KNOB CRACKLE GLAZE IVORY | damages</t>
  </si>
  <si>
    <t>DRAWER KNOB CERAMIC RED</t>
  </si>
  <si>
    <t>DRAWER KNOB CERAMIC BLACK</t>
  </si>
  <si>
    <t>DOORKNOB CERAMIC IVORY | DRAWER KNOB CERAMIC IVORY | check</t>
  </si>
  <si>
    <t xml:space="preserve">T-LIGHT HOLDER SILVER PETIT FOUR </t>
  </si>
  <si>
    <t>T-LIGHT HOLDER SILVER PETIT FOUR</t>
  </si>
  <si>
    <t>CANDLE HOLDER SILVER MADELINE</t>
  </si>
  <si>
    <t>T-LIGHT HOLDER SILVER SAUCER</t>
  </si>
  <si>
    <t>T-LIGHT HOLDER SILVER HEART HANDLE</t>
  </si>
  <si>
    <t xml:space="preserve">PAPER LANTERN 9 POINT SNOW STAR | PAPER LANTERN 9 POINT SNOW STAR </t>
  </si>
  <si>
    <t>PAPER LANTERN 9 POINT SNOW STAR</t>
  </si>
  <si>
    <t>PAPER LANTERN 6 POINT SNOW STAR | PAPER LANTERN 9 POINT SNOW STAR</t>
  </si>
  <si>
    <t>PAPER LANTERN 7 POINT SNOW STAR</t>
  </si>
  <si>
    <t>PAPER LANTERN 9 POINT HOLLY STAR 40 | PAPER LANTERN 9 POINT HOLLY STAR L</t>
  </si>
  <si>
    <t>PAPER LANTERN 9 POINT HOLLY STAR 23 | PAPER LANTERN 9 POINT HOLLY STAR S</t>
  </si>
  <si>
    <t>PAPER LANTERN 5 POINT STAR MOON  | PAPER LANTERN 5 POINT STAR MOON 30</t>
  </si>
  <si>
    <t>PAPER LANTERN 5 POINT STAR MOON | PAPER LANTERN 5 POINT STAR MOON 30</t>
  </si>
  <si>
    <t>PAPER LANTERN 9 POINT DELUXE STAR</t>
  </si>
  <si>
    <t>PAPER LANTERN 5 POINT SEQUIN STAR | PAPER LANTERN 5 POINT STUDDED STAR</t>
  </si>
  <si>
    <t>SET OF 10 LANTERNS FAIRY LIGHT STAR</t>
  </si>
  <si>
    <t>RECYCLED ACAPULCO MAT RED</t>
  </si>
  <si>
    <t>RECYCLED ACAPULCO MAT GREEN</t>
  </si>
  <si>
    <t>RECYCLED ACAPULCO MAT BLUE</t>
  </si>
  <si>
    <t>RECYCLED ACAPULCO MAT TURQUOISE</t>
  </si>
  <si>
    <t>RECYCLED ACAPULCO MAT PINK</t>
  </si>
  <si>
    <t>RECYCLED ACAPULCO MAT LAVENDER</t>
  </si>
  <si>
    <t>IVORY CHANDELIER T-LIGHT HOLDER | rusty thrown away</t>
  </si>
  <si>
    <t>CRYSTAL CHANDELIER T-LIGHT HOLDER | FLOWERS CHANDELIER T-LIGHT HOLDER | rusty throw away</t>
  </si>
  <si>
    <t>BEADED CHANDELIER T-LIGHT HOLDER | GEMSTONE CHANDELIER T-LIGHT HOLDER | rusty throw away</t>
  </si>
  <si>
    <t>CHRISTMAS HANGING SNOWFLAKE</t>
  </si>
  <si>
    <t>23059</t>
  </si>
  <si>
    <t>Thrown away-rusty</t>
  </si>
  <si>
    <t>HEART BEADED TRELLIS DECORATION</t>
  </si>
  <si>
    <t>VINTAGE EMBOSSED HEART | VINTAGE ENGRAVED HEART</t>
  </si>
  <si>
    <t>CINDERELLA CHANDELIER  | Crushed</t>
  </si>
  <si>
    <t>CINDERELLA CHANDELIER | Crushed</t>
  </si>
  <si>
    <t>LARGE DECO JEWELLERY STAND | LARGE JEWELLERY STAND</t>
  </si>
  <si>
    <t>SMALL DECO JEWELLERY STAND | SMALL JEWELLERY STAND</t>
  </si>
  <si>
    <t>HANGING ENGRAVED METAL HEART</t>
  </si>
  <si>
    <t>ALUMINIUM HEART | ALUMINIUM STAMPED HEART</t>
  </si>
  <si>
    <t>EDWARDIAN PHOTO FRAME</t>
  </si>
  <si>
    <t>EDWARDIAN HEART PHOTO FRAME</t>
  </si>
  <si>
    <t>MARIE ANTOIENETT TRINKET BOX GOLD | MARIE ANTOINETTE TRINKET BOX GOLD | damages</t>
  </si>
  <si>
    <t>MARIE ANTOINETTE TRINKET BOX SILVER | damages</t>
  </si>
  <si>
    <t>GEORGIAN TRINKET BOX</t>
  </si>
  <si>
    <t>EMBOSSED HEART TRINKET BOX</t>
  </si>
  <si>
    <t>DOUBLE CERAMIC PARLOUR HOOK | PARLOUR CERAMIC WALL HOOK</t>
  </si>
  <si>
    <t>ICE CREAM SUNDAE LIP GLOSS</t>
  </si>
  <si>
    <t xml:space="preserve">DOUGHNUT LIP GLOSS </t>
  </si>
  <si>
    <t>DOUGHNUT LIP GLOSS</t>
  </si>
  <si>
    <t xml:space="preserve">ICE CREAM PEN LIP GLOSS </t>
  </si>
  <si>
    <t>ICE CREAM PEN LIP GLOSS</t>
  </si>
  <si>
    <t xml:space="preserve"> TOADSTOOL BEDSIDE LIGHT  | TOADSTOOL BEDSIDE LIGHT </t>
  </si>
  <si>
    <t>TOADSTOOL BEDSIDE LIGHT</t>
  </si>
  <si>
    <t>RED METAL BOX TOP SECRET</t>
  </si>
  <si>
    <t>GREEN METAL BOX ARMY SUPPLIES | GREEN METAL BOX TOP SECRET</t>
  </si>
  <si>
    <t xml:space="preserve">SET 6 PAPER TABLE LANTERN HEARTS </t>
  </si>
  <si>
    <t>SET 6 PAPER TABLE LANTERN HEARTS</t>
  </si>
  <si>
    <t xml:space="preserve">SET 6 PAPER TABLE LANTERN STARS </t>
  </si>
  <si>
    <t>SET 6 PAPER TABLE LANTERN STARS</t>
  </si>
  <si>
    <t>Amazon | RABBIT NIGHT LIGHT | add stock to allocate online orders | allocate stock for dotcom orders ta | for online retail orders | temp adjustment | website fixed</t>
  </si>
  <si>
    <t xml:space="preserve">ANTIQUE SILVER BAUBLE LAMP  </t>
  </si>
  <si>
    <t>ANTIQUE SILVER BAUBLE LAMP</t>
  </si>
  <si>
    <t xml:space="preserve">ZINC  STAR T-LIGHT HOLDER  | ZINC STAR T-LIGHT HOLDER </t>
  </si>
  <si>
    <t>ZINC  STAR T-LIGHT HOLDER | ZINC STAR T-LIGHT HOLDER</t>
  </si>
  <si>
    <t>ZINC  HEART T-LIGHT HOLDER</t>
  </si>
  <si>
    <t>ZINC HEART FLOWER T-LIGHT HOLDER</t>
  </si>
  <si>
    <t>GLASS BON BON JAR</t>
  </si>
  <si>
    <t>VINTAGE GLASS T-LIGHT HOLDER | missing</t>
  </si>
  <si>
    <t>METAL HERB GERDEN CONTAINER | ZINC HERB GARDEN CONTAINER | check</t>
  </si>
  <si>
    <t>LARGE ANTIQUE WHITE PHOTO FRAME</t>
  </si>
  <si>
    <t xml:space="preserve">SMALL PARISIENNE HEART PHOTO FRAME </t>
  </si>
  <si>
    <t>SMALL PARISIENNE HEART PHOTO FRAME</t>
  </si>
  <si>
    <t>LE GRAND TRAY CHIC SET</t>
  </si>
  <si>
    <t>PETIT TRAY CHIC</t>
  </si>
  <si>
    <t>FRENCH CARRIAGE LANTERN</t>
  </si>
  <si>
    <t>SILVER BELLS TABLE DECORATION</t>
  </si>
  <si>
    <t>SILVER STARS TABLE DECORATION</t>
  </si>
  <si>
    <t>SILVER HEARTS TABLE DECORATION</t>
  </si>
  <si>
    <t>BELL HEART DECORATION | JINGLE BELL HEART DECORATION</t>
  </si>
  <si>
    <t xml:space="preserve">IVORY CAFE HANGING LAMP  | IVORY PANTRY HANGING LAMP </t>
  </si>
  <si>
    <t>IVORY CAFE HANGING LAMP | IVORY PANTRY HANGING LAMP</t>
  </si>
  <si>
    <t>ZINC HEARTS PLANT POT HOLDER | ZINC PLANT POT HOLDER</t>
  </si>
  <si>
    <t>WHITE HEARTS WIRE PLANT POT HOLDER | WHITE WIRE PLANT POT HOLDER</t>
  </si>
  <si>
    <t>SET OF 10 LED DOLLY LIGHTS</t>
  </si>
  <si>
    <t>LED TEA LIGHTS | PACK OF SIX LED TEA LIGHTS</t>
  </si>
  <si>
    <t xml:space="preserve">PARISIENNE KEY CABINET </t>
  </si>
  <si>
    <t>PARISIENNE KEY CABINET</t>
  </si>
  <si>
    <t>PARISIENNE SEWING BOX</t>
  </si>
  <si>
    <t>PARISIENNE CURIO CABINET</t>
  </si>
  <si>
    <t>Damaged | PANTRY CHOPPING BOARD</t>
  </si>
  <si>
    <t xml:space="preserve">Damaged | VINTAGE LEAF CHOPPING BOARD  </t>
  </si>
  <si>
    <t>Damaged | VINTAGE LEAF CHOPPING BOARD</t>
  </si>
  <si>
    <t xml:space="preserve">Damaged | RED APPLES CHOPPING BOARD   </t>
  </si>
  <si>
    <t>Damaged | RED APPLES CHOPPING BOARD</t>
  </si>
  <si>
    <t>Damaged | VEGETABLE GARDEN CHOPPING BOARD</t>
  </si>
  <si>
    <t>Damaged | POPPY FIELDS CHOPPING BOARD</t>
  </si>
  <si>
    <t>Breakages | PARISIENNE JEWELLERY DRAWER  | check | dotcom adjust</t>
  </si>
  <si>
    <t>Breakages | PARISIENNE JEWELLERY DRAWER | check | dotcom adjust</t>
  </si>
  <si>
    <t xml:space="preserve">PACK OF 6 LARGE FRUIT STRAWS </t>
  </si>
  <si>
    <t>PACK OF 6 LARGE FRUIT STRAWS</t>
  </si>
  <si>
    <t>PACK OF 6 SMALL FRUIT STRAWS</t>
  </si>
  <si>
    <t>PACK OF 6 COCKTAIL PARASOL STRAWS</t>
  </si>
  <si>
    <t>PARTY CHARMS 50 PIECES</t>
  </si>
  <si>
    <t>COCKTAIL SWORDS 50 PIECES</t>
  </si>
  <si>
    <t>18PC WOODEN CUTLERY SET DISPOSABLE</t>
  </si>
  <si>
    <t>6PC WOOD PLATE SET DISPOSABLE</t>
  </si>
  <si>
    <t>DOLLCRAFT GIRL AMELIE | DOLLCRAFT GIRL AMELIE KIT | FELTCRAFT GIRL AMELIE KIT</t>
  </si>
  <si>
    <t>DOLLCRAFT GIRL NICOLE | FELTCRAFT GIRL NICOLE KIT</t>
  </si>
  <si>
    <t>DOLLCRAFT BOY JEAN-PAUL  | FELTCRAFT BOY JEAN-PAUL KIT</t>
  </si>
  <si>
    <t>DOLLCRAFT BOY JEAN-PAUL | FELTCRAFT BOY JEAN-PAUL KIT</t>
  </si>
  <si>
    <t>HEART SHAPED HOLLY WREATH</t>
  </si>
  <si>
    <t>MISELTOE HEART WREATH  | MISTLETOE HEART WREATH GREEN</t>
  </si>
  <si>
    <t>MISELTOE HEART WREATH | MISTLETOE HEART WREATH GREEN</t>
  </si>
  <si>
    <t>? | MISELTOE HEART WREATH CREAM | MISELTOE HEART WREATH WHITE | MISTLETOE HEART WREATH CREAM | had been put aside</t>
  </si>
  <si>
    <t>SMALL IVORY HEART WALL ORGANISER</t>
  </si>
  <si>
    <t>LARGE IVORY HEART WALL ORGANISER</t>
  </si>
  <si>
    <t>LARGE ZINC HEART WALL ORGANISER</t>
  </si>
  <si>
    <t>? | SMALL ZINC HEART WALL ORGANISER</t>
  </si>
  <si>
    <t>IVORY WIRE SWEETHEART LETTER TRAY</t>
  </si>
  <si>
    <t>ZINC WIRE SWEETHEART LETTER TRAY</t>
  </si>
  <si>
    <t>SINGLE WIRE HOOK IVORY HEART</t>
  </si>
  <si>
    <t>SINGLE WIRE HOOK PINK HEART</t>
  </si>
  <si>
    <t>TRIPLE WIRE HOOK IVORY HEART</t>
  </si>
  <si>
    <t>TRIPLE WIRE HOOK PINK HEART</t>
  </si>
  <si>
    <t>IVORY WIRE KITCHEN ORGANISER</t>
  </si>
  <si>
    <t>ZINC WIRE KITCHEN ORGANISER</t>
  </si>
  <si>
    <t>ZINC T-LIGHT HOLDER STARS SMALL</t>
  </si>
  <si>
    <t>ZINC T-LIGHT HOLDER STAR LARGE | ZINC T-LIGHT HOLDER STARS LARGE</t>
  </si>
  <si>
    <t>TRIPLE HOOK ANTIQUE IVORY ROSE</t>
  </si>
  <si>
    <t>SINGLE ANTIQUE ROSE HOOK IVORY</t>
  </si>
  <si>
    <t>MINIATURE ANTIQUE ROSE HOOK IVORY | MINITURE ANTIQUE ROSE HOOK IVORY</t>
  </si>
  <si>
    <t>ANTIQUE IVORY WIRE BOWL SMALL</t>
  </si>
  <si>
    <t>IVORY SWEETHEART SOAP DISH</t>
  </si>
  <si>
    <t>ZINC SWEETHEART SOAP DISH</t>
  </si>
  <si>
    <t xml:space="preserve">IVORY SWEETHEART WIRE LETTER RACK </t>
  </si>
  <si>
    <t>IVORY SWEETHEART WIRE LETTER RACK</t>
  </si>
  <si>
    <t>ZINC SWEETHEART WIRE LETTER RACK</t>
  </si>
  <si>
    <t>SET OF 4 JAM JAR MAGNETS</t>
  </si>
  <si>
    <t>KNICKERBOCKERGLORY MAGNET ASSORTED  | sold as set on dotcom</t>
  </si>
  <si>
    <t>KNICKERBOCKERGLORY MAGNET ASSORTED | sold as set on dotcom</t>
  </si>
  <si>
    <t>SET OF 5 MINI GROCERY MAGNETS</t>
  </si>
  <si>
    <t>SET OF 6 NATIVITY MAGNETS  | check</t>
  </si>
  <si>
    <t>SET OF 6 NATIVITY MAGNETS | check</t>
  </si>
  <si>
    <t xml:space="preserve">SET OF 5 LUCKY CAT MAGNETS </t>
  </si>
  <si>
    <t>SET OF 5 LUCKY CAT MAGNETS</t>
  </si>
  <si>
    <t>SET OF 5 PANCAKE DAY MAGNETS</t>
  </si>
  <si>
    <t>REGENCY TEA SPOON</t>
  </si>
  <si>
    <t>REGENCY CAKE FORK</t>
  </si>
  <si>
    <t>REGENCY TEA STRAINER</t>
  </si>
  <si>
    <t>REGENCY SUGAR TONGS</t>
  </si>
  <si>
    <t>REGENCY CAKE SLICE</t>
  </si>
  <si>
    <t>LARGE CERAMIC TOP STORAGE JAR</t>
  </si>
  <si>
    <t>MEDIUM CERAMIC TOP STORAGE JAR</t>
  </si>
  <si>
    <t xml:space="preserve">SMALL CERAMIC TOP STORAGE JAR </t>
  </si>
  <si>
    <t>SMALL CERAMIC TOP STORAGE JAR</t>
  </si>
  <si>
    <t>CLASSIC CAFE SUGAR DISPENSER | CLASSIC SUGAR DISPENSER</t>
  </si>
  <si>
    <t>CLASSIC GLASS COOKIE JAR | CLASSIC GLASS SWEET JAR | smashed</t>
  </si>
  <si>
    <t xml:space="preserve">REGENCY TEA PLATE ROSES </t>
  </si>
  <si>
    <t>REGENCY TEA PLATE ROSES</t>
  </si>
  <si>
    <t xml:space="preserve">REGENCY TEA PLATE GREEN </t>
  </si>
  <si>
    <t>REGENCY TEA PLATE GREEN</t>
  </si>
  <si>
    <t>REGENCY TEA PLATE PINK</t>
  </si>
  <si>
    <t xml:space="preserve">REGENCY TEAPOT ROSES </t>
  </si>
  <si>
    <t>REGENCY TEAPOT ROSES</t>
  </si>
  <si>
    <t>REGENCY SUGAR BOWL GREEN</t>
  </si>
  <si>
    <t xml:space="preserve">REGENCY MILK JUG PINK </t>
  </si>
  <si>
    <t>REGENCY MILK JUG PINK</t>
  </si>
  <si>
    <t xml:space="preserve">ABC TREASURE BOOK BOX </t>
  </si>
  <si>
    <t>ABC TREASURE BOOK BOX</t>
  </si>
  <si>
    <t>TREASURE ISLAND BOOK BOX</t>
  </si>
  <si>
    <t>JAM CLOCK MAGNET</t>
  </si>
  <si>
    <t>CLOCK MAGNET MUM'S KITCHEN</t>
  </si>
  <si>
    <t>MUM'S KITCHEN CLOCK</t>
  </si>
  <si>
    <t>BULL DOG BOTTLE TOP WALL CLOCK</t>
  </si>
  <si>
    <t>TOILET SIGN OCCUPIED OR VACANT</t>
  </si>
  <si>
    <t xml:space="preserve">MOTHER'S KITCHEN SPOON REST </t>
  </si>
  <si>
    <t>MOTHER'S KITCHEN SPOON REST</t>
  </si>
  <si>
    <t>BULL DOG BOTTLE OPENER</t>
  </si>
  <si>
    <t>FRENCH STYLE STORAGE JAR JAM</t>
  </si>
  <si>
    <t xml:space="preserve">FRENCH STYLE STORAGE JAR CAFE </t>
  </si>
  <si>
    <t>FRENCH STYLE STORAGE JAR CAFE</t>
  </si>
  <si>
    <t>FRENCH STYLE STORAGE JAR BONBONS | check</t>
  </si>
  <si>
    <t>VINTAGE  2 METER FOLDING RULER | VINTAGE  2 METRE FOLDING RULER</t>
  </si>
  <si>
    <t>SET OF 12 FORK CANDLES</t>
  </si>
  <si>
    <t xml:space="preserve">BUNDLE OF 3 SCHOOL EXERCISE BOOKS  </t>
  </si>
  <si>
    <t>BUNDLE OF 3 SCHOOL EXERCISE BOOKS</t>
  </si>
  <si>
    <t>BUNDLE OF 3 RETRO EXERCISE BOOKS | BUNDLE OF 3 RETRO NOTE BOOKS</t>
  </si>
  <si>
    <t>BUNDLE OF 3 ALPHABET EXERCISE BOOKS</t>
  </si>
  <si>
    <t>BUFFALO BILL TREASURE BOOK BOX</t>
  </si>
  <si>
    <t>GYMKHANA TREASURE BOOK BOX | GYMKHANNA TREASURE BOOK BOX</t>
  </si>
  <si>
    <t>LEAVES MAGNETIC  SHOPPING LIST | RETO LEAVES MAGNETIC SHOPPING LIST | RETRO LEAVES MAGNETIC NOTEPAD | VINTAGE LEAF MAGNETIC NOTEPAD</t>
  </si>
  <si>
    <t>SKETCHBOOK MAGNETIC SHOPPING LIST | VEGETABLE MAGNETIC  SHOPPING LIST</t>
  </si>
  <si>
    <t>PANTRY MAGNETIC  SHOPPING LIST</t>
  </si>
  <si>
    <t>JUMBO BAG APPLES</t>
  </si>
  <si>
    <t xml:space="preserve">JUMBO BAG PEARS | mailout </t>
  </si>
  <si>
    <t>JUMBO BAG PEARS | mailout</t>
  </si>
  <si>
    <t>JUMBO BAG ALPHABET</t>
  </si>
  <si>
    <t>JUMBO BAG VINTAGE LEAF | mailout</t>
  </si>
  <si>
    <t>JUMBO BAG DOILEY PATTERNS | JUMBO BAG VINTAGE DOILEY  | JUMBO BAG VINTAGE DOILY  | mailout</t>
  </si>
  <si>
    <t>JUMBO BAG DOILEY PATTERNS | JUMBO BAG VINTAGE DOILEY | JUMBO BAG VINTAGE DOILY | mailout</t>
  </si>
  <si>
    <t>CHARLOTTE BAG APPLES DESIGN</t>
  </si>
  <si>
    <t xml:space="preserve">CHARLOTTE BAG ALPHABET  DESIGN | CHARLOTTE BAG VINTAGE ALPHABET </t>
  </si>
  <si>
    <t>CHARLOTTE BAG ALPHABET  DESIGN | CHARLOTTE BAG VINTAGE ALPHABET</t>
  </si>
  <si>
    <t>LUNCH BAG APPLE DESIGN</t>
  </si>
  <si>
    <t>LUNCH BAG ALPHABET DESIGN</t>
  </si>
  <si>
    <t>LUNCH BAG VINTAGE LEAF DESIGN</t>
  </si>
  <si>
    <t>LUNCH BAG DOILEY PATTERN  | LUNCH BAG VINTAGE DOILEY  | LUNCH BAG VINTAGE DOILY  | mailout</t>
  </si>
  <si>
    <t>LUNCH BAG DOILEY PATTERN | LUNCH BAG VINTAGE DOILEY | LUNCH BAG VINTAGE DOILY | mailout</t>
  </si>
  <si>
    <t>WHITE ROCKING HORSE HAND PAINTED</t>
  </si>
  <si>
    <t>RED ROCKING HORSE HAND PAINTED</t>
  </si>
  <si>
    <t>HEART WREATH DECORATION WITH BELL | PAINTED HEART WREATH WITH BELL</t>
  </si>
  <si>
    <t>STAR WREATH DECORATION WITH BELL</t>
  </si>
  <si>
    <t>BELL HEART ANTIQUE GOLD | JINGLE BELL HEART ANTIQUE GOLD</t>
  </si>
  <si>
    <t>JINGLE BELL HEART ANTIQUE SILVER</t>
  </si>
  <si>
    <t>LAUREL HEART ANTIQUE GOLD</t>
  </si>
  <si>
    <t>LAUREL HEART ANTIQUE SILVER</t>
  </si>
  <si>
    <t>LAUREL STAR ANTIQUE GOLD</t>
  </si>
  <si>
    <t xml:space="preserve">LAUREL STAR ANTIQUE SILVER </t>
  </si>
  <si>
    <t>LAUREL STAR ANTIQUE SILVER</t>
  </si>
  <si>
    <t>REINDEER HEART DECORATION GOLD</t>
  </si>
  <si>
    <t>REINDEER HEART DECORATION SILVER</t>
  </si>
  <si>
    <t>CHRISTMAS TREE HANGING GOLD</t>
  </si>
  <si>
    <t xml:space="preserve">CHRISTMAS TREE HANGING SILVER </t>
  </si>
  <si>
    <t>CHRISTMAS TREE HANGING SILVER</t>
  </si>
  <si>
    <t>CHERUB HEART DECORATION GOLD</t>
  </si>
  <si>
    <t xml:space="preserve">CHERUB HEART DECORATION SILVER </t>
  </si>
  <si>
    <t>CHERUB HEART DECORATION SILVER</t>
  </si>
  <si>
    <t>FILIGREE HEART DAISY WHITE</t>
  </si>
  <si>
    <t xml:space="preserve">FILIGREE HEART BUTTERFLY WHITE </t>
  </si>
  <si>
    <t>FILIGREE HEART BUTTERFLY WHITE</t>
  </si>
  <si>
    <t xml:space="preserve">FILIGREE HEART BIRD WHITE </t>
  </si>
  <si>
    <t>FILIGREE HEART BIRD WHITE</t>
  </si>
  <si>
    <t xml:space="preserve">DONKEY TAIL GAME  | VINTAGE DONKEY TAIL GAME </t>
  </si>
  <si>
    <t>DONKEY TAIL GAME | VINTAGE DONKEY TAIL GAME</t>
  </si>
  <si>
    <t>WRAP ALPHABET DESIGN</t>
  </si>
  <si>
    <t>WRAP  VINTAGE DOILEY  | WRAP  VINTAGE DOILY  | WRAP DOILEY DESIGN</t>
  </si>
  <si>
    <t>WRAP  VINTAGE DOILEY | WRAP  VINTAGE DOILY | WRAP DOILEY DESIGN</t>
  </si>
  <si>
    <t>WRAP VINTAGE LEAF DESIGN | WRAP VINTAGE PETALS  DESIGN</t>
  </si>
  <si>
    <t>WRAP POPPIES  DESIGN</t>
  </si>
  <si>
    <t>BISCUIT TIN VINTAGE CHRISTMAS</t>
  </si>
  <si>
    <t>BISCUIT TIN VINTAGE LEAF | STORAGE TIN VINTAGE LEAF</t>
  </si>
  <si>
    <t xml:space="preserve">DOILEY BISCUIT TIN | DOILEY STORAGE TIN | STORAGE TIN VINTAGE DOILEY  | STORAGE TIN VINTAGE DOILY </t>
  </si>
  <si>
    <t>DOILEY BISCUIT TIN | DOILEY STORAGE TIN | STORAGE TIN VINTAGE DOILEY | STORAGE TIN VINTAGE DOILY</t>
  </si>
  <si>
    <t xml:space="preserve">SET OF 4 KNICK KNACK TINS LEAF | SET OF 4 KNICK KNACK TINS LEAVES </t>
  </si>
  <si>
    <t>SET OF 4 KNICK KNACK TINS LEAF | SET OF 4 KNICK KNACK TINS LEAVES</t>
  </si>
  <si>
    <t xml:space="preserve">SET OF 4 KNICK KNACK TINS LONDON </t>
  </si>
  <si>
    <t>SET OF 4 KNICK KNACK TINS LONDON</t>
  </si>
  <si>
    <t>SET OF 4 KNICK KNACK TINS POPPIES</t>
  </si>
  <si>
    <t xml:space="preserve">SET OF 4 KNICK KNACK TINS  DOILEY  | SET OF 4 KNICK KNACK TINS DOILEY  | SET OF 4 KNICK KNACK TINS DOILY </t>
  </si>
  <si>
    <t>SET OF 4 KNICK KNACK TINS  DOILEY | SET OF 4 KNICK KNACK TINS DOILEY | SET OF 4 KNICK KNACK TINS DOILY</t>
  </si>
  <si>
    <t>TREASURE TIN GYMKHANA DESIGN</t>
  </si>
  <si>
    <t xml:space="preserve">TREASURE TIN BUFFALO BILL </t>
  </si>
  <si>
    <t>TREASURE TIN BUFFALO BILL</t>
  </si>
  <si>
    <t>SET OF TEA COFFEE SUGAR TINS PANTRY</t>
  </si>
  <si>
    <t>CANNISTER VINTAGE LEAF DESIGN | ROUND STORAGE TIN VINTAGE LEAF | STORAGE TIN VINTAGE LEAF</t>
  </si>
  <si>
    <t>SET OF 3 REGENCY CAKE TINS</t>
  </si>
  <si>
    <t>BISCUIT TIN 50'S CHRISTMAS</t>
  </si>
  <si>
    <t>ENAMEL DINNER PLATE PANTRY | VINTAGE RED ENAMEL TRIM PLATE</t>
  </si>
  <si>
    <t xml:space="preserve">ENAMEL BOWL PANTRY | VINTAGE RED TRIM ENAMEL BOWL </t>
  </si>
  <si>
    <t>ENAMEL BOWL PANTRY | VINTAGE RED TRIM ENAMEL BOWL</t>
  </si>
  <si>
    <t xml:space="preserve">ENAMEL MUG PANTRY | VINTAGE RED ENAMEL TRIM MUG </t>
  </si>
  <si>
    <t>ENAMEL MUG PANTRY | VINTAGE RED ENAMEL TRIM MUG</t>
  </si>
  <si>
    <t xml:space="preserve">ENAMEL JUG PANTRY | VINTAGE RED ENAMEL TRIM JUG </t>
  </si>
  <si>
    <t>ENAMEL JUG PANTRY | VINTAGE RED ENAMEL TRIM JUG</t>
  </si>
  <si>
    <t>16 PC CUTLERY SET PANTRY DESIGN | 16 PIECE CUTLERY SET PANTRY DESIGN</t>
  </si>
  <si>
    <t xml:space="preserve">CHILDRENS CUTLERY DOLLY GIRL  | KIDS CUTLERY DOLLY GIRL </t>
  </si>
  <si>
    <t>CHILDRENS CUTLERY DOLLY GIRL | KIDS CUTLERY DOLLY GIRL</t>
  </si>
  <si>
    <t>CHILDRENS CUTLERY CIRCUS PARADE</t>
  </si>
  <si>
    <t xml:space="preserve">CHILDRENS CUTLERY SPACEBOY  | KIDS CUTLERY SPACEBOY </t>
  </si>
  <si>
    <t>CHILDRENS CUTLERY SPACEBOY | KIDS CUTLERY SPACEBOY</t>
  </si>
  <si>
    <t>SET OF 3 WOODEN HEART DECORATIONS</t>
  </si>
  <si>
    <t>SET OF 3 WOODEN SLEIGH DECORATIONS</t>
  </si>
  <si>
    <t>SET OF 3 WOODEN TREE DECORATIONS</t>
  </si>
  <si>
    <t>SET OF 3 WOODEN STOCKING DECORATION</t>
  </si>
  <si>
    <t>SET OF 4 SANTA PLACE SETTINGS</t>
  </si>
  <si>
    <t>Incorrect stock entry. | Lighthouse Trading zero invc incorr | SET OF 2 CERAMIC CHRISTMAS REINDEER</t>
  </si>
  <si>
    <t>SET OF 2 CERAMIC CHRISTMAS TREES | incorrect stock entry.</t>
  </si>
  <si>
    <t>SET OF 2 CERAMIC PAINTED HEARTS  | incorrect stock entry.</t>
  </si>
  <si>
    <t>SET OF 2 CERAMIC PAINTED HEARTS | incorrect stock entry.</t>
  </si>
  <si>
    <t>CHRISTMAS TABLE CANDLE SILVER SPIKE | CHRISTMAS TABLE SILVER CANDLE SPIKE</t>
  </si>
  <si>
    <t>TREE T-LIGHT HOLDER WILLIE WINKIE</t>
  </si>
  <si>
    <t>HEART T-LIGHT HOLDER WILLIE WINKIE</t>
  </si>
  <si>
    <t>STAR T-LIGHT HOLDER WILLIE WINKIE</t>
  </si>
  <si>
    <t>SET OF 3 HANGING OWLS OLLIE BEAK</t>
  </si>
  <si>
    <t xml:space="preserve">FOLDING BUTTERFLY MIRROR HOT PINK  | FOLDING MIRROR HOT PINK </t>
  </si>
  <si>
    <t>FOLDING BUTTERFLY MIRROR HOT PINK | FOLDING MIRROR HOT PINK</t>
  </si>
  <si>
    <t xml:space="preserve">FOLDING BUTTERFLY MIRROR RED   | FOLDING MIRROR RED  </t>
  </si>
  <si>
    <t>FOLDING BUTTERFLY MIRROR RED | FOLDING MIRROR RED</t>
  </si>
  <si>
    <t xml:space="preserve">FOLDING BUTTERFLY MIRROR IVORY  | FOLDING MIRROR IVORY </t>
  </si>
  <si>
    <t>FOLDING BUTTERFLY MIRROR IVORY | FOLDING MIRROR IVORY</t>
  </si>
  <si>
    <t xml:space="preserve">DOORMAT VINTAGE LEAF | DOORMAT VINTAGE LEAVES DESIGN </t>
  </si>
  <si>
    <t>DOORMAT VINTAGE LEAF | DOORMAT VINTAGE LEAVES DESIGN</t>
  </si>
  <si>
    <t>DOORMAT KEEP CALM AND COME IN</t>
  </si>
  <si>
    <t>PINK VINTAGE SPOT BEAKER</t>
  </si>
  <si>
    <t>BLUE VINTAGE SPOT BEAKER</t>
  </si>
  <si>
    <t>RED VINTAGE SPOT BEAKER</t>
  </si>
  <si>
    <t>GREEN VINTAGE SPOT BEAKER | check</t>
  </si>
  <si>
    <t>DOLLY GIRL CHILDRENS BOWL</t>
  </si>
  <si>
    <t>SPACEBOY CHILDRENS BOWL</t>
  </si>
  <si>
    <t>DOLLY GIRL CHILDRENS CUP</t>
  </si>
  <si>
    <t>SPACE BOY CHILDRENS CUP | SPACEBOY CHILDRENS CUP</t>
  </si>
  <si>
    <t>SET OF 12 FAIRY CAKE BAKING CASES</t>
  </si>
  <si>
    <t>SET OF 6 SNACK LOAF BAKING CASES</t>
  </si>
  <si>
    <t>SET OF 12 MINI LOAF BAKING CASES</t>
  </si>
  <si>
    <t>SET OF 6 TEA TIME BAKING CASES</t>
  </si>
  <si>
    <t>SET 40 HEART SHAPE PETIT FOUR CASES</t>
  </si>
  <si>
    <t>BUNTING , SPOTTY  | SPOTTY BUNTING</t>
  </si>
  <si>
    <t>BUNTING , SPOTTY | SPOTTY BUNTING</t>
  </si>
  <si>
    <t xml:space="preserve">FOOD COVER WITH BEADS , SET 2 SIZES | FOOD COVER WITH BEADS SET 2 </t>
  </si>
  <si>
    <t>FOOD COVER WITH BEADS , SET 2 SIZES | FOOD COVER WITH BEADS SET 2</t>
  </si>
  <si>
    <t xml:space="preserve">GARDENERS KNEELING PAD CUP OF TEA </t>
  </si>
  <si>
    <t>GARDENERS KNEELING PAD CUP OF TEA</t>
  </si>
  <si>
    <t xml:space="preserve">GARDENERS KNEELING PAD KEEP CALM </t>
  </si>
  <si>
    <t>GARDENERS KNEELING PAD KEEP CALM</t>
  </si>
  <si>
    <t>KNEELING MAT HOUSEWORK  DESIGN</t>
  </si>
  <si>
    <t>SET 4 PICNIC CUTLERY FONDANT</t>
  </si>
  <si>
    <t xml:space="preserve">SET 4 PICNIC CUTLERY CHERRY </t>
  </si>
  <si>
    <t>SET 4 PICNIC CUTLERY CHERRY</t>
  </si>
  <si>
    <t>SET 4 PICNIC CUTLERY BLUEBERRY</t>
  </si>
  <si>
    <t>SET OF 36 DOILIES PANTRY DESIGN | SET OF 36 PANTRY PAPER DOILIES</t>
  </si>
  <si>
    <t xml:space="preserve">SET OF 60 PANTRY DESIGN CAKE CASES </t>
  </si>
  <si>
    <t>SET OF 60 PANTRY DESIGN CAKE CASES</t>
  </si>
  <si>
    <t xml:space="preserve">SET OF 60 VINTAGE LEAF CAKE CASES </t>
  </si>
  <si>
    <t>SET OF 60 VINTAGE LEAF CAKE CASES</t>
  </si>
  <si>
    <t xml:space="preserve">SET OF 60 I LOVE LONDON CAKE CASES </t>
  </si>
  <si>
    <t>SET OF 60 I LOVE LONDON CAKE CASES</t>
  </si>
  <si>
    <t>BUBBLEGUM RING ASSORTED</t>
  </si>
  <si>
    <t xml:space="preserve">VINTAGE CHRISTMAS STOCKING </t>
  </si>
  <si>
    <t>VINTAGE CHRISTMAS STOCKING</t>
  </si>
  <si>
    <t>VINTAGE CHRISTMAS GIFT SACK</t>
  </si>
  <si>
    <t>VINTAGE CHRISTMAS BUNTING</t>
  </si>
  <si>
    <t>VINTAGE CHRISTMAS TABLECLOTH</t>
  </si>
  <si>
    <t>IVORY REFECTORY CLOCK</t>
  </si>
  <si>
    <t xml:space="preserve">RED REFECTORY CLOCK </t>
  </si>
  <si>
    <t>RED REFECTORY CLOCK</t>
  </si>
  <si>
    <t xml:space="preserve">BLUE REFECTORY CLOCK </t>
  </si>
  <si>
    <t>BLUE REFECTORY CLOCK</t>
  </si>
  <si>
    <t>BOX OF 6 MINI VINTAGE CRACKERS</t>
  </si>
  <si>
    <t>BOX OF 6 MINI 50'S CRACKERS</t>
  </si>
  <si>
    <t>GIANT 50'S CHRISTMAS CRACKER</t>
  </si>
  <si>
    <t>SMALL WHITE HEART OF WICKER</t>
  </si>
  <si>
    <t>LARGE WHITE HEART OF WICKER | mouldy</t>
  </si>
  <si>
    <t xml:space="preserve">WHITE WICKER STAR </t>
  </si>
  <si>
    <t>WHITE WICKER STAR</t>
  </si>
  <si>
    <t xml:space="preserve">RUSTIC STRAWBERRY JAM POT LARGE  | RUSTIC STRAWBERRY JAMPOT LARGE </t>
  </si>
  <si>
    <t>RUSTIC STRAWBERRY JAM POT LARGE | RUSTIC STRAWBERRY JAMPOT LARGE</t>
  </si>
  <si>
    <t>RUSTIC STRAWBERRY JAM POT SMALL | RUSTIC STRAWBERRY JAMPOT SMALL</t>
  </si>
  <si>
    <t>HANGING MINI COLOURED BOTTLES</t>
  </si>
  <si>
    <t>HANGING CLEAR MINI BOTTLE</t>
  </si>
  <si>
    <t>SET 6 SCHOOL MILK BOTTLES IN CRATE</t>
  </si>
  <si>
    <t>DECORATIVE WICKER HEART LARGE</t>
  </si>
  <si>
    <t>DECORATIVE WICKER HEART MEDIUM</t>
  </si>
  <si>
    <t>DECORATIVE WICKER HEART SMALL</t>
  </si>
  <si>
    <t>IVORY WICKER HEART LARGE</t>
  </si>
  <si>
    <t>IVORY WICKER HEART MEDIUM</t>
  </si>
  <si>
    <t>IVORY WICKER HEART SMALL</t>
  </si>
  <si>
    <t xml:space="preserve">EGG FRYING PAN IVORY </t>
  </si>
  <si>
    <t>EGG FRYING PAN IVORY</t>
  </si>
  <si>
    <t xml:space="preserve">EGG FRYING PAN PINK </t>
  </si>
  <si>
    <t>EGG FRYING PAN PINK</t>
  </si>
  <si>
    <t xml:space="preserve">EGG FRYING PAN MINT </t>
  </si>
  <si>
    <t>EGG FRYING PAN MINT</t>
  </si>
  <si>
    <t xml:space="preserve">EGG FRYING PAN RED </t>
  </si>
  <si>
    <t>EGG FRYING PAN RED</t>
  </si>
  <si>
    <t xml:space="preserve">EGG FRYING PAN BLUE </t>
  </si>
  <si>
    <t>EGG FRYING PAN BLUE</t>
  </si>
  <si>
    <t>VINTAGE CHRISTMAS CAKE FRILL</t>
  </si>
  <si>
    <t>PINK DINER WALL CLOCK</t>
  </si>
  <si>
    <t>MINT DINER CLOCK | MINT DINER WALL CLOCK</t>
  </si>
  <si>
    <t>20713 wrongly marked | JUMBO BAG VINTAGE CHRISTMAS  | came coded as 20713 | wrongly coded 20713</t>
  </si>
  <si>
    <t>20713 wrongly marked | JUMBO BAG VINTAGE CHRISTMAS | came coded as 20713 | wrongly coded 20713</t>
  </si>
  <si>
    <t xml:space="preserve">JUMBO BAG 50'S CHRISTMAS </t>
  </si>
  <si>
    <t>JUMBO BAG 50'S CHRISTMAS</t>
  </si>
  <si>
    <t xml:space="preserve"> DOLLY GIRL BEAKER</t>
  </si>
  <si>
    <t>DOLLY GIRL BEAKER</t>
  </si>
  <si>
    <t>SPACEBOY BEAKER</t>
  </si>
  <si>
    <t>I LOVE LONDON BEAKER</t>
  </si>
  <si>
    <t>CHILDRENS TOY COOKING UTENSIL SET | check | sold with wrong barcode</t>
  </si>
  <si>
    <t>ROLL WRAP VINTAGE CHRISTMAS</t>
  </si>
  <si>
    <t xml:space="preserve">ROLL WRAP VINTAGE SPOT </t>
  </si>
  <si>
    <t>ROLL WRAP VINTAGE SPOT</t>
  </si>
  <si>
    <t>ROLL WRAP 50'S CHRISTMAS</t>
  </si>
  <si>
    <t xml:space="preserve">ROLL WRAP 50'S RED CHRISTMAS </t>
  </si>
  <si>
    <t>ROLL WRAP 50'S RED CHRISTMAS</t>
  </si>
  <si>
    <t xml:space="preserve">6 GIFT TAGS VINTAGE CHRISTMAS </t>
  </si>
  <si>
    <t>6 GIFT TAGS VINTAGE CHRISTMAS</t>
  </si>
  <si>
    <t xml:space="preserve">6 GIFT TAGS 50'S CHRISTMAS </t>
  </si>
  <si>
    <t>6 GIFT TAGS 50'S CHRISTMAS</t>
  </si>
  <si>
    <t>HOT WATER BOTTLE KEEP CALM</t>
  </si>
  <si>
    <t>LOVE HOT WATER BOTTLE</t>
  </si>
  <si>
    <t>HOT WATER BOTTLE SEX BOMB</t>
  </si>
  <si>
    <t>HOT STUFF HOT WATER BOTTLE</t>
  </si>
  <si>
    <t>SET OF 12 T-LIGHTS VINTAGE DOILEY | SET OF 12 T-LIGHTS VINTAGE DOILY</t>
  </si>
  <si>
    <t>SET 8 CANDLES VINTAGE DOILEY | SET 8 CANDLES VINTAGE DOILY</t>
  </si>
  <si>
    <t>SET 12 COLOUR PENCILS LOVE LONDON</t>
  </si>
  <si>
    <t>SET 12 COLOUR PENCILS DOILEY | SET 12 COLOURING PENCILS DOILEY | SET 12 COLOURING PENCILS DOILY</t>
  </si>
  <si>
    <t xml:space="preserve">SET 12 COLOUR PENCILS SPACEBOY </t>
  </si>
  <si>
    <t>SET 12 COLOUR PENCILS SPACEBOY</t>
  </si>
  <si>
    <t xml:space="preserve">SET 12 COLOUR PENCILS DOLLY GIRL </t>
  </si>
  <si>
    <t>SET 12 COLOUR PENCILS DOLLY GIRL</t>
  </si>
  <si>
    <t>SET 36 COLOUR PENCILS LOVE LONDON</t>
  </si>
  <si>
    <t>SET 36 COLOUR PENCILS DOILEY | SET 36 COLOURING PENCILS DOILEY | SET 36 COLOURING PENCILS DOILY</t>
  </si>
  <si>
    <t xml:space="preserve">SET 36 COLOUR PENCILS SPACEBOY </t>
  </si>
  <si>
    <t>SET 36 COLOUR PENCILS SPACEBOY</t>
  </si>
  <si>
    <t>SET 36 COLOUR PENCILS DOLLY GIRL</t>
  </si>
  <si>
    <t>VINTAGE CHRISTMAS PAPER GIFT BAG</t>
  </si>
  <si>
    <t>RED SPOT PAPER GIFT BAG</t>
  </si>
  <si>
    <t>50'S CHRISTMAS PAPER GIFT BAG</t>
  </si>
  <si>
    <t>PACK OF 12 VINTAGE CHRISTMAS TISSUE</t>
  </si>
  <si>
    <t>PACK OF 12 DOLLY GIRL TISSUES</t>
  </si>
  <si>
    <t>PACK OF 12 50'S CHRISTMAS TISSUES</t>
  </si>
  <si>
    <t>PACK OF 12 RED APPLE TISSUES</t>
  </si>
  <si>
    <t>PACK OF 12 DOILEY TISSUES | PACK OF 12 VINTAGE DOILY TISSUES</t>
  </si>
  <si>
    <t xml:space="preserve">PACK OF 12 VINTAGE LEAF TISSUES </t>
  </si>
  <si>
    <t>PACK OF 12 VINTAGE LEAF TISSUES</t>
  </si>
  <si>
    <t>BOX OF 6 CHRISTMAS CAKE DECORATIONS</t>
  </si>
  <si>
    <t xml:space="preserve">WOODLAND MINI BACKPACK | WOODLAND MINI RUCKSACK </t>
  </si>
  <si>
    <t>WOODLAND MINI BACKPACK | WOODLAND MINI RUCKSACK</t>
  </si>
  <si>
    <t>SPACEBOY MINI BACKPACK | SPACEBOY MINI RUCKSACK</t>
  </si>
  <si>
    <t>DOLLY GIRL MINI BACKPACK | DOLLY GIRL MINI RUCKSACK</t>
  </si>
  <si>
    <t xml:space="preserve"> I LOVE LONDON MINI BACKPACK |  I LOVE LONDON MINI RUCKSACK</t>
  </si>
  <si>
    <t>I LOVE LONDON MINI BACKPACK | I LOVE LONDON MINI RUCKSACK</t>
  </si>
  <si>
    <t>SPACEBOY ROCKET LOLLY MAKERS</t>
  </si>
  <si>
    <t xml:space="preserve">HOME SWEET HOME CUSHION COVER </t>
  </si>
  <si>
    <t>HOME SWEET HOME CUSHION COVER</t>
  </si>
  <si>
    <t>POSTE FRANCE CUSHION COVER</t>
  </si>
  <si>
    <t>BELLE JARDINIERE CUSHION COVER | check</t>
  </si>
  <si>
    <t>BUTTERFLY CUSHION COVER | LA JARDIN BOTANIQUE CUSHION COVER | LE JARDIN BOTANIQUE CUSHION COVER</t>
  </si>
  <si>
    <t>FOOT STOOL HOME SWEET HOME  | damaged</t>
  </si>
  <si>
    <t>FOOT STOOL HOME SWEET HOME | damaged</t>
  </si>
  <si>
    <t>HANGING HEART BONHEUR</t>
  </si>
  <si>
    <t>HOME SWEET HOME HANGING HEART</t>
  </si>
  <si>
    <t>SHELF WITH 4 HOOKS HOME SWEET HOME | check</t>
  </si>
  <si>
    <t>RUSTIC MIRROR WITH LACE HEART</t>
  </si>
  <si>
    <t xml:space="preserve">HOME SWEEET HOME 3 PEG HANGER  | HOME SWEET HOME 3 PEG HANGER </t>
  </si>
  <si>
    <t>HOME SWEEET HOME 3 PEG HANGER | HOME SWEET HOME 3 PEG HANGER</t>
  </si>
  <si>
    <t>LETTER HOLDER HOME SWEET HOME</t>
  </si>
  <si>
    <t>HOME SWEET HOME BLACKBOARD | check</t>
  </si>
  <si>
    <t>HOME SWEET HOME 2 DRAWER CABINET</t>
  </si>
  <si>
    <t>CHECK | HOME SWEET HOME KEY HOLDER</t>
  </si>
  <si>
    <t>SET OF 2 TRAYS HOME SWEET HOME</t>
  </si>
  <si>
    <t>PHOTO FRAME LINEN AND LACE SMALL</t>
  </si>
  <si>
    <t>PHOTO FRAME LINEN AND LACE LARGE</t>
  </si>
  <si>
    <t xml:space="preserve">CURIO CABINET LINEN AND LACE </t>
  </si>
  <si>
    <t>CURIO CABINET LINEN AND LACE</t>
  </si>
  <si>
    <t xml:space="preserve"> TRELLIS COAT RACK</t>
  </si>
  <si>
    <t>TRELLIS COAT RACK</t>
  </si>
  <si>
    <t>? | HEART MIRROR ANTIQUE WHITE</t>
  </si>
  <si>
    <t>DECORATIVE VINTAGE COFFEE  BOX | DECROTIVEVINTAGE COFFEE GRINDER BOX | VINTAGE COFFEE GRINDER BOX</t>
  </si>
  <si>
    <t>ZINC BOX SIGN HOME</t>
  </si>
  <si>
    <t>HOME SWEET HOME HOOK</t>
  </si>
  <si>
    <t>CHAMBRE HOOK</t>
  </si>
  <si>
    <t>BATHROOM HOOK</t>
  </si>
  <si>
    <t>LAVENDER TOILETTE BOTTLE</t>
  </si>
  <si>
    <t xml:space="preserve">HOME SWEET HOME BOTTLE </t>
  </si>
  <si>
    <t>HOME SWEET HOME BOTTLE</t>
  </si>
  <si>
    <t xml:space="preserve">PANTRY HOOK TEA STRAINER </t>
  </si>
  <si>
    <t>PANTRY HOOK TEA STRAINER</t>
  </si>
  <si>
    <t>PANTRY HOOK SPATULA</t>
  </si>
  <si>
    <t xml:space="preserve">PANTRY HOOK BALLOON WHISK </t>
  </si>
  <si>
    <t>PANTRY HOOK BALLOON WHISK</t>
  </si>
  <si>
    <t>PANTRY 3 HOOK ROLLING PIN HANGER</t>
  </si>
  <si>
    <t>GINGHAM RECIPE BOOK BOX</t>
  </si>
  <si>
    <t>STORAGE TIN HOME SWEET HOME</t>
  </si>
  <si>
    <t>METAL SIGN DROP YOUR PANTS</t>
  </si>
  <si>
    <t>STOOL HOME SWEET HOME  | damaged</t>
  </si>
  <si>
    <t>STOOL HOME SWEET HOME | damaged</t>
  </si>
  <si>
    <t>IVORY RETRO KITCHEN WALL CLOCK</t>
  </si>
  <si>
    <t>RED RETRO KITCHEN WALL CLOCK</t>
  </si>
  <si>
    <t>BLUE RETRO KITCHEN WALL CLOCK</t>
  </si>
  <si>
    <t xml:space="preserve">NATURAL HANGING QUILTED HEARTS </t>
  </si>
  <si>
    <t>NATURAL HANGING QUILTED HEARTS</t>
  </si>
  <si>
    <t>PRETTY HANGING QUILTED HEARTS</t>
  </si>
  <si>
    <t>HANGING QUILTED PATCHWORK APPLES</t>
  </si>
  <si>
    <t xml:space="preserve">3 RAFFIA RIBBONS 50'S CHRISTMAS </t>
  </si>
  <si>
    <t>3 RAFFIA RIBBONS 50'S CHRISTMAS</t>
  </si>
  <si>
    <t>3 RAFFIA RIBBONS VINTAGE CHRISTMAS</t>
  </si>
  <si>
    <t xml:space="preserve">GIFT BAG LARGE VINTAGE CHRISTMAS | VINTAGE CHRISTMAS GIFT BAG LARGE </t>
  </si>
  <si>
    <t>GIFT BAG LARGE VINTAGE CHRISTMAS | VINTAGE CHRISTMAS GIFT BAG LARGE</t>
  </si>
  <si>
    <t xml:space="preserve"> 50'S CHRISTMAS GIFT BAG LARGE | GIFT BAG LARGE 50'S CHRISTMAS</t>
  </si>
  <si>
    <t>50'S CHRISTMAS GIFT BAG LARGE | GIFT BAG LARGE 50'S CHRISTMAS</t>
  </si>
  <si>
    <t xml:space="preserve"> RED SPOT GIFT BAG LARGE | GIFT BAG LARGE SPOT </t>
  </si>
  <si>
    <t>GIFT BAG LARGE SPOT | RED SPOT GIFT BAG LARGE</t>
  </si>
  <si>
    <t>HAND WARMER RED LOVE HEART</t>
  </si>
  <si>
    <t>PAINT YOUR OWN EGGS IN CRATE</t>
  </si>
  <si>
    <t>HAND PAINTED HANGING EASTER EGG</t>
  </si>
  <si>
    <t>12 HANGING EGGS HAND PAINTED</t>
  </si>
  <si>
    <t>Next Day Carriage</t>
  </si>
  <si>
    <t>ICE CREAM BUBBLES</t>
  </si>
  <si>
    <t>BLUE BUNNY EASTER EGG BASKET</t>
  </si>
  <si>
    <t>PINK BUNNY EASTER EGG BASKET</t>
  </si>
  <si>
    <t>CREAM BUNNY EASTER EGG BASKET</t>
  </si>
  <si>
    <t>SET OF 6 EASTER RAINBOW CHICKS</t>
  </si>
  <si>
    <t>SQUARE MINI PORTRAIT FRAME</t>
  </si>
  <si>
    <t>HEART MINI PORTRAIT FRAME</t>
  </si>
  <si>
    <t>OVAL  MINI PORTRAIT FRAME</t>
  </si>
  <si>
    <t>SET OF 3 MINI HANGING PORTRAITS | THREE MINI HANGING FRAMES</t>
  </si>
  <si>
    <t>SMALL PARLOUR FRAME | SMALL PARLOUR PICTURE FRAME</t>
  </si>
  <si>
    <t xml:space="preserve">MEDIUM PARLOUR FRAME  | MEDIUM PARLOUR PICTURE FRAME </t>
  </si>
  <si>
    <t>MEDIUM PARLOUR FRAME | MEDIUM PARLOUR PICTURE FRAME</t>
  </si>
  <si>
    <t>LARGE PARLOUR FRAME | LARGE PARLOUR PICTURE FRAME</t>
  </si>
  <si>
    <t xml:space="preserve">DOLLY CABINET 3 DRAWERS </t>
  </si>
  <si>
    <t>DOLLY CABINET 3 DRAWERS</t>
  </si>
  <si>
    <t xml:space="preserve">DOLLY CABINET 2 DRAWERS </t>
  </si>
  <si>
    <t>DOLLY CABINET 2 DRAWERS</t>
  </si>
  <si>
    <t xml:space="preserve">SWEETHEART WALL TIDY </t>
  </si>
  <si>
    <t>SWEETHEART WALL TIDY</t>
  </si>
  <si>
    <t>SWEETHEART BIRD HOUSE</t>
  </si>
  <si>
    <t>ROCOCO WALL MIROR | ROCOCO WALL MIRROR WHITE | damages</t>
  </si>
  <si>
    <t>VINTAGE ZINC WATERING CAN</t>
  </si>
  <si>
    <t>VINTAGE ZINC WATERING CAN SMALL</t>
  </si>
  <si>
    <t>TUSCAN VILLA BIRD FEEDER | TUSCAN VILLA FEEDING STATION</t>
  </si>
  <si>
    <t>TUSCAN VILLA DOVECOTE | TUSCAN VILLA DOVECOTE BIRD FEEDER</t>
  </si>
  <si>
    <t xml:space="preserve">VINTAGE ZINC PLANTER  </t>
  </si>
  <si>
    <t>VINTAGE ZINC PLANTER</t>
  </si>
  <si>
    <t xml:space="preserve">TUSCAN VILLA BIRD TABLE </t>
  </si>
  <si>
    <t>TUSCAN VILLA BIRD TABLE</t>
  </si>
  <si>
    <t>CARD HOLDER LOVE BIRD SMALL</t>
  </si>
  <si>
    <t xml:space="preserve">CARD HOLDER LOVE BIRD LARGE </t>
  </si>
  <si>
    <t>CARD HOLDER LOVE BIRD LARGE</t>
  </si>
  <si>
    <t>SIX DRAWER OFFICE TIDY</t>
  </si>
  <si>
    <t xml:space="preserve"> NINE DRAWER OFFICE TIDY</t>
  </si>
  <si>
    <t>NINE DRAWER OFFICE TIDY</t>
  </si>
  <si>
    <t>WOODLAND SMALL RED FELT HEART</t>
  </si>
  <si>
    <t>WOODLAND SMALL BLUE FELT HEART</t>
  </si>
  <si>
    <t>WOODLAND SMALL PINK FELT HEART</t>
  </si>
  <si>
    <t>WOODLAND LARGE RED FELT HEART</t>
  </si>
  <si>
    <t>WOODLAND LARGE BLUE FELT HEART</t>
  </si>
  <si>
    <t>WOODLAND LARGE PINK FELT HEART</t>
  </si>
  <si>
    <t xml:space="preserve">WIRE EGG BASKET </t>
  </si>
  <si>
    <t>WIRE EGG BASKET</t>
  </si>
  <si>
    <t>MINI LIGHTS WOODLAND MUSHROOMS</t>
  </si>
  <si>
    <t xml:space="preserve">PEARLISED IVORY HEART SMALL </t>
  </si>
  <si>
    <t>PEARLISED IVORY HEART SMALL</t>
  </si>
  <si>
    <t xml:space="preserve">PEARLISED IVORY HEART LARGE </t>
  </si>
  <si>
    <t>PEARLISED IVORY HEART LARGE</t>
  </si>
  <si>
    <t>HANGING  BUTTERFLY T-LIGHT HOLDER</t>
  </si>
  <si>
    <t>HEART TRELLIS TRIPLE T-LIGHT HOLDER | HEART TRELLISTRIPLE T-LIGHT HOLDER</t>
  </si>
  <si>
    <t xml:space="preserve">BOTANICAL GARDENS WALL CLOCK </t>
  </si>
  <si>
    <t>BOTANICAL GARDENS WALL CLOCK</t>
  </si>
  <si>
    <t>ANTIQUE HEART SHELF UNIT</t>
  </si>
  <si>
    <t>SWEET HEART CAKE CARRIER</t>
  </si>
  <si>
    <t>GARLAND, VINTAGE BELLS | VINTAGE BELLS GARLAND</t>
  </si>
  <si>
    <t>T-LIGHT HOLDER HANGING LOVE BIRD</t>
  </si>
  <si>
    <t>VINTAGE JINGLE BELLS HEART</t>
  </si>
  <si>
    <t>VINTAGE JINGLE BELLS WREATH</t>
  </si>
  <si>
    <t>VINTAGE DOILY TRAVEL SEWING KIT</t>
  </si>
  <si>
    <t xml:space="preserve">VINTAGE DOILY DELUXE SEWING KIT </t>
  </si>
  <si>
    <t>VINTAGE DOILY DELUXE SEWING KIT</t>
  </si>
  <si>
    <t>SET OF 3 PANTRY WOODEN SPOONS</t>
  </si>
  <si>
    <t xml:space="preserve">PANTRY KITCHEN THERMOMETER </t>
  </si>
  <si>
    <t>PANTRY KITCHEN THERMOMETER</t>
  </si>
  <si>
    <t xml:space="preserve">CLASSIC CHROME BICYCLE BELL  | CLASSIC CROME BICYCLE BELL </t>
  </si>
  <si>
    <t>CLASSIC CHROME BICYCLE BELL | CLASSIC CROME BICYCLE BELL</t>
  </si>
  <si>
    <t xml:space="preserve">CLASSIC BICYCLE CLIPS </t>
  </si>
  <si>
    <t>CLASSIC BICYCLE CLIPS</t>
  </si>
  <si>
    <t xml:space="preserve">SET 12 VINTAGE DOILY CHALK </t>
  </si>
  <si>
    <t>SET 12 VINTAGE DOILY CHALK</t>
  </si>
  <si>
    <t xml:space="preserve">KEY RING BASEBALL BOOT ASSORTED </t>
  </si>
  <si>
    <t>KEY RING BASEBALL BOOT ASSORTED</t>
  </si>
  <si>
    <t>KEY RING BASEBALL BOOT UNION JACK</t>
  </si>
  <si>
    <t xml:space="preserve">PLAYING CARDS VINTAGE DOILEY  | PLAYING CARDS VINTAGE DOILY </t>
  </si>
  <si>
    <t>PLAYING CARDS VINTAGE DOILEY | PLAYING CARDS VINTAGE DOILY</t>
  </si>
  <si>
    <t>PLAYING CARDS KEEP CALM &amp; CARRY ON</t>
  </si>
  <si>
    <t>PLAYING CARDS JUBILEE UNION JACK</t>
  </si>
  <si>
    <t xml:space="preserve">PLAYING CARDS I LOVE LONDON </t>
  </si>
  <si>
    <t>PLAYING CARDS I LOVE LONDON</t>
  </si>
  <si>
    <t xml:space="preserve">MINI PLAYING CARDS SPACEBOY </t>
  </si>
  <si>
    <t>MINI PLAYING CARDS SPACEBOY</t>
  </si>
  <si>
    <t xml:space="preserve">MINI PLAYING CARDS BUFFALO BILL </t>
  </si>
  <si>
    <t>MINI PLAYING CARDS BUFFALO BILL</t>
  </si>
  <si>
    <t xml:space="preserve">MINI PLAYING CARDS DOLLY GIRL </t>
  </si>
  <si>
    <t>MINI PLAYING CARDS DOLLY GIRL</t>
  </si>
  <si>
    <t xml:space="preserve">MINI PLAYING CARDS FUN FAIR </t>
  </si>
  <si>
    <t>MINI PLAYING CARDS FUN FAIR</t>
  </si>
  <si>
    <t>MINI PLAYING CARDS GYMKHANA</t>
  </si>
  <si>
    <t xml:space="preserve">EMBROIDERED RIBBON REEL EMILY </t>
  </si>
  <si>
    <t>EMBROIDERED RIBBON REEL EMILY</t>
  </si>
  <si>
    <t>EMBROIDERED RIBBON REEL ROSIE</t>
  </si>
  <si>
    <t xml:space="preserve">EMBROIDERED RIBBON REEL SUSIE </t>
  </si>
  <si>
    <t>EMBROIDERED RIBBON REEL SUSIE</t>
  </si>
  <si>
    <t xml:space="preserve">EMBROIDERED RIBBON REEL SALLY </t>
  </si>
  <si>
    <t>EMBROIDERED RIBBON REEL SALLY</t>
  </si>
  <si>
    <t xml:space="preserve">EMBROIDERED RIBBON REEL DAISY </t>
  </si>
  <si>
    <t>EMBROIDERED RIBBON REEL DAISY</t>
  </si>
  <si>
    <t xml:space="preserve">EMBROIDERED RIBBON REEL SOPHIE  </t>
  </si>
  <si>
    <t>EMBROIDERED RIBBON REEL SOPHIE</t>
  </si>
  <si>
    <t xml:space="preserve">EMBROIDERED RIBBON REEL REBECCA </t>
  </si>
  <si>
    <t>EMBROIDERED RIBBON REEL REBECCA</t>
  </si>
  <si>
    <t xml:space="preserve">EMBROIDERED RIBBON REEL RACHEL </t>
  </si>
  <si>
    <t>EMBROIDERED RIBBON REEL RACHEL</t>
  </si>
  <si>
    <t>EMBROIDERED RIBBON REEL CLAIRE</t>
  </si>
  <si>
    <t xml:space="preserve">EMBROIDERED RIBBON REEL RUBY </t>
  </si>
  <si>
    <t>EMBROIDERED RIBBON REEL RUBY</t>
  </si>
  <si>
    <t xml:space="preserve">CAT AND BIRD WALL ART | WALL ART CAT AND BIRD </t>
  </si>
  <si>
    <t>CAT AND BIRD WALL ART | WALL ART CAT AND BIRD</t>
  </si>
  <si>
    <t xml:space="preserve">DOG AND BALL WALL ART | WALL ART DOG AND BALL </t>
  </si>
  <si>
    <t>DOG AND BALL WALL ART | WALL ART DOG AND BALL</t>
  </si>
  <si>
    <t xml:space="preserve">TREASURE AHOY WALL ART | WALL ART TREASURE AHOY </t>
  </si>
  <si>
    <t>TREASURE AHOY WALL ART | WALL ART TREASURE AHOY</t>
  </si>
  <si>
    <t xml:space="preserve">HORSE &amp; PONY WALL ART | WALL ART HORSE &amp; PONY </t>
  </si>
  <si>
    <t>HORSE &amp; PONY WALL ART | WALL ART HORSE &amp; PONY</t>
  </si>
  <si>
    <t xml:space="preserve">BUFFALO BILL WALL ART  | WALL ART BUFFALO BILL </t>
  </si>
  <si>
    <t>BUFFALO BILL WALL ART | WALL ART BUFFALO BILL</t>
  </si>
  <si>
    <t xml:space="preserve">DOG LICENCE WALL ART | WALL ART DOG LICENCE </t>
  </si>
  <si>
    <t>DOG LICENCE WALL ART | WALL ART DOG LICENCE</t>
  </si>
  <si>
    <t xml:space="preserve">ANIMALS AND NATURE WALL ART | WALL ART ANIMALS AND NATURE </t>
  </si>
  <si>
    <t>ANIMALS AND NATURE WALL ART | WALL ART ANIMALS AND NATURE</t>
  </si>
  <si>
    <t>SPACEBOY WALL ART | WALL ART SPACEBOY</t>
  </si>
  <si>
    <t xml:space="preserve">DOLLY GIRL WALL ART | WALL ART DOLLY GIRL </t>
  </si>
  <si>
    <t>DOLLY GIRL WALL ART | WALL ART DOLLY GIRL</t>
  </si>
  <si>
    <t xml:space="preserve">WALL ART ONLY ONE PERSON  | WALL ART,ONLY ONE PERSON </t>
  </si>
  <si>
    <t>WALL ART ONLY ONE PERSON | WALL ART,ONLY ONE PERSON</t>
  </si>
  <si>
    <t xml:space="preserve">WALL ART BIG LOVE </t>
  </si>
  <si>
    <t>WALL ART BIG LOVE</t>
  </si>
  <si>
    <t xml:space="preserve">WALL ART WORK REST AND PLAY  </t>
  </si>
  <si>
    <t>WALL ART WORK REST AND PLAY</t>
  </si>
  <si>
    <t xml:space="preserve">WALL ART GARDEN HAVEN </t>
  </si>
  <si>
    <t>WALL ART GARDEN HAVEN</t>
  </si>
  <si>
    <t xml:space="preserve">STOP FOR TEA WALL ART | WALL ART STOP FOR TEA </t>
  </si>
  <si>
    <t>STOP FOR TEA WALL ART | WALL ART STOP FOR TEA</t>
  </si>
  <si>
    <t xml:space="preserve">BICYCLE SAFTEY WALL ART | WALL ART BICYCLE SAFETY | WALL ART BICYCLE SAFTEY </t>
  </si>
  <si>
    <t>BICYCLE SAFTEY WALL ART | WALL ART BICYCLE SAFETY | WALL ART BICYCLE SAFTEY</t>
  </si>
  <si>
    <t xml:space="preserve">VILLAGE SHOW WALL ART | WALL ART VILLAGE SHOW </t>
  </si>
  <si>
    <t>VILLAGE SHOW WALL ART | WALL ART VILLAGE SHOW</t>
  </si>
  <si>
    <t xml:space="preserve">I LOVE LONDON WALL ART | WALL ART I LOVE LONDON </t>
  </si>
  <si>
    <t>I LOVE LONDON WALL ART | WALL ART I LOVE LONDON</t>
  </si>
  <si>
    <t>WALL ART VINTAGE HEART</t>
  </si>
  <si>
    <t xml:space="preserve">WALL ART , LOVES' SECRET  | WALL ART LOVES' SECRET </t>
  </si>
  <si>
    <t>WALL ART , LOVES' SECRET | WALL ART LOVES' SECRET</t>
  </si>
  <si>
    <t xml:space="preserve">WALL ART , THE MAGIC FOREST  | WALL ART THE MAGIC FOREST </t>
  </si>
  <si>
    <t>WALL ART , THE MAGIC FOREST | WALL ART THE MAGIC FOREST</t>
  </si>
  <si>
    <t xml:space="preserve">WALL ART ,PUDDINGS  | WALL ART CLASSIC PUDDINGS </t>
  </si>
  <si>
    <t>WALL ART ,PUDDINGS | WALL ART CLASSIC PUDDINGS</t>
  </si>
  <si>
    <t xml:space="preserve">70'S ALPHABET WALL ART | WALL ART 70'S ALPHABET </t>
  </si>
  <si>
    <t>70'S ALPHABET WALL ART | WALL ART 70'S ALPHABET</t>
  </si>
  <si>
    <t xml:space="preserve">KEEP CALM WALL ART  | WALL ART KEEP CALM </t>
  </si>
  <si>
    <t>KEEP CALM WALL ART | WALL ART KEEP CALM</t>
  </si>
  <si>
    <t xml:space="preserve">WALL ART MID CENTURY MODERN </t>
  </si>
  <si>
    <t>WALL ART MID CENTURY MODERN</t>
  </si>
  <si>
    <t>WRAP RED DOILEY | WRAP RED VINTAGE DOILY</t>
  </si>
  <si>
    <t xml:space="preserve">WRAP PAISLEY PARK </t>
  </si>
  <si>
    <t>WRAP PAISLEY PARK</t>
  </si>
  <si>
    <t xml:space="preserve">WRAP FLOWER SHOP  </t>
  </si>
  <si>
    <t>WRAP FLOWER SHOP</t>
  </si>
  <si>
    <t xml:space="preserve">WRAP MAGIC FOREST </t>
  </si>
  <si>
    <t>WRAP MAGIC FOREST</t>
  </si>
  <si>
    <t xml:space="preserve">WRAP BIRD GARDEN </t>
  </si>
  <si>
    <t>WRAP BIRD GARDEN</t>
  </si>
  <si>
    <t xml:space="preserve">WRAP ALPHABET POSTER  </t>
  </si>
  <si>
    <t>WRAP ALPHABET POSTER</t>
  </si>
  <si>
    <t xml:space="preserve">PACK OF 12 PAISLEY PARK TISSUES </t>
  </si>
  <si>
    <t>PACK OF 12 PAISLEY PARK TISSUES</t>
  </si>
  <si>
    <t xml:space="preserve">BICYCLE PUNCTURE REPAIR KIT </t>
  </si>
  <si>
    <t>BICYCLE PUNCTURE REPAIR KIT</t>
  </si>
  <si>
    <t xml:space="preserve">LANDMARK FRAME CAMDEN TOWN </t>
  </si>
  <si>
    <t>LANDMARK FRAME CAMDEN TOWN</t>
  </si>
  <si>
    <t>LANDMARK FRAME OXFORD STREET</t>
  </si>
  <si>
    <t xml:space="preserve">LANDMARK FRAME NOTTING HILL </t>
  </si>
  <si>
    <t>LANDMARK FRAME NOTTING HILL</t>
  </si>
  <si>
    <t xml:space="preserve">LANDMARK FRAME COVENT GARDEN </t>
  </si>
  <si>
    <t>LANDMARK FRAME COVENT GARDEN</t>
  </si>
  <si>
    <t xml:space="preserve">LANDMARK FRAME BAKER STREET </t>
  </si>
  <si>
    <t>LANDMARK FRAME BAKER STREET</t>
  </si>
  <si>
    <t xml:space="preserve">LANDMARK FRAME LONDON BRIDGE </t>
  </si>
  <si>
    <t>LANDMARK FRAME LONDON BRIDGE</t>
  </si>
  <si>
    <t>WOODLAND BUNNIES LOLLY MAKERS</t>
  </si>
  <si>
    <t>SET OF 6 RIBBONS COUNTRY STYLE</t>
  </si>
  <si>
    <t>SET OF 6 RIBBONS PARTY</t>
  </si>
  <si>
    <t xml:space="preserve">SET OF 6 RIBBONS PERFECTLY PRETTY  </t>
  </si>
  <si>
    <t>SET OF 6 RIBBONS PERFECTLY PRETTY</t>
  </si>
  <si>
    <t>EGG CUP MILKMAID INGRID</t>
  </si>
  <si>
    <t xml:space="preserve">EGG CUP MILKMAID HELGA </t>
  </si>
  <si>
    <t>EGG CUP MILKMAID HELGA</t>
  </si>
  <si>
    <t>EGG CUP MILKMAID HEIDI</t>
  </si>
  <si>
    <t>EGG CUP HENRIETTA HEN PINK</t>
  </si>
  <si>
    <t xml:space="preserve">EGG CUP HENRIETTA HEN CREAM </t>
  </si>
  <si>
    <t>EGG CUP HENRIETTA HEN CREAM</t>
  </si>
  <si>
    <t>TRADTIONAL ALPHABET STAMP SET</t>
  </si>
  <si>
    <t xml:space="preserve">TRADITIONAL PICK UP STICKS GAME </t>
  </si>
  <si>
    <t>TRADITIONAL PICK UP STICKS GAME</t>
  </si>
  <si>
    <t>TRADITIONAL NAUGHTS &amp; CROSSES</t>
  </si>
  <si>
    <t>PACKING CHARGE</t>
  </si>
  <si>
    <t>SNACK TRAY PAISLEY PARK</t>
  </si>
  <si>
    <t>SNACK TRAY RED VINTAGE DOILY</t>
  </si>
  <si>
    <t>SNACK TRAY RED GINGHAM</t>
  </si>
  <si>
    <t>SNACK TRAY I LOVE LONDON | Sale error</t>
  </si>
  <si>
    <t xml:space="preserve">SNACK TRAY HAPPY FOREST  </t>
  </si>
  <si>
    <t>SNACK TRAY HAPPY FOREST</t>
  </si>
  <si>
    <t>JUMBO BAG PAISLEY PARK</t>
  </si>
  <si>
    <t xml:space="preserve">VINTAGE DOILY JUMBO BAG RED </t>
  </si>
  <si>
    <t>VINTAGE DOILY JUMBO BAG RED</t>
  </si>
  <si>
    <t xml:space="preserve">LUNCH BAG PAISLEY PARK  </t>
  </si>
  <si>
    <t>LUNCH BAG PAISLEY PARK</t>
  </si>
  <si>
    <t>23595</t>
  </si>
  <si>
    <t>adjustment | re-adjustment</t>
  </si>
  <si>
    <t>PAPER BUNTING PAISLEY PARK</t>
  </si>
  <si>
    <t>PAPER BUNTING VINTAGE PARTY</t>
  </si>
  <si>
    <t>SET 10 CARDS SNOWY SNOWDROPS  17100</t>
  </si>
  <si>
    <t>SET 10 CARDS 3 WISE MEN 17107</t>
  </si>
  <si>
    <t>SET 10 CARD KRAFT REINDEER 17084</t>
  </si>
  <si>
    <t>SET 10 MINI SANTA &amp; SNOWMAN  17087</t>
  </si>
  <si>
    <t>SET 10 CARDS 12 DAYS OF XMAS 17059</t>
  </si>
  <si>
    <t>SET 10 CARDS HATS &amp; STOCKINGS 17081</t>
  </si>
  <si>
    <t>SET 10 CARDS RUDOLPHS NOSE 17097</t>
  </si>
  <si>
    <t>SET 10 CARDS SNOWY ROBIN 17099</t>
  </si>
  <si>
    <t>SET 10 CARDS CHRISTMAS ROBIN 17095</t>
  </si>
  <si>
    <t>SET 10 CARDS RED RIDING HOOD 17214</t>
  </si>
  <si>
    <t>SET 10 MINICARDS CUTE SNOWMAN 17071</t>
  </si>
  <si>
    <t>SET 10 XMAS CARDS &amp; BADGES 17070</t>
  </si>
  <si>
    <t>SET 10 CARDS 12 DAYS WRAP  17058</t>
  </si>
  <si>
    <t>SET 10 CARDS PRINTED GRAPHIC 17219</t>
  </si>
  <si>
    <t>SET 10 CARDS JINGLE BELLS 17217</t>
  </si>
  <si>
    <t>SET 10 CARDS SWIRLY XMAS TREE 17104</t>
  </si>
  <si>
    <t>SET 10 CARDS POINSETTIA 17093</t>
  </si>
  <si>
    <t>SET 10 CARDS PERFECT POST 17090</t>
  </si>
  <si>
    <t>SET 10 CARDS DAVID'S MADONNA 17074</t>
  </si>
  <si>
    <t>SET 10 CARD CHRISTMAS WELCOME 17112</t>
  </si>
  <si>
    <t>SET 10 CARD PERFECT NATIVITY 17089</t>
  </si>
  <si>
    <t>SET 6 CARDS SPARKLY REINDEER 17262</t>
  </si>
  <si>
    <t>SET 10 CARDS DINKY TREE 17076</t>
  </si>
  <si>
    <t>SET 10 CARDS XMAS GRAPHIC  17218</t>
  </si>
  <si>
    <t>SET 10 CARDS TRIANGLE ICONS  17220</t>
  </si>
  <si>
    <t>SET 10 CARDS DRESSING UP 17077</t>
  </si>
  <si>
    <t>SET 10 CARDS HANGING BAUBLES 17080</t>
  </si>
  <si>
    <t>SET 10 CARDS CHEERFUL ROBIN 17065</t>
  </si>
  <si>
    <t>SET 10 CARDS WORLD CHILDREN 17067</t>
  </si>
  <si>
    <t>SET 10 CARDS XMAS CHOIR 17068</t>
  </si>
  <si>
    <t>SET 10 CARDS CHRISTMAS HOLLY  17259</t>
  </si>
  <si>
    <t>SET 10 CARDS WISHING TREE 17116</t>
  </si>
  <si>
    <t>SET 10 CARDS OUT OF ORDER 17216</t>
  </si>
  <si>
    <t>SET 10 CARDS ROBIN WATERPUMP  17096</t>
  </si>
  <si>
    <t>SET 10 CARDS MAGICAL TREE 17086</t>
  </si>
  <si>
    <t>SET 10 CARDS SCOTTIE DOG 17211</t>
  </si>
  <si>
    <t>SET 10 CARDS CHRISTMAS BAUBLE 16954</t>
  </si>
  <si>
    <t>SET 10 CARDS CHRISTMAS TREE 16955</t>
  </si>
  <si>
    <t>SET 10 CHRISTMAS CARDS HOHOHO 16956</t>
  </si>
  <si>
    <t>SET 10 CARDS JINGLE BELLS 16957</t>
  </si>
  <si>
    <t>SET 10 CARDS DECK THE HALLS 16960</t>
  </si>
  <si>
    <t>SET 10 CARDS FILIGREE BAUBLE 16961</t>
  </si>
  <si>
    <t>SET 10 CARD CHRISTMAS STAMPS 16963</t>
  </si>
  <si>
    <t>SET 10 CARD SNOWMAN 16965</t>
  </si>
  <si>
    <t xml:space="preserve">HENRIETTA HEN MUG </t>
  </si>
  <si>
    <t>HENRIETTA HEN MUG</t>
  </si>
  <si>
    <t xml:space="preserve">MILK MAIDS MUG </t>
  </si>
  <si>
    <t>MILK MAIDS MUG</t>
  </si>
  <si>
    <t>FLOWER SHOP DESIGN MUG</t>
  </si>
  <si>
    <t>LUNCH BAG RED VINTAGE DOILY</t>
  </si>
  <si>
    <t>KEEP CALM BIRTHDAY WRAP | WRAP KEEP CALM BIRTHDAY</t>
  </si>
  <si>
    <t>WRAP A PRETTY THANK YOU</t>
  </si>
  <si>
    <t>PAISLEY PARK CARD</t>
  </si>
  <si>
    <t>DOILY THANK YOU CARD</t>
  </si>
  <si>
    <t>A PRETTY THANK YOU CARD</t>
  </si>
  <si>
    <t>High Resolution Image</t>
  </si>
  <si>
    <t>HAND OPEN SHAPE GOLD</t>
  </si>
  <si>
    <t>HAND OPEN SHAPE DECO.WHITE</t>
  </si>
  <si>
    <t>SET OF 3 BLACK FLYING DUCKS</t>
  </si>
  <si>
    <t>SET OF 3 COLOURED  FLYING DUCKS</t>
  </si>
  <si>
    <t>SET OF 3 GOLD FLYING DUCKS</t>
  </si>
  <si>
    <t>SET OF 3 PINK FLYING DUCKS</t>
  </si>
  <si>
    <t>35015</t>
  </si>
  <si>
    <t>BLUE VICTORIAN FABRIC OVAL BOX</t>
  </si>
  <si>
    <t>RED VICTORIAN FABRIC OVAL BOX</t>
  </si>
  <si>
    <t>ENAMEL BLUE RIM BISCUIT BIN | damages?</t>
  </si>
  <si>
    <t>COLOURFUL FLOWER FRUIT BOWL</t>
  </si>
  <si>
    <t>GOLD PRINT PAPER BAG</t>
  </si>
  <si>
    <t xml:space="preserve">WOODEN BOX ADVENT CALENDAR </t>
  </si>
  <si>
    <t>WOODEN BOX ADVENT CALENDAR</t>
  </si>
  <si>
    <t>RASTA IN BATH W SPLIFF ASHTRAY</t>
  </si>
  <si>
    <t xml:space="preserve">SET OF 3 BIRD LIGHT PINK FEATHER </t>
  </si>
  <si>
    <t>SET OF 3 BIRD LIGHT PINK FEATHER</t>
  </si>
  <si>
    <t xml:space="preserve">TURQUOISE CHRISTMAS TREE </t>
  </si>
  <si>
    <t>TURQUOISE CHRISTMAS TREE</t>
  </si>
  <si>
    <t>35592T</t>
  </si>
  <si>
    <t>35594</t>
  </si>
  <si>
    <t>DUSTY PINK CHRISTMAS TREE 30CM</t>
  </si>
  <si>
    <t>BLACKCHRISTMAS TREE 30CM</t>
  </si>
  <si>
    <t>PINK/WHITE CHRISTMAS TREE 30CM</t>
  </si>
  <si>
    <t>DUSTY PINK CHRISTMAS TREE 60CM</t>
  </si>
  <si>
    <t>BLACK CHRISTMAS TREE 60CM</t>
  </si>
  <si>
    <t>WHITE CHRISTMAS TREE 60CM | found</t>
  </si>
  <si>
    <t>PINK/WHITE CHRISTMAS TREE 60CM</t>
  </si>
  <si>
    <t>BLACK CHRISTMAS TREE 120CM</t>
  </si>
  <si>
    <t>PINK AND WHITE CHRISTMAS TREE 120CM</t>
  </si>
  <si>
    <t>35600A</t>
  </si>
  <si>
    <t>Found by jackie</t>
  </si>
  <si>
    <t>35603B</t>
  </si>
  <si>
    <t>PINK FLUFFY CHRISTMAS DECORATION</t>
  </si>
  <si>
    <t>BLACK FEATHER CHRISTMAS DECORATION | thrown away</t>
  </si>
  <si>
    <t>PINK FEATHER CHRISTMAS DECORATION</t>
  </si>
  <si>
    <t>PINK CHRISTMAS FLOCK DROPLET  | thrown away</t>
  </si>
  <si>
    <t>PINK CHRISTMAS FLOCK DROPLET | thrown away</t>
  </si>
  <si>
    <t>BLACK CHRISTMAS FLOCK DROPLET  | thrown away</t>
  </si>
  <si>
    <t>BLACK CHRISTMAS FLOCK DROPLET | thrown away</t>
  </si>
  <si>
    <t xml:space="preserve">Thrown away. | WHITE CHRISTMAS FLOCK DROPLET </t>
  </si>
  <si>
    <t>Thrown away. | WHITE CHRISTMAS FLOCK DROPLET</t>
  </si>
  <si>
    <t>35611B</t>
  </si>
  <si>
    <t>thrown away</t>
  </si>
  <si>
    <t xml:space="preserve">IVORY STRING CURTAIN WITH POLE </t>
  </si>
  <si>
    <t>IVORY STRING CURTAIN WITH POLE</t>
  </si>
  <si>
    <t>PINK STRING CURTAIN WITH POLE</t>
  </si>
  <si>
    <t>PINK AND BLACK STRING CURTAIN</t>
  </si>
  <si>
    <t xml:space="preserve">PINK/BLUE STRING CURTAIN </t>
  </si>
  <si>
    <t>PINK/BLUE STRING CURTAIN</t>
  </si>
  <si>
    <t>35644</t>
  </si>
  <si>
    <t>VINTAGE BEAD PINK JEWEL BOX</t>
  </si>
  <si>
    <t>VINTAGE BEAD PINK EVENING BAG</t>
  </si>
  <si>
    <t xml:space="preserve">VINTAGE BEAD PINK SHADE </t>
  </si>
  <si>
    <t>VINTAGE BEAD PINK SHADE</t>
  </si>
  <si>
    <t>VINTAGE BEAD PINK PURSE  | check</t>
  </si>
  <si>
    <t>VINTAGE BEAD PINK PURSE | check</t>
  </si>
  <si>
    <t xml:space="preserve">VINTAGE BEAD COSMETIC BAG </t>
  </si>
  <si>
    <t>VINTAGE BEAD COSMETIC BAG</t>
  </si>
  <si>
    <t>VINTAGE BEAD PINK JEWEL STAND</t>
  </si>
  <si>
    <t xml:space="preserve">VINTAGE BEAD PINK SCARF </t>
  </si>
  <si>
    <t>VINTAGE BEAD PINK SCARF</t>
  </si>
  <si>
    <t>VINTAGE BEAD NOTEBOOK</t>
  </si>
  <si>
    <t>ENAMEL PINK TEA CONTAINER</t>
  </si>
  <si>
    <t>ENAMEL BLUE RIM TEA CONTAINER</t>
  </si>
  <si>
    <t>ENAMEL PINK COFFEE CONTAINER | check</t>
  </si>
  <si>
    <t>ENAMEL BLUE RIM COFFEE CONTAINER</t>
  </si>
  <si>
    <t>ACRYLIC JEWEL SNOWFLAKE, PINK</t>
  </si>
  <si>
    <t>ACRYLIC JEWEL ANGEL,PINK</t>
  </si>
  <si>
    <t>ACRYLIC JEWEL SNOWFLAKE,PINK | PINK ACRYLIC JEWEL SNOWFLAKE | thrown away</t>
  </si>
  <si>
    <t>ACRYLIC JEWEL ICICLE, BLUE | adjustment</t>
  </si>
  <si>
    <t>ACRYLIC JEWEL ICICLE, PINK</t>
  </si>
  <si>
    <t>ACRYLIC HANGING JEWEL,BLUE | check</t>
  </si>
  <si>
    <t>ACRYLIC HANGING JEWEL,PINK</t>
  </si>
  <si>
    <t>35823P</t>
  </si>
  <si>
    <t>35824B</t>
  </si>
  <si>
    <t>WOOLLY HAT SOCK GLOVE ADVENT STRING</t>
  </si>
  <si>
    <t>4 GOLD FLOCK CHRISTMAS BALLS | damages</t>
  </si>
  <si>
    <t>4 PINK FLOCK CHRISTMAS BALLS | check</t>
  </si>
  <si>
    <t>RABBIT EASTER DECORATION</t>
  </si>
  <si>
    <t>PINK FLOWERS RABBIT EASTER</t>
  </si>
  <si>
    <t xml:space="preserve">MULTICOLOUR EASTER RABBIT </t>
  </si>
  <si>
    <t>MULTICOLOUR EASTER RABBIT</t>
  </si>
  <si>
    <t>MULTICOLOUR RABBIT EGG WARMER</t>
  </si>
  <si>
    <t xml:space="preserve">PINK/FLOWER RABBIT EGG WARMER </t>
  </si>
  <si>
    <t>PINK/FLOWER RABBIT EGG WARMER</t>
  </si>
  <si>
    <t>WHITE/PINK CHICK DECORATION</t>
  </si>
  <si>
    <t>WHITE/PINK CHICK EASTER DECORATION</t>
  </si>
  <si>
    <t>PINK CHICK EGG WARMER + EGG CUP</t>
  </si>
  <si>
    <t xml:space="preserve">BLUE KNITTED HEN </t>
  </si>
  <si>
    <t>BLUE KNITTED HEN</t>
  </si>
  <si>
    <t>PEACH KNITTED HEN  | damaged</t>
  </si>
  <si>
    <t>PEACH KNITTED HEN | damaged</t>
  </si>
  <si>
    <t>YELLOW FELT HANGING HEART W FLOWER</t>
  </si>
  <si>
    <t>BLUE FELT HANGING HEART W FLOWER | BLUE FELT HANGING HEART WITH FLOWER</t>
  </si>
  <si>
    <t>PINK FELT HANGING HEART W FLOWER</t>
  </si>
  <si>
    <t>FOUR RABBIT EASTER DECORATIONS</t>
  </si>
  <si>
    <t>EASTER BUNNY HANGING GARLAND</t>
  </si>
  <si>
    <t>EASTER BUNNY WREATH</t>
  </si>
  <si>
    <t>CANDY HEART HANGING DECORATION | check</t>
  </si>
  <si>
    <t>HANGING FAIRY CAKE DECORATION</t>
  </si>
  <si>
    <t>PINK STOCKING CHRISTMAS DECORATION</t>
  </si>
  <si>
    <t>35951</t>
  </si>
  <si>
    <t>FOLKART STAR CHRISTMAS DECORATIONS</t>
  </si>
  <si>
    <t>SMALL FOLKART STAR CHRISTMAS DEC | check | counted</t>
  </si>
  <si>
    <t>SMALLFOLKART BAUBLE CHRISTMAS DEC</t>
  </si>
  <si>
    <t>FOLKART ZINC STAR CHRISTMAS DEC</t>
  </si>
  <si>
    <t>FOLKART ZINC HEART CHRISTMAS DEC</t>
  </si>
  <si>
    <t>FOLKART CLIP ON STARS</t>
  </si>
  <si>
    <t>FOLKART HEART NAPKIN RINGS | dotcom | found | found some more on shelf</t>
  </si>
  <si>
    <t>FOLKART CHRISTMAS TREE T-LIGHT HOLD</t>
  </si>
  <si>
    <t>FOLK ART METAL STAR T-LIGHT HOLDER</t>
  </si>
  <si>
    <t>FOLK ART METAL HEART T-LIGHT HOLDER | Found | check</t>
  </si>
  <si>
    <t>35969</t>
  </si>
  <si>
    <t>ZINC FOLKART SLEIGH BELLS</t>
  </si>
  <si>
    <t>ROSE FOLKART HEART DECORATIONS</t>
  </si>
  <si>
    <t>DAISY FOLKART HEART DECORATION | check</t>
  </si>
  <si>
    <t>35991</t>
  </si>
  <si>
    <t>ASSTD MULTICOLOUR CIRCLES MUG | adjustment | damages | sold as set on dotcom</t>
  </si>
  <si>
    <t>BIG POLKADOT MUG</t>
  </si>
  <si>
    <t xml:space="preserve">RETRO "TEA FOR ONE" </t>
  </si>
  <si>
    <t>RETRO "TEA FOR ONE"</t>
  </si>
  <si>
    <t>MULTICOLOUR SPRING FLOWER MUG | sold as set on dotcom</t>
  </si>
  <si>
    <t>POLKADOT COFFEE CUP &amp; SAUCER PINK</t>
  </si>
  <si>
    <t>POLKADOT MUG PINK  | damaged</t>
  </si>
  <si>
    <t>POLKADOT MUG PINK | damaged</t>
  </si>
  <si>
    <t xml:space="preserve">ORANGE FLOWER MUG </t>
  </si>
  <si>
    <t>ORANGE FLOWER MUG</t>
  </si>
  <si>
    <t>RETRO COFFEE MUGS ASSORTED | damages/dotcom? | sold as set/6 by dotcom</t>
  </si>
  <si>
    <t>PINK CHERRY BLOSSOM CUP &amp; SAUCER</t>
  </si>
  <si>
    <t>ICON MUG REVOLUTIONARY</t>
  </si>
  <si>
    <t>WHITE WITH BLACK CATS PLATE</t>
  </si>
  <si>
    <t>37424</t>
  </si>
  <si>
    <t>YELLOW BREAKFAST CUP AND SAUCER</t>
  </si>
  <si>
    <t xml:space="preserve">BLUE BREAKFAST CUP AND SAUCER </t>
  </si>
  <si>
    <t>BLUE BREAKFAST CUP AND SAUCER</t>
  </si>
  <si>
    <t xml:space="preserve">PINK BREAKFAST CUP AND SAUCER </t>
  </si>
  <si>
    <t>PINK BREAKFAST CUP AND SAUCER</t>
  </si>
  <si>
    <t>MINI CAKE STAND WITH HANGING CAKES</t>
  </si>
  <si>
    <t>CERAMIC CAKE DESIGN SPOTTED PLATE</t>
  </si>
  <si>
    <t>CERAMIC CAKE DESIGN SPOTTED MUG</t>
  </si>
  <si>
    <t>CERAMIC CAKE STAND + HANGING CAKES</t>
  </si>
  <si>
    <t>CERAMIC CAKE BOWL + HANGING CAKES</t>
  </si>
  <si>
    <t>FUNKY MONKEY MUG</t>
  </si>
  <si>
    <t>PET MUG, GOLDFISH</t>
  </si>
  <si>
    <t>ROBOT MUG IN DISPLAY BOX</t>
  </si>
  <si>
    <t>PIG MUG IN TWO COLOUR DESIGNS</t>
  </si>
  <si>
    <t>HARDMAN MUG 3 ASSORTED</t>
  </si>
  <si>
    <t>MULTICOLOUR POLKADOT PLATE | sold as set on dotcom</t>
  </si>
  <si>
    <t>SET/4 2 TONE EGG SHAPE MIXING BOWLS</t>
  </si>
  <si>
    <t>SET/4 COLOURFUL MIXING BOWLS</t>
  </si>
  <si>
    <t>CONDIMENT TRAY 4 BOWLS AND 4 SPOONS</t>
  </si>
  <si>
    <t>37477B</t>
  </si>
  <si>
    <t>37477C</t>
  </si>
  <si>
    <t>37477D</t>
  </si>
  <si>
    <t>CUBIC MUG FLOCK BLUE ON BROWN | sold as set by dotcom</t>
  </si>
  <si>
    <t>?? | CUBIC MUG FLOCK PINK ON BROWN | sold as set on dotcom</t>
  </si>
  <si>
    <t>CUBIC MUG PINK POLKADOT | Damaged</t>
  </si>
  <si>
    <t>Damaged | YELLOW/ORANGE FLOWER DESIGN PLATE</t>
  </si>
  <si>
    <t>YELLOW PINK FLOWER DESIGN BIG BOWL | damaged</t>
  </si>
  <si>
    <t>YELLOW/PINK FLOWER DESIGN BIG MUG</t>
  </si>
  <si>
    <t>BLUE/YELLOW FLOWER DESIGN BIG MUG</t>
  </si>
  <si>
    <t>GREEN/BLUE FLOWER DESIGN BIG MUG</t>
  </si>
  <si>
    <t>PINK/GREEN FLOWER DESIGN BIG MUG</t>
  </si>
  <si>
    <t>YELLOW/PINK CERAMIC CANDLE HOLDER</t>
  </si>
  <si>
    <t>BLUE/YELLOW CERAMIC CANDLE HOLDER</t>
  </si>
  <si>
    <t>GREEN/BLUE CERAMIC CANDLE HOLDER</t>
  </si>
  <si>
    <t>PURPLE/BLUE CERAMIC CANDLE HOLDER</t>
  </si>
  <si>
    <t>FAIRY CAKE BIRTHDAY CANDLE SET</t>
  </si>
  <si>
    <t>TEA TIME TEAPOT IN GIFT BOX</t>
  </si>
  <si>
    <t>TEA TIME TEA SET IN GIFT BOX</t>
  </si>
  <si>
    <t>TEA TIME CAKE STAND IN GIFT BOX</t>
  </si>
  <si>
    <t>NEW ENGLAND MUG W GIFT BOX</t>
  </si>
  <si>
    <t>WHITE BAMBOO RIBS LAMPSHADE | check</t>
  </si>
  <si>
    <t>WHITE BAMBOO RIBS LAMPSHADE</t>
  </si>
  <si>
    <t>BLUE ORGANDY ROUND LAMPSHADE W BEA</t>
  </si>
  <si>
    <t>? | CHINESE DRAGON PAPER LANTERNS | damaged stock</t>
  </si>
  <si>
    <t>40018F</t>
  </si>
  <si>
    <t>RED DAISY PAPER LAMPSHADE</t>
  </si>
  <si>
    <t>PINK GAUZE BUTTERFLY LAMPSHADE</t>
  </si>
  <si>
    <t>LILAC GAUZE BUTTERFLY LAMPSHADE</t>
  </si>
  <si>
    <t>BLUE CRUSOE CHECK LAMPSHADE</t>
  </si>
  <si>
    <t>BLUE WHITE PLASTIC RINGS LAMPSHADE</t>
  </si>
  <si>
    <t>PURPLE/COPPER HANGING LAMPSHADE</t>
  </si>
  <si>
    <t>CANNABIS LEAF BEAD CURTAIN</t>
  </si>
  <si>
    <t>ASSORTED CIRCULAR MOBILE</t>
  </si>
  <si>
    <t xml:space="preserve">ASS COL CIRCLE MOBILE  | ASSORTED COLOURED CIRCLE MOBILE </t>
  </si>
  <si>
    <t>ASS COL CIRCLE MOBILE | ASSORTED COLOURED CIRCLE MOBILE</t>
  </si>
  <si>
    <t>PINK/PURPLE CIRCLE CURTAIN</t>
  </si>
  <si>
    <t>LILAC FEATHERS CURTAIN</t>
  </si>
  <si>
    <t>PINK FEATHERS CURTAIN</t>
  </si>
  <si>
    <t>M/COLOUR POM-POM CURTAIN</t>
  </si>
  <si>
    <t>FOLDING SHOE TIDY</t>
  </si>
  <si>
    <t>Dotcom sales | POLYESTER FILLER PAD 45x45cm</t>
  </si>
  <si>
    <t>POLYESTER FILLER PAD 65CMx65CM</t>
  </si>
  <si>
    <t>POLYESTER FILLER PAD 45x30cm</t>
  </si>
  <si>
    <t>Dotcom | Dotcom sales | POLYESTER FILLER PAD 40x40cm | dotcom sales</t>
  </si>
  <si>
    <t>POLYESTER FILLER PAD 30CMx30CM | check</t>
  </si>
  <si>
    <t>46037A</t>
  </si>
  <si>
    <t xml:space="preserve">GREEN POP ART MAO CUSHION COVER </t>
  </si>
  <si>
    <t>GREEN POP ART MAO CUSHION COVER</t>
  </si>
  <si>
    <t>FUNKY MONKEY CUSHION COVER</t>
  </si>
  <si>
    <t>ELVIS WALLHANGING / CURTAIN</t>
  </si>
  <si>
    <t xml:space="preserve">BLUE CHENILLE SHAGGY CUSHION COVER </t>
  </si>
  <si>
    <t>BLUE CHENILLE SHAGGY CUSHION COVER</t>
  </si>
  <si>
    <t>SUNSET COLOUR CHUNKY KNITTED THROW</t>
  </si>
  <si>
    <t>WOVEN BUBBLE GUM CUSHION COVER</t>
  </si>
  <si>
    <t xml:space="preserve">WOVEN BERRIES CUSHION COVER </t>
  </si>
  <si>
    <t>WOVEN BERRIES CUSHION COVER</t>
  </si>
  <si>
    <t>WOVEN FROST CUSHION COVER</t>
  </si>
  <si>
    <t xml:space="preserve">WOVEN SUNSET CUSHION COVER </t>
  </si>
  <si>
    <t>WOVEN SUNSET CUSHION COVER</t>
  </si>
  <si>
    <t xml:space="preserve">WOVEN CANDY CUSHION COVER </t>
  </si>
  <si>
    <t>WOVEN CANDY CUSHION COVER</t>
  </si>
  <si>
    <t xml:space="preserve">WOVEN ROSE GARDEN CUSHION COVER </t>
  </si>
  <si>
    <t>WOVEN ROSE GARDEN CUSHION COVER</t>
  </si>
  <si>
    <t>WINE BOTTLE DRESSING LT.BLUE | damaged</t>
  </si>
  <si>
    <t>WINE BOTTLE DRESSING DARK BLUE</t>
  </si>
  <si>
    <t>LIGHT DECORATION BATTERY OPERATED</t>
  </si>
  <si>
    <t>SET/6 BEAD COASTERS GAUZE BAG GOLD</t>
  </si>
  <si>
    <t>SMALL POP BOX FUNKY MONKEY | SMALL POP BOX,FUNKY MONKEY</t>
  </si>
  <si>
    <t xml:space="preserve">FUSCHIA TABLE RUN FLOWER </t>
  </si>
  <si>
    <t>FUSCHIA TABLE RUN FLOWER</t>
  </si>
  <si>
    <t>BLUE TABLE RUN FLOWER</t>
  </si>
  <si>
    <t>FUSCHIA FLOWER PURSE WITH BEADS</t>
  </si>
  <si>
    <t>BLUE FLOWER DES PURSE</t>
  </si>
  <si>
    <t>FUSCHIA VOILE POINTY SHOE DEC</t>
  </si>
  <si>
    <t>BLUE  VOILE LAMPSHADE</t>
  </si>
  <si>
    <t>PAIR PADDED HANGERS PINK CHECK</t>
  </si>
  <si>
    <t>PINK GREEN EMBROIDERY COSMETIC BAG</t>
  </si>
  <si>
    <t>BLUE GREEN EMBROIDERY COSMETIC BAG</t>
  </si>
  <si>
    <t>ASSORTED COLOUR SUCTION CUP HOOK</t>
  </si>
  <si>
    <t>ASSORTED COLOUR LIZARD SUCTION HOOK</t>
  </si>
  <si>
    <t>ASSORTED MONKEY SUCTION CUP HOOK</t>
  </si>
  <si>
    <t xml:space="preserve">ASSORTED SHAPES PHOTO CLIP SILVER </t>
  </si>
  <si>
    <t>ASSORTED SHAPES PHOTO CLIP SILVER</t>
  </si>
  <si>
    <t>RAINBOW PEGS PHOTO CLIP STRING</t>
  </si>
  <si>
    <t>HANGING PHOTO CLIP ROPE LADDER</t>
  </si>
  <si>
    <t>50CM METAL STRING WITH  7 CLIPS</t>
  </si>
  <si>
    <t>47502</t>
  </si>
  <si>
    <t>ASS FLORAL PRINT MULTI SCREWDRIVER | check</t>
  </si>
  <si>
    <t>ASS FLORAL PRINT SPIRIT LEVEL  | check | found</t>
  </si>
  <si>
    <t>ASS FLORAL PRINT SPIRIT LEVEL | check | found</t>
  </si>
  <si>
    <t>SET/3 FLORAL GARDEN TOOLS IN BAG</t>
  </si>
  <si>
    <t xml:space="preserve">ENGLISH ROSE SPIRIT LEVEL </t>
  </si>
  <si>
    <t>ENGLISH ROSE SPIRIT LEVEL</t>
  </si>
  <si>
    <t>ENGLISH ROSE GARDEN SECATEURS</t>
  </si>
  <si>
    <t>ICON PLACEMAT POP ART ELVIS</t>
  </si>
  <si>
    <t>TEA TIME TEA TOWELS  | did  a credit  and did not tick ret</t>
  </si>
  <si>
    <t>TEA TIME TEA TOWELS | did  a credit  and did not tick ret</t>
  </si>
  <si>
    <t>TEA TIME OVEN GLOVE</t>
  </si>
  <si>
    <t>RETRO LONGBOARD IRONING BOARD COVER</t>
  </si>
  <si>
    <t>47563B</t>
  </si>
  <si>
    <t>PARTY BUNTING</t>
  </si>
  <si>
    <t>TEA TIME PARTY BUNTING | incorrectly credited C550456 see 47 | reverse previous adjustment</t>
  </si>
  <si>
    <t>TEA TIME PARTY BUNTING</t>
  </si>
  <si>
    <t>TEA TIME KITCHEN APRON</t>
  </si>
  <si>
    <t>TEA TIME TABLE CLOTH</t>
  </si>
  <si>
    <t>ENGLISH ROSE SCENTED HANGING FLOWER | check</t>
  </si>
  <si>
    <t>ENGLISH ROSE SCENTED HANGING HEART</t>
  </si>
  <si>
    <t>ENGLISH ROSE SMALL SCENTED FLOWER</t>
  </si>
  <si>
    <t>TEA TIME BREAKFAST BASKET</t>
  </si>
  <si>
    <t>TEA TIME DES TEA COSY</t>
  </si>
  <si>
    <t>PINK FAIRY CAKE CUSHION COVER</t>
  </si>
  <si>
    <t>CONGRATULATIONS BUNTING</t>
  </si>
  <si>
    <t>BLUE HAPPY BIRTHDAY BUNTING</t>
  </si>
  <si>
    <t>PINK HAPPY BIRTHDAY BUNTING | check</t>
  </si>
  <si>
    <t>PINK HAPPY BIRTHDAY BUNTING</t>
  </si>
  <si>
    <t>47591A</t>
  </si>
  <si>
    <t>? | SCOTTIES CHILDRENS APRON</t>
  </si>
  <si>
    <t>PINK FAIRY CAKE CHILDRENS APRON</t>
  </si>
  <si>
    <t>SCOTTIES CHILDRENS APRON</t>
  </si>
  <si>
    <t>CAROUSEL PONIES BABY BIB | found</t>
  </si>
  <si>
    <t>SCOTTIE DOGS BABY BIB</t>
  </si>
  <si>
    <t>CAROUSEL DESIGN WASHBAG</t>
  </si>
  <si>
    <t>SCOTTIES DESIGN WASHBAG</t>
  </si>
  <si>
    <t>PINK PARTY BAGS</t>
  </si>
  <si>
    <t xml:space="preserve">BLUE PARTY BAGS </t>
  </si>
  <si>
    <t>BLUE PARTY BAGS</t>
  </si>
  <si>
    <t>DOORMAT 3 SMILEY CATS</t>
  </si>
  <si>
    <t>DOORMAT MULTICOLOUR STRIPE</t>
  </si>
  <si>
    <t>DOORMAT TOPIARY</t>
  </si>
  <si>
    <t>DOORMAT UNION FLAG</t>
  </si>
  <si>
    <t xml:space="preserve">DOORMAT BLACK FLOCK </t>
  </si>
  <si>
    <t>DOORMAT BLACK FLOCK</t>
  </si>
  <si>
    <t xml:space="preserve">DOORMAT ENGLISH ROSE </t>
  </si>
  <si>
    <t>DOORMAT ENGLISH ROSE</t>
  </si>
  <si>
    <t>? | DOORMAT FAIRY CAKE</t>
  </si>
  <si>
    <t>DOORMAT NEW ENGLAND</t>
  </si>
  <si>
    <t>DOORMAT WELCOME PUPPIES</t>
  </si>
  <si>
    <t>DOORMAT FRIENDSHIP  | adjustment | damaged</t>
  </si>
  <si>
    <t>DOORMAT FRIENDSHIP | adjustment | damaged</t>
  </si>
  <si>
    <t>DOORMAT HEARTS</t>
  </si>
  <si>
    <t>AFGHAN SLIPPER SOCK PAIR</t>
  </si>
  <si>
    <t>FEATHER PEN,HOT PINK</t>
  </si>
  <si>
    <t>FEATHER PEN,COAL BLACK</t>
  </si>
  <si>
    <t>FEATHER PEN,LIGHT PINK</t>
  </si>
  <si>
    <t>SUMMER FUN DESIGN SHOWER CAP | adjustment</t>
  </si>
  <si>
    <t>STRIPY DESIGN SHOWER CAP | adjust</t>
  </si>
  <si>
    <t xml:space="preserve">SOMBRERO </t>
  </si>
  <si>
    <t>SOMBRERO</t>
  </si>
  <si>
    <t>BLUE CHECK BAG W HANDLE 34X20CM</t>
  </si>
  <si>
    <t>ELEPHANT CLIP W SUCTION CUP</t>
  </si>
  <si>
    <t>PINK RETRO BIG FLOWER BAG</t>
  </si>
  <si>
    <t xml:space="preserve">TURQ ICE CREAM BUM BAG </t>
  </si>
  <si>
    <t>TURQ ICE CREAM BUM BAG</t>
  </si>
  <si>
    <t>62095B</t>
  </si>
  <si>
    <t>PINK/YELLOW FLOWERS HANDBAG</t>
  </si>
  <si>
    <t>PURPLE/TURQ FLOWERS HANDBAG</t>
  </si>
  <si>
    <t>BLUE STRIPES SHOULDER BAG</t>
  </si>
  <si>
    <t>LOVE HEART POCKET WARMER</t>
  </si>
  <si>
    <t>HI TEC ALPINE HAND WARMER</t>
  </si>
  <si>
    <t>WHITE HANGING BEADS CANDLE HOLDER | check</t>
  </si>
  <si>
    <t>SMALL SINGLE FLAME CANDLE HOLDER</t>
  </si>
  <si>
    <t>WHITE METAL LANTERN | WHITE MOROCCAN METAL LANTERN</t>
  </si>
  <si>
    <t xml:space="preserve">STANDING FAIRY POLE SUPPORT </t>
  </si>
  <si>
    <t>STANDING FAIRY POLE SUPPORT</t>
  </si>
  <si>
    <t>ANTIQUE SILVER BOOK MARK WITH BEADS | SILVER BOOK MARK WITH BEADS</t>
  </si>
  <si>
    <t>METAL BASE FOR CANDLES</t>
  </si>
  <si>
    <t>PHOTO CLIP LINE</t>
  </si>
  <si>
    <t>PINK GLASS CANDLEHOLDER | damages</t>
  </si>
  <si>
    <t>PINK/WHITE "KEEP CLEAN" BULLET BIN</t>
  </si>
  <si>
    <t>BLACK ORANGE SQUEEZER</t>
  </si>
  <si>
    <t>HANGING JAM JAR T-LIGHT HOLDER | HANGING JAM JAR T-LIGHT HOLDERS</t>
  </si>
  <si>
    <t>COLOUR GLASS. STAR T-LIGHT HOLDER | COLOURED GLASS STAR T-LIGHT HOLDER</t>
  </si>
  <si>
    <t>CD WALL TIDY BLUE OFFICE</t>
  </si>
  <si>
    <t>CD WALL TIDY RED FLOWERS</t>
  </si>
  <si>
    <t>A4 WALL TIDY BLUE OFFICE</t>
  </si>
  <si>
    <t>A4 WALL TIDY RED FLOWERS</t>
  </si>
  <si>
    <t>SQUARE METAL CANDLEHOLDER BASE</t>
  </si>
  <si>
    <t>LILAC VOTIVE CANDLE</t>
  </si>
  <si>
    <t>72038P</t>
  </si>
  <si>
    <t>damages</t>
  </si>
  <si>
    <t>BAG OF SILVER STONES</t>
  </si>
  <si>
    <t>COFFEE SCENT PILLAR CANDLE</t>
  </si>
  <si>
    <t>COLUMBIAN CANDLE ROUND  | found box</t>
  </si>
  <si>
    <t>COLUMBIAN CANDLE ROUND | found box</t>
  </si>
  <si>
    <t>COLUMBIAN CANDLE ROUND</t>
  </si>
  <si>
    <t>COLUMBIAN CANDLE RECTANGLE</t>
  </si>
  <si>
    <t>COLUMBIAN CUBE CANDLE</t>
  </si>
  <si>
    <t xml:space="preserve">COLUMBIAN  CUBE CANDLE </t>
  </si>
  <si>
    <t>COLUMBIAN  CUBE CANDLE</t>
  </si>
  <si>
    <t>BEST DAD CANDLE LETTERS</t>
  </si>
  <si>
    <t>72140F</t>
  </si>
  <si>
    <t>throw away</t>
  </si>
  <si>
    <t>LAVENDER SCENT CAKE CANDLE</t>
  </si>
  <si>
    <t>FENG SHUI PILLAR CANDLE</t>
  </si>
  <si>
    <t>SET/6 PURPLE BUTTERFLY T-LIGHTS</t>
  </si>
  <si>
    <t>SET/6 TURQUOISE BUTTERFLY T-LIGHTS</t>
  </si>
  <si>
    <t>SET/6 PINK  BUTTERFLY T-LIGHTS</t>
  </si>
  <si>
    <t>PINK CLEAR GLASS CANDLE PLATE</t>
  </si>
  <si>
    <t>SET OF 6 HALLOWEEN GHOST T-LIGHTS</t>
  </si>
  <si>
    <t>SET/12 TAPER CANDLES</t>
  </si>
  <si>
    <t xml:space="preserve">IVORY SCULPTED RND CANDLE </t>
  </si>
  <si>
    <t>IVORY SCULPTED RND CANDLE</t>
  </si>
  <si>
    <t>72732</t>
  </si>
  <si>
    <t>thrown away-can't sell</t>
  </si>
  <si>
    <t>GRAND CHOCOLATECANDLE</t>
  </si>
  <si>
    <t>72759</t>
  </si>
  <si>
    <t>thrown away-can't sell.</t>
  </si>
  <si>
    <t>VINTAGE CREAM 3 BASKET CAKE STAND</t>
  </si>
  <si>
    <t>BLACK SILOUETTE CANDLE PLATE</t>
  </si>
  <si>
    <t>72781</t>
  </si>
  <si>
    <t xml:space="preserve">BLACK SIL'T SQU CANDLE PLATE </t>
  </si>
  <si>
    <t>BLACK SIL'T SQU CANDLE PLATE</t>
  </si>
  <si>
    <t>72789</t>
  </si>
  <si>
    <t>72793</t>
  </si>
  <si>
    <t>SET/4 GARDEN ROSE DINNER CANDLE</t>
  </si>
  <si>
    <t>PINK PILLAR CANDLE SILVER FLOCK</t>
  </si>
  <si>
    <t>IVORY PILLAR CANDLE SILVER FLOCK</t>
  </si>
  <si>
    <t>IVORY PILLAR CANDLE GOLD FLOCK</t>
  </si>
  <si>
    <t xml:space="preserve"> 4 PURPLE FLOCK DINNER CANDLES</t>
  </si>
  <si>
    <t>4 PURPLE FLOCK DINNER CANDLES</t>
  </si>
  <si>
    <t>4 PINK DINNER CANDLE SILVER FLOCK</t>
  </si>
  <si>
    <t>4 BLUE DINNER CANDLES SILVER FLOCK</t>
  </si>
  <si>
    <t>4 IVORY DINNER CANDLES SILVER FLOCK</t>
  </si>
  <si>
    <t>72800F</t>
  </si>
  <si>
    <t>4 ROSE PINK DINNER CANDLES | check</t>
  </si>
  <si>
    <t>4 SKY BLUE DINNER CANDLES</t>
  </si>
  <si>
    <t>4 BURGUNDY WINE DINNER CANDLES</t>
  </si>
  <si>
    <t>4 ROSE PINK DINNER CANDLES</t>
  </si>
  <si>
    <t>? | Had been put aside. | ROSE SCENT CANDLE IN JEWELLED BOX | Wet pallet-thrown away</t>
  </si>
  <si>
    <t>OCEAN SCENT CANDLE IN JEWELLED BOX | check</t>
  </si>
  <si>
    <t>VANILLA SCENT CANDLE JEWELLED BOX | check | damages</t>
  </si>
  <si>
    <t>ROSE SCENT CANDLE IN JEWELLED BOX</t>
  </si>
  <si>
    <t>VANILLA SCENT CANDLE JEWELLED BOX</t>
  </si>
  <si>
    <t>? | ROSE SCENT CANDLE JEWELLED DRAWER | damages</t>
  </si>
  <si>
    <t>72803B</t>
  </si>
  <si>
    <t>OCEAN SCENT CANDLE JEWELLED DRAWER</t>
  </si>
  <si>
    <t>???missing | AMAZON | SET/3 ROSE CANDLE IN JEWELLED BOX | damages | wet pallet</t>
  </si>
  <si>
    <t>????missing | SET/3 OCEAN SCENT CANDLE JEWEL BOX | damages | wet pallet</t>
  </si>
  <si>
    <t>???missing | SET/3 VANILLA SCENTED CANDLE IN BOX | damages | wet pallet</t>
  </si>
  <si>
    <t>SET/3 ROSE CANDLE IN JEWELLED BOX</t>
  </si>
  <si>
    <t>SET/3 OCEAN SCENT CANDLE JEWEL BOX</t>
  </si>
  <si>
    <t>SET/3 VANILLA SCENTED CANDLE IN BOX</t>
  </si>
  <si>
    <t>SMALL ZINC/GLASS CANDLEHOLDER</t>
  </si>
  <si>
    <t>LARGE ZINC GLASS CANDLEHOLDER</t>
  </si>
  <si>
    <t>72814</t>
  </si>
  <si>
    <t xml:space="preserve">3 WICK CHRISTMAS BRIAR CANDLE </t>
  </si>
  <si>
    <t>3 WICK CHRISTMAS BRIAR CANDLE</t>
  </si>
  <si>
    <t>SET/3 CHRISTMAS DECOUPAGE CANDLES</t>
  </si>
  <si>
    <t>SET OF 2 CHRISTMAS DECOUPAGE CANDLE | check | dotcomstock</t>
  </si>
  <si>
    <t>CHRISTMAS DECOUPAGE CANDLE | check</t>
  </si>
  <si>
    <t>CUPID DESIGN SCENTED CANDLES</t>
  </si>
  <si>
    <t>CUPID SCENTED CANDLE IN GLASS</t>
  </si>
  <si>
    <t>BLUE DAISY MOBILE</t>
  </si>
  <si>
    <t>STRING OF 8 BUTTERFLIES,PINK</t>
  </si>
  <si>
    <t>LARGE CIRCULAR MIRROR MOBILE</t>
  </si>
  <si>
    <t>METAL TUBE CHIME ON BAMBOO</t>
  </si>
  <si>
    <t>PAINTED SEA SHELL METAL WINDCHIME</t>
  </si>
  <si>
    <t>ASSTD COL BUTTERFLY/CRYSTAL W/CHIME</t>
  </si>
  <si>
    <t>DOLPHIN WINDMILL</t>
  </si>
  <si>
    <t>77081</t>
  </si>
  <si>
    <t>UNION FLAG WINDSOCK</t>
  </si>
  <si>
    <t>78027</t>
  </si>
  <si>
    <t>FLAG OF ST GEORGE CHAIR</t>
  </si>
  <si>
    <t>BLUE NETTING STORAGE HANGER</t>
  </si>
  <si>
    <t xml:space="preserve">MAGAZINE RACK GEBRA ASSORTED </t>
  </si>
  <si>
    <t>MAGAZINE RACK GEBRA ASSORTED</t>
  </si>
  <si>
    <t>MOROCCAN TEA GLASS</t>
  </si>
  <si>
    <t>S/4 ICON COASTER,ELVIS LIVES</t>
  </si>
  <si>
    <t>TUMBLER BAROQUE | TUMBLER, BAROQUE | damages</t>
  </si>
  <si>
    <t>TUMBLER NEW ENGLAND | TUMBLER, NEW ENGLAND | Water damaged | damages</t>
  </si>
  <si>
    <t>SMOKEY GREY COLOUR D.O.F. GLASS | SMOKEY GREY COLOUR GLASS | sold as set on dotcom</t>
  </si>
  <si>
    <t>RETRO TIN ASHTRAY,REVOLUTIONARY</t>
  </si>
  <si>
    <t>RETRO PILL BOX KEY CHAIN,THE KING</t>
  </si>
  <si>
    <t>RETRO PILL BOX , REVOLUTIONARY</t>
  </si>
  <si>
    <t>RETRO MOD TRAY</t>
  </si>
  <si>
    <t>CORONA MEXICAN TRAY</t>
  </si>
  <si>
    <t>ENGLISH ROSE METAL WASTE BIN</t>
  </si>
  <si>
    <t>PAINTED LIGHTBULB STAR+ MOON</t>
  </si>
  <si>
    <t>PAINTED LIGHTBULB RAINBOW DESIGN</t>
  </si>
  <si>
    <t>SILICON STAR BULB  BLUE</t>
  </si>
  <si>
    <t>SILICON CUBE 25W, BLUE</t>
  </si>
  <si>
    <t>UBO-LIGHT TRIOBASE BLUE</t>
  </si>
  <si>
    <t>UBO-LIGHT TRIOBASE PURPLE</t>
  </si>
  <si>
    <t>HEART SHAPE WIRELESS DOORBELL</t>
  </si>
  <si>
    <t>ST GEORGE SET OF 10 PARTY LIGHTS</t>
  </si>
  <si>
    <t>BLACK CHAMPAGNE GLASS | damaged | sold as set on dotcom</t>
  </si>
  <si>
    <t>BLACK WINE GLASS | damages/credits from ASOS.</t>
  </si>
  <si>
    <t>79172D</t>
  </si>
  <si>
    <t>RETRO PLASTIC 70'S TRAY</t>
  </si>
  <si>
    <t>RETRO PLASTIC POLKA TRAY</t>
  </si>
  <si>
    <t>RETRO PLASTIC DAISY TRAY</t>
  </si>
  <si>
    <t>RETRO PLASTIC ELEPHANT TRAY</t>
  </si>
  <si>
    <t>ART LIGHTS,FUNK MONKEY</t>
  </si>
  <si>
    <t>FLAMINGO LIGHTS</t>
  </si>
  <si>
    <t>CHILLI LIGHTS</t>
  </si>
  <si>
    <t>BLACK CHERRY LIGHTS | Unsaleable, destroyed.</t>
  </si>
  <si>
    <t>79323G</t>
  </si>
  <si>
    <t>Unsaleable, destroyed.</t>
  </si>
  <si>
    <t>79323GR</t>
  </si>
  <si>
    <t>79323LP</t>
  </si>
  <si>
    <t>PINK CHERRY LIGHTS | Unsaleable, destroyed.</t>
  </si>
  <si>
    <t>79323S</t>
  </si>
  <si>
    <t>Unsaleable, destroyed. | WHITE CHERRY LIGHTS</t>
  </si>
  <si>
    <t>PINK FLOCK GLASS CANDLEHOLDER</t>
  </si>
  <si>
    <t>LIGHT PINK FLOCK GLASS CANDLEHOLDER</t>
  </si>
  <si>
    <t>BLUE FLOCK GLASS CANDLEHOLDER</t>
  </si>
  <si>
    <t>79341</t>
  </si>
  <si>
    <t>79342B</t>
  </si>
  <si>
    <t xml:space="preserve">FROSTED WHITE BASE </t>
  </si>
  <si>
    <t>FROSTED WHITE BASE</t>
  </si>
  <si>
    <t>FLOWER BLUE CLOCK WITH SUCKER</t>
  </si>
  <si>
    <t>FLOWER PURPLE CLOCK W/SUCKER | FLOWER PURPLE CLOCK WITH SUCKER</t>
  </si>
  <si>
    <t>ROUND BLUE CLOCK WITH SUCKER</t>
  </si>
  <si>
    <t>ROUND PURPLE CLOCK WITH SUCKER</t>
  </si>
  <si>
    <t>ROUND ARTICULATED PINK CLOCK W/SUCK</t>
  </si>
  <si>
    <t>SILVER RECORD COVER FRAME | VINYL RECORD FRAME SILVER</t>
  </si>
  <si>
    <t>BATHROOM SCALES, TROPICAL BEACH</t>
  </si>
  <si>
    <t>BATHROOM SCALES RUBBER DUCKS</t>
  </si>
  <si>
    <t>BATHROOM SCALES FOOTPRINTS IN SAND</t>
  </si>
  <si>
    <t>HEART BUTTONS JEWELLERY BOX</t>
  </si>
  <si>
    <t>WOODEN PICTURE FRAME WHITE FINISH</t>
  </si>
  <si>
    <t>WOOD 2 DRAWER CABINET WHITE FINISH | crushed</t>
  </si>
  <si>
    <t>WOOD BLACK BOARD ANT WHITE FINISH</t>
  </si>
  <si>
    <t>3 DRAWER ANTIQUE WHITE WOOD CABINET | WOOD S/3 CABINET ANT WHITE FINISH</t>
  </si>
  <si>
    <t>WOODEN FRAME ANTIQUE WHITE  | cracked | crushed ctn</t>
  </si>
  <si>
    <t>WOODEN FRAME ANTIQUE WHITE | cracked | crushed ctn</t>
  </si>
  <si>
    <t xml:space="preserve">WOODEN FRAME ANTIQUE WHITE </t>
  </si>
  <si>
    <t>WOODEN FRAME ANTIQUE WHITE</t>
  </si>
  <si>
    <t>82545A</t>
  </si>
  <si>
    <t>LAUNDRY 15C METAL SIGN</t>
  </si>
  <si>
    <t>WASHROOM METAL SIGN</t>
  </si>
  <si>
    <t>AIRLINE LOUNGE,METAL SIGN</t>
  </si>
  <si>
    <t>KITCHEN METAL SIGN</t>
  </si>
  <si>
    <t>TOILET METAL SIGN</t>
  </si>
  <si>
    <t>?? | AREA PATROLLED METAL SIGN</t>
  </si>
  <si>
    <t>? | FBA | HOT BATHS METAL SIGN | amazon</t>
  </si>
  <si>
    <t>? | FANNY'S REST STOPMETAL SIGN</t>
  </si>
  <si>
    <t>N0 SINGING METAL SIGN | NO SINGING METAL SIGN | check | historic computer difference?....se</t>
  </si>
  <si>
    <t>OLD DOC RUSSEL METAL SIGN</t>
  </si>
  <si>
    <t>Amazon | METAL SIGN,CUPCAKE SINGLE HOOK</t>
  </si>
  <si>
    <t>METAL SIGN,CUPCAKE SINGLE HOOK</t>
  </si>
  <si>
    <t>METAL SIGN CUPCAKE SINGLE HOOK</t>
  </si>
  <si>
    <t>PINK MARSHMALLOW SCARF KNITTING KIT</t>
  </si>
  <si>
    <t>FRAPPUCINO SCARF KNITTING KIT</t>
  </si>
  <si>
    <t>MIDNIGHT GLAMOUR SCARF KNITTING KIT</t>
  </si>
  <si>
    <t>MAGIC TREE -PAPER FLOWERS</t>
  </si>
  <si>
    <t>84007</t>
  </si>
  <si>
    <t>MAGIC SHEEP WOOL GROWING FROM PAPER</t>
  </si>
  <si>
    <t>FLAG OF ST GEORGE CAR FLAG</t>
  </si>
  <si>
    <t>RED WOOLLY HOTTIE WHITE HEART.</t>
  </si>
  <si>
    <t>KNITTED UNION FLAG HOT WATER BOTTLE</t>
  </si>
  <si>
    <t>ENGLISH ROSE HOT WATER BOTTLE</t>
  </si>
  <si>
    <t xml:space="preserve">CHARLIE+LOLA RED HOT WATER BOTTLE </t>
  </si>
  <si>
    <t>CHARLIE+LOLA RED HOT WATER BOTTLE</t>
  </si>
  <si>
    <t xml:space="preserve">CHARLIE LOLA BLUE HOT WATER BOTTLE </t>
  </si>
  <si>
    <t>CHARLIE LOLA BLUE HOT WATER BOTTLE</t>
  </si>
  <si>
    <t>CHARLIE+LOLA PINK HOT WATER BOTTLE</t>
  </si>
  <si>
    <t>CHARLIE + LOLA RED HOT WATER BOTTLE</t>
  </si>
  <si>
    <t xml:space="preserve">FLAG OF ST GEORGE </t>
  </si>
  <si>
    <t>FLAG OF ST GEORGE</t>
  </si>
  <si>
    <t>PINK HEART SHAPE EGG FRYING PAN | check | counted</t>
  </si>
  <si>
    <t>ASS COLOUR GLOWING TIARAS</t>
  </si>
  <si>
    <t>WORLD WAR 2 GLIDERS ASSTD DESIGNS</t>
  </si>
  <si>
    <t xml:space="preserve">SET/4 WHITE RETRO STORAGE CUBES </t>
  </si>
  <si>
    <t>SET/4 WHITE RETRO STORAGE CUBES</t>
  </si>
  <si>
    <t>YELLOW/BLUE RETRO RADIO</t>
  </si>
  <si>
    <t>PINK/PURPLE RETRO RADIO</t>
  </si>
  <si>
    <t xml:space="preserve">ASSORTED COLOUR METAL CAT </t>
  </si>
  <si>
    <t>ASSORTED COLOUR METAL CAT</t>
  </si>
  <si>
    <t>GLOW IN DARK DOLPHINS</t>
  </si>
  <si>
    <t>HAPPY BIRTHDAY CARD STRIPEY TEDDY</t>
  </si>
  <si>
    <t>HAPPY BIRTHDAY CARD TEDDY/CAKE</t>
  </si>
  <si>
    <t>3 BLACK CATS W HEARTS BLANK CARD</t>
  </si>
  <si>
    <t>CAT WITH SUNGLASSES BLANK CARD</t>
  </si>
  <si>
    <t>CHAMPAGNE TRAY BLANK CARD</t>
  </si>
  <si>
    <t>ASSORTED FLOWER COLOUR "LEIS"</t>
  </si>
  <si>
    <t>BOX/12 CHICK &amp; EGG IN BASKET</t>
  </si>
  <si>
    <t>HEN HOUSE W FAMILY IN BARN &amp; NEST</t>
  </si>
  <si>
    <t>HEN HOUSE W CHICK IN NEST</t>
  </si>
  <si>
    <t>HEN HOUSE W CHICK STANDING | HEN HOUSE WITH CHICK STANDING | crushed</t>
  </si>
  <si>
    <t>EASTER BUNNY WITH BASKET ON BACK</t>
  </si>
  <si>
    <t>84247C</t>
  </si>
  <si>
    <t>PACK OF 12 CHRISTMAS FUN CARDS | PACK/12 XMAS FUN CARD</t>
  </si>
  <si>
    <t>DECOUPAGE,GREETING CARD,</t>
  </si>
  <si>
    <t>FOLK ART GREETING CARD,pack/12</t>
  </si>
  <si>
    <t>FAWN AND MUSHROOM GREETING CARD</t>
  </si>
  <si>
    <t>PACK/12 BLUE FOLKART CARDS</t>
  </si>
  <si>
    <t>GREETING CARD,SQUARE, DOUGHNUTS | check | damaged</t>
  </si>
  <si>
    <t>GREETING CARD, STICKY GORDON</t>
  </si>
  <si>
    <t>GREETING CARD, TWO SISTERS.</t>
  </si>
  <si>
    <t>84251F</t>
  </si>
  <si>
    <t>GREETING CARD, OVERCROWDED POOL.</t>
  </si>
  <si>
    <t>84251J</t>
  </si>
  <si>
    <t>ASSTD DESIGN BUBBLE GUM RING</t>
  </si>
  <si>
    <t>CHERRY BLOSSOM DECORATIVE FLASK</t>
  </si>
  <si>
    <t>CHERRY BLOSSOM  DECORATIVE FLASK | check | found</t>
  </si>
  <si>
    <t>S/3 PINK SQUARE PLANTERS ROSES</t>
  </si>
  <si>
    <t>BLUE TV TRAY TABLE  | Damaged</t>
  </si>
  <si>
    <t>BLUE TV TRAY TABLE | Damaged</t>
  </si>
  <si>
    <t>ORANGE TV TRAY TABLE  | damaged</t>
  </si>
  <si>
    <t>ORANGE TV TRAY TABLE | damaged</t>
  </si>
  <si>
    <t>SMALL PINK MAGIC CHRISTMAS TREE</t>
  </si>
  <si>
    <t>ROTATING SILVER ANGELS T-LIGHT HLDR</t>
  </si>
  <si>
    <t xml:space="preserve">Damages/samples | SILVER CHRISTMAS TREE BAUBLE STAND </t>
  </si>
  <si>
    <t>Damages/samples | SILVER CHRISTMAS TREE BAUBLE STAND</t>
  </si>
  <si>
    <t>POMPOM CURTAIN</t>
  </si>
  <si>
    <t>FLOOR LAMP SHADE WOOD BASE</t>
  </si>
  <si>
    <t>TABLE LAMP WHITE SHADE WOOD BASE</t>
  </si>
  <si>
    <t>SET OF 20 KIDS COOKIE CUTTERS</t>
  </si>
  <si>
    <t>SET OF 3 HEART COOKIE CUTTERS</t>
  </si>
  <si>
    <t>SET OF 3 BUTTERFLY COOKIE CUTTERS</t>
  </si>
  <si>
    <t>BIRD ON BRANCH CANVAS SCREEN</t>
  </si>
  <si>
    <t>WISE MAN STAR SHAPE EGG PAN</t>
  </si>
  <si>
    <t>PURPLE DRESS JEWELLERY STAND</t>
  </si>
  <si>
    <t>? | CREAM CUPID HEARTS COAT HANGER | incorrectly made-thrown away.</t>
  </si>
  <si>
    <t xml:space="preserve">PINK FLOCK SUEDE CUSHION COVER </t>
  </si>
  <si>
    <t>PINK FLOCK SUEDE CUSHION COVER</t>
  </si>
  <si>
    <t xml:space="preserve">BLUE FLOCK CUSHION COVER </t>
  </si>
  <si>
    <t>BLUE FLOCK CUSHION COVER</t>
  </si>
  <si>
    <t>Dagamed | PINK/BLUE DISC/MIRROR STRING</t>
  </si>
  <si>
    <t>84424A</t>
  </si>
  <si>
    <t xml:space="preserve">MEDIUM PINK BUDDHA HEAD </t>
  </si>
  <si>
    <t>MEDIUM PINK BUDDHA HEAD</t>
  </si>
  <si>
    <t xml:space="preserve">METAL RABBIT LADDER EASTER </t>
  </si>
  <si>
    <t>METAL RABBIT LADDER EASTER</t>
  </si>
  <si>
    <t>84455</t>
  </si>
  <si>
    <t>SET/3 RABBITS FLOWER SKIPPPING ROPE</t>
  </si>
  <si>
    <t xml:space="preserve">PINK METAL CHICKEN HEART </t>
  </si>
  <si>
    <t>PINK METAL CHICKEN HEART</t>
  </si>
  <si>
    <t xml:space="preserve">YELLOW METAL CHICKEN HEART </t>
  </si>
  <si>
    <t>YELLOW METAL CHICKEN HEART</t>
  </si>
  <si>
    <t>12 PINK HEN+CHICKS IN BASKET</t>
  </si>
  <si>
    <t>3 PINK HEN+CHICKS IN BASKET</t>
  </si>
  <si>
    <t>15 PINK FLUFFY CHICKS IN BOX</t>
  </si>
  <si>
    <t>TOP SECRET PEN SET</t>
  </si>
  <si>
    <t>84482</t>
  </si>
  <si>
    <t xml:space="preserve">BUTTONS AND STRIPES NOTEBOOK </t>
  </si>
  <si>
    <t>BUTTONS AND STRIPES NOTEBOOK</t>
  </si>
  <si>
    <t>BLACK FLOWER CANDLE PLATE</t>
  </si>
  <si>
    <t>STRIPES DESIGN MONKEY DOLL</t>
  </si>
  <si>
    <t>BLUE CIRCLES DESIGN MONKEY DOLL | adjustment</t>
  </si>
  <si>
    <t>CAMOUFLAGE DESIGN TEDDY | check</t>
  </si>
  <si>
    <t>STRIPES DESIGN TEDDY</t>
  </si>
  <si>
    <t>BLUE CIRCLES DESIGN TEDDY | check</t>
  </si>
  <si>
    <t>SET OF 4 ENGLISH ROSE PLACEMATS</t>
  </si>
  <si>
    <t>SET OF 4 FAIRY CAKE PLACEMATS</t>
  </si>
  <si>
    <t xml:space="preserve">SET OF 4 POLKADOT PLACEMATS </t>
  </si>
  <si>
    <t>SET OF 4 POLKADOT PLACEMATS</t>
  </si>
  <si>
    <t xml:space="preserve">SET OF 4 CAROUSEL PLACEMATS </t>
  </si>
  <si>
    <t>SET OF 4 CAROUSEL PLACEMATS</t>
  </si>
  <si>
    <t>84509F</t>
  </si>
  <si>
    <t xml:space="preserve">SET OF 4 FAIRY CAKE PLACEMATS </t>
  </si>
  <si>
    <t>SET OF 4 ENGLISH ROSE COASTERS</t>
  </si>
  <si>
    <t>SET OF 4 POLKADOT COASTERS</t>
  </si>
  <si>
    <t>SET OF 4 GREEN CAROUSEL COASTERS</t>
  </si>
  <si>
    <t>TOMATO CHARLIE+LOLA COASTER SET</t>
  </si>
  <si>
    <t>CARROT CHARLIE+LOLA COASTER SET</t>
  </si>
  <si>
    <t>PACK 20 ENGLISH ROSE PAPER NAPKINS</t>
  </si>
  <si>
    <t>PINK PARTY SUNGLASSES</t>
  </si>
  <si>
    <t>84526</t>
  </si>
  <si>
    <t>FLAMES SUNGLASSES PINK LENSES</t>
  </si>
  <si>
    <t>PINK KNITTED EGG COSY | returned</t>
  </si>
  <si>
    <t>BLUE KNITTED EGG COSY | returned</t>
  </si>
  <si>
    <t>FAIRY CAKE NOTEBOOK A5 SIZE</t>
  </si>
  <si>
    <t>ENGLISH ROSE NOTEBOOK A6 SIZE</t>
  </si>
  <si>
    <t>FAIRY CAKES NOTEBOOK A6 SIZE</t>
  </si>
  <si>
    <t>ENGLISH ROSE NOTEBOOK A7 SIZE</t>
  </si>
  <si>
    <t>FAIRY CAKES NOTEBOOK A7 SIZE</t>
  </si>
  <si>
    <t xml:space="preserve">KNITTED RABBIT DOLL </t>
  </si>
  <si>
    <t>KNITTED RABBIT DOLL</t>
  </si>
  <si>
    <t>84546</t>
  </si>
  <si>
    <t>CROCHET BEAR RED/BLUE  KEYRING</t>
  </si>
  <si>
    <t xml:space="preserve">CROCHET WHITE RABBIT KEYRING </t>
  </si>
  <si>
    <t>CROCHET WHITE RABBIT KEYRING</t>
  </si>
  <si>
    <t>CROCHET LILAC/RED BEAR KEYRING</t>
  </si>
  <si>
    <t>CROCHET DOG KEYRING</t>
  </si>
  <si>
    <t>3D DOG PICTURE PLAYING CARDS</t>
  </si>
  <si>
    <t>3D SHEET OF DOG STICKERS</t>
  </si>
  <si>
    <t>3D SHEET OF CAT STICKERS</t>
  </si>
  <si>
    <t>84559D</t>
  </si>
  <si>
    <t>PINK/WHITE RIBBED MELAMINE JUG</t>
  </si>
  <si>
    <t>PINK &amp; WHITE BREAKFAST TRAY | damaged</t>
  </si>
  <si>
    <t>BLUE &amp; WHITE BREAKFAST TRAY | damaged</t>
  </si>
  <si>
    <t xml:space="preserve">GIRLS ALPHABET IRON ON PATCHES </t>
  </si>
  <si>
    <t>GIRLS ALPHABET IRON ON PATCHES</t>
  </si>
  <si>
    <t>PACK 3 IRON ON DOG PATCHES</t>
  </si>
  <si>
    <t>PACK 3 FIRE ENGINE/CAR PATCHES</t>
  </si>
  <si>
    <t>PACK 4 FLOWER/BUTTERFLY PATCHES</t>
  </si>
  <si>
    <t>PACK 6 HEART/ICE-CREAM PATCHES</t>
  </si>
  <si>
    <t>PINK DOG CANNISTER</t>
  </si>
  <si>
    <t>BLUE CAT BISCUIT BARREL PINK HEART | damaged</t>
  </si>
  <si>
    <t>MOUSE TOY WITH PINK T-SHIRT</t>
  </si>
  <si>
    <t>DOG TOY WITH PINK CROCHET SKIRT | check</t>
  </si>
  <si>
    <t>? | PINK GINGHAM CAT WITH SCARF</t>
  </si>
  <si>
    <t>CROCHET ROSE PURSE WITH SUEDE BACK</t>
  </si>
  <si>
    <t>CROCHET ROSE DES CLOTHES HANGER</t>
  </si>
  <si>
    <t>LARGE TORTILLA DESIGN RED BOWL</t>
  </si>
  <si>
    <t>SMALL DOLLY MIX DESIGN ORANGE BOWL</t>
  </si>
  <si>
    <t>SMALL LICORICE DES PINK BOWL</t>
  </si>
  <si>
    <t>SMALL MARSHMALLOWS PINK BOWL</t>
  </si>
  <si>
    <t>?? | SMALL CHOCOLATES PINK BOWL</t>
  </si>
  <si>
    <t>MIXED NUTS LIGHT GREEN BOWL</t>
  </si>
  <si>
    <t>BISCUITS SMALL BOWL LIGHT BLUE</t>
  </si>
  <si>
    <t>SMALL CHOCOLATES PINK BOWL</t>
  </si>
  <si>
    <t>RETRO BROWN BALL ASHTRAY  | damages</t>
  </si>
  <si>
    <t>RETRO BROWN BALL ASHTRAY | damages</t>
  </si>
  <si>
    <t xml:space="preserve">RETRO PINK BALL ASHTRAY </t>
  </si>
  <si>
    <t>RETRO PINK BALL ASHTRAY</t>
  </si>
  <si>
    <t>BOYS ALPHABET IRON ON PATCHES | check</t>
  </si>
  <si>
    <t xml:space="preserve">NEW BAROQUE JEWELLERY BOX </t>
  </si>
  <si>
    <t>NEW BAROQUE JEWELLERY BOX</t>
  </si>
  <si>
    <t>TALL ROCOCO CANDLE HOLDER | damages</t>
  </si>
  <si>
    <t>84611B</t>
  </si>
  <si>
    <t>84612B</t>
  </si>
  <si>
    <t>PINK NEW BAROQUE FLOCK CANDLESTICK | thrown away</t>
  </si>
  <si>
    <t>BLUE NEW BAROQUE FLOCK CANDLESTICK</t>
  </si>
  <si>
    <t>PINK BAROQUE FLOCK CANDLE HOLDER | thrown away</t>
  </si>
  <si>
    <t>SILVER ROCCOCO CHANDELIER</t>
  </si>
  <si>
    <t>NEW BAROQUE BLACK BOXES</t>
  </si>
  <si>
    <t>BLUE GINGHAM ROSE CUSHION COVER</t>
  </si>
  <si>
    <t>PINK NEW BAROQUECANDLESTICK CANDLE</t>
  </si>
  <si>
    <t>BLUE NEW BAROQUE CANDLESTICK CANDLE</t>
  </si>
  <si>
    <t xml:space="preserve">WHITE 3 FRAME BIRDS AND TREE </t>
  </si>
  <si>
    <t>WHITE 3 FRAME BIRDS AND TREE</t>
  </si>
  <si>
    <t>FRUIT TREE AND BIRDS WALL PLAQUE</t>
  </si>
  <si>
    <t>DECORATIVE HANGING SHELVING UNIT</t>
  </si>
  <si>
    <t>KITCHEN FLOWER POTS WALL PLAQUE</t>
  </si>
  <si>
    <t>SMALL KITCHEN FLOWER POTS PLAQUE</t>
  </si>
  <si>
    <t>WHITE STITCHED CUSHION COVER</t>
  </si>
  <si>
    <t>WHITE TRAVEL ALARM CLOCK | check</t>
  </si>
  <si>
    <t>WHITE STITCHED WALL CLOCK | damaged</t>
  </si>
  <si>
    <t>BLACK STITCHED WALL CLOCK</t>
  </si>
  <si>
    <t>PINK STITCHED WALL CLOCK</t>
  </si>
  <si>
    <t>WHITE STITCHED WALL CLOCK</t>
  </si>
  <si>
    <t>WHITE SQUARE TABLE CLOCK</t>
  </si>
  <si>
    <t>BLACK SQUARE TABLE CLOCK</t>
  </si>
  <si>
    <t>PINK SQUARE TABLE CLOCK</t>
  </si>
  <si>
    <t xml:space="preserve">GRASS HOPPER WOODEN WALL CLOCK </t>
  </si>
  <si>
    <t>GRASS HOPPER WOODEN WALL CLOCK</t>
  </si>
  <si>
    <t>84664</t>
  </si>
  <si>
    <t>SQUARE CHERRY BLOSSOM CABINET | water damaged</t>
  </si>
  <si>
    <t>SQUARE CHERRY BLOSSOM CABINET</t>
  </si>
  <si>
    <t>84670</t>
  </si>
  <si>
    <t>PINK FLY SWAT</t>
  </si>
  <si>
    <t>BLUE FLY SWAT</t>
  </si>
  <si>
    <t>FLYING PIG WATERING CAN</t>
  </si>
  <si>
    <t>FROG KING WATERING CAN</t>
  </si>
  <si>
    <t>CLASSICAL ROSE SMALL VASE</t>
  </si>
  <si>
    <t>CLASSICAL ROSE TABLE LAMP</t>
  </si>
  <si>
    <t>CLASSICAL ROSE CANDLESTAND</t>
  </si>
  <si>
    <t>BEACH HUT KEY CABINET</t>
  </si>
  <si>
    <t>BEACH HUT MIRROR</t>
  </si>
  <si>
    <t>BEACH HUT SHELF W 3 DRAWERS</t>
  </si>
  <si>
    <t>BEACH HUT DESIGN BLACKBOARD</t>
  </si>
  <si>
    <t>S/2 BEACH HUT TREASURE CHESTS</t>
  </si>
  <si>
    <t>PACK 20 DOLLY PEGS</t>
  </si>
  <si>
    <t>BOX OF 24 COCKTAIL PARASOLS</t>
  </si>
  <si>
    <t xml:space="preserve">PINK FLOCK PHOTO FRAME </t>
  </si>
  <si>
    <t>PINK FLOCK PHOTO FRAME</t>
  </si>
  <si>
    <t xml:space="preserve">CHERRY BLOSSOM TABLE CLOCK </t>
  </si>
  <si>
    <t>CHERRY BLOSSOM TABLE CLOCK</t>
  </si>
  <si>
    <t>RED PEONY TABLE CLOCK</t>
  </si>
  <si>
    <t>SILVER JEWELLED MIRROR TRINKET TRAY</t>
  </si>
  <si>
    <t>PINK JEWELLED MIRROR TRINKET TRAY</t>
  </si>
  <si>
    <t xml:space="preserve">PINK JEWELLED PHOTO FRAME </t>
  </si>
  <si>
    <t>PINK JEWELLED PHOTO FRAME</t>
  </si>
  <si>
    <t>PINK OVAL JEWELLED MIRROR</t>
  </si>
  <si>
    <t>SILVER OVAL SHAPE TRINKET BOX</t>
  </si>
  <si>
    <t>PINK OVAL SHAPE TRINKET BOX</t>
  </si>
  <si>
    <t>SET OF 6 ICE CREAM SKITTLES</t>
  </si>
  <si>
    <t>CHERRY BLOSSOM CANVAS ART PICTURE</t>
  </si>
  <si>
    <t>FREESTYLE CANVAS ART PICTURE</t>
  </si>
  <si>
    <t>84726</t>
  </si>
  <si>
    <t>3 BIRDS CANVAS SCREEN</t>
  </si>
  <si>
    <t>CUTE BIRD CEATURE SCREEN</t>
  </si>
  <si>
    <t xml:space="preserve">CUTE RABBIT CEATURE SCREEN </t>
  </si>
  <si>
    <t>CUTE RABBIT CEATURE SCREEN</t>
  </si>
  <si>
    <t xml:space="preserve">CITRUS GARLAND FELT FLOWERS </t>
  </si>
  <si>
    <t>CITRUS GARLAND FELT FLOWERS</t>
  </si>
  <si>
    <t>ORANGE FELT VASE + FLOWERS | damages</t>
  </si>
  <si>
    <t>S/6 SEW ON CROCHET FLOWERS</t>
  </si>
  <si>
    <t>PINK HANGING GINGHAM EASTER HEN</t>
  </si>
  <si>
    <t>BLUE HANGING GINGHAM EASTER HEN</t>
  </si>
  <si>
    <t>PINK EASTER HENS+FLOWER</t>
  </si>
  <si>
    <t>FOLK FELT HANGING MULTICOL GARLAND</t>
  </si>
  <si>
    <t>PINK SMALL GLASS CAKE STAND</t>
  </si>
  <si>
    <t>BLACK SMALL GLASS CAKE STAND</t>
  </si>
  <si>
    <t>BLACK MEDIUM GLASS CAKE STAND</t>
  </si>
  <si>
    <t>S/15 SILVER GLASS BAUBLES IN BAG</t>
  </si>
  <si>
    <t>COLOUR GLASS T-LIGHT HOLDER HANGING</t>
  </si>
  <si>
    <t>SMALL HANGING GLASS+ZINC LANTERN</t>
  </si>
  <si>
    <t>84761</t>
  </si>
  <si>
    <t>Display | ZINC FINISH 15CM PLANTER POTS</t>
  </si>
  <si>
    <t>SILVER ROCOCO CANDLE STICK</t>
  </si>
  <si>
    <t>RED ROSE AND LACE C/COVER</t>
  </si>
  <si>
    <t>ENCHANTED BIRD PLANT CAGE</t>
  </si>
  <si>
    <t>ENCHANTED BIRD COATHANGER 5 HOOK</t>
  </si>
  <si>
    <t>SUNSET CHECK HAMMOCK</t>
  </si>
  <si>
    <t xml:space="preserve">OCEAN STRIPE HAMMOCK </t>
  </si>
  <si>
    <t>OCEAN STRIPE HAMMOCK</t>
  </si>
  <si>
    <t>PINK HAWAIIAN PICNIC HAMPER FOR 2</t>
  </si>
  <si>
    <t>BLUE SAVANNAH PICNIC HAMPER FOR 2</t>
  </si>
  <si>
    <t>84797B</t>
  </si>
  <si>
    <t>PINK FOXGLOVE ARTIIFCIAL FLOWER</t>
  </si>
  <si>
    <t>PURPLE FOXGLOVE ARTIIFCIAL FLOWER</t>
  </si>
  <si>
    <t>SPRIG LAVENDER ARTIFICIAL FLOWER</t>
  </si>
  <si>
    <t>LARGE WHITE/PINK ROSE ART FLOWER | wet damaged</t>
  </si>
  <si>
    <t>MEDIUM WHITE/PINK ROSE ART FLOWER</t>
  </si>
  <si>
    <t>SMALL WHITE/PINK ROSE ART FLOWER</t>
  </si>
  <si>
    <t>PINK HYDRANGEA ART FLOWER | check | wet damaged</t>
  </si>
  <si>
    <t>WHITE HYDRANGEA ART FLOWER</t>
  </si>
  <si>
    <t>WHITE ANEMONE ARTIFICIAL FLOWER</t>
  </si>
  <si>
    <t>PURPLE ANEMONE ARTIFICIAL FLOWER</t>
  </si>
  <si>
    <t>PINK ALLIUM  ARTIFICIAL FLOWER</t>
  </si>
  <si>
    <t>WHITE ALLIUM  ARTIFICIAL FLOWER</t>
  </si>
  <si>
    <t>CREAM DELPHINIUM ARTIFICIAL FLOWER | wet damaged</t>
  </si>
  <si>
    <t>BLUE DELPHINIUM ARTIFICIAL FLOWER</t>
  </si>
  <si>
    <t>CREAM CLIMBING HYDRANGA ART FLOWER | wet damaged</t>
  </si>
  <si>
    <t>BLUE CLIMBING HYDRANGA ART FLOWER | wet damaged</t>
  </si>
  <si>
    <t>PINK CANDYSTUFT ARTIFICIAL FLOWER</t>
  </si>
  <si>
    <t>WHITE CANDYSTUFT ARTIFICIAL FLOWER</t>
  </si>
  <si>
    <t>WHITE CHRYSANTHEMUMS ART FLOWER</t>
  </si>
  <si>
    <t>PINK CHRYSANTHEMUMS ART FLOWER | damaged</t>
  </si>
  <si>
    <t>SET OF 4 DIAMOND NAPKIN RINGS</t>
  </si>
  <si>
    <t>DANISH ROSE BEDSIDE CABINET | damages</t>
  </si>
  <si>
    <t>DANISH ROSE DECORATIVE PLATE</t>
  </si>
  <si>
    <t>DANISH ROSE PHOTO FRAME | damages</t>
  </si>
  <si>
    <t>DANISH ROSE ROUND SEWING BOX</t>
  </si>
  <si>
    <t>DANISH ROSE TRINKET TRAYS</t>
  </si>
  <si>
    <t>DANISH ROSE DELUXE COASTER</t>
  </si>
  <si>
    <t>DANISH ROSE FOLDING CHAIR</t>
  </si>
  <si>
    <t>DANISH ROSE UMBRELLA STAND</t>
  </si>
  <si>
    <t>ASSTD DESIGN 3D PAPER STICKERS</t>
  </si>
  <si>
    <t>ASS DES PHONE SPONGE CRAFT STICKER</t>
  </si>
  <si>
    <t>JUNGLE POPSICLES ICE LOLLY HOLDERS | JUNGLE POPSICLES ICE LOLLY MOULDS</t>
  </si>
  <si>
    <t>ZINC WILLIE WINKIE  CANDLE STICK</t>
  </si>
  <si>
    <t>ZINC METAL HEART DECORATION</t>
  </si>
  <si>
    <t>SWEETHEART KEY CABINET</t>
  </si>
  <si>
    <t>SWEETHEART CARRY-ALL BASKET</t>
  </si>
  <si>
    <t>HELLO SAILOR BATHROOM SET</t>
  </si>
  <si>
    <t>WHITE SOAP RACK WITH 2 BOTTLES</t>
  </si>
  <si>
    <t>84845D</t>
  </si>
  <si>
    <t>SCENTED CANDLE IN DIGITALIS TIN</t>
  </si>
  <si>
    <t>FLORAL BATHROOM SET</t>
  </si>
  <si>
    <t>HELLO SAILOR BLUE SOAP HOLDER</t>
  </si>
  <si>
    <t>FAIRY SOAP SOAP HOLDER</t>
  </si>
  <si>
    <t>HOT BATHS SOAP HOLDER</t>
  </si>
  <si>
    <t>GIRLY PINK TOOL SET</t>
  </si>
  <si>
    <t>LARGE TAHITI BEACH BAG</t>
  </si>
  <si>
    <t>SMALL TAHITI BEACH BAG</t>
  </si>
  <si>
    <t>84857A</t>
  </si>
  <si>
    <t>BLUE MONTE CARLO HANDBAG</t>
  </si>
  <si>
    <t>PINK MONTE CARLO HANDBAG</t>
  </si>
  <si>
    <t>PINK RIVIERA HANDBAG</t>
  </si>
  <si>
    <t>SILVER DISCO HANDBAG</t>
  </si>
  <si>
    <t>BLUE DISCO HANDBAG</t>
  </si>
  <si>
    <t>PINK DISCO HANDBAG | wet?</t>
  </si>
  <si>
    <t>84864A</t>
  </si>
  <si>
    <t>NEW BAROQUE BLACK PHOTO ALBUM | damaged</t>
  </si>
  <si>
    <t xml:space="preserve">BLUE GEISHA GIRL </t>
  </si>
  <si>
    <t>BLUE GEISHA GIRL</t>
  </si>
  <si>
    <t xml:space="preserve">GREEN GEISHA GIRL </t>
  </si>
  <si>
    <t>GREEN GEISHA GIRL</t>
  </si>
  <si>
    <t>TEATIME FUNKY FLOWER BACKPACK FOR 2</t>
  </si>
  <si>
    <t>FUNKY FLOWER PICNIC BAG FOR 4</t>
  </si>
  <si>
    <t>BLUE TRAVEL FIRST AID KIT</t>
  </si>
  <si>
    <t>84875A</t>
  </si>
  <si>
    <t>GREEN SQUARE COMPACT MIRROR</t>
  </si>
  <si>
    <t>BLUE SQUARE COMPACT MIRROR | found</t>
  </si>
  <si>
    <t>GREEN HEART COMPACT MIRROR | found</t>
  </si>
  <si>
    <t>84876C</t>
  </si>
  <si>
    <t>BLUE HEART COMPACT MIRROR | damaged</t>
  </si>
  <si>
    <t>PINK ROUND COMPACT MIRROR</t>
  </si>
  <si>
    <t>GREEN ROUND COMPACT MIRROR</t>
  </si>
  <si>
    <t>? | BLUE ROUND COMPACT MIRROR | found</t>
  </si>
  <si>
    <t>ASSORTED COLOUR BIRD ORNAMENT | damaged</t>
  </si>
  <si>
    <t>WHITE WIRE EGG HOLDER</t>
  </si>
  <si>
    <t>BLUE WIRE SPIRAL CANDLE HOLDER</t>
  </si>
  <si>
    <t>GREEN WIRE STANDING CANDLE HOLDER</t>
  </si>
  <si>
    <t>ANT WHITE WIRE HEART SPIRAL</t>
  </si>
  <si>
    <t>YELLOW FLOWERS FELT HANDBAG KIT</t>
  </si>
  <si>
    <t>84899F</t>
  </si>
  <si>
    <t xml:space="preserve">PINK BUTTERFLY CUSHION COVER </t>
  </si>
  <si>
    <t>PINK BUTTERFLY CUSHION COVER</t>
  </si>
  <si>
    <t>PINK B'FLY C/COVER W BOBBLES | PINK BUTTERFLY CUSHION COVER</t>
  </si>
  <si>
    <t>PINK YELLOW PATCH CUSHION COVER</t>
  </si>
  <si>
    <t xml:space="preserve">PINK PAISLEY CUSHION COVER </t>
  </si>
  <si>
    <t>PINK PAISLEY CUSHION COVER</t>
  </si>
  <si>
    <t>PINK ROSE WASHBAG</t>
  </si>
  <si>
    <t>GREEN ROSE WASHBAG | damaged</t>
  </si>
  <si>
    <t xml:space="preserve">SOFT PINK ROSE TOWEL </t>
  </si>
  <si>
    <t>SOFT PINK ROSE TOWEL</t>
  </si>
  <si>
    <t>MINT GREEN ROSE TOWEL</t>
  </si>
  <si>
    <t>HAND TOWEL PINK FLOWER AND DAISY</t>
  </si>
  <si>
    <t>HAND TOWEL PALE BLUE W FLOWERS</t>
  </si>
  <si>
    <t>WHITE HAND TOWEL WITH BUTTERFLY</t>
  </si>
  <si>
    <t>BLUE CUSHION COVER WITH FLOWER</t>
  </si>
  <si>
    <t>PINK FLOWER FABRIC PONY</t>
  </si>
  <si>
    <t xml:space="preserve">CREAM AND PINK FLOWERS PONY </t>
  </si>
  <si>
    <t>CREAM AND PINK FLOWERS PONY</t>
  </si>
  <si>
    <t>PINK BUTTERFLY WASHBAG</t>
  </si>
  <si>
    <t>PINK BUTTERFLY HANDBAG W BOBBLES</t>
  </si>
  <si>
    <t xml:space="preserve">WAKE UP COCKEREL CALENDAR SIGN </t>
  </si>
  <si>
    <t>WAKE UP COCKEREL CALENDAR SIGN</t>
  </si>
  <si>
    <t>PSYCHEDELIC METAL SIGN CALENDAR</t>
  </si>
  <si>
    <t>LA PALMIERA WALL THERMOMETER</t>
  </si>
  <si>
    <t>PSYCHEDELIC WALL THERMOMETER</t>
  </si>
  <si>
    <t>WAKE UP COCKEREL TILE COASTER</t>
  </si>
  <si>
    <t>LA PALMIERA TILE COASTER</t>
  </si>
  <si>
    <t>FLOWERS TILE COASTER</t>
  </si>
  <si>
    <t>PSYCHEDELIC TILE COASTER</t>
  </si>
  <si>
    <t>WAKE UP COCKEREL TILE HOOK</t>
  </si>
  <si>
    <t>LA PALMIERA TILE HOOK</t>
  </si>
  <si>
    <t>FLOWERS TILE HOOK</t>
  </si>
  <si>
    <t>PSYCHEDELIC TILE HOOK</t>
  </si>
  <si>
    <t>ASSTD FRUIT+FLOWERS FRIDGE MAGNETS | code mix up? 84930 | found</t>
  </si>
  <si>
    <t>PINK SCOTTIE DOG W FLOWER PATTERN</t>
  </si>
  <si>
    <t>BLUE SCOTTIE DOG W FLOWER PATTERN</t>
  </si>
  <si>
    <t>SET OF 6 KASHMIR FOLKART BAUBLES | found | michel oops</t>
  </si>
  <si>
    <t>MULTI COLOUR SILVER T-LIGHT HOLDER</t>
  </si>
  <si>
    <t>ANTIQUE SILVER T-LIGHT GLASS | ANTIQUE SILVER TEA GLASS ETCHED</t>
  </si>
  <si>
    <t>ANTIQUE SILVER TEA GLASS ENGRAVED</t>
  </si>
  <si>
    <t>SILVER HANGING T-LIGHT HOLDER</t>
  </si>
  <si>
    <t>ASSORTED COLOUR T-LIGHT HOLDER</t>
  </si>
  <si>
    <t>SET OF 4 PISTACHIO LOVEBIRD COASTER</t>
  </si>
  <si>
    <t>SET OF 4 BLACK LOVEBIRD COASTERS</t>
  </si>
  <si>
    <t>CLEAR LOVE BIRD T-LIGHT HOLDER</t>
  </si>
  <si>
    <t>BLACK LOVE BIRD T-LIGHT HOLDER</t>
  </si>
  <si>
    <t>MIRROR LOVE BIRD T-LIGHT HOLDER</t>
  </si>
  <si>
    <t>PINK PAINTED KASHMIRI CHAIR</t>
  </si>
  <si>
    <t>BLUE PAINTED KASHMIRI CHAIR</t>
  </si>
  <si>
    <t>84964B</t>
  </si>
  <si>
    <t>84966A</t>
  </si>
  <si>
    <t>84966B</t>
  </si>
  <si>
    <t>84967A</t>
  </si>
  <si>
    <t>84967B</t>
  </si>
  <si>
    <t>SET OF 16 VINTAGE ROSE CUTLERY</t>
  </si>
  <si>
    <t>SET OF 16 VINTAGE IVORY CUTLERY</t>
  </si>
  <si>
    <t>SET OF 16 VINTAGE PISTACHIO CUTLERY</t>
  </si>
  <si>
    <t>SET OF 16 VINTAGE RED CUTLERY</t>
  </si>
  <si>
    <t>SET OF 16 VINTAGE BLACK CUTLERY | check</t>
  </si>
  <si>
    <t>SET OF 16 VINTAGE SKY BLUE CUTLERY | check</t>
  </si>
  <si>
    <t>SET OF 16 VINTAGE BLACK CUTLERY</t>
  </si>
  <si>
    <t>SET OF 16 VINTAGE SKY BLUE CUTLERY</t>
  </si>
  <si>
    <t>BOX OF 6 ASSORTED COLOUR TEASPOONS | check</t>
  </si>
  <si>
    <t>SINGLE HEART ZINC T-LIGHT HOLDER</t>
  </si>
  <si>
    <t>HANGING HEART ZINC T-LIGHT HOLDER</t>
  </si>
  <si>
    <t>84971L</t>
  </si>
  <si>
    <t xml:space="preserve">SMALL HEART FLOWERS HOOK </t>
  </si>
  <si>
    <t>SMALL HEART FLOWERS HOOK</t>
  </si>
  <si>
    <t xml:space="preserve">LARGE HEART FLOWERS HOOK   </t>
  </si>
  <si>
    <t>LARGE HEART FLOWERS HOOK</t>
  </si>
  <si>
    <t>S/2 ZINC HEART DESIGN PLANTERS</t>
  </si>
  <si>
    <t>HEART SHAPED MIRROR</t>
  </si>
  <si>
    <t>RECTANGULAR SHAPED MIRROR</t>
  </si>
  <si>
    <t>WIRE FLOWER T-LIGHT HOLDER</t>
  </si>
  <si>
    <t>HANGING HEART JAR T-LIGHT HOLDER</t>
  </si>
  <si>
    <t>GREEN PEONY CUSHION COVER</t>
  </si>
  <si>
    <t xml:space="preserve">RED PEONY CUSHION COVER </t>
  </si>
  <si>
    <t>RED PEONY CUSHION COVER</t>
  </si>
  <si>
    <t xml:space="preserve">ORIENTAL RED CUSHION COVER </t>
  </si>
  <si>
    <t>ORIENTAL RED CUSHION COVER</t>
  </si>
  <si>
    <t>SET OF 72 GREEN PAPER DOILIES</t>
  </si>
  <si>
    <t>SET OF 36 TEATIME PAPER DOILIES</t>
  </si>
  <si>
    <t>? | SET OF 72 PINK HEART PAPER DOILIES</t>
  </si>
  <si>
    <t>75 GREEN FAIRY CAKE CASES</t>
  </si>
  <si>
    <t>60 GOLD AND SILVER FAIRY CAKE CASES</t>
  </si>
  <si>
    <t>60 TEATIME FAIRY CAKE CASES</t>
  </si>
  <si>
    <t>72 SWEETHEART FAIRY CAKE CASES</t>
  </si>
  <si>
    <t>75 GREEN PETIT FOUR CASES</t>
  </si>
  <si>
    <t>75 BLACK PETIT FOUR CASES</t>
  </si>
  <si>
    <t>CHILDRENS CUTLERY POLKADOT GREEN  | GREEN 3 PIECE POLKADOT CUTLERY SET</t>
  </si>
  <si>
    <t>CHILDRENS CUTLERY POLKADOT GREEN | GREEN 3 PIECE POLKADOT CUTLERY SET</t>
  </si>
  <si>
    <t>CHILDRENS CUTLERY RETROSPOT RED  | RED 3 PIECE RETROSPOT CUTLERY SET</t>
  </si>
  <si>
    <t>CHILDRENS CUTLERY RETROSPOT RED | RED 3 PIECE RETROSPOT CUTLERY SET</t>
  </si>
  <si>
    <t>? | BLUE 3 PIECE POLKADOT CUTLERY SET | CHILDRENS CUTLERY POLKADOT BLUE</t>
  </si>
  <si>
    <t>CHILDRENS CUTLERY POLKADOT PINK | PINK 3 PIECE POLKADOT CUTLERY SET</t>
  </si>
  <si>
    <t>BLUE 3 PIECE POLKADOT CUTLERY SET | CHILDRENS CUTLERY POLKADOT BLUE</t>
  </si>
  <si>
    <t>SET 4 NURSERY DES ROUND BOXES</t>
  </si>
  <si>
    <t>SET OF 3 CONEY ISLAND OVAL BOXES</t>
  </si>
  <si>
    <t>BLACK/BLUE POLKADOT UMBRELLA</t>
  </si>
  <si>
    <t>RED RETROSPOT UMBRELLA</t>
  </si>
  <si>
    <t>SET OF 12  VINTAGE POSTCARD SET</t>
  </si>
  <si>
    <t>SET OF 6 VINTAGE NOTELETS KIT</t>
  </si>
  <si>
    <t>ENVELOPE 50 ROMANTIC IMAGES</t>
  </si>
  <si>
    <t>ENVELOPE 50 BLOSSOM IMAGES</t>
  </si>
  <si>
    <t>ENVELOPE 50 CURIOUS IMAGES | Found | adjustment</t>
  </si>
  <si>
    <t>85018B</t>
  </si>
  <si>
    <t>85018C</t>
  </si>
  <si>
    <t>YULETIDE IMAGES S/6 PAPER BOXES</t>
  </si>
  <si>
    <t>ROMANTIC IMAGES NOTEBOOK SET</t>
  </si>
  <si>
    <t>BLOSSOM  IMAGES NOTEBOOK SET | check</t>
  </si>
  <si>
    <t>CURIOUS  IMAGES NOTEBOOK SET | Damaged</t>
  </si>
  <si>
    <t>ROUND PINK HEART MIRROR</t>
  </si>
  <si>
    <t>EAU DE NILE JEWELLED PHOTOFRAME</t>
  </si>
  <si>
    <t>PINK LARGE JEWELED PHOTOFRAME</t>
  </si>
  <si>
    <t>PINK SMALL JEWELLED PHOTOFRAME</t>
  </si>
  <si>
    <t>EAU DE NILE HEART SHAPE PHOTO FRAME</t>
  </si>
  <si>
    <t>PINK HEART SHAPE PHOTO FRAME | barcode problem</t>
  </si>
  <si>
    <t>EAU DE NILE JEWELLED T-LIGHT HOLDER</t>
  </si>
  <si>
    <t xml:space="preserve">FRENCH CHATEAU LARGE PLATTER </t>
  </si>
  <si>
    <t>FRENCH CHATEAU LARGE PLATTER</t>
  </si>
  <si>
    <t xml:space="preserve">FRENCH CHATEAU LARGE FRUIT BOWL </t>
  </si>
  <si>
    <t>FRENCH CHATEAU LARGE FRUIT BOWL</t>
  </si>
  <si>
    <t>FRENCH CHATEAU SMALL FRUITBOWL</t>
  </si>
  <si>
    <t>FRENCH CHATEAU OVAL PLATTER</t>
  </si>
  <si>
    <t>ROMANTIC IMAGES SCRAP BOOK SET</t>
  </si>
  <si>
    <t>BLOSSOM IMAGES SCRAP BOOK SET</t>
  </si>
  <si>
    <t>CURIOUS IMAGES SCRAP BOOK SET</t>
  </si>
  <si>
    <t>ROMANTIC IMAGES GIFT WRAP SET</t>
  </si>
  <si>
    <t>BLOSSOM IMAGES GIFT WRAP SET</t>
  </si>
  <si>
    <t>CURIOUS IMAGES GIFT WRAP SET</t>
  </si>
  <si>
    <t>YULETIDE IMAGES GIFT WRAP SET | damaged</t>
  </si>
  <si>
    <t>3 GARDENIA MORRIS BOXED CANDLES | check | damaged</t>
  </si>
  <si>
    <t>3 WHITE CHOC MORRIS BOXED CANDLES</t>
  </si>
  <si>
    <t>3 ROSE MORRIS BOXED CANDLES</t>
  </si>
  <si>
    <t>3 GARDENIA MORRIS BOXED CANDLES</t>
  </si>
  <si>
    <t>CHECK | GARDENIA 3 WICK MORRIS BOXED CANDLE</t>
  </si>
  <si>
    <t>CHOCOLATE 3 WICK MORRIS BOX CANDLE | check</t>
  </si>
  <si>
    <t>ROSE 3 WICK MORRIS BOX CANDLE | check</t>
  </si>
  <si>
    <t>GARDENIA 3 WICK MORRIS BOXED CANDLE</t>
  </si>
  <si>
    <t>CHOCOLATE 3 WICK MORRIS BOX CANDLE</t>
  </si>
  <si>
    <t>ROSE 3 WICK MORRIS BOX CANDLE</t>
  </si>
  <si>
    <t>GARDENIA 1 WICK MORRIS BOXED CANDLE</t>
  </si>
  <si>
    <t>CHOCOLATE 1 WICK MORRIS BOX CANDLE | check | damages wax</t>
  </si>
  <si>
    <t>ROSE 1 WICK MORRIS BOXED CANDLE | check | damages wax</t>
  </si>
  <si>
    <t>CHOCOLATE 1 WICK MORRIS BOX CANDLE</t>
  </si>
  <si>
    <t>6 CHOCOLATE LOVE HEART T-LIGHTS</t>
  </si>
  <si>
    <t>SET/4 RED MINI ROSE CANDLE IN BOWL</t>
  </si>
  <si>
    <t>S/4 IVORY MINI ROSE CANDLE IN BOWL</t>
  </si>
  <si>
    <t>S/4 BLACK MINI ROSE CANDLE IN BOWL</t>
  </si>
  <si>
    <t>S/4 PINK FLOWER CANDLES IN BOWL</t>
  </si>
  <si>
    <t>SET/4 BLUE FLOWER CANDLES IN BOWL</t>
  </si>
  <si>
    <t>ANTIQUE LILY FAIRY LIGHTS</t>
  </si>
  <si>
    <t>85044</t>
  </si>
  <si>
    <t>GREEN CHRISTMAS TREE STRING 20LIGHT</t>
  </si>
  <si>
    <t>WHITE BEADED GARLAND STRING 20LIGHT</t>
  </si>
  <si>
    <t>15CM CHRISTMAS GLASS BALL 20 LIGHTS</t>
  </si>
  <si>
    <t>TRADITIONAL CHRISTMAS RIBBONS</t>
  </si>
  <si>
    <t>Amazon | LUSH GREENS RIBBONS</t>
  </si>
  <si>
    <t xml:space="preserve">ROMANTIC PINKS RIBBONS </t>
  </si>
  <si>
    <t>ROMANTIC PINKS RIBBONS</t>
  </si>
  <si>
    <t xml:space="preserve">? | BRIGHT BLUES RIBBONS </t>
  </si>
  <si>
    <t>? | BRIGHT BLUES RIBBONS</t>
  </si>
  <si>
    <t>SCANDINAVIAN REDS RIBBONS</t>
  </si>
  <si>
    <t xml:space="preserve">BABY BOOM RIBBONS </t>
  </si>
  <si>
    <t>BABY BOOM RIBBONS</t>
  </si>
  <si>
    <t xml:space="preserve">CHOCOLATE BOX RIBBONS </t>
  </si>
  <si>
    <t>CHOCOLATE BOX RIBBONS</t>
  </si>
  <si>
    <t xml:space="preserve">URBAN BLACK RIBBONS </t>
  </si>
  <si>
    <t>URBAN BLACK RIBBONS</t>
  </si>
  <si>
    <t>LUSH GREENS RIBBONS</t>
  </si>
  <si>
    <t xml:space="preserve">BRIGHT BLUES RIBBONS </t>
  </si>
  <si>
    <t>BRIGHT BLUES RIBBONS</t>
  </si>
  <si>
    <t>FRENCH ENAMEL CANDLEHOLDER</t>
  </si>
  <si>
    <t>FRENCH ENAMEL POT W LID | check | found</t>
  </si>
  <si>
    <t>FRENCH ENAMEL UTENSIL HOLDER</t>
  </si>
  <si>
    <t>FRENCH ENAMEL WATER BASIN</t>
  </si>
  <si>
    <t>85060</t>
  </si>
  <si>
    <t>WHITE JEWELLED HEART DECORATION</t>
  </si>
  <si>
    <t>PEARL CRYSTAL PUMPKIN T-LIGHT HLDR</t>
  </si>
  <si>
    <t>CREAM SWEETHEART MAGAZINE RACK</t>
  </si>
  <si>
    <t>CREAM SWEETHEART LETTER RACK</t>
  </si>
  <si>
    <t>CREAM SWEETHEART TRAYS</t>
  </si>
  <si>
    <t>CREAM SWEETHEART MINI CHEST</t>
  </si>
  <si>
    <t>CREAM SWEETHEART WALL CABINET</t>
  </si>
  <si>
    <t>CREAM SWEETHEART SHELF + HOOKS</t>
  </si>
  <si>
    <t>BLUE CHARLIE+LOLA PERSONAL DOORSIGN</t>
  </si>
  <si>
    <t>RED CHARLIE+LOLA PERSONAL DOORSIGN</t>
  </si>
  <si>
    <t>CHARLIE+LOLA"EXTREMELY BUSY" SIGN</t>
  </si>
  <si>
    <t>CHARLIE+LOLA MY ROOM DOOR SIGN</t>
  </si>
  <si>
    <t>SCANDINAVIAN 3 HEARTS NAPKIN RING | missing</t>
  </si>
  <si>
    <t>HOLLY TOP CHRISTMAS STOCKING</t>
  </si>
  <si>
    <t>CANDY SPOT HEART DECORATION</t>
  </si>
  <si>
    <t>CANDY SPOT CUSHION COVER</t>
  </si>
  <si>
    <t>CANDY SPOT HAND BAG</t>
  </si>
  <si>
    <t>CANDY SPOT BUNNY</t>
  </si>
  <si>
    <t>CANDY SPOT TEA COSY</t>
  </si>
  <si>
    <t>CANDY SPOT EGG WARMER HARE</t>
  </si>
  <si>
    <t>CANDY SPOT EGG WARMER RABBIT</t>
  </si>
  <si>
    <t>THREE CANVAS LUGGAGE TAGS</t>
  </si>
  <si>
    <t>HILDA CANDY SPOT RABBIT | label mix up</t>
  </si>
  <si>
    <t>BLUE FLYING SINGING CANARY</t>
  </si>
  <si>
    <t>JUMBO BAG RED RETROSPOT</t>
  </si>
  <si>
    <t>JUMBO  BAG BAROQUE BLACK WHITE</t>
  </si>
  <si>
    <t>JUMBO BAG STRAWBERRY</t>
  </si>
  <si>
    <t>SILVER T-LIGHT SETTING | stock creditted wrongly</t>
  </si>
  <si>
    <t>????damages???? | SILVER GLASS T-LIGHT SET</t>
  </si>
  <si>
    <t>CUT GLASS HEXAGON T-LIGHT HOLDER</t>
  </si>
  <si>
    <t>CUT GLASS T-LIGHT HOLDER OCTAGON | check?</t>
  </si>
  <si>
    <t>PINK BOUDOIR T-LIGHT HOLDER</t>
  </si>
  <si>
    <t>85110</t>
  </si>
  <si>
    <t>SILVER GLITTER FLOWER VOTIVE HOLDER | check</t>
  </si>
  <si>
    <t>BLACK ENCHANTED FOREST PLACEMAT</t>
  </si>
  <si>
    <t>IVORY ENCHANTED FOREST PLACEMAT</t>
  </si>
  <si>
    <t>RED ENCHANTED FOREST PLACEMAT</t>
  </si>
  <si>
    <t>S/4 BLACK DISCO PARTITION PANEL</t>
  </si>
  <si>
    <t>BLACK CANDELABRA T-LIGHT HOLDER</t>
  </si>
  <si>
    <t>WATERING CAN SINGLE HOOK PISTACHIO</t>
  </si>
  <si>
    <t>? | CREAM HANGING HEART T-LIGHT HOLDER | WHITE HANGING HEART T-LIGHT HOLDER | wrongly marked carton 22804</t>
  </si>
  <si>
    <t>WHITE HANGING HEART T-LIGHT HOLDER</t>
  </si>
  <si>
    <t>BLUE JUICY FRUIT PHOTO FRAME</t>
  </si>
  <si>
    <t>GREEN JUICY FRUIT PHOTO FRAME</t>
  </si>
  <si>
    <t>SMALL ROUND CUT GLASS CANDLESTICK | check</t>
  </si>
  <si>
    <t>LARGE ROUND CUTGLASS CANDLESTICK</t>
  </si>
  <si>
    <t>SMALL SQUARE CUT GLASS CANDLESTICK | found</t>
  </si>
  <si>
    <t>BEADED CRYSTAL HEART GREEN SMALL</t>
  </si>
  <si>
    <t>BEADED CRYSTAL HEART BLUE SMALL</t>
  </si>
  <si>
    <t>BEADED CRYSTAL HEART PINK SMALL</t>
  </si>
  <si>
    <t>BEADED PEARL HEART WHITE LARGE</t>
  </si>
  <si>
    <t>BEADED CRYSTAL HEART GREEN LARGE</t>
  </si>
  <si>
    <t>BEADED CRYSTAL HEART BLUE  LARGE</t>
  </si>
  <si>
    <t>BEADED CRYSTAL HEART PINK LARGE</t>
  </si>
  <si>
    <t>BEADED PEARL HEART WHITE ON STICK</t>
  </si>
  <si>
    <t>BEADED CRYSTAL HEART GREEN ON STICK</t>
  </si>
  <si>
    <t>BEADED CRYSTAL HEART BLUE ON STICK</t>
  </si>
  <si>
    <t>BEADED CRYSTAL HEART PINK ON STICK</t>
  </si>
  <si>
    <t>CHARLIE + LOLA BISCUITS TINS | damaged</t>
  </si>
  <si>
    <t>CHARLIE AND LOLA TABLE TINS</t>
  </si>
  <si>
    <t>CHARLIE AND LOLA FIGURES TINS | damages</t>
  </si>
  <si>
    <t>CHARLIE + LOLA BISCUITS TINS</t>
  </si>
  <si>
    <t>CHARLIE AND LOLA FIGURES TINS</t>
  </si>
  <si>
    <t>YELLOW DRAGONFLY HELICOPTER</t>
  </si>
  <si>
    <t>BLUE DRAGONFLY HELICOPTER | Found | check</t>
  </si>
  <si>
    <t>Damages | RED DRAGONFLY HELICOPTER | found</t>
  </si>
  <si>
    <t>YELLOW SHARK HELICOPTER | damages</t>
  </si>
  <si>
    <t>BLUE SHARK HELICOPTER</t>
  </si>
  <si>
    <t>RED SHARK HELICOPTER | damages</t>
  </si>
  <si>
    <t>JARDIN ETCHED GLASS FRUITBOWL</t>
  </si>
  <si>
    <t>JARDIN ETCHED GLASS BUTTER DISH | JARDIN ETCHED GLASS CHEESE DISH</t>
  </si>
  <si>
    <t>JARDIN ETCHED GLASS LARGE BELL JAR</t>
  </si>
  <si>
    <t>JARDIN ETCHED GLASS SMALL BELL JAR</t>
  </si>
  <si>
    <t>LADIES &amp; GENTLEMEN METAL SIGN</t>
  </si>
  <si>
    <t xml:space="preserve">HAND OVER THE CHOCOLATE   SIGN </t>
  </si>
  <si>
    <t>HAND OVER THE CHOCOLATE   SIGN</t>
  </si>
  <si>
    <t>BLACK TEA,COFFEE,SUGAR JARS</t>
  </si>
  <si>
    <t>WHITE TEA,COFFEE,SUGAR JARS</t>
  </si>
  <si>
    <t>WHITE BIRD GARDEN DESIGN MUG</t>
  </si>
  <si>
    <t>BLACK BIRD GARDEN DESIGN MUG</t>
  </si>
  <si>
    <t>ACRYLIC GEOMETRIC LAMP | samples/damages</t>
  </si>
  <si>
    <t xml:space="preserve">WHITE BAROQUE WALL CLOCK </t>
  </si>
  <si>
    <t>WHITE BAROQUE WALL CLOCK</t>
  </si>
  <si>
    <t xml:space="preserve">BLACK BAROQUE WALL CLOCK </t>
  </si>
  <si>
    <t>BLACK BAROQUE WALL CLOCK</t>
  </si>
  <si>
    <t>BLACK GRAND BAROQUE PHOTO FRAME | DAMAGED</t>
  </si>
  <si>
    <t>BLACK BAROQUE CARRIAGE CLOCK</t>
  </si>
  <si>
    <t>IVORY LOVE BIRD CANDLE</t>
  </si>
  <si>
    <t>BLACK LOVE BIRD CANDLE</t>
  </si>
  <si>
    <t>EAU DE NIL LOVE BIRD CANDLE</t>
  </si>
  <si>
    <t>PINK LOVE BIRD CANDLE</t>
  </si>
  <si>
    <t>SET/6 IVORY BIRD T-LIGHT CANDLES</t>
  </si>
  <si>
    <t>SET/6 BLACK BIRD T-LIGHT CANDLES</t>
  </si>
  <si>
    <t>SET/6 EAU DE NIL BIRD T-LIGHTS</t>
  </si>
  <si>
    <t>SET/6 PINK BIRD T-LIGHT CANDLES</t>
  </si>
  <si>
    <t>?sold as sets? | Dotcom set | HYACINTH BULB T-LIGHT CANDLES | check | wrongly sold as sets</t>
  </si>
  <si>
    <t>SET/6 FROG PRINCE T-LIGHT CANDLES</t>
  </si>
  <si>
    <t>S/4 CACTI CANDLES</t>
  </si>
  <si>
    <t>? sold as sets? | Amazon sold sets | CACTI T-LIGHT CANDLES | check | dotcom sold sets | wrongly sold sets</t>
  </si>
  <si>
    <t>SEWING SUSAN 21 NEEDLE SET</t>
  </si>
  <si>
    <t>BASKET OF FLOWERS SEWING KIT</t>
  </si>
  <si>
    <t>VICTORIAN SEWING KIT</t>
  </si>
  <si>
    <t>GREEN BITTY LIGHT CHAIN</t>
  </si>
  <si>
    <t>85179B</t>
  </si>
  <si>
    <t>PINK BITTY LIGHT CHAIN</t>
  </si>
  <si>
    <t xml:space="preserve">RED HEARTS LIGHT CHAIN </t>
  </si>
  <si>
    <t>RED HEARTS LIGHT CHAIN</t>
  </si>
  <si>
    <t xml:space="preserve">PINK HEARTS LIGHT CHAIN </t>
  </si>
  <si>
    <t>PINK HEARTS LIGHT CHAIN</t>
  </si>
  <si>
    <t>CHARLIE &amp; LOLA WASTEPAPER BIN BLUE</t>
  </si>
  <si>
    <t>CHARLIE &amp; LOLA WASTEPAPER BIN FLORA</t>
  </si>
  <si>
    <t>S/4 VALENTINE DECOUPAGE HEART BOX | SET 4 VALENTINE DECOUPAGE HEART BOX</t>
  </si>
  <si>
    <t>SET 4 VALENTINE DECOUPAGE HEART BOX</t>
  </si>
  <si>
    <t>? | Found in w/hse | PINK HORSE SOCK PUPPET | PINK HORSE SOCK PUPPET KIT</t>
  </si>
  <si>
    <t>FROG SOCK PUPPET</t>
  </si>
  <si>
    <t>EASTER BUNNY GARLAND OF FLOWERS</t>
  </si>
  <si>
    <t>BUNNY EGG GARLAND</t>
  </si>
  <si>
    <t>S/12 MINI RABBIT EASTER</t>
  </si>
  <si>
    <t>GREEN METAL SWINGING BUNNY</t>
  </si>
  <si>
    <t>PINK METAL SWINGING BUNNY</t>
  </si>
  <si>
    <t>HANGING BUTTERFLY  EGG</t>
  </si>
  <si>
    <t>HANGING SPRING FLOWER EGG LARGE</t>
  </si>
  <si>
    <t>HANGING SPRING FLOWER EGG SMALL</t>
  </si>
  <si>
    <t>HANGING HEART BASKET</t>
  </si>
  <si>
    <t>SET OF 12 MINI BUNNIES IN A BUCKET</t>
  </si>
  <si>
    <t>ASSORTED FARMYARD ANIMALS IN BUCKET</t>
  </si>
  <si>
    <t>? | LARGE HANGING IVORY &amp; RED WOOD BIRD</t>
  </si>
  <si>
    <t>SMALL HANGING IVORY/RED WOOD BIRD</t>
  </si>
  <si>
    <t>BUNNY EGG BOX</t>
  </si>
  <si>
    <t>HANGING WOOD AND FELT HEART</t>
  </si>
  <si>
    <t xml:space="preserve">HANGING WOOD AND FELT BUTTERFLY </t>
  </si>
  <si>
    <t>HANGING WOOD AND FELT BUTTERFLY</t>
  </si>
  <si>
    <t>HANGING WOOD AND FELT FLOWER | lost??</t>
  </si>
  <si>
    <t>PINK FELT EASTER RABBIT GARLAND</t>
  </si>
  <si>
    <t>CREAM FELT EASTER EGG BASKET</t>
  </si>
  <si>
    <t>PINK FELT EASTER EGG BASKET</t>
  </si>
  <si>
    <t>SET/12 FUNKY FELT FLOWER PEG IN BAG | check</t>
  </si>
  <si>
    <t>S/4 GROOVY CAT MAGNETS</t>
  </si>
  <si>
    <t xml:space="preserve">MINI PAINTED GARDEN DECORATION </t>
  </si>
  <si>
    <t>MINI PAINTED GARDEN DECORATION</t>
  </si>
  <si>
    <t xml:space="preserve">MINI  ZINC GARDEN DECORATIONS </t>
  </si>
  <si>
    <t>MINI  ZINC GARDEN DECORATIONS</t>
  </si>
  <si>
    <t>TUB 24 PINK FLOWER PEGS</t>
  </si>
  <si>
    <t>ASSORTED CHEESE FRIDGE MAGNETS | Damaged</t>
  </si>
  <si>
    <t>ASSORTED CAKES FRIDGE MAGNETS</t>
  </si>
  <si>
    <t>ASSORTED COLOUR SILK GLASSES CASE</t>
  </si>
  <si>
    <t>BLING KEY RING STAND</t>
  </si>
  <si>
    <t>85226A</t>
  </si>
  <si>
    <t>85226C</t>
  </si>
  <si>
    <t>SET OF 6 3D KIT CARDS FOR KIDS</t>
  </si>
  <si>
    <t>OPIUM SCENTED VOTIVE CANDLE</t>
  </si>
  <si>
    <t>CINNAMON SCENTED VOTIVE CANDLE</t>
  </si>
  <si>
    <t>Damaged | STRAWBRY SCENTED VOTIVE CANDLE</t>
  </si>
  <si>
    <t>JASMINE VOTIVE CANDLE</t>
  </si>
  <si>
    <t>ORANGE VOTIVE CANDLE</t>
  </si>
  <si>
    <t>CINAMMON SET OF 9 T-LIGHTS</t>
  </si>
  <si>
    <t>ORANGE SCENTED SET/9 T-LIGHTS | amazon | check</t>
  </si>
  <si>
    <t>ORANGE SCENTED SET/9 T-LIGHTS</t>
  </si>
  <si>
    <t>SET/3 POLKADOT STACKING TINS</t>
  </si>
  <si>
    <t>SET OF 3 BABUSHKA STACKING TINS</t>
  </si>
  <si>
    <t>SET/3 DECOUPAGE STACKING TINS | mix up with c</t>
  </si>
  <si>
    <t>RASPBERRY ANT COPPER FLOWER NECKLAC</t>
  </si>
  <si>
    <t>MIDNIGHT BLUE COPPER FLOWER NECKLAC</t>
  </si>
  <si>
    <t>90000C</t>
  </si>
  <si>
    <t>COPPER/OLIVE GREEN FLOWER NECKLACE</t>
  </si>
  <si>
    <t>ANTIQUE RASPBERRY FLOWER EARRINGS</t>
  </si>
  <si>
    <t>ANTIQUE MID BLUE FLOWER EARRINGS</t>
  </si>
  <si>
    <t>ANTIQUE OPAL WHITE FLOWER EARRINGS</t>
  </si>
  <si>
    <t>ANTIQUE OLIVE GREEN FLOWER EARRINGS</t>
  </si>
  <si>
    <t>FLOWER BURST SILVER RING CRYSTAL</t>
  </si>
  <si>
    <t>ROSE COLOUR PAIR HEART HAIR SLIDES</t>
  </si>
  <si>
    <t>MIDNIGHT BLUE PAIR HEART HAIR SLIDE</t>
  </si>
  <si>
    <t>CRYSTAL PAIR HEART HAIR SLIDES</t>
  </si>
  <si>
    <t>GREEN PAIR HEART HAIR SLIDES</t>
  </si>
  <si>
    <t>JADE GREEN ENAMEL HAIR COMB</t>
  </si>
  <si>
    <t>MIDNIGHT BLUE GLASS/SILVER BRACELET</t>
  </si>
  <si>
    <t>BLACK/WHITE GLASS/SILVER BRACELET</t>
  </si>
  <si>
    <t>AMBER GLASS/SILVER BRACELET</t>
  </si>
  <si>
    <t>MIDNIGHT BLUE CRYSTAL DROP EARRINGS</t>
  </si>
  <si>
    <t>BLACK CRYSTAL DROP EARRINGS</t>
  </si>
  <si>
    <t>GREEN CRYSTAL DROP EARRINGS</t>
  </si>
  <si>
    <t>PURPLE CRYSTAL DROP EARRINGS</t>
  </si>
  <si>
    <t>AMBER CRYSTAL DROP EARRINGS</t>
  </si>
  <si>
    <t>MIDNIGHT BLUE DROP CRYSTAL NECKLACE | stock check</t>
  </si>
  <si>
    <t>BLACK DROP CRYSTAL NECKLACE | check</t>
  </si>
  <si>
    <t>MIDNIGHT BLUE VINTAGE EARRINGS</t>
  </si>
  <si>
    <t>BLACK VINTAGE EARRINGS</t>
  </si>
  <si>
    <t xml:space="preserve">GREEN VINTAGE EARRINGS </t>
  </si>
  <si>
    <t>GREEN VINTAGE EARRINGS</t>
  </si>
  <si>
    <t>PURPLE VINTAGE EARRINGS</t>
  </si>
  <si>
    <t>SILVER M.O.P. ORBIT NECKLACE | SILVER/MOP ORBIT NECKLACE | check</t>
  </si>
  <si>
    <t>GOLD M PEARL  ORBIT NECKLACE | GOLD M.O.P. ORBIT NECKLACE</t>
  </si>
  <si>
    <t>SILVER AND BLACK ORBIT NECKLACE | SILVER/BLACK ORBIT NECKLACE</t>
  </si>
  <si>
    <t>SILVER/M.O.P PENDANT ORBIT NECKLACE</t>
  </si>
  <si>
    <t>GOLD/M.O.P PENDANT ORBIT NECKLACE</t>
  </si>
  <si>
    <t>SILVER/BLACK PENDANT ORBIT NECKLACE</t>
  </si>
  <si>
    <t>SILVER M.O.P ORBIT DROP EARRINGS</t>
  </si>
  <si>
    <t>GOLD M.O.P ORBIT DROP EARRINGS</t>
  </si>
  <si>
    <t>SILVER BLACK ORBIT DROP EARRINGS</t>
  </si>
  <si>
    <t>SILVER M.O.P ORBIT BRACELET</t>
  </si>
  <si>
    <t>GOLD M.O.P ORBIT BRACELET</t>
  </si>
  <si>
    <t>SILVER BLACK ORBIT BRACELET</t>
  </si>
  <si>
    <t>FILIGREE DIAMANTE CHAIN</t>
  </si>
  <si>
    <t>LASER CUT MULTI STRAND NECKLACE</t>
  </si>
  <si>
    <t>EDWARDIAN DROP EARRINGS JET BLACK</t>
  </si>
  <si>
    <t>FILIGREE DIAMANTE EARRINGS</t>
  </si>
  <si>
    <t>NEW BAROQUE B'FLY NECKLACE RED</t>
  </si>
  <si>
    <t>NEW BAROQUE B'FLY NECKLACE GREEN</t>
  </si>
  <si>
    <t>NEW BAROQUE B'FLY NECKLACE PINK</t>
  </si>
  <si>
    <t>NEW BAROQUE B'FLY NECKLACE MONTANA</t>
  </si>
  <si>
    <t>NEW BAROQUE B'FLY NECKLACE CRYSTAL</t>
  </si>
  <si>
    <t>BAROQUE BUTTERFLY EARRINGS BLACK</t>
  </si>
  <si>
    <t>BAROQUE BUTTERFLY EARRINGS RED</t>
  </si>
  <si>
    <t>BAROQUE BUTTERFLY EARRINGS PINK</t>
  </si>
  <si>
    <t>BAROQUE BUTTERFLY EARRINGS MONTANA</t>
  </si>
  <si>
    <t>BAROQUE BUTTERFLY EARRINGS CRYSTAL</t>
  </si>
  <si>
    <t>GLASS BEAD HOOP NECKLACE BLACK</t>
  </si>
  <si>
    <t>GLASS BEAD HOOP NECKLACE MONTANA</t>
  </si>
  <si>
    <t>GLASS BEAD HOOP NECKLACE GREEN</t>
  </si>
  <si>
    <t>GLASS BEAD HOOP NECKLACE AMETHYST</t>
  </si>
  <si>
    <t>GLASS BEAD HOOP EARRINGS BLACK</t>
  </si>
  <si>
    <t>GLASS BEAD HOOP EARRINGS MONTANA</t>
  </si>
  <si>
    <t>GLASS BEAD HOOP EARRINGS GREEN</t>
  </si>
  <si>
    <t>GLASS BEAD HOOP EARRINGS AMETHYST</t>
  </si>
  <si>
    <t>NEW BAROQUE LARGE NECKLACE BLK/WHIT</t>
  </si>
  <si>
    <t>NEW BAROQUE SMALL NECKLACE BLACK</t>
  </si>
  <si>
    <t>SPOTTED WHITE NATURAL SEED NECKLACE</t>
  </si>
  <si>
    <t>RED KUKUI COCONUT SEED NECKLACE</t>
  </si>
  <si>
    <t>BROWN KUKUI COCONUT SEED NECKLACE</t>
  </si>
  <si>
    <t>BILI NUT AND WOOD NECKLACE</t>
  </si>
  <si>
    <t>IVORY SHELL HEART NECKLACE</t>
  </si>
  <si>
    <t>IVORY SHELL HEART EARRINGS</t>
  </si>
  <si>
    <t>WHITE SILVER NECKLACE SHELL GLASS</t>
  </si>
  <si>
    <t>PEARL &amp; SHELL 42"NECKL. GREEN</t>
  </si>
  <si>
    <t>PEARL &amp; SHELL 42"NECKL. IVORY</t>
  </si>
  <si>
    <t>FLOWER GARLAND NECKLACE RED</t>
  </si>
  <si>
    <t>FLOWER GLASS GARLAND NECKL.36"GREEN</t>
  </si>
  <si>
    <t>FLOWER GLASS GARLAND NECKL.36"BLUE</t>
  </si>
  <si>
    <t>FLOWER GLASS GARLAND NECKL.36"BLACK</t>
  </si>
  <si>
    <t>FLOWER GLASS GARLD NECKL36"AMETHYST</t>
  </si>
  <si>
    <t>FLOWER GLASS GARLD NECKL36"TURQUOIS</t>
  </si>
  <si>
    <t>TINY CRYSTAL BRACELET RED</t>
  </si>
  <si>
    <t>TINY CRYSTAL BRACELET GREEN</t>
  </si>
  <si>
    <t>TINY CRYSTAL BRACELET BLUE</t>
  </si>
  <si>
    <t>90037D</t>
  </si>
  <si>
    <t>GLASS AND PAINTED BEADS BRACELET TO</t>
  </si>
  <si>
    <t>GLASS AND PAINTED BEADS BRACELET OL</t>
  </si>
  <si>
    <t>GLASS AND BEADS BRACELET IVORY</t>
  </si>
  <si>
    <t>FIRE POLISHED GLASS BRACELET RED</t>
  </si>
  <si>
    <t>FIRE POLISHED GLASS BRACELET MONTAN</t>
  </si>
  <si>
    <t>FIRE POLISHED GLASS BRACELET BLACK</t>
  </si>
  <si>
    <t>FIRE POLISHED GLASS BRACELET GREEN</t>
  </si>
  <si>
    <t>MURANO STYLE GLASS BRACELET RED</t>
  </si>
  <si>
    <t>MURANO STYLE GLASS BRACELET BLACK</t>
  </si>
  <si>
    <t>MURANO STYLE GLASS BRACELET GOLD</t>
  </si>
  <si>
    <t>PEARL AND CHERRY QUARTZ BRACLET</t>
  </si>
  <si>
    <t>FRESHWATER PEARL BRACELET GOLD</t>
  </si>
  <si>
    <t>90042B</t>
  </si>
  <si>
    <t>FRESHWATER PEARL BRACELET IVORY</t>
  </si>
  <si>
    <t>COPPER AND BRASS BAG CHARM</t>
  </si>
  <si>
    <t>WHITE WITH METAL BAG CHARM</t>
  </si>
  <si>
    <t>GREEN WITH METAL BAG CHARM</t>
  </si>
  <si>
    <t>IVORY GOLD METAL BAG CHARM</t>
  </si>
  <si>
    <t>CRACKED GLAZE NECKLACE IVORY</t>
  </si>
  <si>
    <t>CRACKED GLAZE NECKLACE RED</t>
  </si>
  <si>
    <t>CRACKED GLAZE NECKLACE BROWN</t>
  </si>
  <si>
    <t>CRACKED GLAZE EARRINGS IVORY</t>
  </si>
  <si>
    <t>CRACKED GLAZE EARRINGS RED</t>
  </si>
  <si>
    <t>CRACKED GLAZE EARRINGS BROWN</t>
  </si>
  <si>
    <t>CHUNKY CRACKED GLAZE NECKLACE IVORY</t>
  </si>
  <si>
    <t>DIAMANTE RING ASSORTED IN BOX. | crushed boxes</t>
  </si>
  <si>
    <t>CRYSTAL STUD EARRINGS CLEAR DISPLAY</t>
  </si>
  <si>
    <t xml:space="preserve">CRYSTAL STUD EARRINGS ASSORTED COL </t>
  </si>
  <si>
    <t>CRYSTAL STUD EARRINGS ASSORTED COL</t>
  </si>
  <si>
    <t>DIAMANTE HAIR GRIP PACK/2 CRYSTAL</t>
  </si>
  <si>
    <t>DIAMANTE HAIR GRIP PACK/2 BLACK DIA</t>
  </si>
  <si>
    <t>DIAMANTE HAIR GRIP PACK/2 MONTANA</t>
  </si>
  <si>
    <t>DIAMANTE HAIR GRIP PACK/2 PERIDOT</t>
  </si>
  <si>
    <t>DIAMANTE HAIR GRIP PACK/2 RUBY</t>
  </si>
  <si>
    <t>DIAMANTE HAIR GRIP PACK/2 LT ROSE</t>
  </si>
  <si>
    <t>FIRE POLISHED GLASS NECKL GOLD</t>
  </si>
  <si>
    <t>FIRE POLISHED GLASS NECKL BRONZE</t>
  </si>
  <si>
    <t>FIRE POLISHED GLASS NECKL GREEN</t>
  </si>
  <si>
    <t>CARNIVAL BRACELET</t>
  </si>
  <si>
    <t>WHITE VINT ART DECO CRYSTAL NECKLAC</t>
  </si>
  <si>
    <t>BLACK VINT ART DEC CRYSTAL NECKLACE</t>
  </si>
  <si>
    <t>WHITE VINTAGE CRYSTAL EARRINGS</t>
  </si>
  <si>
    <t>BLACK VINTAGE  CRYSTAL EARRINGS</t>
  </si>
  <si>
    <t>WHITE VINTAGE CRYSTAL BRACELET</t>
  </si>
  <si>
    <t>BLACK VINT ART DEC CRYSTAL BRACELET</t>
  </si>
  <si>
    <t>PINK VINTAGE VICTORIAN EARRINGS</t>
  </si>
  <si>
    <t>BROWN VINTAGE VICTORIAN EARRINGS</t>
  </si>
  <si>
    <t>RUBY GLASS NECKLACE 42"</t>
  </si>
  <si>
    <t>RUBY GLASS CLUSTER NECKLACE</t>
  </si>
  <si>
    <t>RUBY GLASS CLUSTER BRACELET</t>
  </si>
  <si>
    <t>RUBY GLASS CLUSTER EARRINGS</t>
  </si>
  <si>
    <t>RUBY DROP CHANDELIER EARRINGS</t>
  </si>
  <si>
    <t>VINTAGE ENAMEL &amp; CRYSTAL EARRINGS</t>
  </si>
  <si>
    <t>BLACK DIAMOND CLUSTER NECKLACE</t>
  </si>
  <si>
    <t>MONTANA DIAMOND CLUSTER NECKLACE</t>
  </si>
  <si>
    <t>MONTANA DIAMOND CLUSTER EARRINGS</t>
  </si>
  <si>
    <t>BLACK DIAMOND CLUSTER EARRINGS</t>
  </si>
  <si>
    <t>PINK/WHITE GLASS DEMI CHOKER</t>
  </si>
  <si>
    <t>VINTAGE ENAMEL &amp; CRYSTAL NECKLACE</t>
  </si>
  <si>
    <t>LILY BROOCH AMETHYST COLOUR</t>
  </si>
  <si>
    <t>LILY BROOCH WHITE/SILVER COLOUR</t>
  </si>
  <si>
    <t>LILY BROOCH OLIVE COLOUR</t>
  </si>
  <si>
    <t>DIAMANTE BOW BROOCH GREEN COLOUR</t>
  </si>
  <si>
    <t>DIAMANTE BOW BROOCH RED COLOUR</t>
  </si>
  <si>
    <t>DIAMANTE BOW BROOCH BLACK COLOUR</t>
  </si>
  <si>
    <t>CRYSTAL CZECH CROSS PHONE CHARM</t>
  </si>
  <si>
    <t>PINK CRYSTAL GUITAR PHONE CHARM</t>
  </si>
  <si>
    <t>CRYSTAL STILETTO PHONE CHARM</t>
  </si>
  <si>
    <t>CRYSTAL FROG PHONE CHARM</t>
  </si>
  <si>
    <t>CRYSTAL SEA HORSE PHONE CHARM</t>
  </si>
  <si>
    <t>PINK CRYSTAL SKULL PHONE CHARM</t>
  </si>
  <si>
    <t>90091</t>
  </si>
  <si>
    <t>BLUE CRYSTAL BOOT PHONE CHARM</t>
  </si>
  <si>
    <t>CLEAR CRYSTAL STAR PHONE CHARM</t>
  </si>
  <si>
    <t xml:space="preserve">NECKLACE+BRACELET SET FRUIT SALAD </t>
  </si>
  <si>
    <t>NECKLACE+BRACELET SET FRUIT SALAD</t>
  </si>
  <si>
    <t>90095</t>
  </si>
  <si>
    <t>NECKLACE+BRACELET SET BLUE BLOSSOM</t>
  </si>
  <si>
    <t>NECKLACE+BRACELET PINK BUTTERFLY</t>
  </si>
  <si>
    <t>NECKLACE+BRACELET SET BLUE HIBISCUS</t>
  </si>
  <si>
    <t>NECKLACE+BRACELET SET PINK DAISY</t>
  </si>
  <si>
    <t>WHITE FRANGIPANI NECKLACE</t>
  </si>
  <si>
    <t>WHITE FRANGIPANI HAIR CLIP</t>
  </si>
  <si>
    <t>PURPLE FRANGIPANI NECKLACE</t>
  </si>
  <si>
    <t>PURPLE FRANGIPANI HAIRCLIP</t>
  </si>
  <si>
    <t>BLUE BLOSSOM HAIR CLIP</t>
  </si>
  <si>
    <t>PINK DOLLY HAIR CLIPS</t>
  </si>
  <si>
    <t>SUMMER DAISIES BAG CHARM</t>
  </si>
  <si>
    <t>SUMMER BUTTERFLIES BAG CHARM</t>
  </si>
  <si>
    <t>FRUIT SALAD BAG CHARM</t>
  </si>
  <si>
    <t>PINK DAISY BAG CHARM</t>
  </si>
  <si>
    <t>METALIC LEAVES BAG CHARMS</t>
  </si>
  <si>
    <t>PINK MURANO TWIST BRACELET</t>
  </si>
  <si>
    <t>BLUE MURANO TWIST BRACELET</t>
  </si>
  <si>
    <t>GREEN MURANO TWIST BRACELET</t>
  </si>
  <si>
    <t>WHITE MURANO TWIST BRACELET</t>
  </si>
  <si>
    <t>PINK CRYSTAL+GLASS BRACELET</t>
  </si>
  <si>
    <t>JADE CRYSTAL+GLASS BRACELET</t>
  </si>
  <si>
    <t>TURQUOISE CRYSTAL+GLASS BRACELET</t>
  </si>
  <si>
    <t>PINK HEART OF GLASS BRACELET</t>
  </si>
  <si>
    <t>TURQUOISE HEART OF GLASS BRACELET</t>
  </si>
  <si>
    <t>GREEN HEART OF GLASS BRACELET</t>
  </si>
  <si>
    <t>WHITE HEART OF GLASS BRACELET</t>
  </si>
  <si>
    <t>PINK MURANO TWIST NECKLACE</t>
  </si>
  <si>
    <t>BLUE MURANO TWIST NECKLACE</t>
  </si>
  <si>
    <t>GREEN MURANO TWIST NECKLACE</t>
  </si>
  <si>
    <t>PINK BERTIE GLASS BEAD BAG CHARM</t>
  </si>
  <si>
    <t>AQUA BERTIE GLASS BEAD BAG CHARM</t>
  </si>
  <si>
    <t>TURQUOISE BERTIE GLASS BEAD CHARM</t>
  </si>
  <si>
    <t>PURPLE BERTIE GLASS BEAD BAG CHARM</t>
  </si>
  <si>
    <t>AMBER BERTIE GLASS BEAD BAG CHARM</t>
  </si>
  <si>
    <t>PINK BERTIE MOBILE PHONE CHARM</t>
  </si>
  <si>
    <t>AMBER BERTIE MOBILE PHONE CHARM</t>
  </si>
  <si>
    <t>PINK BEADS+HAND PHONE CHARM</t>
  </si>
  <si>
    <t>PINK LEAVES AND BEADS PHONE CHARM</t>
  </si>
  <si>
    <t>BLUE LEAVES AND BEADS PHONE CHARM</t>
  </si>
  <si>
    <t>GREEN LEAVES AND BEADS PHONE CHARM</t>
  </si>
  <si>
    <t>PURPLE LEAVES AND BEADS PHONE CHAR</t>
  </si>
  <si>
    <t xml:space="preserve">PINK GLASS TASSLE BAG CHARM </t>
  </si>
  <si>
    <t>PINK GLASS TASSLE BAG CHARM</t>
  </si>
  <si>
    <t xml:space="preserve">TURQUOISE GLASS TASSLE BAG CHARM </t>
  </si>
  <si>
    <t>TURQUOISE GLASS TASSLE BAG CHARM</t>
  </si>
  <si>
    <t>GREEN GLASS TASSLE BAG CHARM</t>
  </si>
  <si>
    <t>AMBER GLASS TASSLE BAG CHARM</t>
  </si>
  <si>
    <t>PURPLE GLASS TASSLE BAG CHARM</t>
  </si>
  <si>
    <t>RED GLASS TASSLE BAG CHARM</t>
  </si>
  <si>
    <t>WHITE STONE/CRYSTAL EARRINGS</t>
  </si>
  <si>
    <t>TURQ STONE/CRYSTAL EARRINGS</t>
  </si>
  <si>
    <t>GREEN STONE/CRYSTAL EARRINGS</t>
  </si>
  <si>
    <t>RED STONE/CRYSTAL EARRINGS</t>
  </si>
  <si>
    <t>PINK/AMETHYST/GOLD NECKLACE</t>
  </si>
  <si>
    <t>LIGHT TOPAZ TEAL/AQUA COL NECKLACE</t>
  </si>
  <si>
    <t>TEAL/FUSCHIA COL BEAD NECKLACE</t>
  </si>
  <si>
    <t>OLD ROSE COMBO BEAD NECKLACE</t>
  </si>
  <si>
    <t>ORANGE/WHT/FUSCHIA STONES NECKLACE</t>
  </si>
  <si>
    <t>ORANGE/FUSCHIA STONES NECKLACE</t>
  </si>
  <si>
    <t>PALE PINK/AMETHYST STONE NECKLACE</t>
  </si>
  <si>
    <t>PINK COMBO MINI CRYSTALS NECKLACE</t>
  </si>
  <si>
    <t>WHITE/PINK MINI CRYSTALS NECKLACE</t>
  </si>
  <si>
    <t>PINK SWEETIE NECKLACE</t>
  </si>
  <si>
    <t>GREEN PENDANT TRIPLE SHELL NECKLACE</t>
  </si>
  <si>
    <t>IVORY PENDANT TRIPLE SHELL NECKLACE</t>
  </si>
  <si>
    <t>TURQ PENDANT TRIPLE SHELL NECKLACE</t>
  </si>
  <si>
    <t>ROSE PENDANT TRIPLE SHELL NECKLACE</t>
  </si>
  <si>
    <t>ORANGE PENDANT TRIPLE SHELL NECKLAC</t>
  </si>
  <si>
    <t>GREEN PENDANT SHELL NECKLACE</t>
  </si>
  <si>
    <t>MOP PENDANT SHELL NECKLACE</t>
  </si>
  <si>
    <t>SILVER BRACELET W PASTEL FLOWER</t>
  </si>
  <si>
    <t>SILVER DROP EARRINGS WITH FLOWER</t>
  </si>
  <si>
    <t>SILVER HOOP EARRINGS WITH FLOWER</t>
  </si>
  <si>
    <t>FINE SILVER NECKLACE W PASTEL FLOWE</t>
  </si>
  <si>
    <t>CHUNKY SILVER NECKLACE PASTEL FLOWE</t>
  </si>
  <si>
    <t>LONG SILVER NECKLACE PASTEL FLOWER</t>
  </si>
  <si>
    <t>SILVER FLOWR PINK SHELL NECKLACE</t>
  </si>
  <si>
    <t>SILVER/NATURAL SHELL NECKLACE</t>
  </si>
  <si>
    <t>SILVER/NAT SHELL NECKLACE W PENDANT</t>
  </si>
  <si>
    <t>BLUE/GREEN SHELL NECKLACE W PENDANT</t>
  </si>
  <si>
    <t>BLUE/NAT SHELL NECKLACE W PENDANT</t>
  </si>
  <si>
    <t>LAZER CUT NECKLACE W PASTEL BEADS</t>
  </si>
  <si>
    <t>RESIN NECKLACE W PASTEL BEADS</t>
  </si>
  <si>
    <t>RESIN BRACELET W PASTEL BEADS</t>
  </si>
  <si>
    <t>RIVIERA NECKLACE</t>
  </si>
  <si>
    <t>ST TROPEZ NECKLACE</t>
  </si>
  <si>
    <t>COTE D'AZURE NECKLACE</t>
  </si>
  <si>
    <t>PURPLE BOUDICCA LARGE BRACELET</t>
  </si>
  <si>
    <t>RED BOUDICCA LARGE BRACELET</t>
  </si>
  <si>
    <t>TURQ+RED BOUDICCA LARGE BRACELET</t>
  </si>
  <si>
    <t>PINK BOUDICCA LARGE BRACELET</t>
  </si>
  <si>
    <t>ANT COPPER RED BOUDICCA BRACELET</t>
  </si>
  <si>
    <t>ANT COPPER TURQ BOUDICCA BRACELET</t>
  </si>
  <si>
    <t>ANT COPPER LIME BOUDICCA BRACELET</t>
  </si>
  <si>
    <t>ANT COPPER PINK BOUDICCA BRACELET</t>
  </si>
  <si>
    <t>ANT SILVER TURQUOISE BOUDICCA RING</t>
  </si>
  <si>
    <t>ANT SILVER LIME GREEN BOUDICCA RING</t>
  </si>
  <si>
    <t>ANT SILVER FUSCHIA BOUDICCA RING</t>
  </si>
  <si>
    <t>ANT SILVER PURPLE BOUDICCA RING</t>
  </si>
  <si>
    <t>PINK ROSEBUD &amp; PEARL NECKLACE</t>
  </si>
  <si>
    <t>WHITE ROSEBUD &amp; PEARL NECKLACE</t>
  </si>
  <si>
    <t>PINK ROSEBUD PEARL BRACELET</t>
  </si>
  <si>
    <t>WHITE  ROSEBUD PEARL BRACELET</t>
  </si>
  <si>
    <t>PINK ROSEBUD PEARL EARRINGS</t>
  </si>
  <si>
    <t>WHITE ROSEBUD  PEARL EARRINGS</t>
  </si>
  <si>
    <t>PINK &amp; WHITE ROSEBUD RING</t>
  </si>
  <si>
    <t>BEADED LOVE HEART JEWELLERY SET</t>
  </si>
  <si>
    <t>2 DAISIES HAIR COMB</t>
  </si>
  <si>
    <t>DAISY HAIR COMB</t>
  </si>
  <si>
    <t>DAISY HAIR BAND</t>
  </si>
  <si>
    <t>PAIR BUTTERFLY HAIR CLIPS</t>
  </si>
  <si>
    <t>BUTTERFLY HAIR BAND</t>
  </si>
  <si>
    <t>WHITE GLASS CHUNKY CHARM BRACELET</t>
  </si>
  <si>
    <t>PINK GLASS CHUNKY CHARM BRACELET</t>
  </si>
  <si>
    <t>BLUE GLASS CHUNKY CHARM BRACELET</t>
  </si>
  <si>
    <t>TIGRIS EYE CHUNKY CHARM BRACELET</t>
  </si>
  <si>
    <t>CLASSIC DIAMANTE NECKLACE JET</t>
  </si>
  <si>
    <t xml:space="preserve">DIAMANTE NECKLACE BLACK </t>
  </si>
  <si>
    <t>DIAMANTE NECKLACE BLACK</t>
  </si>
  <si>
    <t>DIAMANTE NECKLACE</t>
  </si>
  <si>
    <t>DIAMANTE NECKLACE PURPLE</t>
  </si>
  <si>
    <t>DIAMANTE NECKLACE GREEN</t>
  </si>
  <si>
    <t>CLASSIC DIAMANTE EARRINGS JET</t>
  </si>
  <si>
    <t>DROP DIAMANTE EARRINGS BLACK DIAMON</t>
  </si>
  <si>
    <t>DROP DIAMANTE EARRINGS CRYSTAL</t>
  </si>
  <si>
    <t>DROP DIAMANTE EARRINGS PURPLE</t>
  </si>
  <si>
    <t>DROP DIAMANTE EARRINGS GREEN</t>
  </si>
  <si>
    <t>AMBER CHUNKY GLASS+BEAD NECKLACE</t>
  </si>
  <si>
    <t>PURPLE CHUNKY GLASS+BEAD NECKLACE</t>
  </si>
  <si>
    <t>AMBER FINE BEAD NECKLACE W TASSEL</t>
  </si>
  <si>
    <t>PURPLE FINE BEAD NECKLACE W TASSEL</t>
  </si>
  <si>
    <t>BLACK FINE BEAD NECKLACE W TASSEL</t>
  </si>
  <si>
    <t>BLACK+WHITE NECKLACE W TASSEL | stock check</t>
  </si>
  <si>
    <t>PURPLE AMETHYST NECKLACE W TASSEL</t>
  </si>
  <si>
    <t>AMBER GLASS/SHELL/PEARL NECKLACE</t>
  </si>
  <si>
    <t>AMETHYST GLASS/SHELL/PEARL NECKLACE</t>
  </si>
  <si>
    <t>BLACK GLASS/SHELL/PEARL NECKLACE</t>
  </si>
  <si>
    <t>AMBER 3 BEAD DROP EARRINGS</t>
  </si>
  <si>
    <t>AMETHYST 3 BEAD DROP EARRINGS</t>
  </si>
  <si>
    <t>BLACK 3 BEAD DROP EARRINGS</t>
  </si>
  <si>
    <t>AMBER DROP EARRINGS W LONG BEADS</t>
  </si>
  <si>
    <t>AMETHYST DROP EARRINGS W LONG BEADS</t>
  </si>
  <si>
    <t>BLACK DROP EARRINGS W LONG BEADS</t>
  </si>
  <si>
    <t>AMBER CHUNKY BEAD BRACELET W STRAP</t>
  </si>
  <si>
    <t>AMETHYST CHUNKY BEAD BRACELET W STR</t>
  </si>
  <si>
    <t>BLACK CHUNKY BEAD BRACELET W STRAP</t>
  </si>
  <si>
    <t>AMBER DIAMANTE EXPANDABLE RING</t>
  </si>
  <si>
    <t>AMETHYST DIAMANTE EXPANDABLE RING</t>
  </si>
  <si>
    <t>BLACK DIAMANTE EXPANDABLE RING</t>
  </si>
  <si>
    <t>CRYSTAL DIAMANTE EXPANDABLE RING</t>
  </si>
  <si>
    <t>AMETHYST HOOP EARRING FLORAL LEAF</t>
  </si>
  <si>
    <t>CRYSTAL HOOP EARRING FLORAL LEAF</t>
  </si>
  <si>
    <t>BLUE DROP EARRINGS W BEAD CLUSTER</t>
  </si>
  <si>
    <t>GREEN DROP EARRINGS W BEAD CLUSTER</t>
  </si>
  <si>
    <t>DROP EARRINGS W FLOWER &amp; LEAF</t>
  </si>
  <si>
    <t>SILVER 2 STRAND NECKLACE-LEAF CHARM</t>
  </si>
  <si>
    <t>SILVER/CRYSTAL DROP EARRINGS W LEAF</t>
  </si>
  <si>
    <t>GOLD/AMBER DROP EARRINGS W LEAF</t>
  </si>
  <si>
    <t>SILVER/AMETHYST DROP EARRINGS LEAF</t>
  </si>
  <si>
    <t>?? | SILVER LARIAT 40CM</t>
  </si>
  <si>
    <t>JADE DROP EARRINGS W FILIGREE</t>
  </si>
  <si>
    <t>SILVER LARIAT BLACK STONE EARRINGS</t>
  </si>
  <si>
    <t>PURPLE GEMSTONE BRACELET | check</t>
  </si>
  <si>
    <t>BLACK GEMSTONE BRACELET</t>
  </si>
  <si>
    <t>PURPLE GEMSTONE NECKLACE 45CM</t>
  </si>
  <si>
    <t>BLACK GEMSTONE NECKLACE 45CM</t>
  </si>
  <si>
    <t>BLACK GLASS BRACELET W HEART CHARMS</t>
  </si>
  <si>
    <t>VINTAGE ROSE BEAD BRACELET RASPBERR</t>
  </si>
  <si>
    <t>VINTAGE ROSE BEAD BRACELET BLACK</t>
  </si>
  <si>
    <t>5 STRAND GLASS NECKLACE BLACK</t>
  </si>
  <si>
    <t>5 STRAND GLASS NECKLACE AMETHYST</t>
  </si>
  <si>
    <t>5 STRAND GLASS NECKLACE CRYSTAL</t>
  </si>
  <si>
    <t>5 STRAND GLASS NECKLACE AMBER</t>
  </si>
  <si>
    <t>PURPLE SWEETHEART BRACELET</t>
  </si>
  <si>
    <t>BLACK SWEETHEART BRACELET</t>
  </si>
  <si>
    <t>BLUE SWEETHEART BRACELET</t>
  </si>
  <si>
    <t>PINK SWEETHEART BRACELET</t>
  </si>
  <si>
    <t>GREEN SWEETHEART BRACELET</t>
  </si>
  <si>
    <t>PURPLE ENAMEL FLOWER RING</t>
  </si>
  <si>
    <t>BLACK ENAMEL FLOWER RING</t>
  </si>
  <si>
    <t>RED ENAMEL FLOWER RING</t>
  </si>
  <si>
    <t>GREEN ENAMEL FLOWER RING</t>
  </si>
  <si>
    <t>PURPLE ENAMEL FLOWER HAIR TIE</t>
  </si>
  <si>
    <t>WHITE ENAMEL FLOWER HAIR TIE</t>
  </si>
  <si>
    <t>GREEN ENAMEL FLOWER HAIR TIE</t>
  </si>
  <si>
    <t>PINK ENAMEL FLOWER HAIR TIE</t>
  </si>
  <si>
    <t>PAIR OF ENAMEL BUTTERFLY HAIRCLIP</t>
  </si>
  <si>
    <t>LARGE MINT DIAMANTE HAIRSLIDE</t>
  </si>
  <si>
    <t>LARGE CRYSTAL DIAMANTE HAIRSLIDE</t>
  </si>
  <si>
    <t>GOLD DIAMANTE STAR BROOCH</t>
  </si>
  <si>
    <t>CRYSTAL DIAMANTE STAR BROOCH</t>
  </si>
  <si>
    <t>PAIR OF PINK FLOWER CLUSTER SLIDE</t>
  </si>
  <si>
    <t>PURPLE ENAMEL+GLASS HAIR COMB</t>
  </si>
  <si>
    <t>GREEN ENAMEL+GLASS HAIR COMB</t>
  </si>
  <si>
    <t>PINK ENAMEL+GLASS HAIR COMB</t>
  </si>
  <si>
    <t>GREY ACRYLIC FACETED BANGLE</t>
  </si>
  <si>
    <t>CLEAR ACRYLIC FACETED BANGLE</t>
  </si>
  <si>
    <t>RED   ACRYLIC FACETED BANGLE</t>
  </si>
  <si>
    <t>PURPLE ACRYLIC FACETED BANGLE | check</t>
  </si>
  <si>
    <t>DIAMOND LAS VEGAS NECKLACE 45CM</t>
  </si>
  <si>
    <t>JET BLACK LAS VEGAS NECKLACE 45CM</t>
  </si>
  <si>
    <t>JET BLACK LAS VEGAS BRACELET ROUND</t>
  </si>
  <si>
    <t>PURPLE LAS VEGAS BRACELET ROUND</t>
  </si>
  <si>
    <t>LETTER "A" BLING KEY RING</t>
  </si>
  <si>
    <t>LETTER "B" BLING KEY RING</t>
  </si>
  <si>
    <t>LETTER "C" BLING KEY RING</t>
  </si>
  <si>
    <t>LETTER "D" BLING KEY RING</t>
  </si>
  <si>
    <t>LETTER "E" BLING KEY RING</t>
  </si>
  <si>
    <t>LETTER "F" BLING KEY RING</t>
  </si>
  <si>
    <t>LETTER "G" BLING KEY RING</t>
  </si>
  <si>
    <t>LETTER "H" BLING KEY RING</t>
  </si>
  <si>
    <t>LETTER "I" BLING KEY RING</t>
  </si>
  <si>
    <t>LETTER "J" BLING KEY RING</t>
  </si>
  <si>
    <t>LETTER "K" BLING KEY RING</t>
  </si>
  <si>
    <t>LETTER "L" BLING KEY RING</t>
  </si>
  <si>
    <t>LETTER "M" BLING KEY RING</t>
  </si>
  <si>
    <t>LETTER "N" BLING KEY RING</t>
  </si>
  <si>
    <t>LETTER "O" BLING KEY RING</t>
  </si>
  <si>
    <t>LETTER "P" BLING KEY RING</t>
  </si>
  <si>
    <t>LETTER "R" BLING KEY RING</t>
  </si>
  <si>
    <t>LETTER "S" BLING KEY RING</t>
  </si>
  <si>
    <t>LETTER "T" BLING KEY RING</t>
  </si>
  <si>
    <t>LETTER "U" BLING KEY RING</t>
  </si>
  <si>
    <t>LETTER "V" BLING KEY RING</t>
  </si>
  <si>
    <t>LETTER "W" BLING KEY RING</t>
  </si>
  <si>
    <t>LETTER "Y" BLING KEY RING</t>
  </si>
  <si>
    <t>LETTER "Z" BLING KEY RING</t>
  </si>
  <si>
    <t>AMAZONFEE</t>
  </si>
  <si>
    <t>AMAZON FEE</t>
  </si>
  <si>
    <t>BANK CHARGES</t>
  </si>
  <si>
    <t>Bank Charges</t>
  </si>
  <si>
    <t>C2</t>
  </si>
  <si>
    <t>CARRIAGE</t>
  </si>
  <si>
    <t>CRUK</t>
  </si>
  <si>
    <t>CRUK Commission</t>
  </si>
  <si>
    <t>D</t>
  </si>
  <si>
    <t>Discount</t>
  </si>
  <si>
    <t>BOXED GLASS ASHTRAY | ebay</t>
  </si>
  <si>
    <t>HAYNES CAMPER SHOULDER BAG</t>
  </si>
  <si>
    <t>DCGS0055</t>
  </si>
  <si>
    <t>DCGS0057</t>
  </si>
  <si>
    <t>DCGS0066P</t>
  </si>
  <si>
    <t>DCGS0067</t>
  </si>
  <si>
    <t>ebay</t>
  </si>
  <si>
    <t>DCGS0068</t>
  </si>
  <si>
    <t>OOH LA LA DOGS COLLAR | ebay</t>
  </si>
  <si>
    <t>CAMOUFLAGE DOG COLLAR</t>
  </si>
  <si>
    <t>DCGS0071</t>
  </si>
  <si>
    <t>DCGS0072</t>
  </si>
  <si>
    <t>DCGS0073</t>
  </si>
  <si>
    <t>DCGS0074</t>
  </si>
  <si>
    <t>SUNJAR LED NIGHT NIGHT LIGHT</t>
  </si>
  <si>
    <t>BOYS PARTY BAG</t>
  </si>
  <si>
    <t>GIRLS PARTY BAG</t>
  </si>
  <si>
    <t>DOT</t>
  </si>
  <si>
    <t>DOTCOM POSTAGE</t>
  </si>
  <si>
    <t>M</t>
  </si>
  <si>
    <t>Manual</t>
  </si>
  <si>
    <t>PADS TO MATCH ALL CUSHIONS</t>
  </si>
  <si>
    <t>POST</t>
  </si>
  <si>
    <t>POSTAGE</t>
  </si>
  <si>
    <t>S</t>
  </si>
  <si>
    <t>SAMPLES</t>
  </si>
  <si>
    <t>gift_0001_10</t>
  </si>
  <si>
    <t>Dotcomgiftshop Gift Voucher £10.00</t>
  </si>
  <si>
    <t>gift_0001_20</t>
  </si>
  <si>
    <t xml:space="preserve">Dotcomgiftshop Gift Voucher £20.00 | to push order througha s stock was </t>
  </si>
  <si>
    <t>Dotcomgiftshop Gift Voucher £20.00 | to push order througha s stock was</t>
  </si>
  <si>
    <t>gift_0001_30</t>
  </si>
  <si>
    <t>Dotcomgiftshop Gift Voucher £30.00</t>
  </si>
  <si>
    <t>gift_0001_40</t>
  </si>
  <si>
    <t>Dotcomgiftshop Gift Voucher £40.00</t>
  </si>
  <si>
    <t>gift_0001_50</t>
  </si>
  <si>
    <t>Dotcomgiftshop Gift Voucher £50.00</t>
  </si>
  <si>
    <t>m</t>
  </si>
  <si>
    <t>Category</t>
  </si>
  <si>
    <t>SignedGBP</t>
  </si>
  <si>
    <t>PlatformFee</t>
  </si>
  <si>
    <t>AccountingAdjustment</t>
  </si>
  <si>
    <t>BankFee</t>
  </si>
  <si>
    <t>Logistics</t>
  </si>
  <si>
    <t>Commission</t>
  </si>
  <si>
    <t>Sample</t>
  </si>
  <si>
    <t>Voucher</t>
  </si>
  <si>
    <t>12346</t>
  </si>
  <si>
    <t>12347</t>
  </si>
  <si>
    <t>12348</t>
  </si>
  <si>
    <t>12349</t>
  </si>
  <si>
    <t>12350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</si>
  <si>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</si>
  <si>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</si>
  <si>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</si>
  <si>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</si>
  <si>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</si>
  <si>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</si>
  <si>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</si>
  <si>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</si>
  <si>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</si>
  <si>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</si>
  <si>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</si>
  <si>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</si>
  <si>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</si>
  <si>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</si>
  <si>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12367</t>
  </si>
  <si>
    <t>12370</t>
  </si>
  <si>
    <t>12371</t>
  </si>
  <si>
    <t>12372</t>
  </si>
  <si>
    <t>12373</t>
  </si>
  <si>
    <t>12374</t>
  </si>
  <si>
    <t>12375</t>
  </si>
  <si>
    <t>12377</t>
  </si>
  <si>
    <t>12378</t>
  </si>
  <si>
    <t>12379</t>
  </si>
  <si>
    <t>12380</t>
  </si>
  <si>
    <t>12381</t>
  </si>
  <si>
    <t>12383</t>
  </si>
  <si>
    <t>12384</t>
  </si>
  <si>
    <t>12386</t>
  </si>
  <si>
    <t>12388</t>
  </si>
  <si>
    <t>12390</t>
  </si>
  <si>
    <t>12391</t>
  </si>
  <si>
    <t>12393</t>
  </si>
  <si>
    <t>12394</t>
  </si>
  <si>
    <t>12395</t>
  </si>
  <si>
    <t>12397</t>
  </si>
  <si>
    <t>12398</t>
  </si>
  <si>
    <t>12399</t>
  </si>
  <si>
    <t>12401</t>
  </si>
  <si>
    <t>12402</t>
  </si>
  <si>
    <t>12403</t>
  </si>
  <si>
    <t>12405</t>
  </si>
  <si>
    <t>12406</t>
  </si>
  <si>
    <t>12407</t>
  </si>
  <si>
    <t>12408</t>
  </si>
  <si>
    <t>12409</t>
  </si>
  <si>
    <t>12410</t>
  </si>
  <si>
    <t>12412</t>
  </si>
  <si>
    <t>12413</t>
  </si>
  <si>
    <t>12414</t>
  </si>
  <si>
    <t>12415</t>
  </si>
  <si>
    <t>12417</t>
  </si>
  <si>
    <t>12418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</si>
  <si>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</si>
  <si>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</si>
  <si>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</si>
  <si>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</si>
  <si>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</si>
  <si>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</si>
  <si>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</si>
  <si>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</si>
  <si>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</si>
  <si>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</si>
  <si>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</si>
  <si>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</si>
  <si>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</si>
  <si>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</si>
  <si>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</si>
  <si>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</si>
  <si>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</si>
  <si>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</si>
  <si>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</si>
  <si>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12441</t>
  </si>
  <si>
    <t>12442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</si>
  <si>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</si>
  <si>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</si>
  <si>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</si>
  <si>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</si>
  <si>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</si>
  <si>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</si>
  <si>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</si>
  <si>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</si>
  <si>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</si>
  <si>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</si>
  <si>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</si>
  <si>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</si>
  <si>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</si>
  <si>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</si>
  <si>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</si>
  <si>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12461</t>
  </si>
  <si>
    <t>12462</t>
  </si>
  <si>
    <t>12463</t>
  </si>
  <si>
    <t>12464</t>
  </si>
  <si>
    <t>12465</t>
  </si>
  <si>
    <t>12468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</si>
  <si>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</si>
  <si>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</si>
  <si>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</si>
  <si>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</si>
  <si>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</si>
  <si>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</si>
  <si>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</si>
  <si>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</si>
  <si>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</si>
  <si>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</si>
  <si>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</si>
  <si>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12483</t>
  </si>
  <si>
    <t>12484</t>
  </si>
  <si>
    <t>12488</t>
  </si>
  <si>
    <t>12489</t>
  </si>
  <si>
    <t>12490</t>
  </si>
  <si>
    <t>12491</t>
  </si>
  <si>
    <t>12492</t>
  </si>
  <si>
    <t>12493</t>
  </si>
  <si>
    <t>12494</t>
  </si>
  <si>
    <t>12497</t>
  </si>
  <si>
    <t>12498</t>
  </si>
  <si>
    <t>12500</t>
  </si>
  <si>
    <t>12501</t>
  </si>
  <si>
    <t>12502</t>
  </si>
  <si>
    <t>12504</t>
  </si>
  <si>
    <t>12506</t>
  </si>
  <si>
    <t>12507</t>
  </si>
  <si>
    <t>12508</t>
  </si>
  <si>
    <t>12509</t>
  </si>
  <si>
    <t>12510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</si>
  <si>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</si>
  <si>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</si>
  <si>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</si>
  <si>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</si>
  <si>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</si>
  <si>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</si>
  <si>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</si>
  <si>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</si>
  <si>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</si>
  <si>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</si>
  <si>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</si>
  <si>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</si>
  <si>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</si>
  <si>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12526</t>
  </si>
  <si>
    <t>12527</t>
  </si>
  <si>
    <t>12528</t>
  </si>
  <si>
    <t>12530</t>
  </si>
  <si>
    <t>12531</t>
  </si>
  <si>
    <t>12532</t>
  </si>
  <si>
    <t>12534</t>
  </si>
  <si>
    <t>12535</t>
  </si>
  <si>
    <t>12536</t>
  </si>
  <si>
    <t>12538</t>
  </si>
  <si>
    <t>12539</t>
  </si>
  <si>
    <t>12540</t>
  </si>
  <si>
    <t>12541</t>
  </si>
  <si>
    <t>12544</t>
  </si>
  <si>
    <t>12545</t>
  </si>
  <si>
    <t>12546</t>
  </si>
  <si>
    <t>12547</t>
  </si>
  <si>
    <t>12548</t>
  </si>
  <si>
    <t>12550</t>
  </si>
  <si>
    <t>12551</t>
  </si>
  <si>
    <t>12552</t>
  </si>
  <si>
    <t>12553</t>
  </si>
  <si>
    <t>12556</t>
  </si>
  <si>
    <t>12557</t>
  </si>
  <si>
    <t>12558</t>
  </si>
  <si>
    <t>12559</t>
  </si>
  <si>
    <t>12560</t>
  </si>
  <si>
    <t>12561</t>
  </si>
  <si>
    <t>12562</t>
  </si>
  <si>
    <t>12564</t>
  </si>
  <si>
    <t>12565</t>
  </si>
  <si>
    <t>12566</t>
  </si>
  <si>
    <t>12567</t>
  </si>
  <si>
    <t>12569</t>
  </si>
  <si>
    <t>12571</t>
  </si>
  <si>
    <t>12572</t>
  </si>
  <si>
    <t>12573</t>
  </si>
  <si>
    <t>12574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</si>
  <si>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</si>
  <si>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</si>
  <si>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</si>
  <si>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</si>
  <si>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</si>
  <si>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</si>
  <si>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</si>
  <si>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</si>
  <si>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</si>
  <si>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</si>
  <si>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</si>
  <si>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</si>
  <si>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</si>
  <si>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</si>
  <si>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</si>
  <si>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</si>
  <si>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</si>
  <si>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</si>
  <si>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</si>
  <si>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</si>
  <si>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</si>
  <si>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</si>
  <si>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</si>
  <si>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</si>
  <si>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</si>
  <si>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</si>
  <si>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</si>
  <si>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</si>
  <si>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12607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</si>
  <si>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</si>
  <si>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</si>
  <si>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</si>
  <si>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</si>
  <si>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</si>
  <si>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</si>
  <si>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</si>
  <si>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</si>
  <si>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</si>
  <si>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</si>
  <si>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</si>
  <si>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</si>
  <si>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</si>
  <si>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</si>
  <si>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</si>
  <si>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</si>
  <si>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</si>
  <si>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</si>
  <si>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</si>
  <si>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</si>
  <si>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12630</t>
  </si>
  <si>
    <t>12631</t>
  </si>
  <si>
    <t>12633</t>
  </si>
  <si>
    <t>12635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</si>
  <si>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</si>
  <si>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</si>
  <si>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</si>
  <si>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</si>
  <si>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</si>
  <si>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</si>
  <si>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</si>
  <si>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</si>
  <si>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</si>
  <si>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</si>
  <si>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12648</t>
  </si>
  <si>
    <t>12649</t>
  </si>
  <si>
    <t>12650</t>
  </si>
  <si>
    <t>12651</t>
  </si>
  <si>
    <t>12652</t>
  </si>
  <si>
    <t>12653</t>
  </si>
  <si>
    <t>12654</t>
  </si>
  <si>
    <t>12656</t>
  </si>
  <si>
    <t>12657</t>
  </si>
  <si>
    <t>12658</t>
  </si>
  <si>
    <t>12659</t>
  </si>
  <si>
    <t>12660</t>
  </si>
  <si>
    <t>12662</t>
  </si>
  <si>
    <t>12664</t>
  </si>
  <si>
    <t>12665</t>
  </si>
  <si>
    <t>12667</t>
  </si>
  <si>
    <t>12668</t>
  </si>
  <si>
    <t>12669</t>
  </si>
  <si>
    <t>12670</t>
  </si>
  <si>
    <t>12672</t>
  </si>
  <si>
    <t>12673</t>
  </si>
  <si>
    <t>12674</t>
  </si>
  <si>
    <t>12676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</si>
  <si>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</si>
  <si>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</si>
  <si>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</si>
  <si>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</si>
  <si>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</si>
  <si>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</si>
  <si>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</si>
  <si>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</si>
  <si>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</si>
  <si>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12688</t>
  </si>
  <si>
    <t>12689</t>
  </si>
  <si>
    <t>12690</t>
  </si>
  <si>
    <t>12691</t>
  </si>
  <si>
    <t>12693</t>
  </si>
  <si>
    <t>12694</t>
  </si>
  <si>
    <t>12695</t>
  </si>
  <si>
    <t>12697</t>
  </si>
  <si>
    <t>12700</t>
  </si>
  <si>
    <t>12701</t>
  </si>
  <si>
    <t>12702</t>
  </si>
  <si>
    <t>12703</t>
  </si>
  <si>
    <t>12704</t>
  </si>
  <si>
    <t>12705</t>
  </si>
  <si>
    <t>12707</t>
  </si>
  <si>
    <t>12708</t>
  </si>
  <si>
    <t>12709</t>
  </si>
  <si>
    <t>12710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</si>
  <si>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</si>
  <si>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</si>
  <si>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</si>
  <si>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</si>
  <si>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</si>
  <si>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</si>
  <si>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</si>
  <si>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</si>
  <si>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</si>
  <si>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</si>
  <si>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</si>
  <si>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</si>
  <si>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</si>
  <si>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</si>
  <si>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</si>
  <si>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</si>
  <si>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</si>
  <si>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</si>
  <si>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12731</t>
  </si>
  <si>
    <t>12732</t>
  </si>
  <si>
    <t>12733</t>
  </si>
  <si>
    <t>12734</t>
  </si>
  <si>
    <t>12735</t>
  </si>
  <si>
    <t>12736</t>
  </si>
  <si>
    <t>12738</t>
  </si>
  <si>
    <t>12739</t>
  </si>
  <si>
    <t>12740</t>
  </si>
  <si>
    <t>12743</t>
  </si>
  <si>
    <t>12744</t>
  </si>
  <si>
    <t>12747</t>
  </si>
  <si>
    <t>12748</t>
  </si>
  <si>
    <t>12749</t>
  </si>
  <si>
    <t>12750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</si>
  <si>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</si>
  <si>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</si>
  <si>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</si>
  <si>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</si>
  <si>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</si>
  <si>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</si>
  <si>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</si>
  <si>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</si>
  <si>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12762</t>
  </si>
  <si>
    <t>12763</t>
  </si>
  <si>
    <t>12764</t>
  </si>
  <si>
    <t>12766</t>
  </si>
  <si>
    <t>12769</t>
  </si>
  <si>
    <t>12770</t>
  </si>
  <si>
    <t>12772</t>
  </si>
  <si>
    <t>12775</t>
  </si>
  <si>
    <t>12778</t>
  </si>
  <si>
    <t>12779</t>
  </si>
  <si>
    <t>12781</t>
  </si>
  <si>
    <t>12782</t>
  </si>
  <si>
    <t>12783</t>
  </si>
  <si>
    <t>12784</t>
  </si>
  <si>
    <t>12785</t>
  </si>
  <si>
    <t>12787</t>
  </si>
  <si>
    <t>12789</t>
  </si>
  <si>
    <t>12790</t>
  </si>
  <si>
    <t>12791</t>
  </si>
  <si>
    <t>12792</t>
  </si>
  <si>
    <t>12793</t>
  </si>
  <si>
    <t>12794</t>
  </si>
  <si>
    <t>12795</t>
  </si>
  <si>
    <t>12797</t>
  </si>
  <si>
    <t>12798</t>
  </si>
  <si>
    <t>12802</t>
  </si>
  <si>
    <t>12808</t>
  </si>
  <si>
    <t>12809</t>
  </si>
  <si>
    <t>12811</t>
  </si>
  <si>
    <t>12812</t>
  </si>
  <si>
    <t>12814</t>
  </si>
  <si>
    <t>12815</t>
  </si>
  <si>
    <t>12816</t>
  </si>
  <si>
    <t>12817</t>
  </si>
  <si>
    <t>12818</t>
  </si>
  <si>
    <t>12820</t>
  </si>
  <si>
    <t>12821</t>
  </si>
  <si>
    <t>12822</t>
  </si>
  <si>
    <t>12823</t>
  </si>
  <si>
    <t>12824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</si>
  <si>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</si>
  <si>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</si>
  <si>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</si>
  <si>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</si>
  <si>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</si>
  <si>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</si>
  <si>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</si>
  <si>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</si>
  <si>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</si>
  <si>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</si>
  <si>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</si>
  <si>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</si>
  <si>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</si>
  <si>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</si>
  <si>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</si>
  <si>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</si>
  <si>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</si>
  <si>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</si>
  <si>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</si>
  <si>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12847</t>
  </si>
  <si>
    <t>12849</t>
  </si>
  <si>
    <t>12851</t>
  </si>
  <si>
    <t>12852</t>
  </si>
  <si>
    <t>12853</t>
  </si>
  <si>
    <t>12854</t>
  </si>
  <si>
    <t>12855</t>
  </si>
  <si>
    <t>12856</t>
  </si>
  <si>
    <t>12857</t>
  </si>
  <si>
    <t>12863</t>
  </si>
  <si>
    <t>12864</t>
  </si>
  <si>
    <t>12865</t>
  </si>
  <si>
    <t>12866</t>
  </si>
  <si>
    <t>12867</t>
  </si>
  <si>
    <t>12868</t>
  </si>
  <si>
    <t>12871</t>
  </si>
  <si>
    <t>12872</t>
  </si>
  <si>
    <t>12873</t>
  </si>
  <si>
    <t>12875</t>
  </si>
  <si>
    <t>12876</t>
  </si>
  <si>
    <t>12877</t>
  </si>
  <si>
    <t>12878</t>
  </si>
  <si>
    <t>12879</t>
  </si>
  <si>
    <t>12881</t>
  </si>
  <si>
    <t>12882</t>
  </si>
  <si>
    <t>12883</t>
  </si>
  <si>
    <t>12884</t>
  </si>
  <si>
    <t>12885</t>
  </si>
  <si>
    <t>12886</t>
  </si>
  <si>
    <t>12888</t>
  </si>
  <si>
    <t>12890</t>
  </si>
  <si>
    <t>12891</t>
  </si>
  <si>
    <t>12893</t>
  </si>
  <si>
    <t>12895</t>
  </si>
  <si>
    <t>12897</t>
  </si>
  <si>
    <t>12901</t>
  </si>
  <si>
    <t>12902</t>
  </si>
  <si>
    <t>12904</t>
  </si>
  <si>
    <t>12906</t>
  </si>
  <si>
    <t>12908</t>
  </si>
  <si>
    <t>12910</t>
  </si>
  <si>
    <t>12912</t>
  </si>
  <si>
    <t>12913</t>
  </si>
  <si>
    <t>12915</t>
  </si>
  <si>
    <t>12916</t>
  </si>
  <si>
    <t>12917</t>
  </si>
  <si>
    <t>12919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</si>
  <si>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</si>
  <si>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</si>
  <si>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</si>
  <si>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</si>
  <si>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</si>
  <si>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</si>
  <si>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</si>
  <si>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</si>
  <si>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</si>
  <si>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12931</t>
  </si>
  <si>
    <t>12933</t>
  </si>
  <si>
    <t>12935</t>
  </si>
  <si>
    <t>12936</t>
  </si>
  <si>
    <t>12937</t>
  </si>
  <si>
    <t>12938</t>
  </si>
  <si>
    <t>12939</t>
  </si>
  <si>
    <t>12940</t>
  </si>
  <si>
    <t>12942</t>
  </si>
  <si>
    <t>12944</t>
  </si>
  <si>
    <t>12945</t>
  </si>
  <si>
    <t>12947</t>
  </si>
  <si>
    <t>12948</t>
  </si>
  <si>
    <t>12949</t>
  </si>
  <si>
    <t>12950</t>
  </si>
  <si>
    <t>12951</t>
  </si>
  <si>
    <t>12952</t>
  </si>
  <si>
    <t>12953</t>
  </si>
  <si>
    <t>12955</t>
  </si>
  <si>
    <t>12956</t>
  </si>
  <si>
    <t>12957</t>
  </si>
  <si>
    <t>12962</t>
  </si>
  <si>
    <t>12963</t>
  </si>
  <si>
    <t>12965</t>
  </si>
  <si>
    <t>12966</t>
  </si>
  <si>
    <t>12967</t>
  </si>
  <si>
    <t>12968</t>
  </si>
  <si>
    <t>12970</t>
  </si>
  <si>
    <t>12971</t>
  </si>
  <si>
    <t>12974</t>
  </si>
  <si>
    <t>12976</t>
  </si>
  <si>
    <t>12977</t>
  </si>
  <si>
    <t>12980</t>
  </si>
  <si>
    <t>12981</t>
  </si>
  <si>
    <t>12982</t>
  </si>
  <si>
    <t>12984</t>
  </si>
  <si>
    <t>12985</t>
  </si>
  <si>
    <t>12987</t>
  </si>
  <si>
    <t>12988</t>
  </si>
  <si>
    <t>12989</t>
  </si>
  <si>
    <t>12990</t>
  </si>
  <si>
    <t>12991</t>
  </si>
  <si>
    <t>12993</t>
  </si>
  <si>
    <t>12994</t>
  </si>
  <si>
    <t>12995</t>
  </si>
  <si>
    <t>12997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</si>
  <si>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</si>
  <si>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</si>
  <si>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</si>
  <si>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</si>
  <si>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</si>
  <si>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</si>
  <si>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</si>
  <si>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</si>
  <si>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13008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</si>
  <si>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</si>
  <si>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</si>
  <si>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</si>
  <si>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</si>
  <si>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</si>
  <si>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</si>
  <si>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</si>
  <si>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</si>
  <si>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13021</t>
  </si>
  <si>
    <t>13023</t>
  </si>
  <si>
    <t>13026</t>
  </si>
  <si>
    <t>13027</t>
  </si>
  <si>
    <t>13028</t>
  </si>
  <si>
    <t>13029</t>
  </si>
  <si>
    <t>13030</t>
  </si>
  <si>
    <t>13032</t>
  </si>
  <si>
    <t>13033</t>
  </si>
  <si>
    <t>13034</t>
  </si>
  <si>
    <t>13035</t>
  </si>
  <si>
    <t>13037</t>
  </si>
  <si>
    <t>13038</t>
  </si>
  <si>
    <t>13040</t>
  </si>
  <si>
    <t>13043</t>
  </si>
  <si>
    <t>13044</t>
  </si>
  <si>
    <t>13045</t>
  </si>
  <si>
    <t>13046</t>
  </si>
  <si>
    <t>13048</t>
  </si>
  <si>
    <t>13049</t>
  </si>
  <si>
    <t>13050</t>
  </si>
  <si>
    <t>13052</t>
  </si>
  <si>
    <t>13055</t>
  </si>
  <si>
    <t>13058</t>
  </si>
  <si>
    <t>13059</t>
  </si>
  <si>
    <t>13060</t>
  </si>
  <si>
    <t>13061</t>
  </si>
  <si>
    <t>13062</t>
  </si>
  <si>
    <t>13064</t>
  </si>
  <si>
    <t>13065</t>
  </si>
  <si>
    <t>13066</t>
  </si>
  <si>
    <t>13067</t>
  </si>
  <si>
    <t>13068</t>
  </si>
  <si>
    <t>13069</t>
  </si>
  <si>
    <t>13070</t>
  </si>
  <si>
    <t>13072</t>
  </si>
  <si>
    <t>13075</t>
  </si>
  <si>
    <t>13077</t>
  </si>
  <si>
    <t>13078</t>
  </si>
  <si>
    <t>13079</t>
  </si>
  <si>
    <t>13080</t>
  </si>
  <si>
    <t>13081</t>
  </si>
  <si>
    <t>13082</t>
  </si>
  <si>
    <t>13083</t>
  </si>
  <si>
    <t>13085</t>
  </si>
  <si>
    <t>13089</t>
  </si>
  <si>
    <t>13090</t>
  </si>
  <si>
    <t>13091</t>
  </si>
  <si>
    <t>13092</t>
  </si>
  <si>
    <t>13093</t>
  </si>
  <si>
    <t>13094</t>
  </si>
  <si>
    <t>13095</t>
  </si>
  <si>
    <t>13097</t>
  </si>
  <si>
    <t>13098</t>
  </si>
  <si>
    <t>13099</t>
  </si>
  <si>
    <t>13101</t>
  </si>
  <si>
    <t>13102</t>
  </si>
  <si>
    <t>13103</t>
  </si>
  <si>
    <t>13104</t>
  </si>
  <si>
    <t>13106</t>
  </si>
  <si>
    <t>13107</t>
  </si>
  <si>
    <t>13108</t>
  </si>
  <si>
    <t>13109</t>
  </si>
  <si>
    <t>13110</t>
  </si>
  <si>
    <t>13113</t>
  </si>
  <si>
    <t>13115</t>
  </si>
  <si>
    <t>13116</t>
  </si>
  <si>
    <t>13117</t>
  </si>
  <si>
    <t>13118</t>
  </si>
  <si>
    <t>13120</t>
  </si>
  <si>
    <t>13121</t>
  </si>
  <si>
    <t>13122</t>
  </si>
  <si>
    <t>13124</t>
  </si>
  <si>
    <t>13126</t>
  </si>
  <si>
    <t>13127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</si>
  <si>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</si>
  <si>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</si>
  <si>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</si>
  <si>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</si>
  <si>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</si>
  <si>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</si>
  <si>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</si>
  <si>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</si>
  <si>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</si>
  <si>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</si>
  <si>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</si>
  <si>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</si>
  <si>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</si>
  <si>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13144</t>
  </si>
  <si>
    <t>13145</t>
  </si>
  <si>
    <t>13146</t>
  </si>
  <si>
    <t>13147</t>
  </si>
  <si>
    <t>13148</t>
  </si>
  <si>
    <t>13149</t>
  </si>
  <si>
    <t>13151</t>
  </si>
  <si>
    <t>13153</t>
  </si>
  <si>
    <t>13155</t>
  </si>
  <si>
    <t>13157</t>
  </si>
  <si>
    <t>13158</t>
  </si>
  <si>
    <t>13159</t>
  </si>
  <si>
    <t>13160</t>
  </si>
  <si>
    <t>13161</t>
  </si>
  <si>
    <t>13162</t>
  </si>
  <si>
    <t>13165</t>
  </si>
  <si>
    <t>13166</t>
  </si>
  <si>
    <t>13167</t>
  </si>
  <si>
    <t>13168</t>
  </si>
  <si>
    <t>13169</t>
  </si>
  <si>
    <t>13170</t>
  </si>
  <si>
    <t>13171</t>
  </si>
  <si>
    <t>13173</t>
  </si>
  <si>
    <t>13174</t>
  </si>
  <si>
    <t>13176</t>
  </si>
  <si>
    <t>13177</t>
  </si>
  <si>
    <t>13178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</si>
  <si>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</si>
  <si>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</si>
  <si>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</si>
  <si>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</si>
  <si>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</si>
  <si>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</si>
  <si>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</si>
  <si>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</si>
  <si>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13192</t>
  </si>
  <si>
    <t>13193</t>
  </si>
  <si>
    <t>13194</t>
  </si>
  <si>
    <t>13196</t>
  </si>
  <si>
    <t>13198</t>
  </si>
  <si>
    <t>13199</t>
  </si>
  <si>
    <t>13200</t>
  </si>
  <si>
    <t>13203</t>
  </si>
  <si>
    <t>13207</t>
  </si>
  <si>
    <t>13208</t>
  </si>
  <si>
    <t>13209</t>
  </si>
  <si>
    <t>13210</t>
  </si>
  <si>
    <t>13211</t>
  </si>
  <si>
    <t>13212</t>
  </si>
  <si>
    <t>13213</t>
  </si>
  <si>
    <t>13216</t>
  </si>
  <si>
    <t>13217</t>
  </si>
  <si>
    <t>13218</t>
  </si>
  <si>
    <t>13220</t>
  </si>
  <si>
    <t>13221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</si>
  <si>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</si>
  <si>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</si>
  <si>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</si>
  <si>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</si>
  <si>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</si>
  <si>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</si>
  <si>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</si>
  <si>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</si>
  <si>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13232</t>
  </si>
  <si>
    <t>13233</t>
  </si>
  <si>
    <t>13235</t>
  </si>
  <si>
    <t>13236</t>
  </si>
  <si>
    <t>13238</t>
  </si>
  <si>
    <t>13239</t>
  </si>
  <si>
    <t>13240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</si>
  <si>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</si>
  <si>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</si>
  <si>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</si>
  <si>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</si>
  <si>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</si>
  <si>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</si>
  <si>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</si>
  <si>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</si>
  <si>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13253</t>
  </si>
  <si>
    <t>13255</t>
  </si>
  <si>
    <t>13258</t>
  </si>
  <si>
    <t>13259</t>
  </si>
  <si>
    <t>13260</t>
  </si>
  <si>
    <t>13261</t>
  </si>
  <si>
    <t>13262</t>
  </si>
  <si>
    <t>13263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</si>
  <si>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</si>
  <si>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</si>
  <si>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</si>
  <si>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</si>
  <si>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</si>
  <si>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</si>
  <si>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</si>
  <si>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</si>
  <si>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</si>
  <si>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</si>
  <si>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</si>
  <si>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</si>
  <si>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</si>
  <si>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</si>
  <si>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</si>
  <si>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</si>
  <si>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</si>
  <si>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</si>
  <si>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13291</t>
  </si>
  <si>
    <t>13292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</si>
  <si>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</si>
  <si>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</si>
  <si>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</si>
  <si>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</si>
  <si>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</si>
  <si>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</si>
  <si>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</si>
  <si>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</si>
  <si>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</si>
  <si>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13304</t>
  </si>
  <si>
    <t>13305</t>
  </si>
  <si>
    <t>13307</t>
  </si>
  <si>
    <t>13308</t>
  </si>
  <si>
    <t>13309</t>
  </si>
  <si>
    <t>13310</t>
  </si>
  <si>
    <t>13311</t>
  </si>
  <si>
    <t>13313</t>
  </si>
  <si>
    <t>13314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</si>
  <si>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</si>
  <si>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</si>
  <si>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</si>
  <si>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</si>
  <si>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</si>
  <si>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</si>
  <si>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</si>
  <si>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</si>
  <si>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</si>
  <si>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</si>
  <si>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13327</t>
  </si>
  <si>
    <t>13328</t>
  </si>
  <si>
    <t>13329</t>
  </si>
  <si>
    <t>13330</t>
  </si>
  <si>
    <t>13332</t>
  </si>
  <si>
    <t>13334</t>
  </si>
  <si>
    <t>13336</t>
  </si>
  <si>
    <t>13338</t>
  </si>
  <si>
    <t>13339</t>
  </si>
  <si>
    <t>13340</t>
  </si>
  <si>
    <t>13341</t>
  </si>
  <si>
    <t>13343</t>
  </si>
  <si>
    <t>13344</t>
  </si>
  <si>
    <t>13345</t>
  </si>
  <si>
    <t>13347</t>
  </si>
  <si>
    <t>13348</t>
  </si>
  <si>
    <t>13349</t>
  </si>
  <si>
    <t>13350</t>
  </si>
  <si>
    <t>13351</t>
  </si>
  <si>
    <t>13352</t>
  </si>
  <si>
    <t>13354</t>
  </si>
  <si>
    <t>13355</t>
  </si>
  <si>
    <t>13356</t>
  </si>
  <si>
    <t>13357</t>
  </si>
  <si>
    <t>13358</t>
  </si>
  <si>
    <t>13359</t>
  </si>
  <si>
    <t>13362</t>
  </si>
  <si>
    <t>13363</t>
  </si>
  <si>
    <t>13364</t>
  </si>
  <si>
    <t>13365</t>
  </si>
  <si>
    <t>13366</t>
  </si>
  <si>
    <t>13368</t>
  </si>
  <si>
    <t>13369</t>
  </si>
  <si>
    <t>13370</t>
  </si>
  <si>
    <t>13372</t>
  </si>
  <si>
    <t>13373</t>
  </si>
  <si>
    <t>13375</t>
  </si>
  <si>
    <t>13376</t>
  </si>
  <si>
    <t>13379</t>
  </si>
  <si>
    <t>13381</t>
  </si>
  <si>
    <t>13382</t>
  </si>
  <si>
    <t>13384</t>
  </si>
  <si>
    <t>13385</t>
  </si>
  <si>
    <t>13388</t>
  </si>
  <si>
    <t>13389</t>
  </si>
  <si>
    <t>13390</t>
  </si>
  <si>
    <t>13391</t>
  </si>
  <si>
    <t>13394</t>
  </si>
  <si>
    <t>13395</t>
  </si>
  <si>
    <t>13396</t>
  </si>
  <si>
    <t>13397</t>
  </si>
  <si>
    <t>13398</t>
  </si>
  <si>
    <t>13402</t>
  </si>
  <si>
    <t>13403</t>
  </si>
  <si>
    <t>13404</t>
  </si>
  <si>
    <t>13405</t>
  </si>
  <si>
    <t>13408</t>
  </si>
  <si>
    <t>13410</t>
  </si>
  <si>
    <t>13411</t>
  </si>
  <si>
    <t>13414</t>
  </si>
  <si>
    <t>13416</t>
  </si>
  <si>
    <t>13417</t>
  </si>
  <si>
    <t>13418</t>
  </si>
  <si>
    <t>13419</t>
  </si>
  <si>
    <t>13420</t>
  </si>
  <si>
    <t>13421</t>
  </si>
  <si>
    <t>13422</t>
  </si>
  <si>
    <t>13425</t>
  </si>
  <si>
    <t>13426</t>
  </si>
  <si>
    <t>13427</t>
  </si>
  <si>
    <t>13428</t>
  </si>
  <si>
    <t>13429</t>
  </si>
  <si>
    <t>13430</t>
  </si>
  <si>
    <t>13431</t>
  </si>
  <si>
    <t>13434</t>
  </si>
  <si>
    <t>13435</t>
  </si>
  <si>
    <t>13436</t>
  </si>
  <si>
    <t>13437</t>
  </si>
  <si>
    <t>13439</t>
  </si>
  <si>
    <t>13441</t>
  </si>
  <si>
    <t>13447</t>
  </si>
  <si>
    <t>13448</t>
  </si>
  <si>
    <t>13449</t>
  </si>
  <si>
    <t>13450</t>
  </si>
  <si>
    <t>13451</t>
  </si>
  <si>
    <t>13452</t>
  </si>
  <si>
    <t>13453</t>
  </si>
  <si>
    <t>13455</t>
  </si>
  <si>
    <t>13456</t>
  </si>
  <si>
    <t>13458</t>
  </si>
  <si>
    <t>13460</t>
  </si>
  <si>
    <t>13461</t>
  </si>
  <si>
    <t>13462</t>
  </si>
  <si>
    <t>13464</t>
  </si>
  <si>
    <t>13466</t>
  </si>
  <si>
    <t>13467</t>
  </si>
  <si>
    <t>13468</t>
  </si>
  <si>
    <t>13470</t>
  </si>
  <si>
    <t>13471</t>
  </si>
  <si>
    <t>13473</t>
  </si>
  <si>
    <t>13474</t>
  </si>
  <si>
    <t>13475</t>
  </si>
  <si>
    <t>13476</t>
  </si>
  <si>
    <t>13477</t>
  </si>
  <si>
    <t>13479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</si>
  <si>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</si>
  <si>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</si>
  <si>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</si>
  <si>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</si>
  <si>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</si>
  <si>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</si>
  <si>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</si>
  <si>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</si>
  <si>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</si>
  <si>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13491</t>
  </si>
  <si>
    <t>13492</t>
  </si>
  <si>
    <t>13493</t>
  </si>
  <si>
    <t>13494</t>
  </si>
  <si>
    <t>13495</t>
  </si>
  <si>
    <t>13496</t>
  </si>
  <si>
    <t>13497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</si>
  <si>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</si>
  <si>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</si>
  <si>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</si>
  <si>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</si>
  <si>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</si>
  <si>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</si>
  <si>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</si>
  <si>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</si>
  <si>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</si>
  <si>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</si>
  <si>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</si>
  <si>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</si>
  <si>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</si>
  <si>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</si>
  <si>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</si>
  <si>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</si>
  <si>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</si>
  <si>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</si>
  <si>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</si>
  <si>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</si>
  <si>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</si>
  <si>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</si>
  <si>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</si>
  <si>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</si>
  <si>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</si>
  <si>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</si>
  <si>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13527</t>
  </si>
  <si>
    <t>13529</t>
  </si>
  <si>
    <t>13531</t>
  </si>
  <si>
    <t>13532</t>
  </si>
  <si>
    <t>13533</t>
  </si>
  <si>
    <t>13534</t>
  </si>
  <si>
    <t>13536</t>
  </si>
  <si>
    <t>13538</t>
  </si>
  <si>
    <t>13539</t>
  </si>
  <si>
    <t>13544</t>
  </si>
  <si>
    <t>13546</t>
  </si>
  <si>
    <t>13548</t>
  </si>
  <si>
    <t>13549</t>
  </si>
  <si>
    <t>13551</t>
  </si>
  <si>
    <t>13552</t>
  </si>
  <si>
    <t>13555</t>
  </si>
  <si>
    <t>13557</t>
  </si>
  <si>
    <t>13558</t>
  </si>
  <si>
    <t>13560</t>
  </si>
  <si>
    <t>13561</t>
  </si>
  <si>
    <t>13562</t>
  </si>
  <si>
    <t>13563</t>
  </si>
  <si>
    <t>13564</t>
  </si>
  <si>
    <t>13565</t>
  </si>
  <si>
    <t>13566</t>
  </si>
  <si>
    <t>13568</t>
  </si>
  <si>
    <t>13569</t>
  </si>
  <si>
    <t>13570</t>
  </si>
  <si>
    <t>13571</t>
  </si>
  <si>
    <t>13572</t>
  </si>
  <si>
    <t>13573</t>
  </si>
  <si>
    <t>13575</t>
  </si>
  <si>
    <t>13576</t>
  </si>
  <si>
    <t>13577</t>
  </si>
  <si>
    <t>13579</t>
  </si>
  <si>
    <t>13581</t>
  </si>
  <si>
    <t>13583</t>
  </si>
  <si>
    <t>13584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</si>
  <si>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</si>
  <si>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</si>
  <si>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</si>
  <si>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</si>
  <si>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</si>
  <si>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</si>
  <si>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</si>
  <si>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</si>
  <si>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13596</t>
  </si>
  <si>
    <t>13598</t>
  </si>
  <si>
    <t>13599</t>
  </si>
  <si>
    <t>13600</t>
  </si>
  <si>
    <t>13601</t>
  </si>
  <si>
    <t>13602</t>
  </si>
  <si>
    <t>13603</t>
  </si>
  <si>
    <t>13606</t>
  </si>
  <si>
    <t>13607</t>
  </si>
  <si>
    <t>13610</t>
  </si>
  <si>
    <t>13611</t>
  </si>
  <si>
    <t>13614</t>
  </si>
  <si>
    <t>13615</t>
  </si>
  <si>
    <t>13617</t>
  </si>
  <si>
    <t>13618</t>
  </si>
  <si>
    <t>13621</t>
  </si>
  <si>
    <t>13623</t>
  </si>
  <si>
    <t>13626</t>
  </si>
  <si>
    <t>13627</t>
  </si>
  <si>
    <t>13629</t>
  </si>
  <si>
    <t>13630</t>
  </si>
  <si>
    <t>13631</t>
  </si>
  <si>
    <t>13632</t>
  </si>
  <si>
    <t>13634</t>
  </si>
  <si>
    <t>13635</t>
  </si>
  <si>
    <t>13636</t>
  </si>
  <si>
    <t>13637</t>
  </si>
  <si>
    <t>13638</t>
  </si>
  <si>
    <t>13639</t>
  </si>
  <si>
    <t>13642</t>
  </si>
  <si>
    <t>13643</t>
  </si>
  <si>
    <t>13644</t>
  </si>
  <si>
    <t>13645</t>
  </si>
  <si>
    <t>13647</t>
  </si>
  <si>
    <t>13649</t>
  </si>
  <si>
    <t>13650</t>
  </si>
  <si>
    <t>13651</t>
  </si>
  <si>
    <t>13652</t>
  </si>
  <si>
    <t>13654</t>
  </si>
  <si>
    <t>13655</t>
  </si>
  <si>
    <t>13656</t>
  </si>
  <si>
    <t>13657</t>
  </si>
  <si>
    <t>13658</t>
  </si>
  <si>
    <t>13659</t>
  </si>
  <si>
    <t>13662</t>
  </si>
  <si>
    <t>13663</t>
  </si>
  <si>
    <t>13666</t>
  </si>
  <si>
    <t>13667</t>
  </si>
  <si>
    <t>13668</t>
  </si>
  <si>
    <t>13669</t>
  </si>
  <si>
    <t>13670</t>
  </si>
  <si>
    <t>13672</t>
  </si>
  <si>
    <t>13673</t>
  </si>
  <si>
    <t>13675</t>
  </si>
  <si>
    <t>13678</t>
  </si>
  <si>
    <t>13680</t>
  </si>
  <si>
    <t>13681</t>
  </si>
  <si>
    <t>13682</t>
  </si>
  <si>
    <t>13684</t>
  </si>
  <si>
    <t>13685</t>
  </si>
  <si>
    <t>13686</t>
  </si>
  <si>
    <t>13689</t>
  </si>
  <si>
    <t>13690</t>
  </si>
  <si>
    <t>13692</t>
  </si>
  <si>
    <t>13694</t>
  </si>
  <si>
    <t>13695</t>
  </si>
  <si>
    <t>13697</t>
  </si>
  <si>
    <t>13699</t>
  </si>
  <si>
    <t>13700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</si>
  <si>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</si>
  <si>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</si>
  <si>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</si>
  <si>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</si>
  <si>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</si>
  <si>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</si>
  <si>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</si>
  <si>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</si>
  <si>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</si>
  <si>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</si>
  <si>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</si>
  <si>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</si>
  <si>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</si>
  <si>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</si>
  <si>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</si>
  <si>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</si>
  <si>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</si>
  <si>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</si>
  <si>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</si>
  <si>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13725</t>
  </si>
  <si>
    <t>13726</t>
  </si>
  <si>
    <t>13727</t>
  </si>
  <si>
    <t>13728</t>
  </si>
  <si>
    <t>13730</t>
  </si>
  <si>
    <t>13731</t>
  </si>
  <si>
    <t>13732</t>
  </si>
  <si>
    <t>13735</t>
  </si>
  <si>
    <t>13736</t>
  </si>
  <si>
    <t>13737</t>
  </si>
  <si>
    <t>13739</t>
  </si>
  <si>
    <t>13740</t>
  </si>
  <si>
    <t>13741</t>
  </si>
  <si>
    <t>13742</t>
  </si>
  <si>
    <t>13743</t>
  </si>
  <si>
    <t>13744</t>
  </si>
  <si>
    <t>13745</t>
  </si>
  <si>
    <t>13747</t>
  </si>
  <si>
    <t>13748</t>
  </si>
  <si>
    <t>13750</t>
  </si>
  <si>
    <t>13751</t>
  </si>
  <si>
    <t>13752</t>
  </si>
  <si>
    <t>13753</t>
  </si>
  <si>
    <t>13754</t>
  </si>
  <si>
    <t>13755</t>
  </si>
  <si>
    <t>13756</t>
  </si>
  <si>
    <t>13758</t>
  </si>
  <si>
    <t>13759</t>
  </si>
  <si>
    <t>13760</t>
  </si>
  <si>
    <t>13761</t>
  </si>
  <si>
    <t>13762</t>
  </si>
  <si>
    <t>13763</t>
  </si>
  <si>
    <t>13764</t>
  </si>
  <si>
    <t>13767</t>
  </si>
  <si>
    <t>13769</t>
  </si>
  <si>
    <t>13771</t>
  </si>
  <si>
    <t>13772</t>
  </si>
  <si>
    <t>13774</t>
  </si>
  <si>
    <t>13777</t>
  </si>
  <si>
    <t>13778</t>
  </si>
  <si>
    <t>13780</t>
  </si>
  <si>
    <t>13781</t>
  </si>
  <si>
    <t>13782</t>
  </si>
  <si>
    <t>13784</t>
  </si>
  <si>
    <t>13786</t>
  </si>
  <si>
    <t>13787</t>
  </si>
  <si>
    <t>13790</t>
  </si>
  <si>
    <t>13791</t>
  </si>
  <si>
    <t>13792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</si>
  <si>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</si>
  <si>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</si>
  <si>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</si>
  <si>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</si>
  <si>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</si>
  <si>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</si>
  <si>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</si>
  <si>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</si>
  <si>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</si>
  <si>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</si>
  <si>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</si>
  <si>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</si>
  <si>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</si>
  <si>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</si>
  <si>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</si>
  <si>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</si>
  <si>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</si>
  <si>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</si>
  <si>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</si>
  <si>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</si>
  <si>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13819</t>
  </si>
  <si>
    <t>13821</t>
  </si>
  <si>
    <t>13822</t>
  </si>
  <si>
    <t>13823</t>
  </si>
  <si>
    <t>13824</t>
  </si>
  <si>
    <t>13826</t>
  </si>
  <si>
    <t>13827</t>
  </si>
  <si>
    <t>13828</t>
  </si>
  <si>
    <t>13831</t>
  </si>
  <si>
    <t>13832</t>
  </si>
  <si>
    <t>13833</t>
  </si>
  <si>
    <t>13835</t>
  </si>
  <si>
    <t>13837</t>
  </si>
  <si>
    <t>13838</t>
  </si>
  <si>
    <t>13841</t>
  </si>
  <si>
    <t>13842</t>
  </si>
  <si>
    <t>13844</t>
  </si>
  <si>
    <t>13845</t>
  </si>
  <si>
    <t>13846</t>
  </si>
  <si>
    <t>13848</t>
  </si>
  <si>
    <t>13849</t>
  </si>
  <si>
    <t>13850</t>
  </si>
  <si>
    <t>13851</t>
  </si>
  <si>
    <t>13853</t>
  </si>
  <si>
    <t>13854</t>
  </si>
  <si>
    <t>13856</t>
  </si>
  <si>
    <t>13858</t>
  </si>
  <si>
    <t>13859</t>
  </si>
  <si>
    <t>13860</t>
  </si>
  <si>
    <t>13862</t>
  </si>
  <si>
    <t>13863</t>
  </si>
  <si>
    <t>13865</t>
  </si>
  <si>
    <t>13866</t>
  </si>
  <si>
    <t>13867</t>
  </si>
  <si>
    <t>13868</t>
  </si>
  <si>
    <t>13869</t>
  </si>
  <si>
    <t>13870</t>
  </si>
  <si>
    <t>13871</t>
  </si>
  <si>
    <t>13873</t>
  </si>
  <si>
    <t>13874</t>
  </si>
  <si>
    <t>13875</t>
  </si>
  <si>
    <t>13876</t>
  </si>
  <si>
    <t>13877</t>
  </si>
  <si>
    <t>13878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</si>
  <si>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</si>
  <si>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</si>
  <si>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</si>
  <si>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</si>
  <si>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</si>
  <si>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</si>
  <si>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</si>
  <si>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</si>
  <si>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</si>
  <si>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</si>
  <si>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</si>
  <si>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13892</t>
  </si>
  <si>
    <t>13893</t>
  </si>
  <si>
    <t>13894</t>
  </si>
  <si>
    <t>13895</t>
  </si>
  <si>
    <t>13897</t>
  </si>
  <si>
    <t>13898</t>
  </si>
  <si>
    <t>13899</t>
  </si>
  <si>
    <t>13900</t>
  </si>
  <si>
    <t>13901</t>
  </si>
  <si>
    <t>13904</t>
  </si>
  <si>
    <t>13908</t>
  </si>
  <si>
    <t>13911</t>
  </si>
  <si>
    <t>13914</t>
  </si>
  <si>
    <t>13917</t>
  </si>
  <si>
    <t>13918</t>
  </si>
  <si>
    <t>13919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</si>
  <si>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</si>
  <si>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</si>
  <si>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</si>
  <si>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</si>
  <si>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</si>
  <si>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</si>
  <si>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</si>
  <si>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</si>
  <si>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</si>
  <si>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</si>
  <si>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</si>
  <si>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</si>
  <si>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</si>
  <si>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13936</t>
  </si>
  <si>
    <t>13937</t>
  </si>
  <si>
    <t>13938</t>
  </si>
  <si>
    <t>13939</t>
  </si>
  <si>
    <t>13940</t>
  </si>
  <si>
    <t>13941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</si>
  <si>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</si>
  <si>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</si>
  <si>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</si>
  <si>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</si>
  <si>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</si>
  <si>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</si>
  <si>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</si>
  <si>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</si>
  <si>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</si>
  <si>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</si>
  <si>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</si>
  <si>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13959</t>
  </si>
  <si>
    <t>13960</t>
  </si>
  <si>
    <t>13962</t>
  </si>
  <si>
    <t>13963</t>
  </si>
  <si>
    <t>13967</t>
  </si>
  <si>
    <t>13969</t>
  </si>
  <si>
    <t>13971</t>
  </si>
  <si>
    <t>13972</t>
  </si>
  <si>
    <t>13973</t>
  </si>
  <si>
    <t>13974</t>
  </si>
  <si>
    <t>13975</t>
  </si>
  <si>
    <t>13976</t>
  </si>
  <si>
    <t>13978</t>
  </si>
  <si>
    <t>13979</t>
  </si>
  <si>
    <t>13980</t>
  </si>
  <si>
    <t>13982</t>
  </si>
  <si>
    <t>13983</t>
  </si>
  <si>
    <t>13984</t>
  </si>
  <si>
    <t>13985</t>
  </si>
  <si>
    <t>13986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</si>
  <si>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</si>
  <si>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</si>
  <si>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</si>
  <si>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</si>
  <si>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</si>
  <si>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</si>
  <si>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</si>
  <si>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</si>
  <si>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13999</t>
  </si>
  <si>
    <t>14000</t>
  </si>
  <si>
    <t>14001</t>
  </si>
  <si>
    <t>14002</t>
  </si>
  <si>
    <t>14004</t>
  </si>
  <si>
    <t>14005</t>
  </si>
  <si>
    <t>14006</t>
  </si>
  <si>
    <t>14009</t>
  </si>
  <si>
    <t>14012</t>
  </si>
  <si>
    <t>14013</t>
  </si>
  <si>
    <t>14014</t>
  </si>
  <si>
    <t>14015</t>
  </si>
  <si>
    <t>14016</t>
  </si>
  <si>
    <t>14019</t>
  </si>
  <si>
    <t>14020</t>
  </si>
  <si>
    <t>14021</t>
  </si>
  <si>
    <t>14022</t>
  </si>
  <si>
    <t>14023</t>
  </si>
  <si>
    <t>14024</t>
  </si>
  <si>
    <t>14027</t>
  </si>
  <si>
    <t>14029</t>
  </si>
  <si>
    <t>14030</t>
  </si>
  <si>
    <t>14031</t>
  </si>
  <si>
    <t>14032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</si>
  <si>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</si>
  <si>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</si>
  <si>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</si>
  <si>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</si>
  <si>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</si>
  <si>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</si>
  <si>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</si>
  <si>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</si>
  <si>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</si>
  <si>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</si>
  <si>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</si>
  <si>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</si>
  <si>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</si>
  <si>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</si>
  <si>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</si>
  <si>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</si>
  <si>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</si>
  <si>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</si>
  <si>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</si>
  <si>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</si>
  <si>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</si>
  <si>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</si>
  <si>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14059</t>
  </si>
  <si>
    <t>14060</t>
  </si>
  <si>
    <t>14062</t>
  </si>
  <si>
    <t>14064</t>
  </si>
  <si>
    <t>14066</t>
  </si>
  <si>
    <t>14067</t>
  </si>
  <si>
    <t>14068</t>
  </si>
  <si>
    <t>14071</t>
  </si>
  <si>
    <t>14073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</si>
  <si>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</si>
  <si>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</si>
  <si>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</si>
  <si>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</si>
  <si>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</si>
  <si>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</si>
  <si>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</si>
  <si>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</si>
  <si>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</si>
  <si>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14085</t>
  </si>
  <si>
    <t>14087</t>
  </si>
  <si>
    <t>14088</t>
  </si>
  <si>
    <t>14089</t>
  </si>
  <si>
    <t>14090</t>
  </si>
  <si>
    <t>14092</t>
  </si>
  <si>
    <t>14093</t>
  </si>
  <si>
    <t>14096</t>
  </si>
  <si>
    <t>14098</t>
  </si>
  <si>
    <t>14099</t>
  </si>
  <si>
    <t>14100</t>
  </si>
  <si>
    <t>14101</t>
  </si>
  <si>
    <t>14102</t>
  </si>
  <si>
    <t>14104</t>
  </si>
  <si>
    <t>14105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</si>
  <si>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</si>
  <si>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</si>
  <si>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</si>
  <si>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</si>
  <si>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</si>
  <si>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</si>
  <si>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</si>
  <si>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</si>
  <si>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14116</t>
  </si>
  <si>
    <t>14117</t>
  </si>
  <si>
    <t>14121</t>
  </si>
  <si>
    <t>14124</t>
  </si>
  <si>
    <t>14125</t>
  </si>
  <si>
    <t>14126</t>
  </si>
  <si>
    <t>14127</t>
  </si>
  <si>
    <t>14128</t>
  </si>
  <si>
    <t>14129</t>
  </si>
  <si>
    <t>14130</t>
  </si>
  <si>
    <t>14132</t>
  </si>
  <si>
    <t>14133</t>
  </si>
  <si>
    <t>14135</t>
  </si>
  <si>
    <t>14138</t>
  </si>
  <si>
    <t>14139</t>
  </si>
  <si>
    <t>14140</t>
  </si>
  <si>
    <t>14141</t>
  </si>
  <si>
    <t>14142</t>
  </si>
  <si>
    <t>14143</t>
  </si>
  <si>
    <t>14145</t>
  </si>
  <si>
    <t>14146</t>
  </si>
  <si>
    <t>14147</t>
  </si>
  <si>
    <t>14148</t>
  </si>
  <si>
    <t>14149</t>
  </si>
  <si>
    <t>14150</t>
  </si>
  <si>
    <t>14152</t>
  </si>
  <si>
    <t>14154</t>
  </si>
  <si>
    <t>14155</t>
  </si>
  <si>
    <t>14156</t>
  </si>
  <si>
    <t>14157</t>
  </si>
  <si>
    <t>14158</t>
  </si>
  <si>
    <t>14159</t>
  </si>
  <si>
    <t>14161</t>
  </si>
  <si>
    <t>14162</t>
  </si>
  <si>
    <t>14163</t>
  </si>
  <si>
    <t>14164</t>
  </si>
  <si>
    <t>14165</t>
  </si>
  <si>
    <t>14167</t>
  </si>
  <si>
    <t>14171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</si>
  <si>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</si>
  <si>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</si>
  <si>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</si>
  <si>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</si>
  <si>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</si>
  <si>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</si>
  <si>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</si>
  <si>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</si>
  <si>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14184</t>
  </si>
  <si>
    <t>14185</t>
  </si>
  <si>
    <t>14188</t>
  </si>
  <si>
    <t>14189</t>
  </si>
  <si>
    <t>14191</t>
  </si>
  <si>
    <t>14193</t>
  </si>
  <si>
    <t>14194</t>
  </si>
  <si>
    <t>14195</t>
  </si>
  <si>
    <t>14196</t>
  </si>
  <si>
    <t>14198</t>
  </si>
  <si>
    <t>14199</t>
  </si>
  <si>
    <t>14201</t>
  </si>
  <si>
    <t>14204</t>
  </si>
  <si>
    <t>14205</t>
  </si>
  <si>
    <t>14206</t>
  </si>
  <si>
    <t>14208</t>
  </si>
  <si>
    <t>14209</t>
  </si>
  <si>
    <t>14210</t>
  </si>
  <si>
    <t>14211</t>
  </si>
  <si>
    <t>14212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</si>
  <si>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</si>
  <si>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</si>
  <si>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</si>
  <si>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</si>
  <si>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</si>
  <si>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</si>
  <si>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</si>
  <si>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</si>
  <si>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</si>
  <si>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</si>
  <si>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</si>
  <si>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14226</t>
  </si>
  <si>
    <t>14227</t>
  </si>
  <si>
    <t>14229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</si>
  <si>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</si>
  <si>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</si>
  <si>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</si>
  <si>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</si>
  <si>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</si>
  <si>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</si>
  <si>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</si>
  <si>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</si>
  <si>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</si>
  <si>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</si>
  <si>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</si>
  <si>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</si>
  <si>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</si>
  <si>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14245</t>
  </si>
  <si>
    <t>14246</t>
  </si>
  <si>
    <t>14247</t>
  </si>
  <si>
    <t>14248</t>
  </si>
  <si>
    <t>14250</t>
  </si>
  <si>
    <t>14251</t>
  </si>
  <si>
    <t>14256</t>
  </si>
  <si>
    <t>14257</t>
  </si>
  <si>
    <t>14258</t>
  </si>
  <si>
    <t>14259</t>
  </si>
  <si>
    <t>14261</t>
  </si>
  <si>
    <t>14262</t>
  </si>
  <si>
    <t>14264</t>
  </si>
  <si>
    <t>14265</t>
  </si>
  <si>
    <t>14267</t>
  </si>
  <si>
    <t>14270</t>
  </si>
  <si>
    <t>14271</t>
  </si>
  <si>
    <t>14272</t>
  </si>
  <si>
    <t>14273</t>
  </si>
  <si>
    <t>14276</t>
  </si>
  <si>
    <t>14277</t>
  </si>
  <si>
    <t>14280</t>
  </si>
  <si>
    <t>14282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</si>
  <si>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</si>
  <si>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</si>
  <si>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</si>
  <si>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</si>
  <si>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</si>
  <si>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</si>
  <si>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</si>
  <si>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</si>
  <si>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</si>
  <si>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</si>
  <si>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14295</t>
  </si>
  <si>
    <t>14297</t>
  </si>
  <si>
    <t>14298</t>
  </si>
  <si>
    <t>14299</t>
  </si>
  <si>
    <t>14300</t>
  </si>
  <si>
    <t>14301</t>
  </si>
  <si>
    <t>14304</t>
  </si>
  <si>
    <t>14305</t>
  </si>
  <si>
    <t>14306</t>
  </si>
  <si>
    <t>14307</t>
  </si>
  <si>
    <t>14309</t>
  </si>
  <si>
    <t>14311</t>
  </si>
  <si>
    <t>14312</t>
  </si>
  <si>
    <t>14314</t>
  </si>
  <si>
    <t>14315</t>
  </si>
  <si>
    <t>14317</t>
  </si>
  <si>
    <t>14320</t>
  </si>
  <si>
    <t>14321</t>
  </si>
  <si>
    <t>14323</t>
  </si>
  <si>
    <t>14326</t>
  </si>
  <si>
    <t>14327</t>
  </si>
  <si>
    <t>14329</t>
  </si>
  <si>
    <t>14331</t>
  </si>
  <si>
    <t>14332</t>
  </si>
  <si>
    <t>14333</t>
  </si>
  <si>
    <t>14334</t>
  </si>
  <si>
    <t>14335</t>
  </si>
  <si>
    <t>14336</t>
  </si>
  <si>
    <t>14338</t>
  </si>
  <si>
    <t>14339</t>
  </si>
  <si>
    <t>14340</t>
  </si>
  <si>
    <t>14341</t>
  </si>
  <si>
    <t>14342</t>
  </si>
  <si>
    <t>14344</t>
  </si>
  <si>
    <t>14345</t>
  </si>
  <si>
    <t>14346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</si>
  <si>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</si>
  <si>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</si>
  <si>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</si>
  <si>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</si>
  <si>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</si>
  <si>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</si>
  <si>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</si>
  <si>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</si>
  <si>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</si>
  <si>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</si>
  <si>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14359</t>
  </si>
  <si>
    <t>14360</t>
  </si>
  <si>
    <t>14362</t>
  </si>
  <si>
    <t>14364</t>
  </si>
  <si>
    <t>14367</t>
  </si>
  <si>
    <t>14368</t>
  </si>
  <si>
    <t>14371</t>
  </si>
  <si>
    <t>14373</t>
  </si>
  <si>
    <t>14375</t>
  </si>
  <si>
    <t>14377</t>
  </si>
  <si>
    <t>14379</t>
  </si>
  <si>
    <t>14381</t>
  </si>
  <si>
    <t>14382</t>
  </si>
  <si>
    <t>14383</t>
  </si>
  <si>
    <t>14385</t>
  </si>
  <si>
    <t>14386</t>
  </si>
  <si>
    <t>14387</t>
  </si>
  <si>
    <t>14388</t>
  </si>
  <si>
    <t>14389</t>
  </si>
  <si>
    <t>14390</t>
  </si>
  <si>
    <t>14393</t>
  </si>
  <si>
    <t>14395</t>
  </si>
  <si>
    <t>14396</t>
  </si>
  <si>
    <t>14397</t>
  </si>
  <si>
    <t>14400</t>
  </si>
  <si>
    <t>14401</t>
  </si>
  <si>
    <t>14403</t>
  </si>
  <si>
    <t>14404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</si>
  <si>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</si>
  <si>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</si>
  <si>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</si>
  <si>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</si>
  <si>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</si>
  <si>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</si>
  <si>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</si>
  <si>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</si>
  <si>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</si>
  <si>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</si>
  <si>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</si>
  <si>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</si>
  <si>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14419</t>
  </si>
  <si>
    <t>14420</t>
  </si>
  <si>
    <t>14421</t>
  </si>
  <si>
    <t>14422</t>
  </si>
  <si>
    <t>14423</t>
  </si>
  <si>
    <t>14424</t>
  </si>
  <si>
    <t>14426</t>
  </si>
  <si>
    <t>14427</t>
  </si>
  <si>
    <t>14428</t>
  </si>
  <si>
    <t>14431</t>
  </si>
  <si>
    <t>14432</t>
  </si>
  <si>
    <t>14434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</si>
  <si>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</si>
  <si>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</si>
  <si>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</si>
  <si>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</si>
  <si>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</si>
  <si>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</si>
  <si>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</si>
  <si>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</si>
  <si>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</si>
  <si>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</si>
  <si>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</si>
  <si>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</si>
  <si>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</si>
  <si>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</si>
  <si>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</si>
  <si>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</si>
  <si>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14456</t>
  </si>
  <si>
    <t>14457</t>
  </si>
  <si>
    <t>14459</t>
  </si>
  <si>
    <t>14460</t>
  </si>
  <si>
    <t>14461</t>
  </si>
  <si>
    <t>14462</t>
  </si>
  <si>
    <t>14463</t>
  </si>
  <si>
    <t>14465</t>
  </si>
  <si>
    <t>14466</t>
  </si>
  <si>
    <t>14467</t>
  </si>
  <si>
    <t>14470</t>
  </si>
  <si>
    <t>14472</t>
  </si>
  <si>
    <t>14473</t>
  </si>
  <si>
    <t>14474</t>
  </si>
  <si>
    <t>14475</t>
  </si>
  <si>
    <t>14476</t>
  </si>
  <si>
    <t>14477</t>
  </si>
  <si>
    <t>14479</t>
  </si>
  <si>
    <t>14480</t>
  </si>
  <si>
    <t>14481</t>
  </si>
  <si>
    <t>14482</t>
  </si>
  <si>
    <t>14483</t>
  </si>
  <si>
    <t>14484</t>
  </si>
  <si>
    <t>14485</t>
  </si>
  <si>
    <t>14487</t>
  </si>
  <si>
    <t>14488</t>
  </si>
  <si>
    <t>14489</t>
  </si>
  <si>
    <t>14491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</si>
  <si>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</si>
  <si>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</si>
  <si>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</si>
  <si>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</si>
  <si>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</si>
  <si>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</si>
  <si>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</si>
  <si>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</si>
  <si>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</si>
  <si>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</si>
  <si>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</si>
  <si>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</si>
  <si>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</si>
  <si>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</si>
  <si>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</si>
  <si>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</si>
  <si>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14511</t>
  </si>
  <si>
    <t>14512</t>
  </si>
  <si>
    <t>14513</t>
  </si>
  <si>
    <t>14514</t>
  </si>
  <si>
    <t>14515</t>
  </si>
  <si>
    <t>14517</t>
  </si>
  <si>
    <t>14518</t>
  </si>
  <si>
    <t>14520</t>
  </si>
  <si>
    <t>14522</t>
  </si>
  <si>
    <t>14523</t>
  </si>
  <si>
    <t>14524</t>
  </si>
  <si>
    <t>14525</t>
  </si>
  <si>
    <t>14527</t>
  </si>
  <si>
    <t>14528</t>
  </si>
  <si>
    <t>14529</t>
  </si>
  <si>
    <t>14530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</si>
  <si>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</si>
  <si>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</si>
  <si>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</si>
  <si>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</si>
  <si>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</si>
  <si>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</si>
  <si>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</si>
  <si>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</si>
  <si>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</si>
  <si>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</si>
  <si>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</si>
  <si>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</si>
  <si>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</si>
  <si>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</si>
  <si>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</si>
  <si>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</si>
  <si>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</si>
  <si>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</si>
  <si>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</si>
  <si>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</si>
  <si>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</si>
  <si>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</si>
  <si>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</si>
  <si>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14557</t>
  </si>
  <si>
    <t>14560</t>
  </si>
  <si>
    <t>14561</t>
  </si>
  <si>
    <t>14562</t>
  </si>
  <si>
    <t>14565</t>
  </si>
  <si>
    <t>14566</t>
  </si>
  <si>
    <t>14567</t>
  </si>
  <si>
    <t>14569</t>
  </si>
  <si>
    <t>14570</t>
  </si>
  <si>
    <t>14572</t>
  </si>
  <si>
    <t>14573</t>
  </si>
  <si>
    <t>14576</t>
  </si>
  <si>
    <t>14577</t>
  </si>
  <si>
    <t>14578</t>
  </si>
  <si>
    <t>14581</t>
  </si>
  <si>
    <t>14582</t>
  </si>
  <si>
    <t>14583</t>
  </si>
  <si>
    <t>14584</t>
  </si>
  <si>
    <t>14585</t>
  </si>
  <si>
    <t>14586</t>
  </si>
  <si>
    <t>14587</t>
  </si>
  <si>
    <t>14589</t>
  </si>
  <si>
    <t>14591</t>
  </si>
  <si>
    <t>14592</t>
  </si>
  <si>
    <t>14593</t>
  </si>
  <si>
    <t>14594</t>
  </si>
  <si>
    <t>14595</t>
  </si>
  <si>
    <t>14597</t>
  </si>
  <si>
    <t>14598</t>
  </si>
  <si>
    <t>14600</t>
  </si>
  <si>
    <t>14601</t>
  </si>
  <si>
    <t>14603</t>
  </si>
  <si>
    <t>14606</t>
  </si>
  <si>
    <t>14607</t>
  </si>
  <si>
    <t>14608</t>
  </si>
  <si>
    <t>14609</t>
  </si>
  <si>
    <t>14616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</si>
  <si>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</si>
  <si>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</si>
  <si>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</si>
  <si>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</si>
  <si>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</si>
  <si>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</si>
  <si>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</si>
  <si>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</si>
  <si>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</si>
  <si>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14628</t>
  </si>
  <si>
    <t>14629</t>
  </si>
  <si>
    <t>14631</t>
  </si>
  <si>
    <t>14632</t>
  </si>
  <si>
    <t>14633</t>
  </si>
  <si>
    <t>14636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</si>
  <si>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</si>
  <si>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</si>
  <si>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</si>
  <si>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</si>
  <si>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</si>
  <si>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</si>
  <si>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</si>
  <si>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</si>
  <si>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</si>
  <si>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</si>
  <si>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14649</t>
  </si>
  <si>
    <t>14651</t>
  </si>
  <si>
    <t>14652</t>
  </si>
  <si>
    <t>14653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</si>
  <si>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</si>
  <si>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</si>
  <si>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</si>
  <si>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</si>
  <si>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</si>
  <si>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</si>
  <si>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</si>
  <si>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</si>
  <si>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14664</t>
  </si>
  <si>
    <t>14665</t>
  </si>
  <si>
    <t>14666</t>
  </si>
  <si>
    <t>14667</t>
  </si>
  <si>
    <t>14669</t>
  </si>
  <si>
    <t>14670</t>
  </si>
  <si>
    <t>14672</t>
  </si>
  <si>
    <t>14673</t>
  </si>
  <si>
    <t>14675</t>
  </si>
  <si>
    <t>14676</t>
  </si>
  <si>
    <t>14680</t>
  </si>
  <si>
    <t>14681</t>
  </si>
  <si>
    <t>14682</t>
  </si>
  <si>
    <t>14684</t>
  </si>
  <si>
    <t>14687</t>
  </si>
  <si>
    <t>14688</t>
  </si>
  <si>
    <t>14689</t>
  </si>
  <si>
    <t>14690</t>
  </si>
  <si>
    <t>14691</t>
  </si>
  <si>
    <t>14692</t>
  </si>
  <si>
    <t>14693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</si>
  <si>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</si>
  <si>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</si>
  <si>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</si>
  <si>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</si>
  <si>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</si>
  <si>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</si>
  <si>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</si>
  <si>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</si>
  <si>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</si>
  <si>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</si>
  <si>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</si>
  <si>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</si>
  <si>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</si>
  <si>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</si>
  <si>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</si>
  <si>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</si>
  <si>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</si>
  <si>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</si>
  <si>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</si>
  <si>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14719</t>
  </si>
  <si>
    <t>14720</t>
  </si>
  <si>
    <t>14722</t>
  </si>
  <si>
    <t>14723</t>
  </si>
  <si>
    <t>14725</t>
  </si>
  <si>
    <t>14727</t>
  </si>
  <si>
    <t>14729</t>
  </si>
  <si>
    <t>14730</t>
  </si>
  <si>
    <t>14731</t>
  </si>
  <si>
    <t>14732</t>
  </si>
  <si>
    <t>14733</t>
  </si>
  <si>
    <t>14735</t>
  </si>
  <si>
    <t>14737</t>
  </si>
  <si>
    <t>14738</t>
  </si>
  <si>
    <t>14739</t>
  </si>
  <si>
    <t>14740</t>
  </si>
  <si>
    <t>14741</t>
  </si>
  <si>
    <t>14744</t>
  </si>
  <si>
    <t>14745</t>
  </si>
  <si>
    <t>14747</t>
  </si>
  <si>
    <t>14748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</si>
  <si>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</si>
  <si>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</si>
  <si>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</si>
  <si>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</si>
  <si>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</si>
  <si>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</si>
  <si>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</si>
  <si>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</si>
  <si>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</si>
  <si>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</si>
  <si>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</si>
  <si>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14764</t>
  </si>
  <si>
    <t>14765</t>
  </si>
  <si>
    <t>14766</t>
  </si>
  <si>
    <t>14768</t>
  </si>
  <si>
    <t>14769</t>
  </si>
  <si>
    <t>14770</t>
  </si>
  <si>
    <t>14772</t>
  </si>
  <si>
    <t>14775</t>
  </si>
  <si>
    <t>14776</t>
  </si>
  <si>
    <t>14778</t>
  </si>
  <si>
    <t>14779</t>
  </si>
  <si>
    <t>14780</t>
  </si>
  <si>
    <t>14782</t>
  </si>
  <si>
    <t>14784</t>
  </si>
  <si>
    <t>14785</t>
  </si>
  <si>
    <t>14788</t>
  </si>
  <si>
    <t>14789</t>
  </si>
  <si>
    <t>14790</t>
  </si>
  <si>
    <t>14792</t>
  </si>
  <si>
    <t>14793</t>
  </si>
  <si>
    <t>14794</t>
  </si>
  <si>
    <t>14795</t>
  </si>
  <si>
    <t>14796</t>
  </si>
  <si>
    <t>14798</t>
  </si>
  <si>
    <t>14799</t>
  </si>
  <si>
    <t>14800</t>
  </si>
  <si>
    <t>14801</t>
  </si>
  <si>
    <t>14803</t>
  </si>
  <si>
    <t>14804</t>
  </si>
  <si>
    <t>14805</t>
  </si>
  <si>
    <t>14806</t>
  </si>
  <si>
    <t>14808</t>
  </si>
  <si>
    <t>14810</t>
  </si>
  <si>
    <t>14813</t>
  </si>
  <si>
    <t>14815</t>
  </si>
  <si>
    <t>14816</t>
  </si>
  <si>
    <t>14817</t>
  </si>
  <si>
    <t>14818</t>
  </si>
  <si>
    <t>14819</t>
  </si>
  <si>
    <t>14820</t>
  </si>
  <si>
    <t>14821</t>
  </si>
  <si>
    <t>14823</t>
  </si>
  <si>
    <t>14824</t>
  </si>
  <si>
    <t>14825</t>
  </si>
  <si>
    <t>14828</t>
  </si>
  <si>
    <t>14829</t>
  </si>
  <si>
    <t>14830</t>
  </si>
  <si>
    <t>14834</t>
  </si>
  <si>
    <t>14836</t>
  </si>
  <si>
    <t>14837</t>
  </si>
  <si>
    <t>14840</t>
  </si>
  <si>
    <t>14841</t>
  </si>
  <si>
    <t>14842</t>
  </si>
  <si>
    <t>14844</t>
  </si>
  <si>
    <t>14847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</si>
  <si>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</si>
  <si>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</si>
  <si>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</si>
  <si>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</si>
  <si>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</si>
  <si>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</si>
  <si>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</si>
  <si>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</si>
  <si>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</si>
  <si>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14859</t>
  </si>
  <si>
    <t>14860</t>
  </si>
  <si>
    <t>14861</t>
  </si>
  <si>
    <t>14862</t>
  </si>
  <si>
    <t>14863</t>
  </si>
  <si>
    <t>14865</t>
  </si>
  <si>
    <t>14866</t>
  </si>
  <si>
    <t>14867</t>
  </si>
  <si>
    <t>14868</t>
  </si>
  <si>
    <t>14869</t>
  </si>
  <si>
    <t>14870</t>
  </si>
  <si>
    <t>14871</t>
  </si>
  <si>
    <t>14873</t>
  </si>
  <si>
    <t>14875</t>
  </si>
  <si>
    <t>14878</t>
  </si>
  <si>
    <t>14880</t>
  </si>
  <si>
    <t>14881</t>
  </si>
  <si>
    <t>14882</t>
  </si>
  <si>
    <t>14883</t>
  </si>
  <si>
    <t>14885</t>
  </si>
  <si>
    <t>14886</t>
  </si>
  <si>
    <t>14887</t>
  </si>
  <si>
    <t>14888</t>
  </si>
  <si>
    <t>14889</t>
  </si>
  <si>
    <t>14890</t>
  </si>
  <si>
    <t>14891</t>
  </si>
  <si>
    <t>14893</t>
  </si>
  <si>
    <t>14894</t>
  </si>
  <si>
    <t>14895</t>
  </si>
  <si>
    <t>14896</t>
  </si>
  <si>
    <t>14897</t>
  </si>
  <si>
    <t>14898</t>
  </si>
  <si>
    <t>14901</t>
  </si>
  <si>
    <t>14902</t>
  </si>
  <si>
    <t>14903</t>
  </si>
  <si>
    <t>14904</t>
  </si>
  <si>
    <t>14905</t>
  </si>
  <si>
    <t>14907</t>
  </si>
  <si>
    <t>14908</t>
  </si>
  <si>
    <t>14910</t>
  </si>
  <si>
    <t>14911</t>
  </si>
  <si>
    <t>14912</t>
  </si>
  <si>
    <t>14913</t>
  </si>
  <si>
    <t>14915</t>
  </si>
  <si>
    <t>14916</t>
  </si>
  <si>
    <t>14918</t>
  </si>
  <si>
    <t>14920</t>
  </si>
  <si>
    <t>14921</t>
  </si>
  <si>
    <t>14923</t>
  </si>
  <si>
    <t>14924</t>
  </si>
  <si>
    <t>14929</t>
  </si>
  <si>
    <t>14930</t>
  </si>
  <si>
    <t>14931</t>
  </si>
  <si>
    <t>14932</t>
  </si>
  <si>
    <t>14934</t>
  </si>
  <si>
    <t>14935</t>
  </si>
  <si>
    <t>14936</t>
  </si>
  <si>
    <t>14937</t>
  </si>
  <si>
    <t>14944</t>
  </si>
  <si>
    <t>14946</t>
  </si>
  <si>
    <t>14947</t>
  </si>
  <si>
    <t>14948</t>
  </si>
  <si>
    <t>14950</t>
  </si>
  <si>
    <t>14951</t>
  </si>
  <si>
    <t>14952</t>
  </si>
  <si>
    <t>14953</t>
  </si>
  <si>
    <t>14954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</si>
  <si>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</si>
  <si>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</si>
  <si>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</si>
  <si>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</si>
  <si>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</si>
  <si>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</si>
  <si>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</si>
  <si>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</si>
  <si>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</si>
  <si>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</si>
  <si>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</si>
  <si>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</si>
  <si>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14970</t>
  </si>
  <si>
    <t>14971</t>
  </si>
  <si>
    <t>14972</t>
  </si>
  <si>
    <t>14973</t>
  </si>
  <si>
    <t>14974</t>
  </si>
  <si>
    <t>14975</t>
  </si>
  <si>
    <t>14976</t>
  </si>
  <si>
    <t>14978</t>
  </si>
  <si>
    <t>14981</t>
  </si>
  <si>
    <t>14984</t>
  </si>
  <si>
    <t>14985</t>
  </si>
  <si>
    <t>14987</t>
  </si>
  <si>
    <t>14988</t>
  </si>
  <si>
    <t>14995</t>
  </si>
  <si>
    <t>14997</t>
  </si>
  <si>
    <t>14998</t>
  </si>
  <si>
    <t>15000</t>
  </si>
  <si>
    <t>15002</t>
  </si>
  <si>
    <t>15004</t>
  </si>
  <si>
    <t>15005</t>
  </si>
  <si>
    <t>15006</t>
  </si>
  <si>
    <t>15007</t>
  </si>
  <si>
    <t>15009</t>
  </si>
  <si>
    <t>15010</t>
  </si>
  <si>
    <t>15012</t>
  </si>
  <si>
    <t>15014</t>
  </si>
  <si>
    <t>15016</t>
  </si>
  <si>
    <t>15017</t>
  </si>
  <si>
    <t>15018</t>
  </si>
  <si>
    <t>15019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</si>
  <si>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</si>
  <si>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</si>
  <si>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</si>
  <si>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</si>
  <si>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</si>
  <si>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</si>
  <si>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</si>
  <si>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</si>
  <si>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15031</t>
  </si>
  <si>
    <t>15032</t>
  </si>
  <si>
    <t>15033</t>
  </si>
  <si>
    <t>15035</t>
  </si>
  <si>
    <t>15038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</si>
  <si>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</si>
  <si>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</si>
  <si>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</si>
  <si>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</si>
  <si>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</si>
  <si>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</si>
  <si>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</si>
  <si>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</si>
  <si>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</si>
  <si>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</si>
  <si>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</si>
  <si>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</si>
  <si>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</si>
  <si>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</si>
  <si>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15057</t>
  </si>
  <si>
    <t>15058</t>
  </si>
  <si>
    <t>15059</t>
  </si>
  <si>
    <t>15060</t>
  </si>
  <si>
    <t>15061</t>
  </si>
  <si>
    <t>15062</t>
  </si>
  <si>
    <t>15063</t>
  </si>
  <si>
    <t>15065</t>
  </si>
  <si>
    <t>15066</t>
  </si>
  <si>
    <t>15067</t>
  </si>
  <si>
    <t>15068</t>
  </si>
  <si>
    <t>15069</t>
  </si>
  <si>
    <t>15070</t>
  </si>
  <si>
    <t>15071</t>
  </si>
  <si>
    <t>15073</t>
  </si>
  <si>
    <t>15074</t>
  </si>
  <si>
    <t>15075</t>
  </si>
  <si>
    <t>15076</t>
  </si>
  <si>
    <t>15078</t>
  </si>
  <si>
    <t>15079</t>
  </si>
  <si>
    <t>15081</t>
  </si>
  <si>
    <t>15083</t>
  </si>
  <si>
    <t>15087</t>
  </si>
  <si>
    <t>15088</t>
  </si>
  <si>
    <t>15089</t>
  </si>
  <si>
    <t>15090</t>
  </si>
  <si>
    <t>15091</t>
  </si>
  <si>
    <t>15092</t>
  </si>
  <si>
    <t>15093</t>
  </si>
  <si>
    <t>15095</t>
  </si>
  <si>
    <t>15096</t>
  </si>
  <si>
    <t>15097</t>
  </si>
  <si>
    <t>15098</t>
  </si>
  <si>
    <t>15099</t>
  </si>
  <si>
    <t>15100</t>
  </si>
  <si>
    <t>15101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</si>
  <si>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</si>
  <si>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</si>
  <si>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</si>
  <si>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</si>
  <si>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</si>
  <si>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</si>
  <si>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</si>
  <si>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</si>
  <si>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</si>
  <si>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</si>
  <si>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</si>
  <si>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</si>
  <si>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</si>
  <si>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</si>
  <si>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</si>
  <si>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</si>
  <si>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</si>
  <si>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</si>
  <si>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</si>
  <si>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</si>
  <si>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</si>
  <si>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</si>
  <si>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15127</t>
  </si>
  <si>
    <t>15128</t>
  </si>
  <si>
    <t>15129</t>
  </si>
  <si>
    <t>15130</t>
  </si>
  <si>
    <t>15132</t>
  </si>
  <si>
    <t>15133</t>
  </si>
  <si>
    <t>15134</t>
  </si>
  <si>
    <t>15135</t>
  </si>
  <si>
    <t>15136</t>
  </si>
  <si>
    <t>15139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</si>
  <si>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</si>
  <si>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</si>
  <si>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</si>
  <si>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</si>
  <si>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</si>
  <si>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</si>
  <si>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</si>
  <si>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</si>
  <si>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</si>
  <si>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</si>
  <si>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15152</t>
  </si>
  <si>
    <t>15153</t>
  </si>
  <si>
    <t>15154</t>
  </si>
  <si>
    <t>15156</t>
  </si>
  <si>
    <t>15157</t>
  </si>
  <si>
    <t>15158</t>
  </si>
  <si>
    <t>15159</t>
  </si>
  <si>
    <t>15160</t>
  </si>
  <si>
    <t>15163</t>
  </si>
  <si>
    <t>15164</t>
  </si>
  <si>
    <t>15165</t>
  </si>
  <si>
    <t>15167</t>
  </si>
  <si>
    <t>15168</t>
  </si>
  <si>
    <t>15171</t>
  </si>
  <si>
    <t>15172</t>
  </si>
  <si>
    <t>15174</t>
  </si>
  <si>
    <t>15175</t>
  </si>
  <si>
    <t>15178</t>
  </si>
  <si>
    <t>15179</t>
  </si>
  <si>
    <t>15180</t>
  </si>
  <si>
    <t>15181</t>
  </si>
  <si>
    <t>15182</t>
  </si>
  <si>
    <t>15184</t>
  </si>
  <si>
    <t>15185</t>
  </si>
  <si>
    <t>15186</t>
  </si>
  <si>
    <t>15187</t>
  </si>
  <si>
    <t>15189</t>
  </si>
  <si>
    <t>15192</t>
  </si>
  <si>
    <t>15193</t>
  </si>
  <si>
    <t>15194</t>
  </si>
  <si>
    <t>15195</t>
  </si>
  <si>
    <t>15197</t>
  </si>
  <si>
    <t>15198</t>
  </si>
  <si>
    <t>15199</t>
  </si>
  <si>
    <t>15201</t>
  </si>
  <si>
    <t>15203</t>
  </si>
  <si>
    <t>15204</t>
  </si>
  <si>
    <t>15205</t>
  </si>
  <si>
    <t>15206</t>
  </si>
  <si>
    <t>15208</t>
  </si>
  <si>
    <t>15210</t>
  </si>
  <si>
    <t>15211</t>
  </si>
  <si>
    <t>15212</t>
  </si>
  <si>
    <t>15213</t>
  </si>
  <si>
    <t>15214</t>
  </si>
  <si>
    <t>15215</t>
  </si>
  <si>
    <t>15216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</si>
  <si>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</si>
  <si>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</si>
  <si>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</si>
  <si>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</si>
  <si>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</si>
  <si>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</si>
  <si>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</si>
  <si>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</si>
  <si>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</si>
  <si>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</si>
  <si>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</si>
  <si>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15230</t>
  </si>
  <si>
    <t>15232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</si>
  <si>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</si>
  <si>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</si>
  <si>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</si>
  <si>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</si>
  <si>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</si>
  <si>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</si>
  <si>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</si>
  <si>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</si>
  <si>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15243</t>
  </si>
  <si>
    <t>15244</t>
  </si>
  <si>
    <t>15245</t>
  </si>
  <si>
    <t>15246</t>
  </si>
  <si>
    <t>15247</t>
  </si>
  <si>
    <t>15249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</si>
  <si>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</si>
  <si>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</si>
  <si>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</si>
  <si>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</si>
  <si>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</si>
  <si>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</si>
  <si>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</si>
  <si>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</si>
  <si>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</si>
  <si>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</si>
  <si>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</si>
  <si>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</si>
  <si>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</si>
  <si>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</si>
  <si>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</si>
  <si>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</si>
  <si>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15269</t>
  </si>
  <si>
    <t>15270</t>
  </si>
  <si>
    <t>15271</t>
  </si>
  <si>
    <t>15272</t>
  </si>
  <si>
    <t>15274</t>
  </si>
  <si>
    <t>15275</t>
  </si>
  <si>
    <t>15276</t>
  </si>
  <si>
    <t>15277</t>
  </si>
  <si>
    <t>15279</t>
  </si>
  <si>
    <t>15280</t>
  </si>
  <si>
    <t>15281</t>
  </si>
  <si>
    <t>15286</t>
  </si>
  <si>
    <t>15287</t>
  </si>
  <si>
    <t>15288</t>
  </si>
  <si>
    <t>15289</t>
  </si>
  <si>
    <t>15290</t>
  </si>
  <si>
    <t>15291</t>
  </si>
  <si>
    <t>15292</t>
  </si>
  <si>
    <t>15296</t>
  </si>
  <si>
    <t>15297</t>
  </si>
  <si>
    <t>15298</t>
  </si>
  <si>
    <t>15299</t>
  </si>
  <si>
    <t>15300</t>
  </si>
  <si>
    <t>15301</t>
  </si>
  <si>
    <t>15303</t>
  </si>
  <si>
    <t>15304</t>
  </si>
  <si>
    <t>15306</t>
  </si>
  <si>
    <t>15307</t>
  </si>
  <si>
    <t>15308</t>
  </si>
  <si>
    <t>15311</t>
  </si>
  <si>
    <t>15312</t>
  </si>
  <si>
    <t>15313</t>
  </si>
  <si>
    <t>15314</t>
  </si>
  <si>
    <t>15315</t>
  </si>
  <si>
    <t>15316</t>
  </si>
  <si>
    <t>15318</t>
  </si>
  <si>
    <t>15319</t>
  </si>
  <si>
    <t>15320</t>
  </si>
  <si>
    <t>15321</t>
  </si>
  <si>
    <t>15322</t>
  </si>
  <si>
    <t>15325</t>
  </si>
  <si>
    <t>15326</t>
  </si>
  <si>
    <t>15327</t>
  </si>
  <si>
    <t>15329</t>
  </si>
  <si>
    <t>15330</t>
  </si>
  <si>
    <t>15332</t>
  </si>
  <si>
    <t>15333</t>
  </si>
  <si>
    <t>15334</t>
  </si>
  <si>
    <t>15335</t>
  </si>
  <si>
    <t>15339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</si>
  <si>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</si>
  <si>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</si>
  <si>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</si>
  <si>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</si>
  <si>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</si>
  <si>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</si>
  <si>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</si>
  <si>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</si>
  <si>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</si>
  <si>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</si>
  <si>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</si>
  <si>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15353</t>
  </si>
  <si>
    <t>15355</t>
  </si>
  <si>
    <t>15356</t>
  </si>
  <si>
    <t>15358</t>
  </si>
  <si>
    <t>15360</t>
  </si>
  <si>
    <t>15361</t>
  </si>
  <si>
    <t>15363</t>
  </si>
  <si>
    <t>15364</t>
  </si>
  <si>
    <t>15365</t>
  </si>
  <si>
    <t>15366</t>
  </si>
  <si>
    <t>15367</t>
  </si>
  <si>
    <t>15368</t>
  </si>
  <si>
    <t>15370</t>
  </si>
  <si>
    <t>15372</t>
  </si>
  <si>
    <t>15373</t>
  </si>
  <si>
    <t>15374</t>
  </si>
  <si>
    <t>15376</t>
  </si>
  <si>
    <t>15379</t>
  </si>
  <si>
    <t>15380</t>
  </si>
  <si>
    <t>15381</t>
  </si>
  <si>
    <t>15382</t>
  </si>
  <si>
    <t>15384</t>
  </si>
  <si>
    <t>15385</t>
  </si>
  <si>
    <t>15386</t>
  </si>
  <si>
    <t>15388</t>
  </si>
  <si>
    <t>15389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</si>
  <si>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</si>
  <si>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</si>
  <si>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</si>
  <si>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</si>
  <si>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</si>
  <si>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</si>
  <si>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</si>
  <si>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</si>
  <si>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</si>
  <si>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15402</t>
  </si>
  <si>
    <t>15405</t>
  </si>
  <si>
    <t>15406</t>
  </si>
  <si>
    <t>15407</t>
  </si>
  <si>
    <t>15408</t>
  </si>
  <si>
    <t>15410</t>
  </si>
  <si>
    <t>15411</t>
  </si>
  <si>
    <t>15412</t>
  </si>
  <si>
    <t>15414</t>
  </si>
  <si>
    <t>15415</t>
  </si>
  <si>
    <t>15416</t>
  </si>
  <si>
    <t>15417</t>
  </si>
  <si>
    <t>15419</t>
  </si>
  <si>
    <t>15421</t>
  </si>
  <si>
    <t>15422</t>
  </si>
  <si>
    <t>15423</t>
  </si>
  <si>
    <t>15424</t>
  </si>
  <si>
    <t>15426</t>
  </si>
  <si>
    <t>15427</t>
  </si>
  <si>
    <t>15428</t>
  </si>
  <si>
    <t>15429</t>
  </si>
  <si>
    <t>15432</t>
  </si>
  <si>
    <t>15433</t>
  </si>
  <si>
    <t>15434</t>
  </si>
  <si>
    <t>15435</t>
  </si>
  <si>
    <t>15436</t>
  </si>
  <si>
    <t>15437</t>
  </si>
  <si>
    <t>15438</t>
  </si>
  <si>
    <t>15440</t>
  </si>
  <si>
    <t>15442</t>
  </si>
  <si>
    <t>15443</t>
  </si>
  <si>
    <t>15444</t>
  </si>
  <si>
    <t>15445</t>
  </si>
  <si>
    <t>15447</t>
  </si>
  <si>
    <t>15448</t>
  </si>
  <si>
    <t>15449</t>
  </si>
  <si>
    <t>15450</t>
  </si>
  <si>
    <t>15452</t>
  </si>
  <si>
    <t>15453</t>
  </si>
  <si>
    <t>15454</t>
  </si>
  <si>
    <t>15456</t>
  </si>
  <si>
    <t>15457</t>
  </si>
  <si>
    <t>15458</t>
  </si>
  <si>
    <t>15460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</si>
  <si>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</si>
  <si>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</si>
  <si>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</si>
  <si>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</si>
  <si>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</si>
  <si>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</si>
  <si>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</si>
  <si>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</si>
  <si>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15471</t>
  </si>
  <si>
    <t>15472</t>
  </si>
  <si>
    <t>15473</t>
  </si>
  <si>
    <t>15475</t>
  </si>
  <si>
    <t>15478</t>
  </si>
  <si>
    <t>15480</t>
  </si>
  <si>
    <t>15482</t>
  </si>
  <si>
    <t>15483</t>
  </si>
  <si>
    <t>15484</t>
  </si>
  <si>
    <t>15485</t>
  </si>
  <si>
    <t>15488</t>
  </si>
  <si>
    <t>15489</t>
  </si>
  <si>
    <t>15491</t>
  </si>
  <si>
    <t>15492</t>
  </si>
  <si>
    <t>15493</t>
  </si>
  <si>
    <t>15494</t>
  </si>
  <si>
    <t>15497</t>
  </si>
  <si>
    <t>15498</t>
  </si>
  <si>
    <t>15500</t>
  </si>
  <si>
    <t>15502</t>
  </si>
  <si>
    <t>15503</t>
  </si>
  <si>
    <t>15504</t>
  </si>
  <si>
    <t>15505</t>
  </si>
  <si>
    <t>15506</t>
  </si>
  <si>
    <t>15507</t>
  </si>
  <si>
    <t>15508</t>
  </si>
  <si>
    <t>15510</t>
  </si>
  <si>
    <t>15511</t>
  </si>
  <si>
    <t>15512</t>
  </si>
  <si>
    <t>15513</t>
  </si>
  <si>
    <t>15514</t>
  </si>
  <si>
    <t>15516</t>
  </si>
  <si>
    <t>15517</t>
  </si>
  <si>
    <t>15518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</si>
  <si>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</si>
  <si>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</si>
  <si>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</si>
  <si>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</si>
  <si>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</si>
  <si>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</si>
  <si>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</si>
  <si>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</si>
  <si>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</si>
  <si>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</si>
  <si>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</si>
  <si>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</si>
  <si>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</si>
  <si>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</si>
  <si>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15535</t>
  </si>
  <si>
    <t>15537</t>
  </si>
  <si>
    <t>15539</t>
  </si>
  <si>
    <t>15540</t>
  </si>
  <si>
    <t>15541</t>
  </si>
  <si>
    <t>15543</t>
  </si>
  <si>
    <t>15544</t>
  </si>
  <si>
    <t>15545</t>
  </si>
  <si>
    <t>15547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</si>
  <si>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</si>
  <si>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</si>
  <si>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</si>
  <si>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</si>
  <si>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</si>
  <si>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</si>
  <si>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</si>
  <si>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</si>
  <si>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</si>
  <si>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15561</t>
  </si>
  <si>
    <t>15562</t>
  </si>
  <si>
    <t>15563</t>
  </si>
  <si>
    <t>15565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</si>
  <si>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</si>
  <si>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</si>
  <si>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</si>
  <si>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</si>
  <si>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</si>
  <si>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</si>
  <si>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</si>
  <si>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</si>
  <si>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15576</t>
  </si>
  <si>
    <t>15577</t>
  </si>
  <si>
    <t>15578</t>
  </si>
  <si>
    <t>15579</t>
  </si>
  <si>
    <t>15581</t>
  </si>
  <si>
    <t>15582</t>
  </si>
  <si>
    <t>15584</t>
  </si>
  <si>
    <t>15585</t>
  </si>
  <si>
    <t>15587</t>
  </si>
  <si>
    <t>15589</t>
  </si>
  <si>
    <t>15592</t>
  </si>
  <si>
    <t>15593</t>
  </si>
  <si>
    <t>15594</t>
  </si>
  <si>
    <t>15596</t>
  </si>
  <si>
    <t>15597</t>
  </si>
  <si>
    <t>15598</t>
  </si>
  <si>
    <t>15599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</si>
  <si>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</si>
  <si>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</si>
  <si>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</si>
  <si>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</si>
  <si>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</si>
  <si>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</si>
  <si>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</si>
  <si>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</si>
  <si>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</si>
  <si>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</si>
  <si>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</si>
  <si>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</si>
  <si>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15615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</si>
  <si>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</si>
  <si>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</si>
  <si>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</si>
  <si>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</si>
  <si>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</si>
  <si>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</si>
  <si>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</si>
  <si>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</si>
  <si>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</si>
  <si>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15628</t>
  </si>
  <si>
    <t>15630</t>
  </si>
  <si>
    <t>15632</t>
  </si>
  <si>
    <t>15634</t>
  </si>
  <si>
    <t>15636</t>
  </si>
  <si>
    <t>15637</t>
  </si>
  <si>
    <t>15639</t>
  </si>
  <si>
    <t>15640</t>
  </si>
  <si>
    <t>15641</t>
  </si>
  <si>
    <t>15643</t>
  </si>
  <si>
    <t>15644</t>
  </si>
  <si>
    <t>15645</t>
  </si>
  <si>
    <t>15646</t>
  </si>
  <si>
    <t>15648</t>
  </si>
  <si>
    <t>15649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</si>
  <si>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</si>
  <si>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</si>
  <si>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</si>
  <si>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</si>
  <si>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</si>
  <si>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</si>
  <si>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</si>
  <si>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</si>
  <si>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</si>
  <si>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</si>
  <si>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</si>
  <si>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15663</t>
  </si>
  <si>
    <t>15664</t>
  </si>
  <si>
    <t>15665</t>
  </si>
  <si>
    <t>15667</t>
  </si>
  <si>
    <t>15668</t>
  </si>
  <si>
    <t>15669</t>
  </si>
  <si>
    <t>15670</t>
  </si>
  <si>
    <t>15671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</si>
  <si>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</si>
  <si>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</si>
  <si>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</si>
  <si>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</si>
  <si>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</si>
  <si>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</si>
  <si>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</si>
  <si>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</si>
  <si>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</si>
  <si>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15683</t>
  </si>
  <si>
    <t>15687</t>
  </si>
  <si>
    <t>15689</t>
  </si>
  <si>
    <t>15690</t>
  </si>
  <si>
    <t>15691</t>
  </si>
  <si>
    <t>15692</t>
  </si>
  <si>
    <t>15694</t>
  </si>
  <si>
    <t>15695</t>
  </si>
  <si>
    <t>15696</t>
  </si>
  <si>
    <t>15699</t>
  </si>
  <si>
    <t>15700</t>
  </si>
  <si>
    <t>15701</t>
  </si>
  <si>
    <t>15703</t>
  </si>
  <si>
    <t>15704</t>
  </si>
  <si>
    <t>15705</t>
  </si>
  <si>
    <t>15706</t>
  </si>
  <si>
    <t>15707</t>
  </si>
  <si>
    <t>15708</t>
  </si>
  <si>
    <t>15709</t>
  </si>
  <si>
    <t>15712</t>
  </si>
  <si>
    <t>15713</t>
  </si>
  <si>
    <t>15714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</si>
  <si>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</si>
  <si>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</si>
  <si>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</si>
  <si>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</si>
  <si>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</si>
  <si>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</si>
  <si>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</si>
  <si>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</si>
  <si>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</si>
  <si>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15727</t>
  </si>
  <si>
    <t>15729</t>
  </si>
  <si>
    <t>15730</t>
  </si>
  <si>
    <t>15732</t>
  </si>
  <si>
    <t>15733</t>
  </si>
  <si>
    <t>15734</t>
  </si>
  <si>
    <t>15737</t>
  </si>
  <si>
    <t>15738</t>
  </si>
  <si>
    <t>15739</t>
  </si>
  <si>
    <t>15740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</si>
  <si>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</si>
  <si>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</si>
  <si>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</si>
  <si>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</si>
  <si>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</si>
  <si>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</si>
  <si>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</si>
  <si>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</si>
  <si>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</si>
  <si>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</si>
  <si>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</si>
  <si>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</si>
  <si>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</si>
  <si>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</si>
  <si>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</si>
  <si>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</si>
  <si>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15762</t>
  </si>
  <si>
    <t>15763</t>
  </si>
  <si>
    <t>15764</t>
  </si>
  <si>
    <t>15766</t>
  </si>
  <si>
    <t>15768</t>
  </si>
  <si>
    <t>15769</t>
  </si>
  <si>
    <t>15773</t>
  </si>
  <si>
    <t>15774</t>
  </si>
  <si>
    <t>15775</t>
  </si>
  <si>
    <t>15776</t>
  </si>
  <si>
    <t>15777</t>
  </si>
  <si>
    <t>15780</t>
  </si>
  <si>
    <t>15781</t>
  </si>
  <si>
    <t>15782</t>
  </si>
  <si>
    <t>15783</t>
  </si>
  <si>
    <t>15785</t>
  </si>
  <si>
    <t>15786</t>
  </si>
  <si>
    <t>15787</t>
  </si>
  <si>
    <t>15789</t>
  </si>
  <si>
    <t>15790</t>
  </si>
  <si>
    <t>15791</t>
  </si>
  <si>
    <t>15793</t>
  </si>
  <si>
    <t>15795</t>
  </si>
  <si>
    <t>15796</t>
  </si>
  <si>
    <t>15797</t>
  </si>
  <si>
    <t>15799</t>
  </si>
  <si>
    <t>15800</t>
  </si>
  <si>
    <t>15801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</si>
  <si>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</si>
  <si>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</si>
  <si>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</si>
  <si>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</si>
  <si>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</si>
  <si>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</si>
  <si>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</si>
  <si>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</si>
  <si>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</si>
  <si>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</si>
  <si>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</si>
  <si>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</si>
  <si>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</si>
  <si>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15819</t>
  </si>
  <si>
    <t>15820</t>
  </si>
  <si>
    <t>15821</t>
  </si>
  <si>
    <t>15822</t>
  </si>
  <si>
    <t>15825</t>
  </si>
  <si>
    <t>15826</t>
  </si>
  <si>
    <t>15827</t>
  </si>
  <si>
    <t>15829</t>
  </si>
  <si>
    <t>15830</t>
  </si>
  <si>
    <t>15831</t>
  </si>
  <si>
    <t>15832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</si>
  <si>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</si>
  <si>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</si>
  <si>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</si>
  <si>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</si>
  <si>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</si>
  <si>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</si>
  <si>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</si>
  <si>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</si>
  <si>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15843</t>
  </si>
  <si>
    <t>15844</t>
  </si>
  <si>
    <t>15845</t>
  </si>
  <si>
    <t>15847</t>
  </si>
  <si>
    <t>15850</t>
  </si>
  <si>
    <t>15852</t>
  </si>
  <si>
    <t>15853</t>
  </si>
  <si>
    <t>15854</t>
  </si>
  <si>
    <t>15855</t>
  </si>
  <si>
    <t>15856</t>
  </si>
  <si>
    <t>15857</t>
  </si>
  <si>
    <t>15858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</si>
  <si>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</si>
  <si>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</si>
  <si>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</si>
  <si>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</si>
  <si>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</si>
  <si>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</si>
  <si>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</si>
  <si>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</si>
  <si>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15869</t>
  </si>
  <si>
    <t>15870</t>
  </si>
  <si>
    <t>15872</t>
  </si>
  <si>
    <t>15874</t>
  </si>
  <si>
    <t>15877</t>
  </si>
  <si>
    <t>15880</t>
  </si>
  <si>
    <t>15881</t>
  </si>
  <si>
    <t>15882</t>
  </si>
  <si>
    <t>15883</t>
  </si>
  <si>
    <t>15885</t>
  </si>
  <si>
    <t>15886</t>
  </si>
  <si>
    <t>15888</t>
  </si>
  <si>
    <t>15889</t>
  </si>
  <si>
    <t>15891</t>
  </si>
  <si>
    <t>15894</t>
  </si>
  <si>
    <t>15895</t>
  </si>
  <si>
    <t>15897</t>
  </si>
  <si>
    <t>15898</t>
  </si>
  <si>
    <t>15899</t>
  </si>
  <si>
    <t>15900</t>
  </si>
  <si>
    <t>15901</t>
  </si>
  <si>
    <t>15903</t>
  </si>
  <si>
    <t>15904</t>
  </si>
  <si>
    <t>15906</t>
  </si>
  <si>
    <t>15907</t>
  </si>
  <si>
    <t>15909</t>
  </si>
  <si>
    <t>15910</t>
  </si>
  <si>
    <t>15912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</si>
  <si>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</si>
  <si>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</si>
  <si>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</si>
  <si>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</si>
  <si>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</si>
  <si>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</si>
  <si>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</si>
  <si>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</si>
  <si>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15925</t>
  </si>
  <si>
    <t>15930</t>
  </si>
  <si>
    <t>15932</t>
  </si>
  <si>
    <t>15933</t>
  </si>
  <si>
    <t>15935</t>
  </si>
  <si>
    <t>15937</t>
  </si>
  <si>
    <t>15938</t>
  </si>
  <si>
    <t>15939</t>
  </si>
  <si>
    <t>15940</t>
  </si>
  <si>
    <t>15942</t>
  </si>
  <si>
    <t>15944</t>
  </si>
  <si>
    <t>15945</t>
  </si>
  <si>
    <t>15947</t>
  </si>
  <si>
    <t>15948</t>
  </si>
  <si>
    <t>15949</t>
  </si>
  <si>
    <t>15950</t>
  </si>
  <si>
    <t>15951</t>
  </si>
  <si>
    <t>15952</t>
  </si>
  <si>
    <t>15953</t>
  </si>
  <si>
    <t>15955</t>
  </si>
  <si>
    <t>15957</t>
  </si>
  <si>
    <t>15958</t>
  </si>
  <si>
    <t>15963</t>
  </si>
  <si>
    <t>15965</t>
  </si>
  <si>
    <t>15967</t>
  </si>
  <si>
    <t>15969</t>
  </si>
  <si>
    <t>15970</t>
  </si>
  <si>
    <t>15971</t>
  </si>
  <si>
    <t>15973</t>
  </si>
  <si>
    <t>15974</t>
  </si>
  <si>
    <t>15975</t>
  </si>
  <si>
    <t>15976</t>
  </si>
  <si>
    <t>15977</t>
  </si>
  <si>
    <t>15978</t>
  </si>
  <si>
    <t>15980</t>
  </si>
  <si>
    <t>15981</t>
  </si>
  <si>
    <t>15983</t>
  </si>
  <si>
    <t>15984</t>
  </si>
  <si>
    <t>15985</t>
  </si>
  <si>
    <t>15986</t>
  </si>
  <si>
    <t>15987</t>
  </si>
  <si>
    <t>15988</t>
  </si>
  <si>
    <t>15990</t>
  </si>
  <si>
    <t>15992</t>
  </si>
  <si>
    <t>15993</t>
  </si>
  <si>
    <t>15994</t>
  </si>
  <si>
    <t>15996</t>
  </si>
  <si>
    <t>15998</t>
  </si>
  <si>
    <t>16000</t>
  </si>
  <si>
    <t>16003</t>
  </si>
  <si>
    <t>16005</t>
  </si>
  <si>
    <t>16006</t>
  </si>
  <si>
    <t>16007</t>
  </si>
  <si>
    <t>16009</t>
  </si>
  <si>
    <t>16013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</si>
  <si>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</si>
  <si>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</si>
  <si>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</si>
  <si>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</si>
  <si>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</si>
  <si>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</si>
  <si>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</si>
  <si>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</si>
  <si>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</si>
  <si>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</si>
  <si>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</si>
  <si>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</si>
  <si>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</si>
  <si>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16034</t>
  </si>
  <si>
    <t>16036</t>
  </si>
  <si>
    <t>16037</t>
  </si>
  <si>
    <t>16038</t>
  </si>
  <si>
    <t>16040</t>
  </si>
  <si>
    <t>16041</t>
  </si>
  <si>
    <t>16042</t>
  </si>
  <si>
    <t>16050</t>
  </si>
  <si>
    <t>16055</t>
  </si>
  <si>
    <t>16056</t>
  </si>
  <si>
    <t>16057</t>
  </si>
  <si>
    <t>16059</t>
  </si>
  <si>
    <t>16062</t>
  </si>
  <si>
    <t>16063</t>
  </si>
  <si>
    <t>16065</t>
  </si>
  <si>
    <t>16066</t>
  </si>
  <si>
    <t>16070</t>
  </si>
  <si>
    <t>16071</t>
  </si>
  <si>
    <t>16072</t>
  </si>
  <si>
    <t>16073</t>
  </si>
  <si>
    <t>16076</t>
  </si>
  <si>
    <t>16078</t>
  </si>
  <si>
    <t>16079</t>
  </si>
  <si>
    <t>16080</t>
  </si>
  <si>
    <t>16081</t>
  </si>
  <si>
    <t>16083</t>
  </si>
  <si>
    <t>16084</t>
  </si>
  <si>
    <t>16085</t>
  </si>
  <si>
    <t>16086</t>
  </si>
  <si>
    <t>16091</t>
  </si>
  <si>
    <t>16092</t>
  </si>
  <si>
    <t>16093</t>
  </si>
  <si>
    <t>16094</t>
  </si>
  <si>
    <t>16096</t>
  </si>
  <si>
    <t>16097</t>
  </si>
  <si>
    <t>16098</t>
  </si>
  <si>
    <t>16099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</si>
  <si>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</si>
  <si>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</si>
  <si>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</si>
  <si>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</si>
  <si>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</si>
  <si>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</si>
  <si>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</si>
  <si>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</si>
  <si>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</si>
  <si>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</si>
  <si>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16112</t>
  </si>
  <si>
    <t>16113</t>
  </si>
  <si>
    <t>16114</t>
  </si>
  <si>
    <t>16115</t>
  </si>
  <si>
    <t>16116</t>
  </si>
  <si>
    <t>16117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</si>
  <si>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</si>
  <si>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</si>
  <si>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</si>
  <si>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</si>
  <si>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</si>
  <si>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</si>
  <si>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</si>
  <si>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</si>
  <si>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</si>
  <si>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</si>
  <si>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16131</t>
  </si>
  <si>
    <t>16133</t>
  </si>
  <si>
    <t>16134</t>
  </si>
  <si>
    <t>16135</t>
  </si>
  <si>
    <t>16136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</si>
  <si>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</si>
  <si>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</si>
  <si>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</si>
  <si>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</si>
  <si>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</si>
  <si>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</si>
  <si>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</si>
  <si>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</si>
  <si>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</si>
  <si>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</si>
  <si>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</si>
  <si>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</si>
  <si>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16152</t>
  </si>
  <si>
    <t>16153</t>
  </si>
  <si>
    <t>16156</t>
  </si>
  <si>
    <t>16157</t>
  </si>
  <si>
    <t>16159</t>
  </si>
  <si>
    <t>16160</t>
  </si>
  <si>
    <t>16161</t>
  </si>
  <si>
    <t>16162</t>
  </si>
  <si>
    <t>16163</t>
  </si>
  <si>
    <t>16164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</si>
  <si>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</si>
  <si>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</si>
  <si>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</si>
  <si>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</si>
  <si>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</si>
  <si>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</si>
  <si>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</si>
  <si>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</si>
  <si>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</si>
  <si>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</si>
  <si>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</si>
  <si>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</si>
  <si>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</si>
  <si>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</si>
  <si>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</si>
  <si>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</si>
  <si>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</si>
  <si>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</si>
  <si>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</si>
  <si>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</si>
  <si>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</si>
  <si>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</si>
  <si>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</si>
  <si>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16193</t>
  </si>
  <si>
    <t>16198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</si>
  <si>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</si>
  <si>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</si>
  <si>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</si>
  <si>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</si>
  <si>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</si>
  <si>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</si>
  <si>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</si>
  <si>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</si>
  <si>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</si>
  <si>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</si>
  <si>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</si>
  <si>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</si>
  <si>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</si>
  <si>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</si>
  <si>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</si>
  <si>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</si>
  <si>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16217</t>
  </si>
  <si>
    <t>16221</t>
  </si>
  <si>
    <t>16222</t>
  </si>
  <si>
    <t>16224</t>
  </si>
  <si>
    <t>16226</t>
  </si>
  <si>
    <t>16227</t>
  </si>
  <si>
    <t>16229</t>
  </si>
  <si>
    <t>16230</t>
  </si>
  <si>
    <t>16232</t>
  </si>
  <si>
    <t>16233</t>
  </si>
  <si>
    <t>16239</t>
  </si>
  <si>
    <t>16240</t>
  </si>
  <si>
    <t>16241</t>
  </si>
  <si>
    <t>16242</t>
  </si>
  <si>
    <t>16243</t>
  </si>
  <si>
    <t>16244</t>
  </si>
  <si>
    <t>16245</t>
  </si>
  <si>
    <t>16247</t>
  </si>
  <si>
    <t>16248</t>
  </si>
  <si>
    <t>16249</t>
  </si>
  <si>
    <t>16250</t>
  </si>
  <si>
    <t>16253</t>
  </si>
  <si>
    <t>16255</t>
  </si>
  <si>
    <t>16256</t>
  </si>
  <si>
    <t>16257</t>
  </si>
  <si>
    <t>16258</t>
  </si>
  <si>
    <t>16260</t>
  </si>
  <si>
    <t>16261</t>
  </si>
  <si>
    <t>16265</t>
  </si>
  <si>
    <t>16266</t>
  </si>
  <si>
    <t>16268</t>
  </si>
  <si>
    <t>16270</t>
  </si>
  <si>
    <t>16271</t>
  </si>
  <si>
    <t>16272</t>
  </si>
  <si>
    <t>16274</t>
  </si>
  <si>
    <t>16275</t>
  </si>
  <si>
    <t>16276</t>
  </si>
  <si>
    <t>16278</t>
  </si>
  <si>
    <t>16279</t>
  </si>
  <si>
    <t>16281</t>
  </si>
  <si>
    <t>16282</t>
  </si>
  <si>
    <t>16283</t>
  </si>
  <si>
    <t>16284</t>
  </si>
  <si>
    <t>16287</t>
  </si>
  <si>
    <t>16292</t>
  </si>
  <si>
    <t>16293</t>
  </si>
  <si>
    <t>16295</t>
  </si>
  <si>
    <t>16297</t>
  </si>
  <si>
    <t>16298</t>
  </si>
  <si>
    <t>16302</t>
  </si>
  <si>
    <t>16303</t>
  </si>
  <si>
    <t>16305</t>
  </si>
  <si>
    <t>16306</t>
  </si>
  <si>
    <t>16308</t>
  </si>
  <si>
    <t>16309</t>
  </si>
  <si>
    <t>16311</t>
  </si>
  <si>
    <t>16313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</si>
  <si>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</si>
  <si>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</si>
  <si>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</si>
  <si>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</si>
  <si>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</si>
  <si>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</si>
  <si>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</si>
  <si>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</si>
  <si>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</si>
  <si>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</si>
  <si>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</si>
  <si>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</si>
  <si>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</si>
  <si>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16330</t>
  </si>
  <si>
    <t>16332</t>
  </si>
  <si>
    <t>16333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</si>
  <si>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</si>
  <si>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</si>
  <si>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</si>
  <si>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</si>
  <si>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</si>
  <si>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</si>
  <si>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</si>
  <si>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</si>
  <si>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</si>
  <si>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</si>
  <si>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</si>
  <si>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</si>
  <si>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</si>
  <si>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</si>
  <si>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</si>
  <si>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</si>
  <si>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</si>
  <si>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</si>
  <si>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</si>
  <si>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</si>
  <si>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</si>
  <si>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</si>
  <si>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</si>
  <si>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</si>
  <si>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</si>
  <si>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</si>
  <si>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</si>
  <si>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</si>
  <si>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</si>
  <si>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</si>
  <si>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</si>
  <si>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</si>
  <si>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16372</t>
  </si>
  <si>
    <t>16374</t>
  </si>
  <si>
    <t>16376</t>
  </si>
  <si>
    <t>16377</t>
  </si>
  <si>
    <t>16378</t>
  </si>
  <si>
    <t>16379</t>
  </si>
  <si>
    <t>16380</t>
  </si>
  <si>
    <t>16383</t>
  </si>
  <si>
    <t>16384</t>
  </si>
  <si>
    <t>16385</t>
  </si>
  <si>
    <t>16386</t>
  </si>
  <si>
    <t>16387</t>
  </si>
  <si>
    <t>16389</t>
  </si>
  <si>
    <t>16392</t>
  </si>
  <si>
    <t>16393</t>
  </si>
  <si>
    <t>16394</t>
  </si>
  <si>
    <t>16395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</si>
  <si>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</si>
  <si>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</si>
  <si>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</si>
  <si>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</si>
  <si>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</si>
  <si>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</si>
  <si>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</si>
  <si>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</si>
  <si>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</si>
  <si>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</si>
  <si>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16409</t>
  </si>
  <si>
    <t>16411</t>
  </si>
  <si>
    <t>16412</t>
  </si>
  <si>
    <t>16413</t>
  </si>
  <si>
    <t>16414</t>
  </si>
  <si>
    <t>16415</t>
  </si>
  <si>
    <t>16416</t>
  </si>
  <si>
    <t>16418</t>
  </si>
  <si>
    <t>16419</t>
  </si>
  <si>
    <t>16422</t>
  </si>
  <si>
    <t>16423</t>
  </si>
  <si>
    <t>16424</t>
  </si>
  <si>
    <t>16425</t>
  </si>
  <si>
    <t>16426</t>
  </si>
  <si>
    <t>16427</t>
  </si>
  <si>
    <t>16429</t>
  </si>
  <si>
    <t>16430</t>
  </si>
  <si>
    <t>16431</t>
  </si>
  <si>
    <t>16432</t>
  </si>
  <si>
    <t>16433</t>
  </si>
  <si>
    <t>16434</t>
  </si>
  <si>
    <t>16438</t>
  </si>
  <si>
    <t>16440</t>
  </si>
  <si>
    <t>16441</t>
  </si>
  <si>
    <t>16442</t>
  </si>
  <si>
    <t>16444</t>
  </si>
  <si>
    <t>16445</t>
  </si>
  <si>
    <t>16447</t>
  </si>
  <si>
    <t>16448</t>
  </si>
  <si>
    <t>16449</t>
  </si>
  <si>
    <t>16450</t>
  </si>
  <si>
    <t>16451</t>
  </si>
  <si>
    <t>16454</t>
  </si>
  <si>
    <t>16455</t>
  </si>
  <si>
    <t>16456</t>
  </si>
  <si>
    <t>16457</t>
  </si>
  <si>
    <t>16458</t>
  </si>
  <si>
    <t>16460</t>
  </si>
  <si>
    <t>16461</t>
  </si>
  <si>
    <t>16462</t>
  </si>
  <si>
    <t>16463</t>
  </si>
  <si>
    <t>16464</t>
  </si>
  <si>
    <t>16466</t>
  </si>
  <si>
    <t>16468</t>
  </si>
  <si>
    <t>16469</t>
  </si>
  <si>
    <t>16470</t>
  </si>
  <si>
    <t>16471</t>
  </si>
  <si>
    <t>16473</t>
  </si>
  <si>
    <t>16474</t>
  </si>
  <si>
    <t>16475</t>
  </si>
  <si>
    <t>16477</t>
  </si>
  <si>
    <t>16478</t>
  </si>
  <si>
    <t>16479</t>
  </si>
  <si>
    <t>16480</t>
  </si>
  <si>
    <t>16482</t>
  </si>
  <si>
    <t>16483</t>
  </si>
  <si>
    <t>16484</t>
  </si>
  <si>
    <t>16485</t>
  </si>
  <si>
    <t>16488</t>
  </si>
  <si>
    <t>16491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</si>
  <si>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</si>
  <si>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</si>
  <si>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</si>
  <si>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</si>
  <si>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</si>
  <si>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</si>
  <si>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</si>
  <si>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</si>
  <si>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16503</t>
  </si>
  <si>
    <t>16504</t>
  </si>
  <si>
    <t>16505</t>
  </si>
  <si>
    <t>16506</t>
  </si>
  <si>
    <t>16509</t>
  </si>
  <si>
    <t>16510</t>
  </si>
  <si>
    <t>16511</t>
  </si>
  <si>
    <t>16513</t>
  </si>
  <si>
    <t>16515</t>
  </si>
  <si>
    <t>16516</t>
  </si>
  <si>
    <t>16517</t>
  </si>
  <si>
    <t>16518</t>
  </si>
  <si>
    <t>16519</t>
  </si>
  <si>
    <t>16520</t>
  </si>
  <si>
    <t>16523</t>
  </si>
  <si>
    <t>16525</t>
  </si>
  <si>
    <t>16526</t>
  </si>
  <si>
    <t>16527</t>
  </si>
  <si>
    <t>16528</t>
  </si>
  <si>
    <t>16529</t>
  </si>
  <si>
    <t>16531</t>
  </si>
  <si>
    <t>16532</t>
  </si>
  <si>
    <t>16533</t>
  </si>
  <si>
    <t>16535</t>
  </si>
  <si>
    <t>16536</t>
  </si>
  <si>
    <t>16539</t>
  </si>
  <si>
    <t>16542</t>
  </si>
  <si>
    <t>16545</t>
  </si>
  <si>
    <t>16546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</si>
  <si>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</si>
  <si>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</si>
  <si>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</si>
  <si>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</si>
  <si>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</si>
  <si>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</si>
  <si>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</si>
  <si>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</si>
  <si>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</si>
  <si>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</si>
  <si>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16560</t>
  </si>
  <si>
    <t>16561</t>
  </si>
  <si>
    <t>16563</t>
  </si>
  <si>
    <t>16565</t>
  </si>
  <si>
    <t>16566</t>
  </si>
  <si>
    <t>16567</t>
  </si>
  <si>
    <t>16569</t>
  </si>
  <si>
    <t>16570</t>
  </si>
  <si>
    <t>16571</t>
  </si>
  <si>
    <t>16572</t>
  </si>
  <si>
    <t>16573</t>
  </si>
  <si>
    <t>16574</t>
  </si>
  <si>
    <t>16581</t>
  </si>
  <si>
    <t>16582</t>
  </si>
  <si>
    <t>16583</t>
  </si>
  <si>
    <t>16584</t>
  </si>
  <si>
    <t>16586</t>
  </si>
  <si>
    <t>16587</t>
  </si>
  <si>
    <t>16589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</si>
  <si>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</si>
  <si>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</si>
  <si>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</si>
  <si>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</si>
  <si>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</si>
  <si>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</si>
  <si>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</si>
  <si>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</si>
  <si>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16600</t>
  </si>
  <si>
    <t>16601</t>
  </si>
  <si>
    <t>16602</t>
  </si>
  <si>
    <t>16603</t>
  </si>
  <si>
    <t>16607</t>
  </si>
  <si>
    <t>16609</t>
  </si>
  <si>
    <t>16610</t>
  </si>
  <si>
    <t>16611</t>
  </si>
  <si>
    <t>16612</t>
  </si>
  <si>
    <t>16613</t>
  </si>
  <si>
    <t>16614</t>
  </si>
  <si>
    <t>16616</t>
  </si>
  <si>
    <t>16617</t>
  </si>
  <si>
    <t>16618</t>
  </si>
  <si>
    <t>16619</t>
  </si>
  <si>
    <t>16620</t>
  </si>
  <si>
    <t>16621</t>
  </si>
  <si>
    <t>16623</t>
  </si>
  <si>
    <t>16624</t>
  </si>
  <si>
    <t>16625</t>
  </si>
  <si>
    <t>16626</t>
  </si>
  <si>
    <t>16627</t>
  </si>
  <si>
    <t>16628</t>
  </si>
  <si>
    <t>16629</t>
  </si>
  <si>
    <t>16633</t>
  </si>
  <si>
    <t>16634</t>
  </si>
  <si>
    <t>16637</t>
  </si>
  <si>
    <t>16638</t>
  </si>
  <si>
    <t>16639</t>
  </si>
  <si>
    <t>16641</t>
  </si>
  <si>
    <t>16642</t>
  </si>
  <si>
    <t>16643</t>
  </si>
  <si>
    <t>16644</t>
  </si>
  <si>
    <t>16647</t>
  </si>
  <si>
    <t>16648</t>
  </si>
  <si>
    <t>16650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</si>
  <si>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</si>
  <si>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</si>
  <si>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</si>
  <si>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</si>
  <si>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</si>
  <si>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</si>
  <si>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</si>
  <si>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</si>
  <si>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</si>
  <si>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</si>
  <si>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</si>
  <si>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</si>
  <si>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</si>
  <si>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</si>
  <si>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</si>
  <si>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</si>
  <si>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</si>
  <si>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16674</t>
  </si>
  <si>
    <t>16676</t>
  </si>
  <si>
    <t>16678</t>
  </si>
  <si>
    <t>16679</t>
  </si>
  <si>
    <t>16680</t>
  </si>
  <si>
    <t>16681</t>
  </si>
  <si>
    <t>16682</t>
  </si>
  <si>
    <t>16684</t>
  </si>
  <si>
    <t>16685</t>
  </si>
  <si>
    <t>16686</t>
  </si>
  <si>
    <t>16688</t>
  </si>
  <si>
    <t>16689</t>
  </si>
  <si>
    <t>16690</t>
  </si>
  <si>
    <t>16692</t>
  </si>
  <si>
    <t>16693</t>
  </si>
  <si>
    <t>16696</t>
  </si>
  <si>
    <t>16697</t>
  </si>
  <si>
    <t>16698</t>
  </si>
  <si>
    <t>16700</t>
  </si>
  <si>
    <t>16701</t>
  </si>
  <si>
    <t>16705</t>
  </si>
  <si>
    <t>16706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</si>
  <si>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</si>
  <si>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</si>
  <si>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</si>
  <si>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</si>
  <si>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</si>
  <si>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</si>
  <si>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</si>
  <si>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</si>
  <si>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</si>
  <si>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</si>
  <si>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</si>
  <si>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</si>
  <si>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</si>
  <si>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</si>
  <si>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</si>
  <si>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</si>
  <si>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16725</t>
  </si>
  <si>
    <t>16726</t>
  </si>
  <si>
    <t>16727</t>
  </si>
  <si>
    <t>16728</t>
  </si>
  <si>
    <t>16729</t>
  </si>
  <si>
    <t>16730</t>
  </si>
  <si>
    <t>16732</t>
  </si>
  <si>
    <t>16734</t>
  </si>
  <si>
    <t>16735</t>
  </si>
  <si>
    <t>16737</t>
  </si>
  <si>
    <t>16738</t>
  </si>
  <si>
    <t>16739</t>
  </si>
  <si>
    <t>16743</t>
  </si>
  <si>
    <t>16744</t>
  </si>
  <si>
    <t>16745</t>
  </si>
  <si>
    <t>16746</t>
  </si>
  <si>
    <t>16747</t>
  </si>
  <si>
    <t>16748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</si>
  <si>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</si>
  <si>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</si>
  <si>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</si>
  <si>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</si>
  <si>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</si>
  <si>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</si>
  <si>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</si>
  <si>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</si>
  <si>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</si>
  <si>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</si>
  <si>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</si>
  <si>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</si>
  <si>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</si>
  <si>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</si>
  <si>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</si>
  <si>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</si>
  <si>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</si>
  <si>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</si>
  <si>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</si>
  <si>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</si>
  <si>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</si>
  <si>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</si>
  <si>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</si>
  <si>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</si>
  <si>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</si>
  <si>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</si>
  <si>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</si>
  <si>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</si>
  <si>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</si>
  <si>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</si>
  <si>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</si>
  <si>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16784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</si>
  <si>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</si>
  <si>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</si>
  <si>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</si>
  <si>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</si>
  <si>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</si>
  <si>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</si>
  <si>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</si>
  <si>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</si>
  <si>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</si>
  <si>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16800</t>
  </si>
  <si>
    <t>16801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</si>
  <si>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</si>
  <si>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</si>
  <si>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</si>
  <si>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</si>
  <si>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</si>
  <si>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</si>
  <si>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</si>
  <si>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</si>
  <si>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</si>
  <si>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</si>
  <si>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</si>
  <si>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</si>
  <si>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16816</t>
  </si>
  <si>
    <t>16817</t>
  </si>
  <si>
    <t>16818</t>
  </si>
  <si>
    <t>16820</t>
  </si>
  <si>
    <t>16823</t>
  </si>
  <si>
    <t>16824</t>
  </si>
  <si>
    <t>16825</t>
  </si>
  <si>
    <t>16826</t>
  </si>
  <si>
    <t>16828</t>
  </si>
  <si>
    <t>16829</t>
  </si>
  <si>
    <t>16830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</si>
  <si>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</si>
  <si>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</si>
  <si>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</si>
  <si>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</si>
  <si>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</si>
  <si>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</si>
  <si>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</si>
  <si>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</si>
  <si>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16841</t>
  </si>
  <si>
    <t>16842</t>
  </si>
  <si>
    <t>16843</t>
  </si>
  <si>
    <t>16846</t>
  </si>
  <si>
    <t>16847</t>
  </si>
  <si>
    <t>16848</t>
  </si>
  <si>
    <t>16849</t>
  </si>
  <si>
    <t>16850</t>
  </si>
  <si>
    <t>16851</t>
  </si>
  <si>
    <t>16852</t>
  </si>
  <si>
    <t>16855</t>
  </si>
  <si>
    <t>16856</t>
  </si>
  <si>
    <t>16858</t>
  </si>
  <si>
    <t>16859</t>
  </si>
  <si>
    <t>16861</t>
  </si>
  <si>
    <t>16863</t>
  </si>
  <si>
    <t>16866</t>
  </si>
  <si>
    <t>16869</t>
  </si>
  <si>
    <t>16871</t>
  </si>
  <si>
    <t>16872</t>
  </si>
  <si>
    <t>16873</t>
  </si>
  <si>
    <t>16875</t>
  </si>
  <si>
    <t>16877</t>
  </si>
  <si>
    <t>16878</t>
  </si>
  <si>
    <t>16880</t>
  </si>
  <si>
    <t>16881</t>
  </si>
  <si>
    <t>16882</t>
  </si>
  <si>
    <t>16883</t>
  </si>
  <si>
    <t>16884</t>
  </si>
  <si>
    <t>16885</t>
  </si>
  <si>
    <t>16887</t>
  </si>
  <si>
    <t>16889</t>
  </si>
  <si>
    <t>16891</t>
  </si>
  <si>
    <t>16892</t>
  </si>
  <si>
    <t>16893</t>
  </si>
  <si>
    <t>16895</t>
  </si>
  <si>
    <t>16897</t>
  </si>
  <si>
    <t>16898</t>
  </si>
  <si>
    <t>16899</t>
  </si>
  <si>
    <t>16900</t>
  </si>
  <si>
    <t>16902</t>
  </si>
  <si>
    <t>16903</t>
  </si>
  <si>
    <t>16904</t>
  </si>
  <si>
    <t>16905</t>
  </si>
  <si>
    <t>16906</t>
  </si>
  <si>
    <t>16907</t>
  </si>
  <si>
    <t>16909</t>
  </si>
  <si>
    <t>16910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</si>
  <si>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</si>
  <si>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</si>
  <si>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</si>
  <si>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</si>
  <si>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</si>
  <si>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</si>
  <si>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</si>
  <si>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</si>
  <si>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16921</t>
  </si>
  <si>
    <t>16923</t>
  </si>
  <si>
    <t>16924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</si>
  <si>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</si>
  <si>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</si>
  <si>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</si>
  <si>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</si>
  <si>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</si>
  <si>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</si>
  <si>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</si>
  <si>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</si>
  <si>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</si>
  <si>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16936</t>
  </si>
  <si>
    <t>16938</t>
  </si>
  <si>
    <t>16940</t>
  </si>
  <si>
    <t>16942</t>
  </si>
  <si>
    <t>16943</t>
  </si>
  <si>
    <t>16945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</si>
  <si>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</si>
  <si>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</si>
  <si>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</si>
  <si>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</si>
  <si>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</si>
  <si>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</si>
  <si>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</si>
  <si>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</si>
  <si>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</si>
  <si>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</si>
  <si>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</si>
  <si>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16959</t>
  </si>
  <si>
    <t>16960</t>
  </si>
  <si>
    <t>16961</t>
  </si>
  <si>
    <t>16963</t>
  </si>
  <si>
    <t>16965</t>
  </si>
  <si>
    <t>16966</t>
  </si>
  <si>
    <t>16967</t>
  </si>
  <si>
    <t>16968</t>
  </si>
  <si>
    <t>16969</t>
  </si>
  <si>
    <t>16971</t>
  </si>
  <si>
    <t>16976</t>
  </si>
  <si>
    <t>16978</t>
  </si>
  <si>
    <t>16979</t>
  </si>
  <si>
    <t>16980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</si>
  <si>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</si>
  <si>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</si>
  <si>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</si>
  <si>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</si>
  <si>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</si>
  <si>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</si>
  <si>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</si>
  <si>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</si>
  <si>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</si>
  <si>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16992</t>
  </si>
  <si>
    <t>16996</t>
  </si>
  <si>
    <t>16997</t>
  </si>
  <si>
    <t>16998</t>
  </si>
  <si>
    <t>16999</t>
  </si>
  <si>
    <t>17002</t>
  </si>
  <si>
    <t>17004</t>
  </si>
  <si>
    <t>17006</t>
  </si>
  <si>
    <t>17007</t>
  </si>
  <si>
    <t>17010</t>
  </si>
  <si>
    <t>17011</t>
  </si>
  <si>
    <t>17014</t>
  </si>
  <si>
    <t>17015</t>
  </si>
  <si>
    <t>17017</t>
  </si>
  <si>
    <t>17018</t>
  </si>
  <si>
    <t>17019</t>
  </si>
  <si>
    <t>17022</t>
  </si>
  <si>
    <t>17024</t>
  </si>
  <si>
    <t>17025</t>
  </si>
  <si>
    <t>17026</t>
  </si>
  <si>
    <t>17027</t>
  </si>
  <si>
    <t>17029</t>
  </si>
  <si>
    <t>17030</t>
  </si>
  <si>
    <t>17031</t>
  </si>
  <si>
    <t>17033</t>
  </si>
  <si>
    <t>17034</t>
  </si>
  <si>
    <t>17035</t>
  </si>
  <si>
    <t>17037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</si>
  <si>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</si>
  <si>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</si>
  <si>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</si>
  <si>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</si>
  <si>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</si>
  <si>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</si>
  <si>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</si>
  <si>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</si>
  <si>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</si>
  <si>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</si>
  <si>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</si>
  <si>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</si>
  <si>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</si>
  <si>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</si>
  <si>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</si>
  <si>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17058</t>
  </si>
  <si>
    <t>17059</t>
  </si>
  <si>
    <t>17060</t>
  </si>
  <si>
    <t>17061</t>
  </si>
  <si>
    <t>17062</t>
  </si>
  <si>
    <t>17063</t>
  </si>
  <si>
    <t>17064</t>
  </si>
  <si>
    <t>17068</t>
  </si>
  <si>
    <t>17069</t>
  </si>
  <si>
    <t>17070</t>
  </si>
  <si>
    <t>17071</t>
  </si>
  <si>
    <t>17073</t>
  </si>
  <si>
    <t>17075</t>
  </si>
  <si>
    <t>17076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</si>
  <si>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</si>
  <si>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</si>
  <si>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</si>
  <si>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</si>
  <si>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</si>
  <si>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</si>
  <si>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</si>
  <si>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</si>
  <si>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</si>
  <si>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17088</t>
  </si>
  <si>
    <t>17090</t>
  </si>
  <si>
    <t>17091</t>
  </si>
  <si>
    <t>17092</t>
  </si>
  <si>
    <t>17094</t>
  </si>
  <si>
    <t>17095</t>
  </si>
  <si>
    <t>17097</t>
  </si>
  <si>
    <t>17100</t>
  </si>
  <si>
    <t>17101</t>
  </si>
  <si>
    <t>17102</t>
  </si>
  <si>
    <t>17105</t>
  </si>
  <si>
    <t>17107</t>
  </si>
  <si>
    <t>17109</t>
  </si>
  <si>
    <t>17110</t>
  </si>
  <si>
    <t>17111</t>
  </si>
  <si>
    <t>17114</t>
  </si>
  <si>
    <t>17115</t>
  </si>
  <si>
    <t>17117</t>
  </si>
  <si>
    <t>17118</t>
  </si>
  <si>
    <t>17119</t>
  </si>
  <si>
    <t>17120</t>
  </si>
  <si>
    <t>17122</t>
  </si>
  <si>
    <t>17123</t>
  </si>
  <si>
    <t>17124</t>
  </si>
  <si>
    <t>17125</t>
  </si>
  <si>
    <t>17126</t>
  </si>
  <si>
    <t>17128</t>
  </si>
  <si>
    <t>17131</t>
  </si>
  <si>
    <t>17133</t>
  </si>
  <si>
    <t>17134</t>
  </si>
  <si>
    <t>17135</t>
  </si>
  <si>
    <t>17138</t>
  </si>
  <si>
    <t>17139</t>
  </si>
  <si>
    <t>17140</t>
  </si>
  <si>
    <t>17142</t>
  </si>
  <si>
    <t>17144</t>
  </si>
  <si>
    <t>17146</t>
  </si>
  <si>
    <t>17147</t>
  </si>
  <si>
    <t>17148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</si>
  <si>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</si>
  <si>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</si>
  <si>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</si>
  <si>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</si>
  <si>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</si>
  <si>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</si>
  <si>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</si>
  <si>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</si>
  <si>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17162</t>
  </si>
  <si>
    <t>17163</t>
  </si>
  <si>
    <t>17164</t>
  </si>
  <si>
    <t>17165</t>
  </si>
  <si>
    <t>17166</t>
  </si>
  <si>
    <t>17169</t>
  </si>
  <si>
    <t>17171</t>
  </si>
  <si>
    <t>17172</t>
  </si>
  <si>
    <t>17173</t>
  </si>
  <si>
    <t>17175</t>
  </si>
  <si>
    <t>17176</t>
  </si>
  <si>
    <t>17179</t>
  </si>
  <si>
    <t>17180</t>
  </si>
  <si>
    <t>17181</t>
  </si>
  <si>
    <t>17183</t>
  </si>
  <si>
    <t>17186</t>
  </si>
  <si>
    <t>17187</t>
  </si>
  <si>
    <t>17188</t>
  </si>
  <si>
    <t>17189</t>
  </si>
  <si>
    <t>17190</t>
  </si>
  <si>
    <t>17191</t>
  </si>
  <si>
    <t>17193</t>
  </si>
  <si>
    <t>17194</t>
  </si>
  <si>
    <t>17197</t>
  </si>
  <si>
    <t>17198</t>
  </si>
  <si>
    <t>17201</t>
  </si>
  <si>
    <t>17203</t>
  </si>
  <si>
    <t>17204</t>
  </si>
  <si>
    <t>17205</t>
  </si>
  <si>
    <t>17206</t>
  </si>
  <si>
    <t>17211</t>
  </si>
  <si>
    <t>17212</t>
  </si>
  <si>
    <t>17213</t>
  </si>
  <si>
    <t>17214</t>
  </si>
  <si>
    <t>17217</t>
  </si>
  <si>
    <t>17218</t>
  </si>
  <si>
    <t>17219</t>
  </si>
  <si>
    <t>17220</t>
  </si>
  <si>
    <t>17221</t>
  </si>
  <si>
    <t>17222</t>
  </si>
  <si>
    <t>17223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</si>
  <si>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</si>
  <si>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</si>
  <si>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</si>
  <si>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</si>
  <si>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</si>
  <si>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</si>
  <si>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</si>
  <si>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</si>
  <si>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</si>
  <si>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</si>
  <si>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</si>
  <si>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</si>
  <si>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</si>
  <si>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</si>
  <si>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17242</t>
  </si>
  <si>
    <t>17243</t>
  </si>
  <si>
    <t>17244</t>
  </si>
  <si>
    <t>17245</t>
  </si>
  <si>
    <t>17247</t>
  </si>
  <si>
    <t>17248</t>
  </si>
  <si>
    <t>17250</t>
  </si>
  <si>
    <t>17251</t>
  </si>
  <si>
    <t>17252</t>
  </si>
  <si>
    <t>17253</t>
  </si>
  <si>
    <t>17254</t>
  </si>
  <si>
    <t>17255</t>
  </si>
  <si>
    <t>17256</t>
  </si>
  <si>
    <t>17259</t>
  </si>
  <si>
    <t>17262</t>
  </si>
  <si>
    <t>17263</t>
  </si>
  <si>
    <t>17265</t>
  </si>
  <si>
    <t>17266</t>
  </si>
  <si>
    <t>17267</t>
  </si>
  <si>
    <t>17268</t>
  </si>
  <si>
    <t>17272</t>
  </si>
  <si>
    <t>17274</t>
  </si>
  <si>
    <t>17277</t>
  </si>
  <si>
    <t>17278</t>
  </si>
  <si>
    <t>17279</t>
  </si>
  <si>
    <t>17282</t>
  </si>
  <si>
    <t>17284</t>
  </si>
  <si>
    <t>17286</t>
  </si>
  <si>
    <t>17287</t>
  </si>
  <si>
    <t>17288</t>
  </si>
  <si>
    <t>17289</t>
  </si>
  <si>
    <t>17290</t>
  </si>
  <si>
    <t>17291</t>
  </si>
  <si>
    <t>17293</t>
  </si>
  <si>
    <t>17295</t>
  </si>
  <si>
    <t>17297</t>
  </si>
  <si>
    <t>17298</t>
  </si>
  <si>
    <t>17299</t>
  </si>
  <si>
    <t>17301</t>
  </si>
  <si>
    <t>17302</t>
  </si>
  <si>
    <t>17303</t>
  </si>
  <si>
    <t>17306</t>
  </si>
  <si>
    <t>17309</t>
  </si>
  <si>
    <t>17311</t>
  </si>
  <si>
    <t>17312</t>
  </si>
  <si>
    <t>17313</t>
  </si>
  <si>
    <t>17314</t>
  </si>
  <si>
    <t>17315</t>
  </si>
  <si>
    <t>17317</t>
  </si>
  <si>
    <t>17320</t>
  </si>
  <si>
    <t>17321</t>
  </si>
  <si>
    <t>17323</t>
  </si>
  <si>
    <t>17324</t>
  </si>
  <si>
    <t>17325</t>
  </si>
  <si>
    <t>17329</t>
  </si>
  <si>
    <t>17330</t>
  </si>
  <si>
    <t>17331</t>
  </si>
  <si>
    <t>17333</t>
  </si>
  <si>
    <t>17334</t>
  </si>
  <si>
    <t>17337</t>
  </si>
  <si>
    <t>17338</t>
  </si>
  <si>
    <t>17339</t>
  </si>
  <si>
    <t>17340</t>
  </si>
  <si>
    <t>17341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</si>
  <si>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</si>
  <si>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</si>
  <si>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</si>
  <si>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</si>
  <si>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</si>
  <si>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</si>
  <si>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</si>
  <si>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</si>
  <si>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</si>
  <si>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17353</t>
  </si>
  <si>
    <t>17354</t>
  </si>
  <si>
    <t>17356</t>
  </si>
  <si>
    <t>17357</t>
  </si>
  <si>
    <t>17358</t>
  </si>
  <si>
    <t>17359</t>
  </si>
  <si>
    <t>17360</t>
  </si>
  <si>
    <t>17361</t>
  </si>
  <si>
    <t>17362</t>
  </si>
  <si>
    <t>17364</t>
  </si>
  <si>
    <t>17365</t>
  </si>
  <si>
    <t>17367</t>
  </si>
  <si>
    <t>17368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</si>
  <si>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</si>
  <si>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</si>
  <si>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</si>
  <si>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</si>
  <si>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</si>
  <si>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</si>
  <si>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</si>
  <si>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</si>
  <si>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17379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</si>
  <si>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</si>
  <si>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</si>
  <si>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</si>
  <si>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</si>
  <si>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</si>
  <si>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</si>
  <si>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</si>
  <si>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</si>
  <si>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</si>
  <si>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17391</t>
  </si>
  <si>
    <t>17392</t>
  </si>
  <si>
    <t>17394</t>
  </si>
  <si>
    <t>17396</t>
  </si>
  <si>
    <t>17397</t>
  </si>
  <si>
    <t>17398</t>
  </si>
  <si>
    <t>17400</t>
  </si>
  <si>
    <t>17402</t>
  </si>
  <si>
    <t>17403</t>
  </si>
  <si>
    <t>17404</t>
  </si>
  <si>
    <t>17405</t>
  </si>
  <si>
    <t>17406</t>
  </si>
  <si>
    <t>17408</t>
  </si>
  <si>
    <t>17409</t>
  </si>
  <si>
    <t>17410</t>
  </si>
  <si>
    <t>17411</t>
  </si>
  <si>
    <t>17412</t>
  </si>
  <si>
    <t>17414</t>
  </si>
  <si>
    <t>17415</t>
  </si>
  <si>
    <t>17416</t>
  </si>
  <si>
    <t>17418</t>
  </si>
  <si>
    <t>17419</t>
  </si>
  <si>
    <t>17420</t>
  </si>
  <si>
    <t>17422</t>
  </si>
  <si>
    <t>17423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</si>
  <si>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</si>
  <si>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</si>
  <si>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</si>
  <si>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</si>
  <si>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</si>
  <si>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</si>
  <si>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</si>
  <si>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</si>
  <si>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</si>
  <si>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</si>
  <si>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17436</t>
  </si>
  <si>
    <t>17438</t>
  </si>
  <si>
    <t>17440</t>
  </si>
  <si>
    <t>17442</t>
  </si>
  <si>
    <t>17443</t>
  </si>
  <si>
    <t>17444</t>
  </si>
  <si>
    <t>17446</t>
  </si>
  <si>
    <t>17447</t>
  </si>
  <si>
    <t>17449</t>
  </si>
  <si>
    <t>17450</t>
  </si>
  <si>
    <t>17451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</si>
  <si>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</si>
  <si>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</si>
  <si>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</si>
  <si>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</si>
  <si>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</si>
  <si>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</si>
  <si>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</si>
  <si>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</si>
  <si>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</si>
  <si>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</si>
  <si>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</si>
  <si>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</si>
  <si>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17466</t>
  </si>
  <si>
    <t>17468</t>
  </si>
  <si>
    <t>17469</t>
  </si>
  <si>
    <t>17470</t>
  </si>
  <si>
    <t>17472</t>
  </si>
  <si>
    <t>17475</t>
  </si>
  <si>
    <t>17480</t>
  </si>
  <si>
    <t>17481</t>
  </si>
  <si>
    <t>17483</t>
  </si>
  <si>
    <t>17486</t>
  </si>
  <si>
    <t>17489</t>
  </si>
  <si>
    <t>17490</t>
  </si>
  <si>
    <t>17491</t>
  </si>
  <si>
    <t>17492</t>
  </si>
  <si>
    <t>17495</t>
  </si>
  <si>
    <t>17496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</si>
  <si>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</si>
  <si>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</si>
  <si>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</si>
  <si>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</si>
  <si>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</si>
  <si>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</si>
  <si>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</si>
  <si>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</si>
  <si>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</si>
  <si>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</si>
  <si>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</si>
  <si>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</si>
  <si>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</si>
  <si>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</si>
  <si>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</si>
  <si>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</si>
  <si>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</si>
  <si>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</si>
  <si>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</si>
  <si>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</si>
  <si>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</si>
  <si>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</si>
  <si>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</si>
  <si>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</si>
  <si>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</si>
  <si>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</si>
  <si>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</si>
  <si>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</si>
  <si>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</si>
  <si>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</si>
  <si>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17530</t>
  </si>
  <si>
    <t>17531</t>
  </si>
  <si>
    <t>17534</t>
  </si>
  <si>
    <t>17535</t>
  </si>
  <si>
    <t>17536</t>
  </si>
  <si>
    <t>17537</t>
  </si>
  <si>
    <t>17538</t>
  </si>
  <si>
    <t>17540</t>
  </si>
  <si>
    <t>17542</t>
  </si>
  <si>
    <t>17545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</si>
  <si>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</si>
  <si>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</si>
  <si>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</si>
  <si>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</si>
  <si>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</si>
  <si>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</si>
  <si>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</si>
  <si>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</si>
  <si>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</si>
  <si>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</si>
  <si>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17560</t>
  </si>
  <si>
    <t>17561</t>
  </si>
  <si>
    <t>17562</t>
  </si>
  <si>
    <t>17564</t>
  </si>
  <si>
    <t>17566</t>
  </si>
  <si>
    <t>17567</t>
  </si>
  <si>
    <t>17569</t>
  </si>
  <si>
    <t>17571</t>
  </si>
  <si>
    <t>17572</t>
  </si>
  <si>
    <t>17573</t>
  </si>
  <si>
    <t>17574</t>
  </si>
  <si>
    <t>17576</t>
  </si>
  <si>
    <t>17578</t>
  </si>
  <si>
    <t>17579</t>
  </si>
  <si>
    <t>17580</t>
  </si>
  <si>
    <t>17581</t>
  </si>
  <si>
    <t>17582</t>
  </si>
  <si>
    <t>17584</t>
  </si>
  <si>
    <t>17585</t>
  </si>
  <si>
    <t>17588</t>
  </si>
  <si>
    <t>17589</t>
  </si>
  <si>
    <t>17590</t>
  </si>
  <si>
    <t>17591</t>
  </si>
  <si>
    <t>17593</t>
  </si>
  <si>
    <t>17594</t>
  </si>
  <si>
    <t>17595</t>
  </si>
  <si>
    <t>17596</t>
  </si>
  <si>
    <t>17597</t>
  </si>
  <si>
    <t>17600</t>
  </si>
  <si>
    <t>17601</t>
  </si>
  <si>
    <t>17602</t>
  </si>
  <si>
    <t>17603</t>
  </si>
  <si>
    <t>17604</t>
  </si>
  <si>
    <t>17608</t>
  </si>
  <si>
    <t>17609</t>
  </si>
  <si>
    <t>17611</t>
  </si>
  <si>
    <t>17612</t>
  </si>
  <si>
    <t>17613</t>
  </si>
  <si>
    <t>17614</t>
  </si>
  <si>
    <t>17615</t>
  </si>
  <si>
    <t>17616</t>
  </si>
  <si>
    <t>17618</t>
  </si>
  <si>
    <t>17619</t>
  </si>
  <si>
    <t>17620</t>
  </si>
  <si>
    <t>17621</t>
  </si>
  <si>
    <t>17623</t>
  </si>
  <si>
    <t>17624</t>
  </si>
  <si>
    <t>17625</t>
  </si>
  <si>
    <t>17628</t>
  </si>
  <si>
    <t>17629</t>
  </si>
  <si>
    <t>17630</t>
  </si>
  <si>
    <t>17631</t>
  </si>
  <si>
    <t>17633</t>
  </si>
  <si>
    <t>17634</t>
  </si>
  <si>
    <t>17636</t>
  </si>
  <si>
    <t>17637</t>
  </si>
  <si>
    <t>17639</t>
  </si>
  <si>
    <t>17640</t>
  </si>
  <si>
    <t>17642</t>
  </si>
  <si>
    <t>17643</t>
  </si>
  <si>
    <t>17644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</si>
  <si>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</si>
  <si>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</si>
  <si>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</si>
  <si>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</si>
  <si>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</si>
  <si>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</si>
  <si>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</si>
  <si>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</si>
  <si>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</si>
  <si>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</si>
  <si>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</si>
  <si>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17658</t>
  </si>
  <si>
    <t>17659</t>
  </si>
  <si>
    <t>17660</t>
  </si>
  <si>
    <t>17663</t>
  </si>
  <si>
    <t>17664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</si>
  <si>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</si>
  <si>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</si>
  <si>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</si>
  <si>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</si>
  <si>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</si>
  <si>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</si>
  <si>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</si>
  <si>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</si>
  <si>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</si>
  <si>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</si>
  <si>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</si>
  <si>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</si>
  <si>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</si>
  <si>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</si>
  <si>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</si>
  <si>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17682</t>
  </si>
  <si>
    <t>17684</t>
  </si>
  <si>
    <t>17685</t>
  </si>
  <si>
    <t>17686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</si>
  <si>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</si>
  <si>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</si>
  <si>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</si>
  <si>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</si>
  <si>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</si>
  <si>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</si>
  <si>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</si>
  <si>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</si>
  <si>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</si>
  <si>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</si>
  <si>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</si>
  <si>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</si>
  <si>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</si>
  <si>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</si>
  <si>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</si>
  <si>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</si>
  <si>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</si>
  <si>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</si>
  <si>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</si>
  <si>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17711</t>
  </si>
  <si>
    <t>17712</t>
  </si>
  <si>
    <t>17714</t>
  </si>
  <si>
    <t>17715</t>
  </si>
  <si>
    <t>17716</t>
  </si>
  <si>
    <t>17718</t>
  </si>
  <si>
    <t>17719</t>
  </si>
  <si>
    <t>17720</t>
  </si>
  <si>
    <t>17722</t>
  </si>
  <si>
    <t>17723</t>
  </si>
  <si>
    <t>17724</t>
  </si>
  <si>
    <t>17725</t>
  </si>
  <si>
    <t>17727</t>
  </si>
  <si>
    <t>17728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</si>
  <si>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</si>
  <si>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</si>
  <si>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</si>
  <si>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</si>
  <si>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</si>
  <si>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</si>
  <si>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</si>
  <si>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</si>
  <si>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</si>
  <si>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</si>
  <si>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17742</t>
  </si>
  <si>
    <t>17744</t>
  </si>
  <si>
    <t>17746</t>
  </si>
  <si>
    <t>17747</t>
  </si>
  <si>
    <t>17749</t>
  </si>
  <si>
    <t>17750</t>
  </si>
  <si>
    <t>17752</t>
  </si>
  <si>
    <t>17754</t>
  </si>
  <si>
    <t>17757</t>
  </si>
  <si>
    <t>17758</t>
  </si>
  <si>
    <t>17759</t>
  </si>
  <si>
    <t>17760</t>
  </si>
  <si>
    <t>17761</t>
  </si>
  <si>
    <t>17763</t>
  </si>
  <si>
    <t>17764</t>
  </si>
  <si>
    <t>17765</t>
  </si>
  <si>
    <t>17767</t>
  </si>
  <si>
    <t>17768</t>
  </si>
  <si>
    <t>17769</t>
  </si>
  <si>
    <t>17770</t>
  </si>
  <si>
    <t>17771</t>
  </si>
  <si>
    <t>17772</t>
  </si>
  <si>
    <t>17774</t>
  </si>
  <si>
    <t>17775</t>
  </si>
  <si>
    <t>17777</t>
  </si>
  <si>
    <t>17779</t>
  </si>
  <si>
    <t>17781</t>
  </si>
  <si>
    <t>17783</t>
  </si>
  <si>
    <t>17785</t>
  </si>
  <si>
    <t>17786</t>
  </si>
  <si>
    <t>17787</t>
  </si>
  <si>
    <t>17788</t>
  </si>
  <si>
    <t>17789</t>
  </si>
  <si>
    <t>17790</t>
  </si>
  <si>
    <t>17791</t>
  </si>
  <si>
    <t>17793</t>
  </si>
  <si>
    <t>17795</t>
  </si>
  <si>
    <t>17796</t>
  </si>
  <si>
    <t>17797</t>
  </si>
  <si>
    <t>17799</t>
  </si>
  <si>
    <t>17800</t>
  </si>
  <si>
    <t>17802</t>
  </si>
  <si>
    <t>17805</t>
  </si>
  <si>
    <t>17806</t>
  </si>
  <si>
    <t>17809</t>
  </si>
  <si>
    <t>17811</t>
  </si>
  <si>
    <t>17812</t>
  </si>
  <si>
    <t>17813</t>
  </si>
  <si>
    <t>17816</t>
  </si>
  <si>
    <t>17817</t>
  </si>
  <si>
    <t>17819</t>
  </si>
  <si>
    <t>17824</t>
  </si>
  <si>
    <t>17827</t>
  </si>
  <si>
    <t>17828</t>
  </si>
  <si>
    <t>17829</t>
  </si>
  <si>
    <t>17830</t>
  </si>
  <si>
    <t>17831</t>
  </si>
  <si>
    <t>17832</t>
  </si>
  <si>
    <t>17835</t>
  </si>
  <si>
    <t>17836</t>
  </si>
  <si>
    <t>17837</t>
  </si>
  <si>
    <t>17838</t>
  </si>
  <si>
    <t>17839</t>
  </si>
  <si>
    <t>17841</t>
  </si>
  <si>
    <t>17843</t>
  </si>
  <si>
    <t>17844</t>
  </si>
  <si>
    <t>17848</t>
  </si>
  <si>
    <t>17849</t>
  </si>
  <si>
    <t>17850</t>
  </si>
  <si>
    <t>17852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</si>
  <si>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</si>
  <si>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</si>
  <si>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</si>
  <si>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</si>
  <si>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</si>
  <si>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</si>
  <si>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</si>
  <si>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</si>
  <si>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</si>
  <si>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</si>
  <si>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</si>
  <si>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</si>
  <si>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</si>
  <si>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</si>
  <si>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17869</t>
  </si>
  <si>
    <t>17870</t>
  </si>
  <si>
    <t>17871</t>
  </si>
  <si>
    <t>17873</t>
  </si>
  <si>
    <t>17874</t>
  </si>
  <si>
    <t>17877</t>
  </si>
  <si>
    <t>17878</t>
  </si>
  <si>
    <t>17879</t>
  </si>
  <si>
    <t>17880</t>
  </si>
  <si>
    <t>17881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</si>
  <si>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</si>
  <si>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</si>
  <si>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</si>
  <si>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</si>
  <si>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</si>
  <si>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</si>
  <si>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</si>
  <si>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</si>
  <si>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</si>
  <si>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</si>
  <si>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</si>
  <si>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</si>
  <si>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</si>
  <si>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</si>
  <si>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</si>
  <si>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</si>
  <si>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</si>
  <si>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</si>
  <si>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</si>
  <si>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17904</t>
  </si>
  <si>
    <t>17905</t>
  </si>
  <si>
    <t>17906</t>
  </si>
  <si>
    <t>17911</t>
  </si>
  <si>
    <t>17912</t>
  </si>
  <si>
    <t>17913</t>
  </si>
  <si>
    <t>17914</t>
  </si>
  <si>
    <t>17917</t>
  </si>
  <si>
    <t>17919</t>
  </si>
  <si>
    <t>17920</t>
  </si>
  <si>
    <t>17921</t>
  </si>
  <si>
    <t>17923</t>
  </si>
  <si>
    <t>17924</t>
  </si>
  <si>
    <t>17925</t>
  </si>
  <si>
    <t>17926</t>
  </si>
  <si>
    <t>17928</t>
  </si>
  <si>
    <t>17929</t>
  </si>
  <si>
    <t>17930</t>
  </si>
  <si>
    <t>17931</t>
  </si>
  <si>
    <t>17932</t>
  </si>
  <si>
    <t>17934</t>
  </si>
  <si>
    <t>17935</t>
  </si>
  <si>
    <t>17936</t>
  </si>
  <si>
    <t>17937</t>
  </si>
  <si>
    <t>17939</t>
  </si>
  <si>
    <t>17940</t>
  </si>
  <si>
    <t>17941</t>
  </si>
  <si>
    <t>17942</t>
  </si>
  <si>
    <t>17946</t>
  </si>
  <si>
    <t>17947</t>
  </si>
  <si>
    <t>17948</t>
  </si>
  <si>
    <t>17949</t>
  </si>
  <si>
    <t>17950</t>
  </si>
  <si>
    <t>17951</t>
  </si>
  <si>
    <t>17954</t>
  </si>
  <si>
    <t>17955</t>
  </si>
  <si>
    <t>17956</t>
  </si>
  <si>
    <t>17957</t>
  </si>
  <si>
    <t>17958</t>
  </si>
  <si>
    <t>17960</t>
  </si>
  <si>
    <t>17961</t>
  </si>
  <si>
    <t>17962</t>
  </si>
  <si>
    <t>17964</t>
  </si>
  <si>
    <t>17965</t>
  </si>
  <si>
    <t>17966</t>
  </si>
  <si>
    <t>17967</t>
  </si>
  <si>
    <t>17968</t>
  </si>
  <si>
    <t>17969</t>
  </si>
  <si>
    <t>17970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</si>
  <si>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</si>
  <si>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</si>
  <si>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</si>
  <si>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</si>
  <si>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</si>
  <si>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</si>
  <si>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</si>
  <si>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</si>
  <si>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</si>
  <si>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17984</t>
  </si>
  <si>
    <t>17985</t>
  </si>
  <si>
    <t>17986</t>
  </si>
  <si>
    <t>17987</t>
  </si>
  <si>
    <t>17988</t>
  </si>
  <si>
    <t>17990</t>
  </si>
  <si>
    <t>17991</t>
  </si>
  <si>
    <t>17994</t>
  </si>
  <si>
    <t>17995</t>
  </si>
  <si>
    <t>17997</t>
  </si>
  <si>
    <t>17999</t>
  </si>
  <si>
    <t>18001</t>
  </si>
  <si>
    <t>18004</t>
  </si>
  <si>
    <t>18005</t>
  </si>
  <si>
    <t>18006</t>
  </si>
  <si>
    <t>18008</t>
  </si>
  <si>
    <t>18009</t>
  </si>
  <si>
    <t>18010</t>
  </si>
  <si>
    <t>18011</t>
  </si>
  <si>
    <t>18013</t>
  </si>
  <si>
    <t>18014</t>
  </si>
  <si>
    <t>18015</t>
  </si>
  <si>
    <t>18016</t>
  </si>
  <si>
    <t>18017</t>
  </si>
  <si>
    <t>18018</t>
  </si>
  <si>
    <t>18019</t>
  </si>
  <si>
    <t>18022</t>
  </si>
  <si>
    <t>18024</t>
  </si>
  <si>
    <t>18027</t>
  </si>
  <si>
    <t>18030</t>
  </si>
  <si>
    <t>18032</t>
  </si>
  <si>
    <t>18033</t>
  </si>
  <si>
    <t>18034</t>
  </si>
  <si>
    <t>18035</t>
  </si>
  <si>
    <t>18036</t>
  </si>
  <si>
    <t>18037</t>
  </si>
  <si>
    <t>18040</t>
  </si>
  <si>
    <t>18041</t>
  </si>
  <si>
    <t>18042</t>
  </si>
  <si>
    <t>18043</t>
  </si>
  <si>
    <t>18044</t>
  </si>
  <si>
    <t>18045</t>
  </si>
  <si>
    <t>18048</t>
  </si>
  <si>
    <t>18050</t>
  </si>
  <si>
    <t>18053</t>
  </si>
  <si>
    <t>18055</t>
  </si>
  <si>
    <t>18056</t>
  </si>
  <si>
    <t>18058</t>
  </si>
  <si>
    <t>18059</t>
  </si>
  <si>
    <t>18061</t>
  </si>
  <si>
    <t>18062</t>
  </si>
  <si>
    <t>18064</t>
  </si>
  <si>
    <t>18065</t>
  </si>
  <si>
    <t>18066</t>
  </si>
  <si>
    <t>18067</t>
  </si>
  <si>
    <t>18068</t>
  </si>
  <si>
    <t>18069</t>
  </si>
  <si>
    <t>18071</t>
  </si>
  <si>
    <t>18072</t>
  </si>
  <si>
    <t>18073</t>
  </si>
  <si>
    <t>18074</t>
  </si>
  <si>
    <t>18075</t>
  </si>
  <si>
    <t>18077</t>
  </si>
  <si>
    <t>18078</t>
  </si>
  <si>
    <t>18079</t>
  </si>
  <si>
    <t>18080</t>
  </si>
  <si>
    <t>18081</t>
  </si>
  <si>
    <t>18082</t>
  </si>
  <si>
    <t>18084</t>
  </si>
  <si>
    <t>18085</t>
  </si>
  <si>
    <t>18086</t>
  </si>
  <si>
    <t>18087</t>
  </si>
  <si>
    <t>18088</t>
  </si>
  <si>
    <t>18092</t>
  </si>
  <si>
    <t>18093</t>
  </si>
  <si>
    <t>18094</t>
  </si>
  <si>
    <t>18095</t>
  </si>
  <si>
    <t>18096</t>
  </si>
  <si>
    <t>18097</t>
  </si>
  <si>
    <t>18099</t>
  </si>
  <si>
    <t>18101</t>
  </si>
  <si>
    <t>18102</t>
  </si>
  <si>
    <t>18104</t>
  </si>
  <si>
    <t>18105</t>
  </si>
  <si>
    <t>18106</t>
  </si>
  <si>
    <t>18108</t>
  </si>
  <si>
    <t>18109</t>
  </si>
  <si>
    <t>18110</t>
  </si>
  <si>
    <t>18112</t>
  </si>
  <si>
    <t>18113</t>
  </si>
  <si>
    <t>18114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</si>
  <si>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</si>
  <si>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</si>
  <si>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</si>
  <si>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</si>
  <si>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</si>
  <si>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</si>
  <si>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</si>
  <si>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</si>
  <si>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18125</t>
  </si>
  <si>
    <t>18126</t>
  </si>
  <si>
    <t>18127</t>
  </si>
  <si>
    <t>18129</t>
  </si>
  <si>
    <t>18130</t>
  </si>
  <si>
    <t>18133</t>
  </si>
  <si>
    <t>18135</t>
  </si>
  <si>
    <t>18136</t>
  </si>
  <si>
    <t>18138</t>
  </si>
  <si>
    <t>18139</t>
  </si>
  <si>
    <t>18142</t>
  </si>
  <si>
    <t>18143</t>
  </si>
  <si>
    <t>18144</t>
  </si>
  <si>
    <t>18145</t>
  </si>
  <si>
    <t>18146</t>
  </si>
  <si>
    <t>18147</t>
  </si>
  <si>
    <t>18149</t>
  </si>
  <si>
    <t>18150</t>
  </si>
  <si>
    <t>18151</t>
  </si>
  <si>
    <t>18154</t>
  </si>
  <si>
    <t>18155</t>
  </si>
  <si>
    <t>18156</t>
  </si>
  <si>
    <t>18158</t>
  </si>
  <si>
    <t>18159</t>
  </si>
  <si>
    <t>18160</t>
  </si>
  <si>
    <t>18161</t>
  </si>
  <si>
    <t>18164</t>
  </si>
  <si>
    <t>18165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</si>
  <si>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</si>
  <si>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</si>
  <si>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</si>
  <si>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</si>
  <si>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</si>
  <si>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</si>
  <si>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</si>
  <si>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</si>
  <si>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18176</t>
  </si>
  <si>
    <t>18177</t>
  </si>
  <si>
    <t>18178</t>
  </si>
  <si>
    <t>18179</t>
  </si>
  <si>
    <t>18180</t>
  </si>
  <si>
    <t>18181</t>
  </si>
  <si>
    <t>18183</t>
  </si>
  <si>
    <t>18184</t>
  </si>
  <si>
    <t>18185</t>
  </si>
  <si>
    <t>18188</t>
  </si>
  <si>
    <t>18189</t>
  </si>
  <si>
    <t>18190</t>
  </si>
  <si>
    <t>18191</t>
  </si>
  <si>
    <t>18192</t>
  </si>
  <si>
    <t>18193</t>
  </si>
  <si>
    <t>18194</t>
  </si>
  <si>
    <t>18196</t>
  </si>
  <si>
    <t>18198</t>
  </si>
  <si>
    <t>18200</t>
  </si>
  <si>
    <t>18202</t>
  </si>
  <si>
    <t>18203</t>
  </si>
  <si>
    <t>18204</t>
  </si>
  <si>
    <t>18205</t>
  </si>
  <si>
    <t>18209</t>
  </si>
  <si>
    <t>18210</t>
  </si>
  <si>
    <t>18211</t>
  </si>
  <si>
    <t>18212</t>
  </si>
  <si>
    <t>18213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</si>
  <si>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</si>
  <si>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</si>
  <si>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</si>
  <si>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</si>
  <si>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</si>
  <si>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</si>
  <si>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</si>
  <si>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</si>
  <si>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</si>
  <si>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</si>
  <si>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</si>
  <si>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</si>
  <si>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</si>
  <si>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</si>
  <si>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</si>
  <si>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</si>
  <si>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</si>
  <si>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</si>
  <si>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</si>
  <si>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18235</t>
  </si>
  <si>
    <t>18236</t>
  </si>
  <si>
    <t>18237</t>
  </si>
  <si>
    <t>18239</t>
  </si>
  <si>
    <t>18240</t>
  </si>
  <si>
    <t>18241</t>
  </si>
  <si>
    <t>18242</t>
  </si>
  <si>
    <t>18245</t>
  </si>
  <si>
    <t>18246</t>
  </si>
  <si>
    <t>18248</t>
  </si>
  <si>
    <t>18249</t>
  </si>
  <si>
    <t>18250</t>
  </si>
  <si>
    <t>18251</t>
  </si>
  <si>
    <t>18252</t>
  </si>
  <si>
    <t>18255</t>
  </si>
  <si>
    <t>18257</t>
  </si>
  <si>
    <t>18259</t>
  </si>
  <si>
    <t>18260</t>
  </si>
  <si>
    <t>18261</t>
  </si>
  <si>
    <t>18262</t>
  </si>
  <si>
    <t>18263</t>
  </si>
  <si>
    <t>18265</t>
  </si>
  <si>
    <t>18268</t>
  </si>
  <si>
    <t>18269</t>
  </si>
  <si>
    <t>18270</t>
  </si>
  <si>
    <t>18272</t>
  </si>
  <si>
    <t>18273</t>
  </si>
  <si>
    <t>18274</t>
  </si>
  <si>
    <t>18276</t>
  </si>
  <si>
    <t>18277</t>
  </si>
  <si>
    <t>18278</t>
  </si>
  <si>
    <t>18280</t>
  </si>
  <si>
    <t>18281</t>
  </si>
  <si>
    <t>18282</t>
  </si>
  <si>
    <t>18283</t>
  </si>
  <si>
    <t>18287</t>
  </si>
  <si>
    <t>SourceFile</t>
  </si>
  <si>
    <t>SourceSheet</t>
  </si>
  <si>
    <t>Quantity_Raw</t>
  </si>
  <si>
    <t>InvoiceDate_Raw</t>
  </si>
  <si>
    <t>UnitPrice_Raw</t>
  </si>
  <si>
    <t>Country_Raw</t>
  </si>
  <si>
    <t>InvoiceNo</t>
  </si>
  <si>
    <t>Quantity</t>
  </si>
  <si>
    <t>UnitPrice</t>
  </si>
  <si>
    <t>InvoiceDate</t>
  </si>
  <si>
    <t>PriceUnits4</t>
  </si>
  <si>
    <t>CodeCategory</t>
  </si>
  <si>
    <t>ReportScope</t>
  </si>
  <si>
    <t>CustomerAnalysisEligible</t>
  </si>
  <si>
    <t>NeedsReview</t>
  </si>
  <si>
    <t>ExampleReason</t>
  </si>
  <si>
    <t>Online Retail.xlsx</t>
  </si>
  <si>
    <t>Online Retail</t>
  </si>
  <si>
    <t>536414</t>
  </si>
  <si>
    <t>Merchandise</t>
  </si>
  <si>
    <t>536544</t>
  </si>
  <si>
    <t>Online Retail.xlsx|Online Retail|000001446</t>
  </si>
  <si>
    <t xml:space="preserve">POLKADOT RAIN HAT </t>
  </si>
  <si>
    <t>Online Retail.xlsx|Online Retail|000001447</t>
  </si>
  <si>
    <t>POLKADOT RAIN HAT</t>
  </si>
  <si>
    <t>Missing customer ID; Code with multiple descriptions</t>
  </si>
  <si>
    <t>Online Retail.xlsx|Online Retail|000001448</t>
  </si>
  <si>
    <t>Online Retail.xlsx|Online Retail|000001449</t>
  </si>
  <si>
    <t>Online Retail.xlsx|Online Retail|000001450</t>
  </si>
  <si>
    <t>Online Retail.xlsx|Online Retail|000001451</t>
  </si>
  <si>
    <t>Online Retail.xlsx|Online Retail|000001972</t>
  </si>
  <si>
    <t>536545</t>
  </si>
  <si>
    <t>Missing customer ID; Missing description; Zero price; Unresolved transaction class</t>
  </si>
  <si>
    <t>Online Retail.xlsx|Online Retail|000001973</t>
  </si>
  <si>
    <t>536546</t>
  </si>
  <si>
    <t>Online Retail.xlsx|Online Retail|000001974</t>
  </si>
  <si>
    <t>536547</t>
  </si>
  <si>
    <t>Online Retail.xlsx|Online Retail|000001989</t>
  </si>
  <si>
    <t>536549</t>
  </si>
  <si>
    <t>Online Retail.xlsx|Online Retail|000001990</t>
  </si>
  <si>
    <t>536550</t>
  </si>
  <si>
    <t>Online Retail.xlsx|Online Retail|000002026</t>
  </si>
  <si>
    <t>536552</t>
  </si>
  <si>
    <t>Online Retail.xlsx|Online Retail|000002027</t>
  </si>
  <si>
    <t>536553</t>
  </si>
  <si>
    <t>572891</t>
  </si>
  <si>
    <t>536409</t>
  </si>
  <si>
    <t>Online Retail.xlsx|Online Retail|000000491</t>
  </si>
  <si>
    <t>Online Retail.xlsx|Online Retail|000000496</t>
  </si>
  <si>
    <t>Online Retail.xlsx|Online Retail|000000519</t>
  </si>
  <si>
    <t xml:space="preserve"> SET 2 TEA TOWELS I LOVE LONDON </t>
  </si>
  <si>
    <t>Online Retail.xlsx|Online Retail|000000523</t>
  </si>
  <si>
    <t>Exact duplicate group member; Code with multiple descriptions</t>
  </si>
  <si>
    <t>Online Retail.xlsx|Online Retail|000000529</t>
  </si>
  <si>
    <t>Online Retail.xlsx|Online Retail|000000539</t>
  </si>
  <si>
    <t>554084</t>
  </si>
  <si>
    <t>JUMBO BAG DOILEY PATTERNS</t>
  </si>
  <si>
    <t>Online Retail.xlsx|Online Retail|000452370</t>
  </si>
  <si>
    <t>575335</t>
  </si>
  <si>
    <t xml:space="preserve">JUMBO BAG VINTAGE DOILY </t>
  </si>
  <si>
    <t>Online Retail.xlsx|Online Retail|000452373</t>
  </si>
  <si>
    <t>JUMBO BAG VINTAGE DOILY</t>
  </si>
  <si>
    <t>Online Retail.xlsx|Online Retail|000000002</t>
  </si>
  <si>
    <t>536365</t>
  </si>
  <si>
    <t>WHITE METAL LANTERN</t>
  </si>
  <si>
    <t>Online Retail.xlsx|Online Retail|000000003</t>
  </si>
  <si>
    <t>CREAM CUPID HEARTS COAT HANGER</t>
  </si>
  <si>
    <t>Online Retail.xlsx|Online Retail|000000004</t>
  </si>
  <si>
    <t>HAND WARMER RED POLKA DOT</t>
  </si>
  <si>
    <t>Online Retail.xlsx|Online Retail|000000010</t>
  </si>
  <si>
    <t>536366</t>
  </si>
  <si>
    <t>ASSORTED COLOUR BIRD ORNAMENT</t>
  </si>
  <si>
    <t>Online Retail.xlsx|Online Retail|000000011</t>
  </si>
  <si>
    <t>536367</t>
  </si>
  <si>
    <t>BOX OF 6 ASSORTED COLOUR TEASPOONS</t>
  </si>
  <si>
    <t>Online Retail.xlsx|Online Retail|000000016</t>
  </si>
  <si>
    <t>Online Retail.xlsx|Online Retail|000000042</t>
  </si>
  <si>
    <t>536370</t>
  </si>
  <si>
    <t>Online Retail.xlsx|Online Retail|000000049</t>
  </si>
  <si>
    <t>536372</t>
  </si>
  <si>
    <t>Online Retail.xlsx|Online Retail|000002408</t>
  </si>
  <si>
    <t>536589</t>
  </si>
  <si>
    <t>Missing customer ID; Missing description; Negative quantity without C; Zero price</t>
  </si>
  <si>
    <t>Online Retail.xlsx|Online Retail|000004349</t>
  </si>
  <si>
    <t>536764</t>
  </si>
  <si>
    <t>Online Retail.xlsx|Online Retail|000007190</t>
  </si>
  <si>
    <t>536996</t>
  </si>
  <si>
    <t>Online Retail.xlsx|Online Retail|000007191</t>
  </si>
  <si>
    <t>536997</t>
  </si>
  <si>
    <t>Online Retail.xlsx|Online Retail|000007192</t>
  </si>
  <si>
    <t>536998</t>
  </si>
  <si>
    <t>Online Retail.xlsx|Online Retail|000007194</t>
  </si>
  <si>
    <t>537000</t>
  </si>
  <si>
    <t>Online Retail.xlsx|Online Retail|000007195</t>
  </si>
  <si>
    <t>537001</t>
  </si>
  <si>
    <t>Online Retail.xlsx|Online Retail|000007197</t>
  </si>
  <si>
    <t>537003</t>
  </si>
  <si>
    <t>A563187</t>
  </si>
  <si>
    <t>Online Retail.xlsx|Online Retail|000299986</t>
  </si>
  <si>
    <t>C537630</t>
  </si>
  <si>
    <t>Online Retail.xlsx|Online Retail|000015018</t>
  </si>
  <si>
    <t>Missing customer ID; Large absolute line amount</t>
  </si>
  <si>
    <t>Online Retail.xlsx|Online Retail|000015019</t>
  </si>
  <si>
    <t>537632</t>
  </si>
  <si>
    <t>C537644</t>
  </si>
  <si>
    <t>Online Retail.xlsx|Online Retail|000016234</t>
  </si>
  <si>
    <t>C537651</t>
  </si>
  <si>
    <t>Online Retail.xlsx|Online Retail|000016358</t>
  </si>
  <si>
    <t>C540117</t>
  </si>
  <si>
    <t>Online Retail.xlsx|Online Retail|000043704</t>
  </si>
  <si>
    <t>C540118</t>
  </si>
  <si>
    <t>Online Retail.xlsx|Online Retail|000043705</t>
  </si>
  <si>
    <t>Online Retail.xlsx|Online Retail|000061621</t>
  </si>
  <si>
    <t>541431</t>
  </si>
  <si>
    <t>C541433</t>
  </si>
  <si>
    <t>Online Retail.xlsx|Online Retail|000061626</t>
  </si>
  <si>
    <t>MonthDate</t>
  </si>
  <si>
    <t>ExecutedAtUTC</t>
  </si>
  <si>
    <t>Mode</t>
  </si>
  <si>
    <t>2026-10-12T08:33:17.842813+00:00</t>
  </si>
  <si>
    <t>Python reference snapshot — Excel refresh pending</t>
  </si>
  <si>
    <t>Sales</t>
  </si>
  <si>
    <t>Cancellations (negative)</t>
  </si>
  <si>
    <t>Scope: positive-priced merchandise sales; eligible merchandise cancellations shown separately. Special operations excluded. Exact duplicates retained.</t>
  </si>
  <si>
    <t>Review flags overlap reporting scope. Merchandise balance is not accounting revenue. Cancellation does not establish a physical return.</t>
  </si>
  <si>
    <t>Kontrol</t>
  </si>
  <si>
    <t>Sonuç</t>
  </si>
  <si>
    <t>Veri satırı sayısı</t>
  </si>
  <si>
    <t>Sütun sayısı</t>
  </si>
  <si>
    <t>Field</t>
  </si>
  <si>
    <t>MissingRows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</si>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</sst>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000;[Red]\(#,##0.0000\)"/>
    <numFmt numFmtId="166" formatCode="yyyy\-mm\-dd"/>
    <numFmt numFmtId="167" formatCode="yyyy\-mm\-dd\ hh:mm:ss"/>
    <numFmt numFmtId="168" formatCode="#,##0.00;[Red]\(#,##0.00\)"/>
  </numFmts>
  <fonts count="10" x14ac:knownFonts="1">
    <font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0"/>
      <color rgb="FF64748B"/>
      <name val="Calibri"/>
      <family val="2"/>
      <scheme val="minor"/>
    </font>
    <font>
      <b/>
      <sz val="11"/>
      <color rgb="FF10263F"/>
      <name val="Calibri"/>
      <family val="2"/>
      <scheme val="minor"/>
    </font>
    <font>
      <b/>
      <sz val="22"/>
      <color rgb="FF10263F"/>
      <name val="Calibri"/>
      <family val="2"/>
      <scheme val="minor"/>
    </font>
    <font>
      <b/>
      <sz val="22"/>
      <color rgb="FF177E89"/>
      <name val="Calibri"/>
      <family val="2"/>
      <scheme val="minor"/>
    </font>
    <font>
      <sz val="10"/>
      <color rgb="FF855C1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1026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0263F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4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7" fillId="5" borderId="0" xfId="0" applyFont="1" applyFill="1" applyAlignment="1">
      <alignment wrapText="1"/>
    </xf>
    <xf numFmtId="0" fontId="8" fillId="0" borderId="0" xfId="0" applyFont="1" applyAlignment="1">
      <alignment vertical="top"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9" fillId="0" borderId="0" xfId="0" applyNumberFormat="1" applyFont="1"/>
    <xf numFmtId="0" fontId="7" fillId="5" borderId="0" xfId="0" applyFont="1" applyFill="1" applyAlignment="1">
      <alignment wrapText="1"/>
    </xf>
    <xf numFmtId="0" fontId="8" fillId="0" borderId="0" xfId="0" applyFont="1" applyAlignment="1">
      <alignment vertical="top" wrapText="1"/>
    </xf>
    <xf numFmtId="0" fontId="3" fillId="0" borderId="0" xfId="0" applyFont="1"/>
    <xf numFmtId="3" fontId="5" fillId="4" borderId="0" xfId="0" applyNumberFormat="1" applyFont="1" applyFill="1"/>
    <xf numFmtId="164" fontId="6" fillId="4" borderId="0" xfId="0" applyNumberFormat="1" applyFont="1" applyFill="1"/>
    <xf numFmtId="4" fontId="5" fillId="4" borderId="0" xfId="0" applyNumberFormat="1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4" fillId="3" borderId="1" xfId="0" applyFont="1" applyFill="1" applyBorder="1"/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165" formatCode="#,##0.0000;[Red]\(#,##0.0000\)"/>
    </dxf>
    <dxf>
      <numFmt numFmtId="165" formatCode="#,##0.0000;[Red]\(#,##0.0000\)"/>
    </dxf>
    <dxf>
      <numFmt numFmtId="166" formatCode="yyyy\-mm\-dd"/>
    </dxf>
    <dxf>
      <numFmt numFmtId="165" formatCode="#,##0.0000;[Red]\(#,##0.0000\)"/>
    </dxf>
    <dxf>
      <numFmt numFmtId="167" formatCode="yyyy\-mm\-dd\ hh:mm:ss"/>
    </dxf>
    <dxf>
      <numFmt numFmtId="167" formatCode="yyyy\-mm\-dd\ hh:mm:ss"/>
    </dxf>
    <dxf>
      <numFmt numFmtId="165" formatCode="#,##0.0000;[Red]\(#,##0.0000\)"/>
    </dxf>
    <dxf>
      <numFmt numFmtId="165" formatCode="#,##0.0000;[Red]\(#,##0.0000\)"/>
    </dxf>
    <dxf>
      <numFmt numFmtId="165" formatCode="#,##0.0000;[Red]\(#,##0.0000\)"/>
    </dxf>
    <dxf>
      <numFmt numFmtId="165" formatCode="#,##0.0000;[Red]\(#,##0.0000\)"/>
    </dxf>
    <dxf>
      <numFmt numFmtId="165" formatCode="#,##0.0000;[Red]\(#,##0.0000\)"/>
    </dxf>
    <dxf>
      <numFmt numFmtId="165" formatCode="#,##0.0000;[Red]\(#,##0.0000\)"/>
    </dxf>
    <dxf>
      <numFmt numFmtId="165" formatCode="#,##0.0000;[Red]\(#,##0.0000\)"/>
    </dxf>
    <dxf>
      <numFmt numFmtId="165" formatCode="#,##0.0000;[Red]\(#,##0.0000\)"/>
    </dxf>
    <dxf>
      <numFmt numFmtId="165" formatCode="#,##0.0000;[Red]\(#,##0.0000\)"/>
    </dxf>
    <dxf>
      <numFmt numFmtId="165" formatCode="#,##0.0000;[Red]\(#,##0.0000\)"/>
    </dxf>
    <dxf>
      <numFmt numFmtId="165" formatCode="#,##0.0000;[Red]\(#,##0.0000\)"/>
    </dxf>
    <dxf>
      <numFmt numFmtId="165" formatCode="#,##0.0000;[Red]\(#,##0.0000\)"/>
    </dxf>
    <dxf>
      <numFmt numFmtId="165" formatCode="#,##0.0000;[Red]\(#,##0.0000\)"/>
    </dxf>
    <dxf>
      <numFmt numFmtId="165" formatCode="#,##0.0000;[Red]\(#,##0.0000\)"/>
    </dxf>
    <dxf>
      <numFmt numFmtId="165" formatCode="#,##0.0000;[Red]\(#,##0.0000\)"/>
    </dxf>
    <dxf>
      <numFmt numFmtId="165" formatCode="#,##0.0000;[Red]\(#,##0.0000\)"/>
    </dxf>
    <dxf>
      <numFmt numFmtId="166" formatCode="yyyy\-mm\-dd"/>
    </dxf>
    <dxf>
      <numFmt numFmtId="166" formatCode="yyyy\-mm\-dd"/>
    </dxf>
    <dxf>
      <numFmt numFmtId="165" formatCode="#,##0.0000;[Red]\(#,##0.0000\)"/>
    </dxf>
    <dxf>
      <numFmt numFmtId="165" formatCode="#,##0.0000;[Red]\(#,##0.0000\)"/>
    </dxf>
    <dxf>
      <numFmt numFmtId="165" formatCode="#,##0.0000;[Red]\(#,##0.0000\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merchandise activity — selected filters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Merchandise sales</c:v>
          </c:tx>
          <c:spPr>
            <a:solidFill>
              <a:srgbClr val="2563EB"/>
            </a:solidFill>
            <a:ln>
              <a:noFill/>
            </a:ln>
          </c:spPr>
          <c:invertIfNegative val="0"/>
          <c:cat>
            <c:strRef>
              <c:f>Dashboard!rdrMonths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Dashboard!rdrSales</c:f>
              <c:numCache>
                <c:formatCode>#,##0.00;[Red]\(#,##0.00\)</c:formatCode>
                <c:ptCount val="13"/>
                <c:pt idx="0">
                  <c:v>777931.77</c:v>
                </c:pt>
                <c:pt idx="1">
                  <c:v>671933.19</c:v>
                </c:pt>
                <c:pt idx="2">
                  <c:v>508886.2</c:v>
                </c:pt>
                <c:pt idx="3">
                  <c:v>691257.61</c:v>
                </c:pt>
                <c:pt idx="4">
                  <c:v>516218.12099999998</c:v>
                </c:pt>
                <c:pt idx="5">
                  <c:v>741192.41</c:v>
                </c:pt>
                <c:pt idx="6">
                  <c:v>738751.87</c:v>
                </c:pt>
                <c:pt idx="7">
                  <c:v>689364.41100000008</c:v>
                </c:pt>
                <c:pt idx="8">
                  <c:v>725513.5</c:v>
                </c:pt>
                <c:pt idx="9">
                  <c:v>1030475.3609999999</c:v>
                </c:pt>
                <c:pt idx="10">
                  <c:v>1106669.82</c:v>
                </c:pt>
                <c:pt idx="11">
                  <c:v>1457745.53</c:v>
                </c:pt>
                <c:pt idx="12">
                  <c:v>615493.27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2-42A6-9696-AE2E0671A877}"/>
            </c:ext>
          </c:extLst>
        </c:ser>
        <c:ser>
          <c:idx val="1"/>
          <c:order val="1"/>
          <c:tx>
            <c:v>Merchandise cancellations</c:v>
          </c:tx>
          <c:spPr>
            <a:solidFill>
              <a:srgbClr val="E58B37"/>
            </a:solidFill>
            <a:ln>
              <a:noFill/>
            </a:ln>
          </c:spPr>
          <c:invertIfNegative val="0"/>
          <c:cat>
            <c:strRef>
              <c:f>Dashboard!rdrMonths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Dashboard!rdrCancels</c:f>
              <c:numCache>
                <c:formatCode>#,##0.00;[Red]\(#,##0.00\)</c:formatCode>
                <c:ptCount val="13"/>
                <c:pt idx="0">
                  <c:v>-17607.86</c:v>
                </c:pt>
                <c:pt idx="1">
                  <c:v>-91526.3</c:v>
                </c:pt>
                <c:pt idx="2">
                  <c:v>-8375.869999999999</c:v>
                </c:pt>
                <c:pt idx="3">
                  <c:v>-10675.3</c:v>
                </c:pt>
                <c:pt idx="4">
                  <c:v>-33316.910000000003</c:v>
                </c:pt>
                <c:pt idx="5">
                  <c:v>-8948.2300000000014</c:v>
                </c:pt>
                <c:pt idx="6">
                  <c:v>-13760.84</c:v>
                </c:pt>
                <c:pt idx="7">
                  <c:v>-11409.21</c:v>
                </c:pt>
                <c:pt idx="8">
                  <c:v>-22929.519999999997</c:v>
                </c:pt>
                <c:pt idx="9">
                  <c:v>-17044.68</c:v>
                </c:pt>
                <c:pt idx="10">
                  <c:v>-43992.160000000003</c:v>
                </c:pt>
                <c:pt idx="11">
                  <c:v>-25010.54</c:v>
                </c:pt>
                <c:pt idx="12">
                  <c:v>-174126.76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F2-42A6-9696-AE2E0671A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GBP (signed)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Country sales — full source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Country sales — full source</c:v>
          </c:tx>
          <c:spPr>
            <a:solidFill>
              <a:srgbClr val="2563EB"/>
            </a:solidFill>
            <a:ln>
              <a:noFill/>
            </a:ln>
          </c:spPr>
          <c:invertIfNegative val="0"/>
          <c:cat>
            <c:strRef>
              <c:f>Country!$A$2:$A$6</c:f>
              <c:strCache>
                <c:ptCount val="5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</c:strCache>
            </c:strRef>
          </c:cat>
          <c:val>
            <c:numRef>
              <c:f>Country!$B$2:$B$6</c:f>
              <c:numCache>
                <c:formatCode>#,##0.0000;[Red]\(#,##0.0000\)</c:formatCode>
                <c:ptCount val="5"/>
                <c:pt idx="0">
                  <c:v>8747561.6630000006</c:v>
                </c:pt>
                <c:pt idx="1">
                  <c:v>283889.34000000003</c:v>
                </c:pt>
                <c:pt idx="2">
                  <c:v>271164.3</c:v>
                </c:pt>
                <c:pt idx="3">
                  <c:v>205569.89</c:v>
                </c:pt>
                <c:pt idx="4">
                  <c:v>184582.74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8-4E24-A8FD-D8B4DBF2D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GBP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 code sales — full source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Product code sales — full source</c:v>
          </c:tx>
          <c:spPr>
            <a:solidFill>
              <a:srgbClr val="177E89"/>
            </a:solidFill>
            <a:ln>
              <a:noFill/>
            </a:ln>
          </c:spPr>
          <c:invertIfNegative val="0"/>
          <c:cat>
            <c:strRef>
              <c:f>Product!$A$2:$A$6</c:f>
              <c:strCache>
                <c:ptCount val="5"/>
                <c:pt idx="0">
                  <c:v>22423</c:v>
                </c:pt>
                <c:pt idx="1">
                  <c:v>23843</c:v>
                </c:pt>
                <c:pt idx="2">
                  <c:v>85123A</c:v>
                </c:pt>
                <c:pt idx="3">
                  <c:v>47566</c:v>
                </c:pt>
                <c:pt idx="4">
                  <c:v>85099B</c:v>
                </c:pt>
              </c:strCache>
            </c:strRef>
          </c:cat>
          <c:val>
            <c:numRef>
              <c:f>Product!$B$2:$B$6</c:f>
              <c:numCache>
                <c:formatCode>#,##0.0000;[Red]\(#,##0.0000\)</c:formatCode>
                <c:ptCount val="5"/>
                <c:pt idx="0">
                  <c:v>174484.74</c:v>
                </c:pt>
                <c:pt idx="1">
                  <c:v>168469.6</c:v>
                </c:pt>
                <c:pt idx="2">
                  <c:v>104518.8</c:v>
                </c:pt>
                <c:pt idx="3">
                  <c:v>99504.33</c:v>
                </c:pt>
                <c:pt idx="4">
                  <c:v>94340.05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8-43B0-99DF-82A0F52E6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GBP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11</xdr:col>
      <xdr:colOff>381000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6</xdr:col>
      <xdr:colOff>47625</xdr:colOff>
      <xdr:row>51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37</xdr:row>
      <xdr:rowOff>0</xdr:rowOff>
    </xdr:from>
    <xdr:to>
      <xdr:col>12</xdr:col>
      <xdr:colOff>47625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2" connectionId="1" xr16:uid="{82191205-01E7-476B-B8B6-29A80BB030F9}" autoFormatId="16" applyNumberFormats="0" applyBorderFormats="0" applyFontFormats="0" applyPatternFormats="0" applyAlignmentFormats="0" applyWidthHeightFormats="0">
  <queryTableRefresh nextId="3">
    <queryTableFields count="2">
      <queryTableField id="1" name="Field" tableColumnId="1"/>
      <queryTableField id="2" name="MissingRow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3" xr16:uid="{E25786A5-5970-441E-8CC3-1D431A8744D3}" autoFormatId="16" applyNumberFormats="0" applyBorderFormats="0" applyFontFormats="0" applyPatternFormats="0" applyAlignmentFormats="0" applyWidthHeightFormats="0">
  <queryTableRefresh nextId="3">
    <queryTableFields count="2">
      <queryTableField id="1" name="Kontrol" tableColumnId="1"/>
      <queryTableField id="2" name="Sonuç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C45763D-3140-4853-9AE7-D14035211912}" name="qMissingValues" displayName="qMissingValues" ref="A1:B9" tableType="queryTable" totalsRowShown="0">
  <autoFilter ref="A1:B9" xr:uid="{9C45763D-3140-4853-9AE7-D14035211912}"/>
  <tableColumns count="2">
    <tableColumn id="1" xr3:uid="{73EA6C32-8B75-444F-8B59-41F38EA4986D}" uniqueName="1" name="Field" queryTableFieldId="1" dataDxfId="0"/>
    <tableColumn id="2" xr3:uid="{8E58565C-E88C-43F1-A535-F8A372CD1D13}" uniqueName="2" name="MissingRow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B69B0E7-B2DD-4E55-A503-19E451407E02}" name="qSourceCheck" displayName="qSourceCheck" ref="A1:B3" tableType="queryTable" totalsRowShown="0">
  <autoFilter ref="A1:B3" xr:uid="{6B69B0E7-B2DD-4E55-A503-19E451407E02}"/>
  <tableColumns count="2">
    <tableColumn id="1" xr3:uid="{05B1E42F-3736-41C2-B63A-00B51DCD6EF5}" uniqueName="1" name="Kontrol" queryTableFieldId="1"/>
    <tableColumn id="2" xr3:uid="{BBB5E3A4-95C6-446F-A642-4B4942E8C38B}" uniqueName="2" name="Sonuç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ource" displayName="tblSource" ref="A5:B6" totalsRowShown="0">
  <autoFilter ref="A5:B6" xr:uid="{00000000-0009-0000-0100-000001000000}"/>
  <tableColumns count="2">
    <tableColumn id="1" xr3:uid="{00000000-0010-0000-0000-000001000000}" name="SourcePath"/>
    <tableColumn id="2" xr3:uid="{00000000-0010-0000-0000-000002000000}" name="ValidateBaseli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KPI" displayName="tblKPI" ref="A1:B17" totalsRowShown="0">
  <autoFilter ref="A1:B17" xr:uid="{00000000-0009-0000-0100-000002000000}"/>
  <tableColumns count="2">
    <tableColumn id="1" xr3:uid="{00000000-0010-0000-0100-000001000000}" name="Metric"/>
    <tableColumn id="2" xr3:uid="{00000000-0010-0000-0100-000002000000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Monthly" displayName="tblMonthly" ref="A1:K14" totalsRowShown="0">
  <autoFilter ref="A1:K14" xr:uid="{00000000-0009-0000-0100-000003000000}"/>
  <tableColumns count="11">
    <tableColumn id="1" xr3:uid="{00000000-0010-0000-0200-000001000000}" name="Month"/>
    <tableColumn id="2" xr3:uid="{00000000-0010-0000-0200-000002000000}" name="SourceRows"/>
    <tableColumn id="3" xr3:uid="{00000000-0010-0000-0200-000003000000}" name="SalesRows"/>
    <tableColumn id="4" xr3:uid="{00000000-0010-0000-0200-000004000000}" name="SalesInvoiceIDs"/>
    <tableColumn id="5" xr3:uid="{00000000-0010-0000-0200-000005000000}" name="SalesGBP" dataDxfId="27"/>
    <tableColumn id="6" xr3:uid="{00000000-0010-0000-0200-000006000000}" name="CancellationGBP" dataDxfId="26"/>
    <tableColumn id="7" xr3:uid="{00000000-0010-0000-0200-000007000000}" name="BalanceGBP" dataDxfId="25"/>
    <tableColumn id="8" xr3:uid="{00000000-0010-0000-0200-000008000000}" name="ReviewRows"/>
    <tableColumn id="9" xr3:uid="{00000000-0010-0000-0200-000009000000}" name="FirstObservedDate" dataDxfId="24"/>
    <tableColumn id="10" xr3:uid="{00000000-0010-0000-0200-00000A000000}" name="LastObservedDate" dataDxfId="23"/>
    <tableColumn id="11" xr3:uid="{00000000-0010-0000-0200-00000B000000}" name="Period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ountry" displayName="tblCountry" ref="A1:F39" totalsRowShown="0">
  <autoFilter ref="A1:F39" xr:uid="{00000000-0009-0000-0100-000004000000}"/>
  <tableColumns count="6">
    <tableColumn id="1" xr3:uid="{00000000-0010-0000-0300-000001000000}" name="Country"/>
    <tableColumn id="2" xr3:uid="{00000000-0010-0000-0300-000002000000}" name="SalesGBP" dataDxfId="22"/>
    <tableColumn id="3" xr3:uid="{00000000-0010-0000-0300-000003000000}" name="CancellationGBP" dataDxfId="21"/>
    <tableColumn id="4" xr3:uid="{00000000-0010-0000-0300-000004000000}" name="BalanceGBP" dataDxfId="20"/>
    <tableColumn id="5" xr3:uid="{00000000-0010-0000-0300-000005000000}" name="SalesRows"/>
    <tableColumn id="6" xr3:uid="{00000000-0010-0000-0300-000006000000}" name="SalesInvoiceID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roduct" displayName="tblProduct" ref="A1:F3923" totalsRowShown="0">
  <autoFilter ref="A1:F3923" xr:uid="{00000000-0009-0000-0100-000005000000}"/>
  <tableColumns count="6">
    <tableColumn id="1" xr3:uid="{00000000-0010-0000-0400-000001000000}" name="StockCode"/>
    <tableColumn id="2" xr3:uid="{00000000-0010-0000-0400-000002000000}" name="SalesGBP" dataDxfId="19"/>
    <tableColumn id="3" xr3:uid="{00000000-0010-0000-0400-000003000000}" name="CancellationGBP" dataDxfId="18"/>
    <tableColumn id="4" xr3:uid="{00000000-0010-0000-0400-000004000000}" name="BalanceGBP" dataDxfId="17"/>
    <tableColumn id="5" xr3:uid="{00000000-0010-0000-0400-000005000000}" name="SalesRows"/>
    <tableColumn id="6" xr3:uid="{00000000-0010-0000-0400-000006000000}" name="SalesInvoiceID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Reconciliation" displayName="tblReconciliation" ref="A1:F6" totalsRowShown="0">
  <autoFilter ref="A1:F6" xr:uid="{00000000-0009-0000-0100-000006000000}"/>
  <tableColumns count="6">
    <tableColumn id="1" xr3:uid="{00000000-0010-0000-0500-000001000000}" name="TransactionClass"/>
    <tableColumn id="2" xr3:uid="{00000000-0010-0000-0500-000002000000}" name="Rows"/>
    <tableColumn id="3" xr3:uid="{00000000-0010-0000-0500-000003000000}" name="InvoiceIDs"/>
    <tableColumn id="4" xr3:uid="{00000000-0010-0000-0500-000004000000}" name="AmountUnits4"/>
    <tableColumn id="5" xr3:uid="{00000000-0010-0000-0500-000005000000}" name="SignedAmountGBP" dataDxfId="16"/>
    <tableColumn id="6" xr3:uid="{00000000-0010-0000-0500-000006000000}" name="ReviewFlagRow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Bridge" displayName="tblBridge" ref="A1:C6" totalsRowShown="0">
  <autoFilter ref="A1:C6" xr:uid="{00000000-0009-0000-0100-000007000000}"/>
  <tableColumns count="3">
    <tableColumn id="1" xr3:uid="{00000000-0010-0000-0600-000001000000}" name="Step"/>
    <tableColumn id="2" xr3:uid="{00000000-0010-0000-0600-000002000000}" name="ChangeGBP" dataDxfId="15"/>
    <tableColumn id="3" xr3:uid="{00000000-0010-0000-0600-000003000000}" name="BalanceGBP" dataDxfId="1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Quality" displayName="tblQuality" ref="A1:F16" totalsRowShown="0">
  <autoFilter ref="A1:F16" xr:uid="{00000000-0009-0000-0100-000008000000}"/>
  <tableColumns count="6">
    <tableColumn id="1" xr3:uid="{00000000-0010-0000-0700-000001000000}" name="Flag"/>
    <tableColumn id="2" xr3:uid="{00000000-0010-0000-0700-000002000000}" name="Label"/>
    <tableColumn id="3" xr3:uid="{00000000-0010-0000-0700-000003000000}" name="Kind"/>
    <tableColumn id="4" xr3:uid="{00000000-0010-0000-0700-000004000000}" name="Rows"/>
    <tableColumn id="5" xr3:uid="{00000000-0010-0000-0700-000005000000}" name="SourceRowExample"/>
    <tableColumn id="6" xr3:uid="{00000000-0010-0000-0700-000006000000}" name="Defini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Controls" displayName="tblControls" ref="A1:E32" totalsRowShown="0">
  <autoFilter ref="A1:E32" xr:uid="{00000000-0009-0000-0100-000009000000}"/>
  <tableColumns count="5">
    <tableColumn id="1" xr3:uid="{00000000-0010-0000-0800-000001000000}" name="Control"/>
    <tableColumn id="2" xr3:uid="{00000000-0010-0000-0800-000002000000}" name="Expected"/>
    <tableColumn id="3" xr3:uid="{00000000-0010-0000-0800-000003000000}" name="Actual"/>
    <tableColumn id="4" xr3:uid="{00000000-0010-0000-0800-000004000000}" name="Status"/>
    <tableColumn id="5" xr3:uid="{00000000-0010-0000-0800-000005000000}" name="Sco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DuplicateScenario" displayName="tblDuplicateScenario" ref="A1:J3" totalsRowShown="0">
  <autoFilter ref="A1:J3" xr:uid="{00000000-0009-0000-0100-00000A000000}"/>
  <tableColumns count="10">
    <tableColumn id="1" xr3:uid="{00000000-0010-0000-0900-000001000000}" name="Scenario"/>
    <tableColumn id="2" xr3:uid="{00000000-0010-0000-0900-000002000000}" name="SourceRows"/>
    <tableColumn id="3" xr3:uid="{00000000-0010-0000-0900-000003000000}" name="RawAmountUnits4"/>
    <tableColumn id="4" xr3:uid="{00000000-0010-0000-0900-000004000000}" name="RawSignedGBP" dataDxfId="13"/>
    <tableColumn id="5" xr3:uid="{00000000-0010-0000-0900-000005000000}" name="SalesGBP" dataDxfId="12"/>
    <tableColumn id="6" xr3:uid="{00000000-0010-0000-0900-000006000000}" name="CancellationGBP" dataDxfId="11"/>
    <tableColumn id="7" xr3:uid="{00000000-0010-0000-0900-000007000000}" name="BalanceGBP" dataDxfId="10"/>
    <tableColumn id="8" xr3:uid="{00000000-0010-0000-0900-000008000000}" name="SalesInvoiceIDs"/>
    <tableColumn id="9" xr3:uid="{00000000-0010-0000-0900-000009000000}" name="CustomerSalesIDs"/>
    <tableColumn id="10" xr3:uid="{00000000-0010-0000-0900-00000A000000}" name="ReviewRow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BeforeAfter" displayName="tblBeforeAfter" ref="A1:K13" totalsRowShown="0">
  <autoFilter ref="A1:K13" xr:uid="{00000000-0009-0000-0100-00000B000000}"/>
  <tableColumns count="11">
    <tableColumn id="1" xr3:uid="{00000000-0010-0000-0A00-000001000000}" name="RecordID"/>
    <tableColumn id="2" xr3:uid="{00000000-0010-0000-0A00-000002000000}" name="SourceRow"/>
    <tableColumn id="3" xr3:uid="{00000000-0010-0000-0A00-000003000000}" name="InvoiceNo_Raw"/>
    <tableColumn id="4" xr3:uid="{00000000-0010-0000-0A00-000004000000}" name="StockCode_Raw"/>
    <tableColumn id="5" xr3:uid="{00000000-0010-0000-0A00-000005000000}" name="Description_Raw"/>
    <tableColumn id="6" xr3:uid="{00000000-0010-0000-0A00-000006000000}" name="DescriptionTrim"/>
    <tableColumn id="7" xr3:uid="{00000000-0010-0000-0A00-000007000000}" name="CustomerID_Raw"/>
    <tableColumn id="8" xr3:uid="{00000000-0010-0000-0A00-000008000000}" name="CustomerID"/>
    <tableColumn id="9" xr3:uid="{00000000-0010-0000-0A00-000009000000}" name="TransactionClass"/>
    <tableColumn id="10" xr3:uid="{00000000-0010-0000-0A00-00000A000000}" name="ReviewReasons"/>
    <tableColumn id="11" xr3:uid="{00000000-0010-0000-0A00-00000B000000}" name="LineAmount" dataDxfId="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ProductDictionary" displayName="tblProductDictionary" ref="A1:H4071" totalsRowShown="0">
  <autoFilter ref="A1:H4071" xr:uid="{00000000-0009-0000-0100-00000C000000}"/>
  <tableColumns count="8">
    <tableColumn id="1" xr3:uid="{00000000-0010-0000-0B00-000001000000}" name="StockCode"/>
    <tableColumn id="2" xr3:uid="{00000000-0010-0000-0B00-000002000000}" name="DescriptionVariantCount"/>
    <tableColumn id="3" xr3:uid="{00000000-0010-0000-0B00-000003000000}" name="TrimmedVariantCount"/>
    <tableColumn id="4" xr3:uid="{00000000-0010-0000-0B00-000004000000}" name="NormalizedVariantCount"/>
    <tableColumn id="5" xr3:uid="{00000000-0010-0000-0B00-000005000000}" name="RawDescriptions"/>
    <tableColumn id="6" xr3:uid="{00000000-0010-0000-0B00-000006000000}" name="TrimmedDescriptions"/>
    <tableColumn id="7" xr3:uid="{00000000-0010-0000-0B00-000007000000}" name="SafeDisplayLabel"/>
    <tableColumn id="8" xr3:uid="{00000000-0010-0000-0B00-000008000000}" name="SourceRow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SpecialOperations" displayName="tblSpecialOperations" ref="A1:E17" totalsRowShown="0">
  <autoFilter ref="A1:E17" xr:uid="{00000000-0009-0000-0100-00000D000000}"/>
  <tableColumns count="5">
    <tableColumn id="1" xr3:uid="{00000000-0010-0000-0C00-000001000000}" name="StockCode"/>
    <tableColumn id="2" xr3:uid="{00000000-0010-0000-0C00-000002000000}" name="Category"/>
    <tableColumn id="3" xr3:uid="{00000000-0010-0000-0C00-000003000000}" name="Rows"/>
    <tableColumn id="4" xr3:uid="{00000000-0010-0000-0C00-000004000000}" name="SignedGBP" dataDxfId="8"/>
    <tableColumn id="5" xr3:uid="{00000000-0010-0000-0C00-000005000000}" name="SourceRowExampl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Customers" displayName="tblCustomers" ref="A1:D4335" totalsRowShown="0">
  <autoFilter ref="A1:D4335" xr:uid="{00000000-0009-0000-0100-00000E000000}"/>
  <tableColumns count="4">
    <tableColumn id="1" xr3:uid="{00000000-0010-0000-0D00-000001000000}" name="CustomerID"/>
    <tableColumn id="2" xr3:uid="{00000000-0010-0000-0D00-000002000000}" name="SalesRows"/>
    <tableColumn id="3" xr3:uid="{00000000-0010-0000-0D00-000003000000}" name="SalesGBP" dataDxfId="7"/>
    <tableColumn id="4" xr3:uid="{00000000-0010-0000-0D00-000004000000}" name="SalesInvoiceID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ReviewExamples" displayName="tblReviewExamples" ref="A1:AU64" totalsRowShown="0">
  <autoFilter ref="A1:AU64" xr:uid="{00000000-0009-0000-0100-00000F000000}"/>
  <tableColumns count="47">
    <tableColumn id="1" xr3:uid="{00000000-0010-0000-0E00-000001000000}" name="SourceFile"/>
    <tableColumn id="2" xr3:uid="{00000000-0010-0000-0E00-000002000000}" name="SourceSheet"/>
    <tableColumn id="3" xr3:uid="{00000000-0010-0000-0E00-000003000000}" name="SourceRow"/>
    <tableColumn id="4" xr3:uid="{00000000-0010-0000-0E00-000004000000}" name="InvoiceNo_Raw"/>
    <tableColumn id="5" xr3:uid="{00000000-0010-0000-0E00-000005000000}" name="StockCode_Raw"/>
    <tableColumn id="6" xr3:uid="{00000000-0010-0000-0E00-000006000000}" name="Description_Raw"/>
    <tableColumn id="7" xr3:uid="{00000000-0010-0000-0E00-000007000000}" name="Quantity_Raw"/>
    <tableColumn id="8" xr3:uid="{00000000-0010-0000-0E00-000008000000}" name="InvoiceDate_Raw" dataDxfId="6"/>
    <tableColumn id="9" xr3:uid="{00000000-0010-0000-0E00-000009000000}" name="UnitPrice_Raw"/>
    <tableColumn id="10" xr3:uid="{00000000-0010-0000-0E00-00000A000000}" name="CustomerID_Raw"/>
    <tableColumn id="11" xr3:uid="{00000000-0010-0000-0E00-00000B000000}" name="Country_Raw"/>
    <tableColumn id="12" xr3:uid="{00000000-0010-0000-0E00-00000C000000}" name="RecordID"/>
    <tableColumn id="13" xr3:uid="{00000000-0010-0000-0E00-00000D000000}" name="InvoiceNo"/>
    <tableColumn id="14" xr3:uid="{00000000-0010-0000-0E00-00000E000000}" name="StockCode"/>
    <tableColumn id="15" xr3:uid="{00000000-0010-0000-0E00-00000F000000}" name="CustomerID"/>
    <tableColumn id="16" xr3:uid="{00000000-0010-0000-0E00-000010000000}" name="DescriptionTrim"/>
    <tableColumn id="17" xr3:uid="{00000000-0010-0000-0E00-000011000000}" name="Quantity"/>
    <tableColumn id="18" xr3:uid="{00000000-0010-0000-0E00-000012000000}" name="UnitPrice"/>
    <tableColumn id="19" xr3:uid="{00000000-0010-0000-0E00-000013000000}" name="InvoiceDate" dataDxfId="5"/>
    <tableColumn id="20" xr3:uid="{00000000-0010-0000-0E00-000014000000}" name="Country"/>
    <tableColumn id="21" xr3:uid="{00000000-0010-0000-0E00-000015000000}" name="Month"/>
    <tableColumn id="22" xr3:uid="{00000000-0010-0000-0E00-000016000000}" name="PriceUnits4"/>
    <tableColumn id="23" xr3:uid="{00000000-0010-0000-0E00-000017000000}" name="AmountUnits4"/>
    <tableColumn id="24" xr3:uid="{00000000-0010-0000-0E00-000018000000}" name="LineAmount" dataDxfId="4"/>
    <tableColumn id="25" xr3:uid="{00000000-0010-0000-0E00-000019000000}" name="HasMissingCustomer"/>
    <tableColumn id="26" xr3:uid="{00000000-0010-0000-0E00-00001A000000}" name="HasMissingDescription"/>
    <tableColumn id="27" xr3:uid="{00000000-0010-0000-0E00-00001B000000}" name="HasNonTextDescription"/>
    <tableColumn id="28" xr3:uid="{00000000-0010-0000-0E00-00001C000000}" name="HasOuterWhitespace"/>
    <tableColumn id="29" xr3:uid="{00000000-0010-0000-0E00-00001D000000}" name="IsExactDuplicateMember"/>
    <tableColumn id="30" xr3:uid="{00000000-0010-0000-0E00-00001E000000}" name="IsDuplicateBeyondFirst"/>
    <tableColumn id="31" xr3:uid="{00000000-0010-0000-0E00-00001F000000}" name="IsDescriptionVariantDuplicate"/>
    <tableColumn id="32" xr3:uid="{00000000-0010-0000-0E00-000020000000}" name="DescriptionVariantCount"/>
    <tableColumn id="33" xr3:uid="{00000000-0010-0000-0E00-000021000000}" name="HasMultipleDescriptions"/>
    <tableColumn id="34" xr3:uid="{00000000-0010-0000-0E00-000022000000}" name="CodeCategory"/>
    <tableColumn id="35" xr3:uid="{00000000-0010-0000-0E00-000023000000}" name="IsUnmappedCode"/>
    <tableColumn id="36" xr3:uid="{00000000-0010-0000-0E00-000024000000}" name="IsCancellationCode"/>
    <tableColumn id="37" xr3:uid="{00000000-0010-0000-0E00-000025000000}" name="IsInvoicePatternException"/>
    <tableColumn id="38" xr3:uid="{00000000-0010-0000-0E00-000026000000}" name="IsNonCNegative"/>
    <tableColumn id="39" xr3:uid="{00000000-0010-0000-0E00-000027000000}" name="IsZeroPrice"/>
    <tableColumn id="40" xr3:uid="{00000000-0010-0000-0E00-000028000000}" name="IsNegativePrice"/>
    <tableColumn id="41" xr3:uid="{00000000-0010-0000-0E00-000029000000}" name="IsLargeAmount"/>
    <tableColumn id="42" xr3:uid="{00000000-0010-0000-0E00-00002A000000}" name="TransactionClass"/>
    <tableColumn id="43" xr3:uid="{00000000-0010-0000-0E00-00002B000000}" name="ReportScope"/>
    <tableColumn id="44" xr3:uid="{00000000-0010-0000-0E00-00002C000000}" name="CustomerAnalysisEligible"/>
    <tableColumn id="45" xr3:uid="{00000000-0010-0000-0E00-00002D000000}" name="NeedsReview"/>
    <tableColumn id="46" xr3:uid="{00000000-0010-0000-0E00-00002E000000}" name="ReviewReasons"/>
    <tableColumn id="47" xr3:uid="{00000000-0010-0000-0E00-00002F000000}" name="ExampleReas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DashboardData" displayName="tblDashboardData" ref="A1:I315" totalsRowShown="0">
  <autoFilter ref="A1:I315" xr:uid="{00000000-0009-0000-0100-000010000000}"/>
  <tableColumns count="9">
    <tableColumn id="1" xr3:uid="{00000000-0010-0000-0F00-000001000000}" name="Country"/>
    <tableColumn id="2" xr3:uid="{00000000-0010-0000-0F00-000002000000}" name="Month"/>
    <tableColumn id="3" xr3:uid="{00000000-0010-0000-0F00-000003000000}" name="MonthDate" dataDxfId="3"/>
    <tableColumn id="4" xr3:uid="{00000000-0010-0000-0F00-000004000000}" name="SalesGBP" dataDxfId="2"/>
    <tableColumn id="5" xr3:uid="{00000000-0010-0000-0F00-000005000000}" name="CancellationGBP" dataDxfId="1"/>
    <tableColumn id="6" xr3:uid="{00000000-0010-0000-0F00-000006000000}" name="SalesRows"/>
    <tableColumn id="7" xr3:uid="{00000000-0010-0000-0F00-000007000000}" name="KnownCustomerSalesRows"/>
    <tableColumn id="8" xr3:uid="{00000000-0010-0000-0F00-000008000000}" name="SalesInvoiceIDs"/>
    <tableColumn id="9" xr3:uid="{00000000-0010-0000-0F00-000009000000}" name="ReviewRow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RefreshInfo" displayName="tblRefreshInfo" ref="A1:B2" totalsRowShown="0">
  <autoFilter ref="A1:B2" xr:uid="{00000000-0009-0000-0100-000011000000}"/>
  <tableColumns count="2">
    <tableColumn id="1" xr3:uid="{00000000-0010-0000-1000-000001000000}" name="ExecutedAtUTC"/>
    <tableColumn id="2" xr3:uid="{00000000-0010-0000-1000-000002000000}" name="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71AE-4F29-4794-96B8-B27AE349A13E}">
  <dimension ref="A1:B9"/>
  <sheetViews>
    <sheetView tabSelected="0" workbookViewId="0">
      <selection activeCell="H14" sqref="H14"/>
    </sheetView>
  </sheetViews>
  <sheetFormatPr defaultRowHeight="15" x14ac:dyDescent="0.25"/>
  <cols>
    <col min="1" max="1" width="11.5703125" bestFit="1" customWidth="1"/>
    <col min="2" max="2" width="14.85546875" bestFit="1" customWidth="1"/>
  </cols>
  <sheetData>
    <row r="1" spans="1:2" x14ac:dyDescent="0.25">
      <c r="A1" t="s">
        <v>13402</v>
      </c>
      <c r="B1" t="s">
        <v>13403</v>
      </c>
    </row>
    <row r="2" spans="1:2" x14ac:dyDescent="0.25">
      <c r="A2" s="17" t="s">
        <v>13279</v>
      </c>
      <c r="B2">
        <v>0</v>
      </c>
    </row>
    <row r="3" spans="1:2" x14ac:dyDescent="0.25">
      <c r="A3" s="17" t="s">
        <v>127</v>
      </c>
      <c r="B3">
        <v>0</v>
      </c>
    </row>
    <row r="4" spans="1:2" x14ac:dyDescent="0.25">
      <c r="A4" s="17" t="s">
        <v>13404</v>
      </c>
      <c r="B4">
        <v>1454</v>
      </c>
    </row>
    <row r="5" spans="1:2" x14ac:dyDescent="0.25">
      <c r="A5" s="17" t="s">
        <v>13280</v>
      </c>
      <c r="B5">
        <v>0</v>
      </c>
    </row>
    <row r="6" spans="1:2" x14ac:dyDescent="0.25">
      <c r="A6" s="17" t="s">
        <v>13282</v>
      </c>
      <c r="B6">
        <v>0</v>
      </c>
    </row>
    <row r="7" spans="1:2" x14ac:dyDescent="0.25">
      <c r="A7" s="17" t="s">
        <v>13281</v>
      </c>
      <c r="B7">
        <v>0</v>
      </c>
    </row>
    <row r="8" spans="1:2" x14ac:dyDescent="0.25">
      <c r="A8" s="17" t="s">
        <v>4209</v>
      </c>
      <c r="B8">
        <v>135080</v>
      </c>
    </row>
    <row r="9" spans="1:2" x14ac:dyDescent="0.25">
      <c r="A9" s="17" t="s">
        <v>2</v>
      </c>
      <c r="B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92E8-A811-4911-9ABB-BC8FB8B0C30C}">
  <dimension ref="A1:B3"/>
  <sheetViews>
    <sheetView workbookViewId="0" tabSelected="0">
      <selection activeCell="G12" sqref="G12"/>
    </sheetView>
  </sheetViews>
  <sheetFormatPr defaultRowHeight="15" x14ac:dyDescent="0.25"/>
  <cols>
    <col min="1" max="1" width="14.42578125" bestFit="1" customWidth="1"/>
    <col min="2" max="2" width="8.5703125" bestFit="1" customWidth="1"/>
  </cols>
  <sheetData>
    <row r="1" spans="1:2" x14ac:dyDescent="0.25">
      <c r="A1" t="s">
        <v>13398</v>
      </c>
      <c r="B1" t="s">
        <v>13399</v>
      </c>
    </row>
    <row r="2" spans="1:2" x14ac:dyDescent="0.25">
      <c r="A2" t="s">
        <v>13400</v>
      </c>
      <c r="B2">
        <v>541909</v>
      </c>
    </row>
    <row r="3" spans="1:2" x14ac:dyDescent="0.25">
      <c r="A3" t="s">
        <v>13401</v>
      </c>
      <c r="B3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57"/>
  <sheetViews>
    <sheetView showGridLines="0" zoomScaleNormal="100" workbookViewId="0" tabSelected="1">
      <selection activeCell="J5" sqref="J5:L5"/>
    </sheetView>
  </sheetViews>
  <sheetFormatPr defaultRowHeight="15" x14ac:dyDescent="0.25"/>
  <cols>
    <col min="1" max="1" width="2.7109375" customWidth="1"/>
    <col min="2" max="13" width="12.7109375" customWidth="1"/>
    <col min="14" max="14" width="2.7109375" customWidth="1"/>
  </cols>
  <sheetData>
    <row r="1" spans="2:13" ht="39.950000000000003" customHeight="1" x14ac:dyDescent="0.25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2:13" x14ac:dyDescent="0.25">
      <c r="B2" s="15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spans="2:13" x14ac:dyDescent="0.25">
      <c r="B4" s="1" t="s">
        <v>2</v>
      </c>
      <c r="F4" s="1" t="s">
        <v>3</v>
      </c>
      <c r="J4" s="1" t="s">
        <v>4</v>
      </c>
    </row>
    <row r="5" spans="2:13" x14ac:dyDescent="0.25">
      <c r="B5" s="16" t="s">
        <v>5</v>
      </c>
      <c r="C5" s="16"/>
      <c r="D5" s="16"/>
      <c r="F5" s="16" t="s">
        <v>6</v>
      </c>
      <c r="G5" s="16"/>
      <c r="H5" s="16"/>
      <c r="J5" s="16" t="s">
        <v>7</v>
      </c>
      <c r="K5" s="16"/>
      <c r="L5" s="16"/>
    </row>
    <row r="6" spans="2:13" x14ac:dyDescent="0.25">
      <c r="B6" s="10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8" spans="2:13" x14ac:dyDescent="0.25">
      <c r="B8" s="10" t="s">
        <v>9</v>
      </c>
      <c r="C8" s="10"/>
      <c r="D8" s="10"/>
      <c r="E8" s="10"/>
      <c r="F8" s="10" t="s">
        <v>10</v>
      </c>
      <c r="G8" s="10"/>
      <c r="H8" s="10"/>
      <c r="I8" s="10"/>
      <c r="J8" s="10" t="s">
        <v>11</v>
      </c>
      <c r="K8" s="10"/>
      <c r="L8" s="10"/>
      <c r="M8" s="10"/>
    </row>
    <row r="9" spans="2:13" x14ac:dyDescent="0.25">
      <c r="B9" s="13">
        <f>SUMIFS(DashboardData!$D:$D,DashboardData!$A:$A,IF($B$5="All","*",$B$5),DashboardData!$C:$C,"&gt;="&amp;DATE(VALUE(LEFT($F$5,4)),VALUE(RIGHT($F$5,2)),1),DashboardData!$C:$C,"&lt;="&amp;DATE(VALUE(LEFT($J$5,4)),VALUE(RIGHT($J$5,2)),1))</f>
        <v>10271433.062999995</v>
      </c>
      <c r="C9" s="13"/>
      <c r="D9" s="13"/>
      <c r="E9" s="13"/>
      <c r="F9" s="13">
        <f>SUMIFS(DashboardData!$E:$E,DashboardData!$A:$A,IF($B$5="All","*",$B$5),DashboardData!$C:$C,"&gt;="&amp;DATE(VALUE(LEFT($F$5,4)),VALUE(RIGHT($F$5,2)),1),DashboardData!$C:$C,"&lt;="&amp;DATE(VALUE(LEFT($J$5,4)),VALUE(RIGHT($J$5,2)),1))</f>
        <v>478724.18</v>
      </c>
      <c r="G9" s="13"/>
      <c r="H9" s="13"/>
      <c r="I9" s="13"/>
      <c r="J9" s="13">
        <f>SUMIFS(DashboardData!$D:$D,DashboardData!$A:$A,IF($B$5="All","*",$B$5),DashboardData!$C:$C,"&gt;="&amp;DATE(VALUE(LEFT($F$5,4)),VALUE(RIGHT($F$5,2)),1),DashboardData!$C:$C,"&lt;="&amp;DATE(VALUE(LEFT($J$5,4)),VALUE(RIGHT($J$5,2)),1))-SUMIFS(DashboardData!$E:$E,DashboardData!$A:$A,IF($B$5="All","*",$B$5),DashboardData!$C:$C,"&gt;="&amp;DATE(VALUE(LEFT($F$5,4)),VALUE(RIGHT($F$5,2)),1),DashboardData!$C:$C,"&lt;="&amp;DATE(VALUE(LEFT($J$5,4)),VALUE(RIGHT($J$5,2)),1))</f>
        <v>9792708.8829999957</v>
      </c>
      <c r="K9" s="13"/>
      <c r="L9" s="13"/>
      <c r="M9" s="13"/>
    </row>
    <row r="10" spans="2:13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2" spans="2:13" x14ac:dyDescent="0.25">
      <c r="B12" s="10" t="s">
        <v>12</v>
      </c>
      <c r="C12" s="10"/>
      <c r="D12" s="10"/>
      <c r="E12" s="10"/>
      <c r="F12" s="10" t="s">
        <v>13</v>
      </c>
      <c r="G12" s="10"/>
      <c r="H12" s="10"/>
      <c r="I12" s="10"/>
      <c r="J12" s="10" t="s">
        <v>14</v>
      </c>
      <c r="K12" s="10"/>
      <c r="L12" s="10"/>
      <c r="M12" s="10"/>
    </row>
    <row r="13" spans="2:13" x14ac:dyDescent="0.25">
      <c r="B13" s="11">
        <f>SUMIFS(DashboardData!$H:$H,DashboardData!$A:$A,IF($B$5="All","*",$B$5),DashboardData!$C:$C,"&gt;="&amp;DATE(VALUE(LEFT($F$5,4)),VALUE(RIGHT($F$5,2)),1),DashboardData!$C:$C,"&lt;="&amp;DATE(VALUE(LEFT($J$5,4)),VALUE(RIGHT($J$5,2)),1))</f>
        <v>19773</v>
      </c>
      <c r="C13" s="11"/>
      <c r="D13" s="11"/>
      <c r="E13" s="11"/>
      <c r="F13" s="12">
        <f>IFERROR(SUMIFS(DashboardData!$G:$G,DashboardData!$A:$A,IF($B$5="All","*",$B$5),DashboardData!$C:$C,"&gt;="&amp;DATE(VALUE(LEFT($F$5,4)),VALUE(RIGHT($F$5,2)),1),DashboardData!$C:$C,"&lt;="&amp;DATE(VALUE(LEFT($J$5,4)),VALUE(RIGHT($J$5,2)),1))/SUMIFS(DashboardData!$F:$F,DashboardData!$A:$A,IF($B$5="All","*",$B$5),DashboardData!$C:$C,"&gt;="&amp;DATE(VALUE(LEFT($F$5,4)),VALUE(RIGHT($F$5,2)),1),DashboardData!$C:$C,"&lt;="&amp;DATE(VALUE(LEFT($J$5,4)),VALUE(RIGHT($J$5,2)),1)),0)</f>
        <v>0.75098387338208017</v>
      </c>
      <c r="G13" s="12"/>
      <c r="H13" s="12"/>
      <c r="I13" s="12"/>
      <c r="J13" s="11">
        <f>SUMIFS(DashboardData!$I:$I,DashboardData!$A:$A,IF($B$5="All","*",$B$5),DashboardData!$C:$C,"&gt;="&amp;DATE(VALUE(LEFT($F$5,4)),VALUE(RIGHT($F$5,2)),1),DashboardData!$C:$C,"&lt;="&amp;DATE(VALUE(LEFT($J$5,4)),VALUE(RIGHT($J$5,2)),1))</f>
        <v>232181</v>
      </c>
      <c r="K13" s="11"/>
      <c r="L13" s="11"/>
      <c r="M13" s="11"/>
    </row>
    <row r="14" spans="2:13" x14ac:dyDescent="0.25">
      <c r="B14" s="11"/>
      <c r="C14" s="11"/>
      <c r="D14" s="11"/>
      <c r="E14" s="11"/>
      <c r="F14" s="12"/>
      <c r="G14" s="12"/>
      <c r="H14" s="12"/>
      <c r="I14" s="12"/>
      <c r="J14" s="11"/>
      <c r="K14" s="11"/>
      <c r="L14" s="11"/>
      <c r="M14" s="11"/>
    </row>
    <row r="16" spans="2:13" x14ac:dyDescent="0.25">
      <c r="B16" s="8" t="str">
        <f>RefreshInfo!B2&amp;" | Reference built UTC: "&amp;RefreshInfo!A2</f>
        <v>Reference dashboard | Embedded audit queries refreshed in Excel 2021; full-model integration pending | Reference built UTC: 2026-10-12T08:33:17.842813+00:00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2:13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2:13" x14ac:dyDescent="0.25">
      <c r="B18" s="9" t="s">
        <v>15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2:13" x14ac:dyDescent="0.2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54" spans="2:13" x14ac:dyDescent="0.25">
      <c r="B54" s="9" t="s">
        <v>13396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2:13" x14ac:dyDescent="0.2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spans="2:13" x14ac:dyDescent="0.25">
      <c r="B56" s="9" t="s">
        <v>13397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pans="2:13" x14ac:dyDescent="0.25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</sheetData>
  <mergeCells count="22">
    <mergeCell ref="B1:M1"/>
    <mergeCell ref="B2:M2"/>
    <mergeCell ref="B5:D5"/>
    <mergeCell ref="F5:H5"/>
    <mergeCell ref="J5:L5"/>
    <mergeCell ref="B6:M6"/>
    <mergeCell ref="B8:E8"/>
    <mergeCell ref="B9:E10"/>
    <mergeCell ref="F8:I8"/>
    <mergeCell ref="F9:I10"/>
    <mergeCell ref="J8:M8"/>
    <mergeCell ref="J9:M10"/>
    <mergeCell ref="B16:M17"/>
    <mergeCell ref="B18:M19"/>
    <mergeCell ref="B54:M55"/>
    <mergeCell ref="B56:M57"/>
    <mergeCell ref="B12:E12"/>
    <mergeCell ref="B13:E14"/>
    <mergeCell ref="F12:I12"/>
    <mergeCell ref="F13:I14"/>
    <mergeCell ref="J12:M12"/>
    <mergeCell ref="J13:M14"/>
  </mergeCells>
  <dataValidations count="2">
    <dataValidation type="list" allowBlank="1" showInputMessage="1" showErrorMessage="1" sqref="B5" xr:uid="{00000000-0002-0000-0000-000000000000}">
      <formula1>rdrCountryOptions</formula1>
    </dataValidation>
    <dataValidation type="list" allowBlank="1" showInputMessage="1" showErrorMessage="1" sqref="F5 J5" xr:uid="{00000000-0002-0000-0000-000001000000}">
      <formula1>rdrMonthOptions</formula1>
    </dataValidation>
  </dataValidations>
  <pageMargins left="0.25" right="0.25" top="0.3" bottom="0.3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 tabSelected="0">
      <selection activeCell="A14" sqref="A14"/>
    </sheetView>
  </sheetViews>
  <sheetFormatPr defaultRowHeight="15" x14ac:dyDescent="0.25"/>
  <cols>
    <col min="1" max="1" width="78.7109375" customWidth="1"/>
    <col min="2" max="2" width="25.7109375" customWidth="1"/>
  </cols>
  <sheetData>
    <row r="1" spans="1:2" x14ac:dyDescent="0.25">
      <c r="A1" s="1" t="s">
        <v>16</v>
      </c>
    </row>
    <row r="5" spans="1:2" x14ac:dyDescent="0.25">
      <c r="A5" t="s">
        <v>17</v>
      </c>
      <c r="B5" t="s">
        <v>18</v>
      </c>
    </row>
    <row r="6" spans="1:2" x14ac:dyDescent="0.25">
      <c r="A6" t="inlineStr">
        <is>
          <t>C:\RetailDataRescue\raw\Online Retail.xlsx</t>
        </is>
      </c>
      <c r="B6" t="b">
        <v>1</v>
      </c>
    </row>
    <row r="9" spans="1:2" x14ac:dyDescent="0.25">
      <c r="A9" s="3" t="s">
        <v>20</v>
      </c>
    </row>
    <row r="11" spans="1:2" ht="35.1" customHeight="1" x14ac:dyDescent="0.25">
      <c r="A11" s="2" t="inlineStr">
        <is>
          <t>Four audit queries are embedded. Full reporting M sources are in power_query/; see the setup guide.</t>
        </is>
      </c>
    </row>
    <row r="14" spans="1:2" x14ac:dyDescent="0.25">
      <c r="A14" s="3" t="s">
        <v>22</v>
      </c>
    </row>
    <row r="17" spans="1:1" x14ac:dyDescent="0.25">
      <c r="A17" s="3" t="s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7"/>
  <sheetViews>
    <sheetView showGridLines="0" workbookViewId="0" tabSelected="0">
      <pane ySplit="1" topLeftCell="A2" activePane="bottomLeft" state="frozen"/>
      <selection pane="bottomLeft"/>
    </sheetView>
  </sheetViews>
  <sheetFormatPr defaultRowHeight="15" x14ac:dyDescent="0.25"/>
  <cols>
    <col min="1" max="1" width="45.7109375" customWidth="1"/>
    <col min="2" max="2" width="19" bestFit="1" customWidth="1"/>
  </cols>
  <sheetData>
    <row r="1" spans="1:2" ht="27.95" customHeight="1" x14ac:dyDescent="0.25">
      <c r="A1" t="s">
        <v>24</v>
      </c>
      <c r="B1" t="s">
        <v>25</v>
      </c>
    </row>
    <row r="2" spans="1:2" x14ac:dyDescent="0.25">
      <c r="A2" t="s">
        <v>26</v>
      </c>
      <c r="B2">
        <v>541909</v>
      </c>
    </row>
    <row r="3" spans="1:2" x14ac:dyDescent="0.25">
      <c r="A3" t="s">
        <v>27</v>
      </c>
      <c r="B3">
        <v>25900</v>
      </c>
    </row>
    <row r="4" spans="1:2" x14ac:dyDescent="0.25">
      <c r="A4" t="s">
        <v>28</v>
      </c>
      <c r="B4">
        <v>9747747.9340000004</v>
      </c>
    </row>
    <row r="5" spans="1:2" x14ac:dyDescent="0.25">
      <c r="A5" t="s">
        <v>29</v>
      </c>
      <c r="B5">
        <v>10271433.062999999</v>
      </c>
    </row>
    <row r="6" spans="1:2" x14ac:dyDescent="0.25">
      <c r="A6" t="s">
        <v>30</v>
      </c>
      <c r="B6">
        <v>478724.18</v>
      </c>
    </row>
    <row r="7" spans="1:2" x14ac:dyDescent="0.25">
      <c r="A7" t="s">
        <v>31</v>
      </c>
      <c r="B7">
        <v>9792708.8829999994</v>
      </c>
    </row>
    <row r="8" spans="1:2" x14ac:dyDescent="0.25">
      <c r="A8" t="s">
        <v>32</v>
      </c>
      <c r="B8">
        <v>19773</v>
      </c>
    </row>
    <row r="9" spans="1:2" x14ac:dyDescent="0.25">
      <c r="A9" t="s">
        <v>33</v>
      </c>
      <c r="B9">
        <v>527761</v>
      </c>
    </row>
    <row r="10" spans="1:2" x14ac:dyDescent="0.25">
      <c r="A10" t="s">
        <v>34</v>
      </c>
      <c r="B10">
        <v>396340</v>
      </c>
    </row>
    <row r="11" spans="1:2" x14ac:dyDescent="0.25">
      <c r="A11" t="s">
        <v>35</v>
      </c>
      <c r="B11">
        <v>0.75098387338208017</v>
      </c>
    </row>
    <row r="12" spans="1:2" x14ac:dyDescent="0.25">
      <c r="A12" t="s">
        <v>36</v>
      </c>
      <c r="B12">
        <v>0.85295465581714414</v>
      </c>
    </row>
    <row r="13" spans="1:2" x14ac:dyDescent="0.25">
      <c r="A13" t="s">
        <v>37</v>
      </c>
      <c r="B13">
        <v>4334</v>
      </c>
    </row>
    <row r="14" spans="1:2" x14ac:dyDescent="0.25">
      <c r="A14" t="s">
        <v>38</v>
      </c>
      <c r="B14">
        <v>232181</v>
      </c>
    </row>
    <row r="15" spans="1:2" x14ac:dyDescent="0.25">
      <c r="A15" t="s">
        <v>39</v>
      </c>
      <c r="B15">
        <v>3585131.48</v>
      </c>
    </row>
    <row r="16" spans="1:2" x14ac:dyDescent="0.25">
      <c r="A16" t="s">
        <v>40</v>
      </c>
      <c r="B16">
        <v>5268</v>
      </c>
    </row>
    <row r="17" spans="1:2" x14ac:dyDescent="0.25">
      <c r="A17" t="s">
        <v>41</v>
      </c>
      <c r="B17">
        <v>21740.98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4"/>
  <sheetViews>
    <sheetView showGridLines="0" workbookViewId="0" tabSelected="0">
      <pane ySplit="1" topLeftCell="A2" activePane="bottomLeft" state="frozen"/>
      <selection pane="bottomLeft" activeCell="B36" sqref="B36"/>
    </sheetView>
  </sheetViews>
  <sheetFormatPr defaultRowHeight="15" x14ac:dyDescent="0.25"/>
  <cols>
    <col min="1" max="8" width="18.7109375" customWidth="1"/>
    <col min="9" max="9" width="19.85546875" bestFit="1" customWidth="1"/>
    <col min="10" max="10" width="19.42578125" bestFit="1" customWidth="1"/>
    <col min="11" max="11" width="43.140625" bestFit="1" customWidth="1"/>
  </cols>
  <sheetData>
    <row r="1" spans="1:11" ht="27.95" customHeight="1" x14ac:dyDescent="0.25">
      <c r="A1" t="s">
        <v>42</v>
      </c>
      <c r="B1" t="s">
        <v>26</v>
      </c>
      <c r="C1" t="s">
        <v>33</v>
      </c>
      <c r="D1" t="s">
        <v>43</v>
      </c>
      <c r="E1" t="s">
        <v>44</v>
      </c>
      <c r="F1" t="s">
        <v>45</v>
      </c>
      <c r="G1" t="s">
        <v>46</v>
      </c>
      <c r="H1" t="s">
        <v>38</v>
      </c>
      <c r="I1" t="s">
        <v>47</v>
      </c>
      <c r="J1" t="s">
        <v>48</v>
      </c>
      <c r="K1" t="s">
        <v>49</v>
      </c>
    </row>
    <row r="2" spans="1:11" x14ac:dyDescent="0.25">
      <c r="A2" t="s">
        <v>6</v>
      </c>
      <c r="B2">
        <v>42481</v>
      </c>
      <c r="C2">
        <v>41315</v>
      </c>
      <c r="D2">
        <v>1550</v>
      </c>
      <c r="E2" s="4">
        <v>777931.77</v>
      </c>
      <c r="F2" s="4">
        <v>17607.86</v>
      </c>
      <c r="G2" s="4">
        <v>760323.91</v>
      </c>
      <c r="H2">
        <v>22229</v>
      </c>
      <c r="I2" s="5" t="s">
        <v>50</v>
      </c>
      <c r="J2" s="5" t="s">
        <v>51</v>
      </c>
      <c r="K2" t="s">
        <v>52</v>
      </c>
    </row>
    <row r="3" spans="1:11" x14ac:dyDescent="0.25">
      <c r="A3" t="s">
        <v>53</v>
      </c>
      <c r="B3">
        <v>35147</v>
      </c>
      <c r="C3">
        <v>34148</v>
      </c>
      <c r="D3">
        <v>1081</v>
      </c>
      <c r="E3" s="4">
        <v>671933.19</v>
      </c>
      <c r="F3" s="4">
        <v>91526.3</v>
      </c>
      <c r="G3" s="4">
        <v>580406.89</v>
      </c>
      <c r="H3">
        <v>17860</v>
      </c>
      <c r="I3" s="5" t="s">
        <v>54</v>
      </c>
      <c r="J3" s="5" t="s">
        <v>55</v>
      </c>
      <c r="K3" t="s">
        <v>56</v>
      </c>
    </row>
    <row r="4" spans="1:11" x14ac:dyDescent="0.25">
      <c r="A4" t="s">
        <v>57</v>
      </c>
      <c r="B4">
        <v>27707</v>
      </c>
      <c r="C4">
        <v>26964</v>
      </c>
      <c r="D4">
        <v>1093</v>
      </c>
      <c r="E4" s="4">
        <v>508886.2</v>
      </c>
      <c r="F4" s="4">
        <v>8375.8700000000008</v>
      </c>
      <c r="G4" s="4">
        <v>500510.33</v>
      </c>
      <c r="H4">
        <v>11654</v>
      </c>
      <c r="I4" s="5" t="s">
        <v>58</v>
      </c>
      <c r="J4" s="5" t="s">
        <v>59</v>
      </c>
      <c r="K4" t="s">
        <v>56</v>
      </c>
    </row>
    <row r="5" spans="1:11" x14ac:dyDescent="0.25">
      <c r="A5" t="s">
        <v>60</v>
      </c>
      <c r="B5">
        <v>36748</v>
      </c>
      <c r="C5">
        <v>35607</v>
      </c>
      <c r="D5">
        <v>1440</v>
      </c>
      <c r="E5" s="4">
        <v>691257.61</v>
      </c>
      <c r="F5" s="4">
        <v>10675.3</v>
      </c>
      <c r="G5" s="4">
        <v>680582.31</v>
      </c>
      <c r="H5">
        <v>14874</v>
      </c>
      <c r="I5" s="5" t="s">
        <v>61</v>
      </c>
      <c r="J5" s="5" t="s">
        <v>62</v>
      </c>
      <c r="K5" t="s">
        <v>56</v>
      </c>
    </row>
    <row r="6" spans="1:11" x14ac:dyDescent="0.25">
      <c r="A6" t="s">
        <v>63</v>
      </c>
      <c r="B6">
        <v>29916</v>
      </c>
      <c r="C6">
        <v>28957</v>
      </c>
      <c r="D6">
        <v>1235</v>
      </c>
      <c r="E6" s="4">
        <v>516218.12099999998</v>
      </c>
      <c r="F6" s="4">
        <v>33316.910000000003</v>
      </c>
      <c r="G6" s="4">
        <v>482901.21100000001</v>
      </c>
      <c r="H6">
        <v>11812</v>
      </c>
      <c r="I6" s="5" t="s">
        <v>64</v>
      </c>
      <c r="J6" s="5" t="s">
        <v>65</v>
      </c>
      <c r="K6" t="s">
        <v>56</v>
      </c>
    </row>
    <row r="7" spans="1:11" x14ac:dyDescent="0.25">
      <c r="A7" t="s">
        <v>66</v>
      </c>
      <c r="B7">
        <v>37030</v>
      </c>
      <c r="C7">
        <v>35979</v>
      </c>
      <c r="D7">
        <v>1668</v>
      </c>
      <c r="E7" s="4">
        <v>741192.41</v>
      </c>
      <c r="F7" s="4">
        <v>8948.23</v>
      </c>
      <c r="G7" s="4">
        <v>732244.18</v>
      </c>
      <c r="H7">
        <v>15321</v>
      </c>
      <c r="I7" s="5" t="s">
        <v>67</v>
      </c>
      <c r="J7" s="5" t="s">
        <v>68</v>
      </c>
      <c r="K7" t="s">
        <v>56</v>
      </c>
    </row>
    <row r="8" spans="1:11" x14ac:dyDescent="0.25">
      <c r="A8" t="s">
        <v>69</v>
      </c>
      <c r="B8">
        <v>36874</v>
      </c>
      <c r="C8">
        <v>35773</v>
      </c>
      <c r="D8">
        <v>1525</v>
      </c>
      <c r="E8" s="4">
        <v>738751.87</v>
      </c>
      <c r="F8" s="4">
        <v>13760.84</v>
      </c>
      <c r="G8" s="4">
        <v>724991.03</v>
      </c>
      <c r="H8">
        <v>15966</v>
      </c>
      <c r="I8" s="5" t="s">
        <v>70</v>
      </c>
      <c r="J8" s="5" t="s">
        <v>71</v>
      </c>
      <c r="K8" t="s">
        <v>56</v>
      </c>
    </row>
    <row r="9" spans="1:11" x14ac:dyDescent="0.25">
      <c r="A9" t="s">
        <v>72</v>
      </c>
      <c r="B9">
        <v>39518</v>
      </c>
      <c r="C9">
        <v>38444</v>
      </c>
      <c r="D9">
        <v>1452</v>
      </c>
      <c r="E9" s="4">
        <v>689364.41099999996</v>
      </c>
      <c r="F9" s="4">
        <v>11409.21</v>
      </c>
      <c r="G9" s="4">
        <v>677955.201</v>
      </c>
      <c r="H9">
        <v>18721</v>
      </c>
      <c r="I9" s="5" t="s">
        <v>73</v>
      </c>
      <c r="J9" s="5" t="s">
        <v>74</v>
      </c>
      <c r="K9" t="s">
        <v>56</v>
      </c>
    </row>
    <row r="10" spans="1:11" x14ac:dyDescent="0.25">
      <c r="A10" t="s">
        <v>75</v>
      </c>
      <c r="B10">
        <v>35284</v>
      </c>
      <c r="C10">
        <v>34326</v>
      </c>
      <c r="D10">
        <v>1339</v>
      </c>
      <c r="E10" s="4">
        <v>725513.5</v>
      </c>
      <c r="F10" s="4">
        <v>22929.52</v>
      </c>
      <c r="G10" s="4">
        <v>702583.98</v>
      </c>
      <c r="H10">
        <v>14162</v>
      </c>
      <c r="I10" s="5" t="s">
        <v>76</v>
      </c>
      <c r="J10" s="5" t="s">
        <v>77</v>
      </c>
      <c r="K10" t="s">
        <v>56</v>
      </c>
    </row>
    <row r="11" spans="1:11" x14ac:dyDescent="0.25">
      <c r="A11" t="s">
        <v>78</v>
      </c>
      <c r="B11">
        <v>50226</v>
      </c>
      <c r="C11">
        <v>49057</v>
      </c>
      <c r="D11">
        <v>1818</v>
      </c>
      <c r="E11" s="4">
        <v>1030475.361</v>
      </c>
      <c r="F11" s="4">
        <v>17044.68</v>
      </c>
      <c r="G11" s="4">
        <v>1013430.681</v>
      </c>
      <c r="H11">
        <v>19450</v>
      </c>
      <c r="I11" s="5" t="s">
        <v>79</v>
      </c>
      <c r="J11" s="5" t="s">
        <v>80</v>
      </c>
      <c r="K11" t="s">
        <v>56</v>
      </c>
    </row>
    <row r="12" spans="1:11" x14ac:dyDescent="0.25">
      <c r="A12" t="s">
        <v>81</v>
      </c>
      <c r="B12">
        <v>60742</v>
      </c>
      <c r="C12">
        <v>59068</v>
      </c>
      <c r="D12">
        <v>2005</v>
      </c>
      <c r="E12" s="4">
        <v>1106669.82</v>
      </c>
      <c r="F12" s="4">
        <v>43992.160000000003</v>
      </c>
      <c r="G12" s="4">
        <v>1062677.6599999999</v>
      </c>
      <c r="H12">
        <v>23302</v>
      </c>
      <c r="I12" s="5" t="s">
        <v>82</v>
      </c>
      <c r="J12" s="5" t="s">
        <v>83</v>
      </c>
      <c r="K12" t="s">
        <v>56</v>
      </c>
    </row>
    <row r="13" spans="1:11" x14ac:dyDescent="0.25">
      <c r="A13" t="s">
        <v>84</v>
      </c>
      <c r="B13">
        <v>84711</v>
      </c>
      <c r="C13">
        <v>83092</v>
      </c>
      <c r="D13">
        <v>2751</v>
      </c>
      <c r="E13" s="4">
        <v>1457745.53</v>
      </c>
      <c r="F13" s="4">
        <v>25010.54</v>
      </c>
      <c r="G13" s="4">
        <v>1432734.99</v>
      </c>
      <c r="H13">
        <v>35290</v>
      </c>
      <c r="I13" s="5" t="s">
        <v>85</v>
      </c>
      <c r="J13" s="5" t="s">
        <v>86</v>
      </c>
      <c r="K13" t="s">
        <v>56</v>
      </c>
    </row>
    <row r="14" spans="1:11" x14ac:dyDescent="0.25">
      <c r="A14" t="s">
        <v>7</v>
      </c>
      <c r="B14">
        <v>25525</v>
      </c>
      <c r="C14">
        <v>25031</v>
      </c>
      <c r="D14">
        <v>816</v>
      </c>
      <c r="E14" s="4">
        <v>615493.27</v>
      </c>
      <c r="F14" s="4">
        <v>174126.76</v>
      </c>
      <c r="G14" s="4">
        <v>441366.51</v>
      </c>
      <c r="H14">
        <v>11540</v>
      </c>
      <c r="I14" s="5" t="s">
        <v>87</v>
      </c>
      <c r="J14" s="5" t="s">
        <v>88</v>
      </c>
      <c r="K14" t="s">
        <v>52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9"/>
  <sheetViews>
    <sheetView showGridLines="0" workbookViewId="0" tabSelected="0">
      <pane ySplit="1" topLeftCell="A2" activePane="bottomLeft" state="frozen"/>
      <selection pane="bottomLeft"/>
    </sheetView>
  </sheetViews>
  <sheetFormatPr defaultRowHeight="15" x14ac:dyDescent="0.25"/>
  <cols>
    <col min="1" max="1" width="29.7109375" customWidth="1"/>
    <col min="2" max="6" width="18.7109375" customWidth="1"/>
  </cols>
  <sheetData>
    <row r="1" spans="1:6" ht="27.95" customHeight="1" x14ac:dyDescent="0.25">
      <c r="A1" t="s">
        <v>2</v>
      </c>
      <c r="B1" t="s">
        <v>44</v>
      </c>
      <c r="C1" t="s">
        <v>45</v>
      </c>
      <c r="D1" t="s">
        <v>46</v>
      </c>
      <c r="E1" t="s">
        <v>33</v>
      </c>
      <c r="F1" t="s">
        <v>43</v>
      </c>
    </row>
    <row r="2" spans="1:6" x14ac:dyDescent="0.25">
      <c r="A2" t="s">
        <v>89</v>
      </c>
      <c r="B2" s="4">
        <v>8747561.6630000006</v>
      </c>
      <c r="C2" s="4">
        <v>445843.38</v>
      </c>
      <c r="D2" s="4">
        <v>8301718.2829999998</v>
      </c>
      <c r="E2">
        <v>484007</v>
      </c>
      <c r="F2">
        <v>17901</v>
      </c>
    </row>
    <row r="3" spans="1:6" x14ac:dyDescent="0.25">
      <c r="A3" t="s">
        <v>90</v>
      </c>
      <c r="B3" s="4">
        <v>283889.34000000003</v>
      </c>
      <c r="C3" s="4">
        <v>409.8</v>
      </c>
      <c r="D3" s="4">
        <v>283479.53999999998</v>
      </c>
      <c r="E3">
        <v>2322</v>
      </c>
      <c r="F3">
        <v>93</v>
      </c>
    </row>
    <row r="4" spans="1:6" x14ac:dyDescent="0.25">
      <c r="A4" t="s">
        <v>91</v>
      </c>
      <c r="B4" s="4">
        <v>271164.3</v>
      </c>
      <c r="C4" s="4">
        <v>11500.84</v>
      </c>
      <c r="D4" s="4">
        <v>259663.46</v>
      </c>
      <c r="E4">
        <v>7779</v>
      </c>
      <c r="F4">
        <v>282</v>
      </c>
    </row>
    <row r="5" spans="1:6" x14ac:dyDescent="0.25">
      <c r="A5" t="s">
        <v>92</v>
      </c>
      <c r="B5" s="4">
        <v>205569.89</v>
      </c>
      <c r="C5" s="4">
        <v>4761.49</v>
      </c>
      <c r="D5" s="4">
        <v>200808.4</v>
      </c>
      <c r="E5">
        <v>8658</v>
      </c>
      <c r="F5">
        <v>443</v>
      </c>
    </row>
    <row r="6" spans="1:6" x14ac:dyDescent="0.25">
      <c r="A6" t="s">
        <v>93</v>
      </c>
      <c r="B6" s="4">
        <v>184582.74</v>
      </c>
      <c r="C6" s="4">
        <v>2419.35</v>
      </c>
      <c r="D6" s="4">
        <v>182163.39</v>
      </c>
      <c r="E6">
        <v>8100</v>
      </c>
      <c r="F6">
        <v>382</v>
      </c>
    </row>
    <row r="7" spans="1:6" x14ac:dyDescent="0.25">
      <c r="A7" t="s">
        <v>94</v>
      </c>
      <c r="B7" s="4">
        <v>138171.31</v>
      </c>
      <c r="C7" s="4">
        <v>1181.31</v>
      </c>
      <c r="D7" s="4">
        <v>136990</v>
      </c>
      <c r="E7">
        <v>1181</v>
      </c>
      <c r="F7">
        <v>56</v>
      </c>
    </row>
    <row r="8" spans="1:6" x14ac:dyDescent="0.25">
      <c r="A8" t="s">
        <v>95</v>
      </c>
      <c r="B8" s="4">
        <v>55725.11</v>
      </c>
      <c r="C8" s="4">
        <v>3959.91</v>
      </c>
      <c r="D8" s="4">
        <v>51765.2</v>
      </c>
      <c r="E8">
        <v>2422</v>
      </c>
      <c r="F8">
        <v>88</v>
      </c>
    </row>
    <row r="9" spans="1:6" x14ac:dyDescent="0.25">
      <c r="A9" t="s">
        <v>96</v>
      </c>
      <c r="B9" s="4">
        <v>53087.9</v>
      </c>
      <c r="C9" s="4">
        <v>582.54999999999995</v>
      </c>
      <c r="D9" s="4">
        <v>52505.35</v>
      </c>
      <c r="E9">
        <v>1935</v>
      </c>
      <c r="F9">
        <v>50</v>
      </c>
    </row>
    <row r="10" spans="1:6" x14ac:dyDescent="0.25">
      <c r="A10" t="s">
        <v>97</v>
      </c>
      <c r="B10" s="4">
        <v>37416.370000000003</v>
      </c>
      <c r="C10" s="4">
        <v>1996.58</v>
      </c>
      <c r="D10" s="4">
        <v>35419.79</v>
      </c>
      <c r="E10">
        <v>321</v>
      </c>
      <c r="F10">
        <v>19</v>
      </c>
    </row>
    <row r="11" spans="1:6" x14ac:dyDescent="0.25">
      <c r="A11" t="s">
        <v>98</v>
      </c>
      <c r="B11" s="4">
        <v>36927.339999999997</v>
      </c>
      <c r="C11" s="4">
        <v>264.38</v>
      </c>
      <c r="D11" s="4">
        <v>36662.959999999999</v>
      </c>
      <c r="E11">
        <v>1935</v>
      </c>
      <c r="F11">
        <v>98</v>
      </c>
    </row>
    <row r="12" spans="1:6" x14ac:dyDescent="0.25">
      <c r="A12" t="s">
        <v>99</v>
      </c>
      <c r="B12" s="4">
        <v>36839.33</v>
      </c>
      <c r="C12" s="4">
        <v>1662.42</v>
      </c>
      <c r="D12" s="4">
        <v>35176.910000000003</v>
      </c>
      <c r="E12">
        <v>428</v>
      </c>
      <c r="F12">
        <v>34</v>
      </c>
    </row>
    <row r="13" spans="1:6" x14ac:dyDescent="0.25">
      <c r="A13" t="s">
        <v>100</v>
      </c>
      <c r="B13" s="4">
        <v>32454.639999999999</v>
      </c>
      <c r="C13" s="4">
        <v>161.68</v>
      </c>
      <c r="D13" s="4">
        <v>32292.959999999999</v>
      </c>
      <c r="E13">
        <v>1048</v>
      </c>
      <c r="F13">
        <v>32</v>
      </c>
    </row>
    <row r="14" spans="1:6" x14ac:dyDescent="0.25">
      <c r="A14" t="s">
        <v>101</v>
      </c>
      <c r="B14" s="4">
        <v>27015.16</v>
      </c>
      <c r="C14" s="4">
        <v>143.63999999999999</v>
      </c>
      <c r="D14" s="4">
        <v>26871.52</v>
      </c>
      <c r="E14">
        <v>1464</v>
      </c>
      <c r="F14">
        <v>50</v>
      </c>
    </row>
    <row r="15" spans="1:6" x14ac:dyDescent="0.25">
      <c r="A15" t="s">
        <v>102</v>
      </c>
      <c r="B15" s="4">
        <v>20007.439999999999</v>
      </c>
      <c r="C15" s="4">
        <v>71.150000000000006</v>
      </c>
      <c r="D15" s="4">
        <v>19936.29</v>
      </c>
      <c r="E15">
        <v>744</v>
      </c>
      <c r="F15">
        <v>25</v>
      </c>
    </row>
    <row r="16" spans="1:6" x14ac:dyDescent="0.25">
      <c r="A16" t="s">
        <v>103</v>
      </c>
      <c r="B16" s="4">
        <v>18344.88</v>
      </c>
      <c r="C16" s="4">
        <v>41.34</v>
      </c>
      <c r="D16" s="4">
        <v>18303.54</v>
      </c>
      <c r="E16">
        <v>647</v>
      </c>
      <c r="F16">
        <v>40</v>
      </c>
    </row>
    <row r="17" spans="1:6" x14ac:dyDescent="0.25">
      <c r="A17" t="s">
        <v>104</v>
      </c>
      <c r="B17" s="4">
        <v>18211.34</v>
      </c>
      <c r="C17" s="4">
        <v>169.2</v>
      </c>
      <c r="D17" s="4">
        <v>18042.14</v>
      </c>
      <c r="E17">
        <v>367</v>
      </c>
      <c r="F17">
        <v>18</v>
      </c>
    </row>
    <row r="18" spans="1:6" x14ac:dyDescent="0.25">
      <c r="A18" t="s">
        <v>105</v>
      </c>
      <c r="B18" s="4">
        <v>15820.24</v>
      </c>
      <c r="C18" s="4">
        <v>543.9</v>
      </c>
      <c r="D18" s="4">
        <v>15276.34</v>
      </c>
      <c r="E18">
        <v>741</v>
      </c>
      <c r="F18">
        <v>35</v>
      </c>
    </row>
    <row r="19" spans="1:6" x14ac:dyDescent="0.25">
      <c r="A19" t="s">
        <v>106</v>
      </c>
      <c r="B19" s="4">
        <v>13254.69</v>
      </c>
      <c r="C19" s="4">
        <v>323.39999999999998</v>
      </c>
      <c r="D19" s="4">
        <v>12931.29</v>
      </c>
      <c r="E19">
        <v>612</v>
      </c>
      <c r="F19">
        <v>14</v>
      </c>
    </row>
    <row r="20" spans="1:6" x14ac:dyDescent="0.25">
      <c r="A20" t="s">
        <v>107</v>
      </c>
      <c r="B20" s="4">
        <v>9952.99</v>
      </c>
      <c r="C20" s="4">
        <v>10.95</v>
      </c>
      <c r="D20" s="4">
        <v>9942.0400000000009</v>
      </c>
      <c r="E20">
        <v>279</v>
      </c>
      <c r="F20">
        <v>7</v>
      </c>
    </row>
    <row r="21" spans="1:6" x14ac:dyDescent="0.25">
      <c r="A21" t="s">
        <v>108</v>
      </c>
      <c r="B21" s="4">
        <v>9120.39</v>
      </c>
      <c r="C21" s="4">
        <v>0</v>
      </c>
      <c r="D21" s="4">
        <v>9120.39</v>
      </c>
      <c r="E21">
        <v>215</v>
      </c>
      <c r="F21">
        <v>4</v>
      </c>
    </row>
    <row r="22" spans="1:6" x14ac:dyDescent="0.25">
      <c r="A22" t="s">
        <v>109</v>
      </c>
      <c r="B22" s="4">
        <v>8742.68</v>
      </c>
      <c r="C22" s="4">
        <v>44.36</v>
      </c>
      <c r="D22" s="4">
        <v>8698.32</v>
      </c>
      <c r="E22">
        <v>384</v>
      </c>
      <c r="F22">
        <v>17</v>
      </c>
    </row>
    <row r="23" spans="1:6" x14ac:dyDescent="0.25">
      <c r="A23" t="s">
        <v>110</v>
      </c>
      <c r="B23" s="4">
        <v>8135.26</v>
      </c>
      <c r="C23" s="4">
        <v>227.44</v>
      </c>
      <c r="D23" s="4">
        <v>7907.82</v>
      </c>
      <c r="E23">
        <v>295</v>
      </c>
      <c r="F23">
        <v>8</v>
      </c>
    </row>
    <row r="24" spans="1:6" x14ac:dyDescent="0.25">
      <c r="A24" t="s">
        <v>111</v>
      </c>
      <c r="B24" s="4">
        <v>6974.65</v>
      </c>
      <c r="C24" s="4">
        <v>121.51</v>
      </c>
      <c r="D24" s="4">
        <v>6853.14</v>
      </c>
      <c r="E24">
        <v>325</v>
      </c>
      <c r="F24">
        <v>19</v>
      </c>
    </row>
    <row r="25" spans="1:6" x14ac:dyDescent="0.25">
      <c r="A25" t="s">
        <v>112</v>
      </c>
      <c r="B25" s="4">
        <v>4749.79</v>
      </c>
      <c r="C25" s="4">
        <v>0</v>
      </c>
      <c r="D25" s="4">
        <v>4749.79</v>
      </c>
      <c r="E25">
        <v>446</v>
      </c>
      <c r="F25">
        <v>13</v>
      </c>
    </row>
    <row r="26" spans="1:6" x14ac:dyDescent="0.25">
      <c r="A26" t="s">
        <v>113</v>
      </c>
      <c r="B26" s="4">
        <v>4425.5200000000004</v>
      </c>
      <c r="C26" s="4">
        <v>0</v>
      </c>
      <c r="D26" s="4">
        <v>4425.5200000000004</v>
      </c>
      <c r="E26">
        <v>142</v>
      </c>
      <c r="F26">
        <v>5</v>
      </c>
    </row>
    <row r="27" spans="1:6" x14ac:dyDescent="0.25">
      <c r="A27" t="s">
        <v>114</v>
      </c>
      <c r="B27" s="4">
        <v>4310</v>
      </c>
      <c r="C27" s="4">
        <v>0</v>
      </c>
      <c r="D27" s="4">
        <v>4310</v>
      </c>
      <c r="E27">
        <v>182</v>
      </c>
      <c r="F27">
        <v>7</v>
      </c>
    </row>
    <row r="28" spans="1:6" x14ac:dyDescent="0.25">
      <c r="A28" t="s">
        <v>115</v>
      </c>
      <c r="B28" s="4">
        <v>3580.39</v>
      </c>
      <c r="C28" s="4">
        <v>1849.47</v>
      </c>
      <c r="D28" s="4">
        <v>1730.92</v>
      </c>
      <c r="E28">
        <v>179</v>
      </c>
      <c r="F28">
        <v>5</v>
      </c>
    </row>
    <row r="29" spans="1:6" x14ac:dyDescent="0.25">
      <c r="A29" t="s">
        <v>116</v>
      </c>
      <c r="B29" s="4">
        <v>3115.44</v>
      </c>
      <c r="C29" s="4">
        <v>0</v>
      </c>
      <c r="D29" s="4">
        <v>3115.44</v>
      </c>
      <c r="E29">
        <v>150</v>
      </c>
      <c r="F29">
        <v>5</v>
      </c>
    </row>
    <row r="30" spans="1:6" x14ac:dyDescent="0.25">
      <c r="A30" t="s">
        <v>117</v>
      </c>
      <c r="B30" s="4">
        <v>2070.59</v>
      </c>
      <c r="C30" s="4">
        <v>90.12</v>
      </c>
      <c r="D30" s="4">
        <v>1980.47</v>
      </c>
      <c r="E30">
        <v>109</v>
      </c>
      <c r="F30">
        <v>5</v>
      </c>
    </row>
    <row r="31" spans="1:6" x14ac:dyDescent="0.25">
      <c r="A31" t="s">
        <v>118</v>
      </c>
      <c r="B31" s="4">
        <v>1864.78</v>
      </c>
      <c r="C31" s="4">
        <v>0</v>
      </c>
      <c r="D31" s="4">
        <v>1864.78</v>
      </c>
      <c r="E31">
        <v>67</v>
      </c>
      <c r="F31">
        <v>2</v>
      </c>
    </row>
    <row r="32" spans="1:6" x14ac:dyDescent="0.25">
      <c r="A32" t="s">
        <v>119</v>
      </c>
      <c r="B32" s="4">
        <v>1693.88</v>
      </c>
      <c r="C32" s="4">
        <v>0</v>
      </c>
      <c r="D32" s="4">
        <v>1693.88</v>
      </c>
      <c r="E32">
        <v>45</v>
      </c>
      <c r="F32">
        <v>1</v>
      </c>
    </row>
    <row r="33" spans="1:6" x14ac:dyDescent="0.25">
      <c r="A33" t="s">
        <v>120</v>
      </c>
      <c r="B33" s="4">
        <v>1661.06</v>
      </c>
      <c r="C33" s="4">
        <v>0</v>
      </c>
      <c r="D33" s="4">
        <v>1661.06</v>
      </c>
      <c r="E33">
        <v>35</v>
      </c>
      <c r="F33">
        <v>4</v>
      </c>
    </row>
    <row r="34" spans="1:6" x14ac:dyDescent="0.25">
      <c r="A34" t="s">
        <v>121</v>
      </c>
      <c r="B34" s="4">
        <v>1159.25</v>
      </c>
      <c r="C34" s="4">
        <v>8.5</v>
      </c>
      <c r="D34" s="4">
        <v>1150.75</v>
      </c>
      <c r="E34">
        <v>57</v>
      </c>
      <c r="F34">
        <v>3</v>
      </c>
    </row>
    <row r="35" spans="1:6" x14ac:dyDescent="0.25">
      <c r="A35" t="s">
        <v>122</v>
      </c>
      <c r="B35" s="4">
        <v>1143.5999999999999</v>
      </c>
      <c r="C35" s="4">
        <v>0</v>
      </c>
      <c r="D35" s="4">
        <v>1143.5999999999999</v>
      </c>
      <c r="E35">
        <v>32</v>
      </c>
      <c r="F35">
        <v>1</v>
      </c>
    </row>
    <row r="36" spans="1:6" x14ac:dyDescent="0.25">
      <c r="A36" t="s">
        <v>123</v>
      </c>
      <c r="B36" s="4">
        <v>1002.31</v>
      </c>
      <c r="C36" s="4">
        <v>0</v>
      </c>
      <c r="D36" s="4">
        <v>1002.31</v>
      </c>
      <c r="E36">
        <v>57</v>
      </c>
      <c r="F36">
        <v>1</v>
      </c>
    </row>
    <row r="37" spans="1:6" x14ac:dyDescent="0.25">
      <c r="A37" t="s">
        <v>124</v>
      </c>
      <c r="B37" s="4">
        <v>786.74</v>
      </c>
      <c r="C37" s="4">
        <v>115.02</v>
      </c>
      <c r="D37" s="4">
        <v>671.72</v>
      </c>
      <c r="E37">
        <v>24</v>
      </c>
      <c r="F37">
        <v>2</v>
      </c>
    </row>
    <row r="38" spans="1:6" x14ac:dyDescent="0.25">
      <c r="A38" t="s">
        <v>125</v>
      </c>
      <c r="B38" s="4">
        <v>754.14</v>
      </c>
      <c r="C38" s="4">
        <v>205.74</v>
      </c>
      <c r="D38" s="4">
        <v>548.4</v>
      </c>
      <c r="E38">
        <v>18</v>
      </c>
      <c r="F38">
        <v>3</v>
      </c>
    </row>
    <row r="39" spans="1:6" x14ac:dyDescent="0.25">
      <c r="A39" t="s">
        <v>126</v>
      </c>
      <c r="B39" s="4">
        <v>145.91999999999999</v>
      </c>
      <c r="C39" s="4">
        <v>14.75</v>
      </c>
      <c r="D39" s="4">
        <v>131.16999999999999</v>
      </c>
      <c r="E39">
        <v>9</v>
      </c>
      <c r="F39">
        <v>1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923"/>
  <sheetViews>
    <sheetView showGridLines="0" workbookViewId="0" tabSelected="0">
      <pane ySplit="1" topLeftCell="A2" activePane="bottomLeft" state="frozen"/>
      <selection pane="bottomLeft"/>
    </sheetView>
  </sheetViews>
  <sheetFormatPr defaultRowHeight="15" x14ac:dyDescent="0.25"/>
  <cols>
    <col min="1" max="6" width="18.7109375" customWidth="1"/>
  </cols>
  <sheetData>
    <row r="1" spans="1:6" ht="27.95" customHeight="1" x14ac:dyDescent="0.25">
      <c r="A1" t="s">
        <v>127</v>
      </c>
      <c r="B1" t="s">
        <v>44</v>
      </c>
      <c r="C1" t="s">
        <v>45</v>
      </c>
      <c r="D1" t="s">
        <v>46</v>
      </c>
      <c r="E1" t="s">
        <v>33</v>
      </c>
      <c r="F1" t="s">
        <v>43</v>
      </c>
    </row>
    <row r="2" spans="1:6" x14ac:dyDescent="0.25">
      <c r="A2" t="s">
        <v>128</v>
      </c>
      <c r="B2" s="4">
        <v>174484.74</v>
      </c>
      <c r="C2" s="4">
        <v>9722.5499999999993</v>
      </c>
      <c r="D2" s="4">
        <v>164762.19</v>
      </c>
      <c r="E2">
        <v>2017</v>
      </c>
      <c r="F2">
        <v>1988</v>
      </c>
    </row>
    <row r="3" spans="1:6" x14ac:dyDescent="0.25">
      <c r="A3" t="s">
        <v>129</v>
      </c>
      <c r="B3" s="4">
        <v>168469.6</v>
      </c>
      <c r="C3" s="4">
        <v>168469.6</v>
      </c>
      <c r="D3" s="4">
        <v>0</v>
      </c>
      <c r="E3">
        <v>1</v>
      </c>
      <c r="F3">
        <v>1</v>
      </c>
    </row>
    <row r="4" spans="1:6" x14ac:dyDescent="0.25">
      <c r="A4" t="s">
        <v>130</v>
      </c>
      <c r="B4" s="4">
        <v>104518.8</v>
      </c>
      <c r="C4" s="4">
        <v>6624.3</v>
      </c>
      <c r="D4" s="4">
        <v>97894.5</v>
      </c>
      <c r="E4">
        <v>2265</v>
      </c>
      <c r="F4">
        <v>2198</v>
      </c>
    </row>
    <row r="5" spans="1:6" x14ac:dyDescent="0.25">
      <c r="A5" t="s">
        <v>131</v>
      </c>
      <c r="B5" s="4">
        <v>99504.33</v>
      </c>
      <c r="C5" s="4">
        <v>1201.3499999999999</v>
      </c>
      <c r="D5" s="4">
        <v>98302.98</v>
      </c>
      <c r="E5">
        <v>1706</v>
      </c>
      <c r="F5">
        <v>1685</v>
      </c>
    </row>
    <row r="6" spans="1:6" x14ac:dyDescent="0.25">
      <c r="A6" t="s">
        <v>132</v>
      </c>
      <c r="B6" s="4">
        <v>94340.05</v>
      </c>
      <c r="C6" s="4">
        <v>1984.02</v>
      </c>
      <c r="D6" s="4">
        <v>92356.03</v>
      </c>
      <c r="E6">
        <v>2112</v>
      </c>
      <c r="F6">
        <v>2089</v>
      </c>
    </row>
    <row r="7" spans="1:6" x14ac:dyDescent="0.25">
      <c r="A7" t="s">
        <v>133</v>
      </c>
      <c r="B7" s="4">
        <v>81700.92</v>
      </c>
      <c r="C7" s="4">
        <v>77479.64</v>
      </c>
      <c r="D7" s="4">
        <v>4221.28</v>
      </c>
      <c r="E7">
        <v>250</v>
      </c>
      <c r="F7">
        <v>247</v>
      </c>
    </row>
    <row r="8" spans="1:6" x14ac:dyDescent="0.25">
      <c r="A8" t="s">
        <v>134</v>
      </c>
      <c r="B8" s="4">
        <v>66964.990000000005</v>
      </c>
      <c r="C8" s="4">
        <v>208.4</v>
      </c>
      <c r="D8" s="4">
        <v>66756.59</v>
      </c>
      <c r="E8">
        <v>1036</v>
      </c>
      <c r="F8">
        <v>994</v>
      </c>
    </row>
    <row r="9" spans="1:6" x14ac:dyDescent="0.25">
      <c r="A9" t="s">
        <v>135</v>
      </c>
      <c r="B9" s="4">
        <v>64952.29</v>
      </c>
      <c r="C9" s="4">
        <v>1160.3499999999999</v>
      </c>
      <c r="D9" s="4">
        <v>63791.94</v>
      </c>
      <c r="E9">
        <v>1200</v>
      </c>
      <c r="F9">
        <v>1160</v>
      </c>
    </row>
    <row r="10" spans="1:6" x14ac:dyDescent="0.25">
      <c r="A10" t="s">
        <v>136</v>
      </c>
      <c r="B10" s="4">
        <v>59094.93</v>
      </c>
      <c r="C10" s="4">
        <v>135.19999999999999</v>
      </c>
      <c r="D10" s="4">
        <v>58959.73</v>
      </c>
      <c r="E10">
        <v>1489</v>
      </c>
      <c r="F10">
        <v>1455</v>
      </c>
    </row>
    <row r="11" spans="1:6" x14ac:dyDescent="0.25">
      <c r="A11" t="s">
        <v>137</v>
      </c>
      <c r="B11" s="4">
        <v>54117.760000000002</v>
      </c>
      <c r="C11" s="4">
        <v>349.7</v>
      </c>
      <c r="D11" s="4">
        <v>53768.06</v>
      </c>
      <c r="E11">
        <v>670</v>
      </c>
      <c r="F11">
        <v>661</v>
      </c>
    </row>
    <row r="12" spans="1:6" x14ac:dyDescent="0.25">
      <c r="A12" t="s">
        <v>138</v>
      </c>
      <c r="B12" s="4">
        <v>51426.62</v>
      </c>
      <c r="C12" s="4">
        <v>385.25</v>
      </c>
      <c r="D12" s="4">
        <v>51041.37</v>
      </c>
      <c r="E12">
        <v>469</v>
      </c>
      <c r="F12">
        <v>463</v>
      </c>
    </row>
    <row r="13" spans="1:6" x14ac:dyDescent="0.25">
      <c r="A13" t="s">
        <v>139</v>
      </c>
      <c r="B13" s="4">
        <v>51354.02</v>
      </c>
      <c r="C13" s="4">
        <v>366.55</v>
      </c>
      <c r="D13" s="4">
        <v>50987.47</v>
      </c>
      <c r="E13">
        <v>1426</v>
      </c>
      <c r="F13">
        <v>1392</v>
      </c>
    </row>
    <row r="14" spans="1:6" x14ac:dyDescent="0.25">
      <c r="A14" t="s">
        <v>140</v>
      </c>
      <c r="B14" s="4">
        <v>43182.83</v>
      </c>
      <c r="C14" s="4">
        <v>482.81</v>
      </c>
      <c r="D14" s="4">
        <v>42700.02</v>
      </c>
      <c r="E14">
        <v>1165</v>
      </c>
      <c r="F14">
        <v>1146</v>
      </c>
    </row>
    <row r="15" spans="1:6" x14ac:dyDescent="0.25">
      <c r="A15" t="s">
        <v>141</v>
      </c>
      <c r="B15" s="4">
        <v>42436.24</v>
      </c>
      <c r="C15" s="4">
        <v>816.58</v>
      </c>
      <c r="D15" s="4">
        <v>41619.660000000003</v>
      </c>
      <c r="E15">
        <v>1238</v>
      </c>
      <c r="F15">
        <v>1218</v>
      </c>
    </row>
    <row r="16" spans="1:6" x14ac:dyDescent="0.25">
      <c r="A16" t="s">
        <v>142</v>
      </c>
      <c r="B16" s="4">
        <v>42067.78</v>
      </c>
      <c r="C16" s="4">
        <v>1076.4000000000001</v>
      </c>
      <c r="D16" s="4">
        <v>40991.379999999997</v>
      </c>
      <c r="E16">
        <v>1249</v>
      </c>
      <c r="F16">
        <v>1231</v>
      </c>
    </row>
    <row r="17" spans="1:6" x14ac:dyDescent="0.25">
      <c r="A17" t="s">
        <v>143</v>
      </c>
      <c r="B17" s="4">
        <v>40652.129999999997</v>
      </c>
      <c r="C17" s="4">
        <v>55.17</v>
      </c>
      <c r="D17" s="4">
        <v>40596.959999999999</v>
      </c>
      <c r="E17">
        <v>379</v>
      </c>
      <c r="F17">
        <v>375</v>
      </c>
    </row>
    <row r="18" spans="1:6" x14ac:dyDescent="0.25">
      <c r="A18" t="s">
        <v>144</v>
      </c>
      <c r="B18" s="4">
        <v>38166.639999999999</v>
      </c>
      <c r="C18" s="4">
        <v>1601.25</v>
      </c>
      <c r="D18" s="4">
        <v>36565.39</v>
      </c>
      <c r="E18">
        <v>735</v>
      </c>
      <c r="F18">
        <v>728</v>
      </c>
    </row>
    <row r="19" spans="1:6" x14ac:dyDescent="0.25">
      <c r="A19" t="s">
        <v>145</v>
      </c>
      <c r="B19" s="4">
        <v>38158.39</v>
      </c>
      <c r="C19" s="4">
        <v>744.95</v>
      </c>
      <c r="D19" s="4">
        <v>37413.440000000002</v>
      </c>
      <c r="E19">
        <v>1399</v>
      </c>
      <c r="F19">
        <v>1385</v>
      </c>
    </row>
    <row r="20" spans="1:6" x14ac:dyDescent="0.25">
      <c r="A20" t="s">
        <v>146</v>
      </c>
      <c r="B20" s="4">
        <v>37128.879999999997</v>
      </c>
      <c r="C20" s="4">
        <v>1012.79</v>
      </c>
      <c r="D20" s="4">
        <v>36116.089999999997</v>
      </c>
      <c r="E20">
        <v>1141</v>
      </c>
      <c r="F20">
        <v>1132</v>
      </c>
    </row>
    <row r="21" spans="1:6" x14ac:dyDescent="0.25">
      <c r="A21" t="s">
        <v>147</v>
      </c>
      <c r="B21" s="4">
        <v>36042.01</v>
      </c>
      <c r="C21" s="4">
        <v>854.7</v>
      </c>
      <c r="D21" s="4">
        <v>35187.31</v>
      </c>
      <c r="E21">
        <v>1595</v>
      </c>
      <c r="F21">
        <v>1565</v>
      </c>
    </row>
    <row r="22" spans="1:6" x14ac:dyDescent="0.25">
      <c r="A22" t="s">
        <v>148</v>
      </c>
      <c r="B22" s="4">
        <v>36030.22</v>
      </c>
      <c r="C22" s="4">
        <v>170.95</v>
      </c>
      <c r="D22" s="4">
        <v>35859.269999999997</v>
      </c>
      <c r="E22">
        <v>687</v>
      </c>
      <c r="F22">
        <v>685</v>
      </c>
    </row>
    <row r="23" spans="1:6" x14ac:dyDescent="0.25">
      <c r="A23" t="s">
        <v>149</v>
      </c>
      <c r="B23" s="4">
        <v>33187.97</v>
      </c>
      <c r="C23" s="4">
        <v>638.4</v>
      </c>
      <c r="D23" s="4">
        <v>32549.57</v>
      </c>
      <c r="E23">
        <v>1047</v>
      </c>
      <c r="F23">
        <v>1037</v>
      </c>
    </row>
    <row r="24" spans="1:6" x14ac:dyDescent="0.25">
      <c r="A24" t="s">
        <v>150</v>
      </c>
      <c r="B24" s="4">
        <v>33002.589999999997</v>
      </c>
      <c r="C24" s="4">
        <v>310.10000000000002</v>
      </c>
      <c r="D24" s="4">
        <v>32692.49</v>
      </c>
      <c r="E24">
        <v>650</v>
      </c>
      <c r="F24">
        <v>643</v>
      </c>
    </row>
    <row r="25" spans="1:6" x14ac:dyDescent="0.25">
      <c r="A25" t="s">
        <v>151</v>
      </c>
      <c r="B25" s="4">
        <v>32873.339999999997</v>
      </c>
      <c r="C25" s="4">
        <v>931.45</v>
      </c>
      <c r="D25" s="4">
        <v>31941.89</v>
      </c>
      <c r="E25">
        <v>838</v>
      </c>
      <c r="F25">
        <v>820</v>
      </c>
    </row>
    <row r="26" spans="1:6" x14ac:dyDescent="0.25">
      <c r="A26" t="s">
        <v>152</v>
      </c>
      <c r="B26" s="4">
        <v>32866.18</v>
      </c>
      <c r="C26" s="4">
        <v>548.88</v>
      </c>
      <c r="D26" s="4">
        <v>32317.3</v>
      </c>
      <c r="E26">
        <v>880</v>
      </c>
      <c r="F26">
        <v>858</v>
      </c>
    </row>
    <row r="27" spans="1:6" x14ac:dyDescent="0.25">
      <c r="A27" t="s">
        <v>153</v>
      </c>
      <c r="B27" s="4">
        <v>32570.47</v>
      </c>
      <c r="C27" s="4">
        <v>448.49</v>
      </c>
      <c r="D27" s="4">
        <v>32121.98</v>
      </c>
      <c r="E27">
        <v>824</v>
      </c>
      <c r="F27">
        <v>812</v>
      </c>
    </row>
    <row r="28" spans="1:6" x14ac:dyDescent="0.25">
      <c r="A28" t="s">
        <v>154</v>
      </c>
      <c r="B28" s="4">
        <v>32107.8</v>
      </c>
      <c r="C28" s="4">
        <v>207.95</v>
      </c>
      <c r="D28" s="4">
        <v>31899.85</v>
      </c>
      <c r="E28">
        <v>1226</v>
      </c>
      <c r="F28">
        <v>1201</v>
      </c>
    </row>
    <row r="29" spans="1:6" x14ac:dyDescent="0.25">
      <c r="A29" t="s">
        <v>155</v>
      </c>
      <c r="B29" s="4">
        <v>31177.95</v>
      </c>
      <c r="C29" s="4">
        <v>421.5</v>
      </c>
      <c r="D29" s="4">
        <v>30756.45</v>
      </c>
      <c r="E29">
        <v>882</v>
      </c>
      <c r="F29">
        <v>873</v>
      </c>
    </row>
    <row r="30" spans="1:6" x14ac:dyDescent="0.25">
      <c r="A30" t="s">
        <v>156</v>
      </c>
      <c r="B30" s="4">
        <v>30770.12</v>
      </c>
      <c r="C30" s="4">
        <v>602.33000000000004</v>
      </c>
      <c r="D30" s="4">
        <v>30167.79</v>
      </c>
      <c r="E30">
        <v>1197</v>
      </c>
      <c r="F30">
        <v>1184</v>
      </c>
    </row>
    <row r="31" spans="1:6" x14ac:dyDescent="0.25">
      <c r="A31" t="s">
        <v>157</v>
      </c>
      <c r="B31" s="4">
        <v>30701.119999999999</v>
      </c>
      <c r="C31" s="4">
        <v>277.5</v>
      </c>
      <c r="D31" s="4">
        <v>30423.62</v>
      </c>
      <c r="E31">
        <v>1074</v>
      </c>
      <c r="F31">
        <v>1051</v>
      </c>
    </row>
    <row r="32" spans="1:6" x14ac:dyDescent="0.25">
      <c r="A32" t="s">
        <v>158</v>
      </c>
      <c r="B32" s="4">
        <v>30475.65</v>
      </c>
      <c r="C32" s="4">
        <v>1309.25</v>
      </c>
      <c r="D32" s="4">
        <v>29166.400000000001</v>
      </c>
      <c r="E32">
        <v>988</v>
      </c>
      <c r="F32">
        <v>978</v>
      </c>
    </row>
    <row r="33" spans="1:6" x14ac:dyDescent="0.25">
      <c r="A33" t="s">
        <v>159</v>
      </c>
      <c r="B33" s="4">
        <v>30139.41</v>
      </c>
      <c r="C33" s="4">
        <v>189.5</v>
      </c>
      <c r="D33" s="4">
        <v>29949.91</v>
      </c>
      <c r="E33">
        <v>944</v>
      </c>
      <c r="F33">
        <v>925</v>
      </c>
    </row>
    <row r="34" spans="1:6" x14ac:dyDescent="0.25">
      <c r="A34" t="s">
        <v>160</v>
      </c>
      <c r="B34" s="4">
        <v>29277.95</v>
      </c>
      <c r="C34" s="4">
        <v>113.59</v>
      </c>
      <c r="D34" s="4">
        <v>29164.36</v>
      </c>
      <c r="E34">
        <v>899</v>
      </c>
      <c r="F34">
        <v>882</v>
      </c>
    </row>
    <row r="35" spans="1:6" x14ac:dyDescent="0.25">
      <c r="A35" t="s">
        <v>161</v>
      </c>
      <c r="B35" s="4">
        <v>29095.27</v>
      </c>
      <c r="C35" s="4">
        <v>1150.3499999999999</v>
      </c>
      <c r="D35" s="4">
        <v>27944.92</v>
      </c>
      <c r="E35">
        <v>1083</v>
      </c>
      <c r="F35">
        <v>1065</v>
      </c>
    </row>
    <row r="36" spans="1:6" x14ac:dyDescent="0.25">
      <c r="A36" t="s">
        <v>162</v>
      </c>
      <c r="B36" s="4">
        <v>28842.55</v>
      </c>
      <c r="C36" s="4">
        <v>417.6</v>
      </c>
      <c r="D36" s="4">
        <v>28424.95</v>
      </c>
      <c r="E36">
        <v>805</v>
      </c>
      <c r="F36">
        <v>782</v>
      </c>
    </row>
    <row r="37" spans="1:6" x14ac:dyDescent="0.25">
      <c r="A37" t="s">
        <v>163</v>
      </c>
      <c r="B37" s="4">
        <v>28634.95</v>
      </c>
      <c r="C37" s="4">
        <v>622.47</v>
      </c>
      <c r="D37" s="4">
        <v>28012.48</v>
      </c>
      <c r="E37">
        <v>1190</v>
      </c>
      <c r="F37">
        <v>1175</v>
      </c>
    </row>
    <row r="38" spans="1:6" x14ac:dyDescent="0.25">
      <c r="A38" t="s">
        <v>164</v>
      </c>
      <c r="B38" s="4">
        <v>28147.96</v>
      </c>
      <c r="C38" s="4">
        <v>152.6</v>
      </c>
      <c r="D38" s="4">
        <v>27995.360000000001</v>
      </c>
      <c r="E38">
        <v>1263</v>
      </c>
      <c r="F38">
        <v>1249</v>
      </c>
    </row>
    <row r="39" spans="1:6" x14ac:dyDescent="0.25">
      <c r="A39" t="s">
        <v>165</v>
      </c>
      <c r="B39" s="4">
        <v>28092.2</v>
      </c>
      <c r="C39" s="4">
        <v>510.88</v>
      </c>
      <c r="D39" s="4">
        <v>27581.32</v>
      </c>
      <c r="E39">
        <v>946</v>
      </c>
      <c r="F39">
        <v>933</v>
      </c>
    </row>
    <row r="40" spans="1:6" x14ac:dyDescent="0.25">
      <c r="A40" t="s">
        <v>166</v>
      </c>
      <c r="B40" s="4">
        <v>28082.54</v>
      </c>
      <c r="C40" s="4">
        <v>461.22</v>
      </c>
      <c r="D40" s="4">
        <v>27621.32</v>
      </c>
      <c r="E40">
        <v>699</v>
      </c>
      <c r="F40">
        <v>696</v>
      </c>
    </row>
    <row r="41" spans="1:6" x14ac:dyDescent="0.25">
      <c r="A41" t="s">
        <v>167</v>
      </c>
      <c r="B41" s="4">
        <v>27890.17</v>
      </c>
      <c r="C41" s="4">
        <v>1076.02</v>
      </c>
      <c r="D41" s="4">
        <v>26814.15</v>
      </c>
      <c r="E41">
        <v>916</v>
      </c>
      <c r="F41">
        <v>906</v>
      </c>
    </row>
    <row r="42" spans="1:6" x14ac:dyDescent="0.25">
      <c r="A42" t="s">
        <v>168</v>
      </c>
      <c r="B42" s="4">
        <v>27196.53</v>
      </c>
      <c r="C42" s="4">
        <v>157.5</v>
      </c>
      <c r="D42" s="4">
        <v>27039.03</v>
      </c>
      <c r="E42">
        <v>1000</v>
      </c>
      <c r="F42">
        <v>980</v>
      </c>
    </row>
    <row r="43" spans="1:6" x14ac:dyDescent="0.25">
      <c r="A43" t="s">
        <v>169</v>
      </c>
      <c r="B43" s="4">
        <v>27074.07</v>
      </c>
      <c r="C43" s="4">
        <v>3775.33</v>
      </c>
      <c r="D43" s="4">
        <v>23298.74</v>
      </c>
      <c r="E43">
        <v>818</v>
      </c>
      <c r="F43">
        <v>809</v>
      </c>
    </row>
    <row r="44" spans="1:6" x14ac:dyDescent="0.25">
      <c r="A44" t="s">
        <v>170</v>
      </c>
      <c r="B44" s="4">
        <v>26463.83</v>
      </c>
      <c r="C44" s="4">
        <v>321.60000000000002</v>
      </c>
      <c r="D44" s="4">
        <v>26142.23</v>
      </c>
      <c r="E44">
        <v>471</v>
      </c>
      <c r="F44">
        <v>449</v>
      </c>
    </row>
    <row r="45" spans="1:6" x14ac:dyDescent="0.25">
      <c r="A45" t="s">
        <v>171</v>
      </c>
      <c r="B45" s="4">
        <v>26331.58</v>
      </c>
      <c r="C45" s="4">
        <v>83.75</v>
      </c>
      <c r="D45" s="4">
        <v>26247.83</v>
      </c>
      <c r="E45">
        <v>667</v>
      </c>
      <c r="F45">
        <v>661</v>
      </c>
    </row>
    <row r="46" spans="1:6" x14ac:dyDescent="0.25">
      <c r="A46" t="s">
        <v>172</v>
      </c>
      <c r="B46" s="4">
        <v>26240.6</v>
      </c>
      <c r="C46" s="4">
        <v>421.05</v>
      </c>
      <c r="D46" s="4">
        <v>25819.55</v>
      </c>
      <c r="E46">
        <v>1126</v>
      </c>
      <c r="F46">
        <v>1111</v>
      </c>
    </row>
    <row r="47" spans="1:6" x14ac:dyDescent="0.25">
      <c r="A47" t="s">
        <v>173</v>
      </c>
      <c r="B47" s="4">
        <v>25889.63</v>
      </c>
      <c r="C47" s="4">
        <v>372.96</v>
      </c>
      <c r="D47" s="4">
        <v>25516.67</v>
      </c>
      <c r="E47">
        <v>919</v>
      </c>
      <c r="F47">
        <v>905</v>
      </c>
    </row>
    <row r="48" spans="1:6" x14ac:dyDescent="0.25">
      <c r="A48" t="s">
        <v>174</v>
      </c>
      <c r="B48" s="4">
        <v>25740.47</v>
      </c>
      <c r="C48" s="4">
        <v>92.7</v>
      </c>
      <c r="D48" s="4">
        <v>25647.77</v>
      </c>
      <c r="E48">
        <v>916</v>
      </c>
      <c r="F48">
        <v>900</v>
      </c>
    </row>
    <row r="49" spans="1:6" x14ac:dyDescent="0.25">
      <c r="A49" t="s">
        <v>175</v>
      </c>
      <c r="B49" s="4">
        <v>25660.98</v>
      </c>
      <c r="C49" s="4">
        <v>425.75</v>
      </c>
      <c r="D49" s="4">
        <v>25235.23</v>
      </c>
      <c r="E49">
        <v>1169</v>
      </c>
      <c r="F49">
        <v>1162</v>
      </c>
    </row>
    <row r="50" spans="1:6" x14ac:dyDescent="0.25">
      <c r="A50" t="s">
        <v>176</v>
      </c>
      <c r="B50" s="4">
        <v>25609.599999999999</v>
      </c>
      <c r="C50" s="4">
        <v>97.5</v>
      </c>
      <c r="D50" s="4">
        <v>25512.1</v>
      </c>
      <c r="E50">
        <v>620</v>
      </c>
      <c r="F50">
        <v>616</v>
      </c>
    </row>
    <row r="51" spans="1:6" x14ac:dyDescent="0.25">
      <c r="A51" t="s">
        <v>177</v>
      </c>
      <c r="B51" s="4">
        <v>25290.58</v>
      </c>
      <c r="C51" s="4">
        <v>169.7</v>
      </c>
      <c r="D51" s="4">
        <v>25120.880000000001</v>
      </c>
      <c r="E51">
        <v>865</v>
      </c>
      <c r="F51">
        <v>845</v>
      </c>
    </row>
    <row r="52" spans="1:6" x14ac:dyDescent="0.25">
      <c r="A52" t="s">
        <v>178</v>
      </c>
      <c r="B52" s="4">
        <v>24918.93</v>
      </c>
      <c r="C52" s="4">
        <v>436.4</v>
      </c>
      <c r="D52" s="4">
        <v>24482.53</v>
      </c>
      <c r="E52">
        <v>425</v>
      </c>
      <c r="F52">
        <v>416</v>
      </c>
    </row>
    <row r="53" spans="1:6" x14ac:dyDescent="0.25">
      <c r="A53" t="s">
        <v>179</v>
      </c>
      <c r="B53" s="4">
        <v>24542.83</v>
      </c>
      <c r="C53" s="4">
        <v>238</v>
      </c>
      <c r="D53" s="4">
        <v>24304.83</v>
      </c>
      <c r="E53">
        <v>487</v>
      </c>
      <c r="F53">
        <v>475</v>
      </c>
    </row>
    <row r="54" spans="1:6" x14ac:dyDescent="0.25">
      <c r="A54" t="s">
        <v>180</v>
      </c>
      <c r="B54" s="4">
        <v>24509.84</v>
      </c>
      <c r="C54" s="4">
        <v>544.45000000000005</v>
      </c>
      <c r="D54" s="4">
        <v>23965.39</v>
      </c>
      <c r="E54">
        <v>791</v>
      </c>
      <c r="F54">
        <v>771</v>
      </c>
    </row>
    <row r="55" spans="1:6" x14ac:dyDescent="0.25">
      <c r="A55" t="s">
        <v>181</v>
      </c>
      <c r="B55" s="4">
        <v>24483.66</v>
      </c>
      <c r="C55" s="4">
        <v>118</v>
      </c>
      <c r="D55" s="4">
        <v>24365.66</v>
      </c>
      <c r="E55">
        <v>858</v>
      </c>
      <c r="F55">
        <v>834</v>
      </c>
    </row>
    <row r="56" spans="1:6" x14ac:dyDescent="0.25">
      <c r="A56" t="s">
        <v>182</v>
      </c>
      <c r="B56" s="4">
        <v>24438.62</v>
      </c>
      <c r="C56" s="4">
        <v>120.95</v>
      </c>
      <c r="D56" s="4">
        <v>24317.67</v>
      </c>
      <c r="E56">
        <v>746</v>
      </c>
      <c r="F56">
        <v>732</v>
      </c>
    </row>
    <row r="57" spans="1:6" x14ac:dyDescent="0.25">
      <c r="A57" t="s">
        <v>183</v>
      </c>
      <c r="B57" s="4">
        <v>24292.84</v>
      </c>
      <c r="C57" s="4">
        <v>31.8</v>
      </c>
      <c r="D57" s="4">
        <v>24261.040000000001</v>
      </c>
      <c r="E57">
        <v>606</v>
      </c>
      <c r="F57">
        <v>600</v>
      </c>
    </row>
    <row r="58" spans="1:6" x14ac:dyDescent="0.25">
      <c r="A58" t="s">
        <v>184</v>
      </c>
      <c r="B58" s="4">
        <v>24239.72</v>
      </c>
      <c r="C58" s="4">
        <v>311.10000000000002</v>
      </c>
      <c r="D58" s="4">
        <v>23928.62</v>
      </c>
      <c r="E58">
        <v>947</v>
      </c>
      <c r="F58">
        <v>934</v>
      </c>
    </row>
    <row r="59" spans="1:6" x14ac:dyDescent="0.25">
      <c r="A59" t="s">
        <v>185</v>
      </c>
      <c r="B59" s="4">
        <v>23932.98</v>
      </c>
      <c r="C59" s="4">
        <v>281.3</v>
      </c>
      <c r="D59" s="4">
        <v>23651.68</v>
      </c>
      <c r="E59">
        <v>862</v>
      </c>
      <c r="F59">
        <v>849</v>
      </c>
    </row>
    <row r="60" spans="1:6" x14ac:dyDescent="0.25">
      <c r="A60" t="s">
        <v>186</v>
      </c>
      <c r="B60" s="4">
        <v>23888.81</v>
      </c>
      <c r="C60" s="4">
        <v>4554.8999999999996</v>
      </c>
      <c r="D60" s="4">
        <v>19333.91</v>
      </c>
      <c r="E60">
        <v>368</v>
      </c>
      <c r="F60">
        <v>365</v>
      </c>
    </row>
    <row r="61" spans="1:6" x14ac:dyDescent="0.25">
      <c r="A61" t="s">
        <v>187</v>
      </c>
      <c r="B61" s="4">
        <v>23815.75</v>
      </c>
      <c r="C61" s="4">
        <v>486.96</v>
      </c>
      <c r="D61" s="4">
        <v>23328.79</v>
      </c>
      <c r="E61">
        <v>732</v>
      </c>
      <c r="F61">
        <v>716</v>
      </c>
    </row>
    <row r="62" spans="1:6" x14ac:dyDescent="0.25">
      <c r="A62" t="s">
        <v>188</v>
      </c>
      <c r="B62" s="4">
        <v>23514.17</v>
      </c>
      <c r="C62" s="4">
        <v>545.54999999999995</v>
      </c>
      <c r="D62" s="4">
        <v>22968.62</v>
      </c>
      <c r="E62">
        <v>474</v>
      </c>
      <c r="F62">
        <v>470</v>
      </c>
    </row>
    <row r="63" spans="1:6" x14ac:dyDescent="0.25">
      <c r="A63" t="s">
        <v>189</v>
      </c>
      <c r="B63" s="4">
        <v>23463.47</v>
      </c>
      <c r="C63" s="4">
        <v>31.6</v>
      </c>
      <c r="D63" s="4">
        <v>23431.87</v>
      </c>
      <c r="E63">
        <v>531</v>
      </c>
      <c r="F63">
        <v>524</v>
      </c>
    </row>
    <row r="64" spans="1:6" x14ac:dyDescent="0.25">
      <c r="A64" t="s">
        <v>190</v>
      </c>
      <c r="B64" s="4">
        <v>23228.74</v>
      </c>
      <c r="C64" s="4">
        <v>152.94999999999999</v>
      </c>
      <c r="D64" s="4">
        <v>23075.79</v>
      </c>
      <c r="E64">
        <v>760</v>
      </c>
      <c r="F64">
        <v>741</v>
      </c>
    </row>
    <row r="65" spans="1:6" x14ac:dyDescent="0.25">
      <c r="A65" t="s">
        <v>191</v>
      </c>
      <c r="B65" s="4">
        <v>23181.14</v>
      </c>
      <c r="C65" s="4">
        <v>387.07</v>
      </c>
      <c r="D65" s="4">
        <v>22794.07</v>
      </c>
      <c r="E65">
        <v>873</v>
      </c>
      <c r="F65">
        <v>865</v>
      </c>
    </row>
    <row r="66" spans="1:6" x14ac:dyDescent="0.25">
      <c r="A66" t="s">
        <v>192</v>
      </c>
      <c r="B66" s="4">
        <v>23113.26</v>
      </c>
      <c r="C66" s="4">
        <v>581.54999999999995</v>
      </c>
      <c r="D66" s="4">
        <v>22531.71</v>
      </c>
      <c r="E66">
        <v>1111</v>
      </c>
      <c r="F66">
        <v>1100</v>
      </c>
    </row>
    <row r="67" spans="1:6" x14ac:dyDescent="0.25">
      <c r="A67" t="s">
        <v>193</v>
      </c>
      <c r="B67" s="4">
        <v>23030.959999999999</v>
      </c>
      <c r="C67" s="4">
        <v>431.43</v>
      </c>
      <c r="D67" s="4">
        <v>22599.53</v>
      </c>
      <c r="E67">
        <v>667</v>
      </c>
      <c r="F67">
        <v>657</v>
      </c>
    </row>
    <row r="68" spans="1:6" x14ac:dyDescent="0.25">
      <c r="A68" t="s">
        <v>194</v>
      </c>
      <c r="B68" s="4">
        <v>23010.09</v>
      </c>
      <c r="C68" s="4">
        <v>39.799999999999997</v>
      </c>
      <c r="D68" s="4">
        <v>22970.29</v>
      </c>
      <c r="E68">
        <v>224</v>
      </c>
      <c r="F68">
        <v>221</v>
      </c>
    </row>
    <row r="69" spans="1:6" x14ac:dyDescent="0.25">
      <c r="A69" t="s">
        <v>195</v>
      </c>
      <c r="B69" s="4">
        <v>22912.81</v>
      </c>
      <c r="C69" s="4">
        <v>195.3</v>
      </c>
      <c r="D69" s="4">
        <v>22717.51</v>
      </c>
      <c r="E69">
        <v>972</v>
      </c>
      <c r="F69">
        <v>962</v>
      </c>
    </row>
    <row r="70" spans="1:6" x14ac:dyDescent="0.25">
      <c r="A70" t="s">
        <v>196</v>
      </c>
      <c r="B70" s="4">
        <v>22826.3</v>
      </c>
      <c r="C70" s="4">
        <v>393.05</v>
      </c>
      <c r="D70" s="4">
        <v>22433.25</v>
      </c>
      <c r="E70">
        <v>1041</v>
      </c>
      <c r="F70">
        <v>1013</v>
      </c>
    </row>
    <row r="71" spans="1:6" x14ac:dyDescent="0.25">
      <c r="A71" t="s">
        <v>197</v>
      </c>
      <c r="B71" s="4">
        <v>22790.959999999999</v>
      </c>
      <c r="C71" s="4">
        <v>196.4</v>
      </c>
      <c r="D71" s="4">
        <v>22594.560000000001</v>
      </c>
      <c r="E71">
        <v>804</v>
      </c>
      <c r="F71">
        <v>798</v>
      </c>
    </row>
    <row r="72" spans="1:6" x14ac:dyDescent="0.25">
      <c r="A72" t="s">
        <v>198</v>
      </c>
      <c r="B72" s="4">
        <v>22708.95</v>
      </c>
      <c r="C72" s="4">
        <v>460.8</v>
      </c>
      <c r="D72" s="4">
        <v>22248.15</v>
      </c>
      <c r="E72">
        <v>529</v>
      </c>
      <c r="F72">
        <v>519</v>
      </c>
    </row>
    <row r="73" spans="1:6" x14ac:dyDescent="0.25">
      <c r="A73" t="s">
        <v>199</v>
      </c>
      <c r="B73" s="4">
        <v>22542.44</v>
      </c>
      <c r="C73" s="4">
        <v>223.8</v>
      </c>
      <c r="D73" s="4">
        <v>22318.639999999999</v>
      </c>
      <c r="E73">
        <v>1326</v>
      </c>
      <c r="F73">
        <v>1284</v>
      </c>
    </row>
    <row r="74" spans="1:6" x14ac:dyDescent="0.25">
      <c r="A74" t="s">
        <v>200</v>
      </c>
      <c r="B74" s="4">
        <v>22421.21</v>
      </c>
      <c r="C74" s="4">
        <v>202.2</v>
      </c>
      <c r="D74" s="4">
        <v>22219.01</v>
      </c>
      <c r="E74">
        <v>1328</v>
      </c>
      <c r="F74">
        <v>1273</v>
      </c>
    </row>
    <row r="75" spans="1:6" x14ac:dyDescent="0.25">
      <c r="A75" t="s">
        <v>201</v>
      </c>
      <c r="B75" s="4">
        <v>22176.49</v>
      </c>
      <c r="C75" s="4">
        <v>337.45</v>
      </c>
      <c r="D75" s="4">
        <v>21839.040000000001</v>
      </c>
      <c r="E75">
        <v>460</v>
      </c>
      <c r="F75">
        <v>456</v>
      </c>
    </row>
    <row r="76" spans="1:6" x14ac:dyDescent="0.25">
      <c r="A76" t="s">
        <v>202</v>
      </c>
      <c r="B76" s="4">
        <v>22144.98</v>
      </c>
      <c r="C76" s="4">
        <v>256.45</v>
      </c>
      <c r="D76" s="4">
        <v>21888.53</v>
      </c>
      <c r="E76">
        <v>443</v>
      </c>
      <c r="F76">
        <v>429</v>
      </c>
    </row>
    <row r="77" spans="1:6" x14ac:dyDescent="0.25">
      <c r="A77" t="s">
        <v>203</v>
      </c>
      <c r="B77" s="4">
        <v>22138.57</v>
      </c>
      <c r="C77" s="4">
        <v>23.85</v>
      </c>
      <c r="D77" s="4">
        <v>22114.720000000001</v>
      </c>
      <c r="E77">
        <v>596</v>
      </c>
      <c r="F77">
        <v>592</v>
      </c>
    </row>
    <row r="78" spans="1:6" x14ac:dyDescent="0.25">
      <c r="A78" t="s">
        <v>204</v>
      </c>
      <c r="B78" s="4">
        <v>22092.42</v>
      </c>
      <c r="C78" s="4">
        <v>426.46</v>
      </c>
      <c r="D78" s="4">
        <v>21665.96</v>
      </c>
      <c r="E78">
        <v>869</v>
      </c>
      <c r="F78">
        <v>863</v>
      </c>
    </row>
    <row r="79" spans="1:6" x14ac:dyDescent="0.25">
      <c r="A79" t="s">
        <v>205</v>
      </c>
      <c r="B79" s="4">
        <v>21852.81</v>
      </c>
      <c r="C79" s="4">
        <v>442.46</v>
      </c>
      <c r="D79" s="4">
        <v>21410.35</v>
      </c>
      <c r="E79">
        <v>889</v>
      </c>
      <c r="F79">
        <v>879</v>
      </c>
    </row>
    <row r="80" spans="1:6" x14ac:dyDescent="0.25">
      <c r="A80" t="s">
        <v>206</v>
      </c>
      <c r="B80" s="4">
        <v>21776.79</v>
      </c>
      <c r="C80" s="4">
        <v>170.31</v>
      </c>
      <c r="D80" s="4">
        <v>21606.48</v>
      </c>
      <c r="E80">
        <v>1047</v>
      </c>
      <c r="F80">
        <v>1032</v>
      </c>
    </row>
    <row r="81" spans="1:6" x14ac:dyDescent="0.25">
      <c r="A81" t="s">
        <v>207</v>
      </c>
      <c r="B81" s="4">
        <v>21750.63</v>
      </c>
      <c r="C81" s="4">
        <v>327.5</v>
      </c>
      <c r="D81" s="4">
        <v>21423.13</v>
      </c>
      <c r="E81">
        <v>1174</v>
      </c>
      <c r="F81">
        <v>1150</v>
      </c>
    </row>
    <row r="82" spans="1:6" x14ac:dyDescent="0.25">
      <c r="A82" t="s">
        <v>208</v>
      </c>
      <c r="B82" s="4">
        <v>21635.14</v>
      </c>
      <c r="C82" s="4">
        <v>478.65</v>
      </c>
      <c r="D82" s="4">
        <v>21156.49</v>
      </c>
      <c r="E82">
        <v>871</v>
      </c>
      <c r="F82">
        <v>850</v>
      </c>
    </row>
    <row r="83" spans="1:6" x14ac:dyDescent="0.25">
      <c r="A83" t="s">
        <v>209</v>
      </c>
      <c r="B83" s="4">
        <v>21601.69</v>
      </c>
      <c r="C83" s="4">
        <v>40.049999999999997</v>
      </c>
      <c r="D83" s="4">
        <v>21561.64</v>
      </c>
      <c r="E83">
        <v>503</v>
      </c>
      <c r="F83">
        <v>502</v>
      </c>
    </row>
    <row r="84" spans="1:6" x14ac:dyDescent="0.25">
      <c r="A84" t="s">
        <v>210</v>
      </c>
      <c r="B84" s="4">
        <v>21450.17</v>
      </c>
      <c r="C84" s="4">
        <v>65.8</v>
      </c>
      <c r="D84" s="4">
        <v>21384.37</v>
      </c>
      <c r="E84">
        <v>1123</v>
      </c>
      <c r="F84">
        <v>1098</v>
      </c>
    </row>
    <row r="85" spans="1:6" x14ac:dyDescent="0.25">
      <c r="A85" t="s">
        <v>211</v>
      </c>
      <c r="B85" s="4">
        <v>21365.25</v>
      </c>
      <c r="C85" s="4">
        <v>2480.5</v>
      </c>
      <c r="D85" s="4">
        <v>18884.75</v>
      </c>
      <c r="E85">
        <v>542</v>
      </c>
      <c r="F85">
        <v>539</v>
      </c>
    </row>
    <row r="86" spans="1:6" x14ac:dyDescent="0.25">
      <c r="A86" t="s">
        <v>212</v>
      </c>
      <c r="B86" s="4">
        <v>21259.1</v>
      </c>
      <c r="C86" s="4">
        <v>199.38</v>
      </c>
      <c r="D86" s="4">
        <v>21059.72</v>
      </c>
      <c r="E86">
        <v>1370</v>
      </c>
      <c r="F86">
        <v>1320</v>
      </c>
    </row>
    <row r="87" spans="1:6" x14ac:dyDescent="0.25">
      <c r="A87" t="s">
        <v>213</v>
      </c>
      <c r="B87" s="4">
        <v>21154.55</v>
      </c>
      <c r="C87" s="4">
        <v>484.53</v>
      </c>
      <c r="D87" s="4">
        <v>20670.02</v>
      </c>
      <c r="E87">
        <v>813</v>
      </c>
      <c r="F87">
        <v>806</v>
      </c>
    </row>
    <row r="88" spans="1:6" x14ac:dyDescent="0.25">
      <c r="A88" t="s">
        <v>214</v>
      </c>
      <c r="B88" s="4">
        <v>20957.64</v>
      </c>
      <c r="C88" s="4">
        <v>161.1</v>
      </c>
      <c r="D88" s="4">
        <v>20796.54</v>
      </c>
      <c r="E88">
        <v>734</v>
      </c>
      <c r="F88">
        <v>723</v>
      </c>
    </row>
    <row r="89" spans="1:6" x14ac:dyDescent="0.25">
      <c r="A89" t="s">
        <v>215</v>
      </c>
      <c r="B89" s="4">
        <v>20911.98</v>
      </c>
      <c r="C89" s="4">
        <v>97.15</v>
      </c>
      <c r="D89" s="4">
        <v>20814.830000000002</v>
      </c>
      <c r="E89">
        <v>1071</v>
      </c>
      <c r="F89">
        <v>1036</v>
      </c>
    </row>
    <row r="90" spans="1:6" x14ac:dyDescent="0.25">
      <c r="A90" t="s">
        <v>216</v>
      </c>
      <c r="B90" s="4">
        <v>20818.7</v>
      </c>
      <c r="C90" s="4">
        <v>546</v>
      </c>
      <c r="D90" s="4">
        <v>20272.7</v>
      </c>
      <c r="E90">
        <v>732</v>
      </c>
      <c r="F90">
        <v>707</v>
      </c>
    </row>
    <row r="91" spans="1:6" x14ac:dyDescent="0.25">
      <c r="A91" t="s">
        <v>217</v>
      </c>
      <c r="B91" s="4">
        <v>20702.150000000001</v>
      </c>
      <c r="C91" s="4">
        <v>153.75</v>
      </c>
      <c r="D91" s="4">
        <v>20548.400000000001</v>
      </c>
      <c r="E91">
        <v>793</v>
      </c>
      <c r="F91">
        <v>783</v>
      </c>
    </row>
    <row r="92" spans="1:6" x14ac:dyDescent="0.25">
      <c r="A92" t="s">
        <v>218</v>
      </c>
      <c r="B92" s="4">
        <v>20658.560000000001</v>
      </c>
      <c r="C92" s="4">
        <v>3443.62</v>
      </c>
      <c r="D92" s="4">
        <v>17214.939999999999</v>
      </c>
      <c r="E92">
        <v>321</v>
      </c>
      <c r="F92">
        <v>316</v>
      </c>
    </row>
    <row r="93" spans="1:6" x14ac:dyDescent="0.25">
      <c r="A93" t="s">
        <v>219</v>
      </c>
      <c r="B93" s="4">
        <v>20594.45</v>
      </c>
      <c r="C93" s="4">
        <v>635.92999999999995</v>
      </c>
      <c r="D93" s="4">
        <v>19958.52</v>
      </c>
      <c r="E93">
        <v>513</v>
      </c>
      <c r="F93">
        <v>499</v>
      </c>
    </row>
    <row r="94" spans="1:6" x14ac:dyDescent="0.25">
      <c r="A94" t="s">
        <v>220</v>
      </c>
      <c r="B94" s="4">
        <v>19736.5</v>
      </c>
      <c r="C94" s="4">
        <v>108.75</v>
      </c>
      <c r="D94" s="4">
        <v>19627.75</v>
      </c>
      <c r="E94">
        <v>478</v>
      </c>
      <c r="F94">
        <v>473</v>
      </c>
    </row>
    <row r="95" spans="1:6" x14ac:dyDescent="0.25">
      <c r="A95" t="s">
        <v>221</v>
      </c>
      <c r="B95" s="4">
        <v>19640.79</v>
      </c>
      <c r="C95" s="4">
        <v>910.95</v>
      </c>
      <c r="D95" s="4">
        <v>18729.84</v>
      </c>
      <c r="E95">
        <v>921</v>
      </c>
      <c r="F95">
        <v>910</v>
      </c>
    </row>
    <row r="96" spans="1:6" x14ac:dyDescent="0.25">
      <c r="A96" t="s">
        <v>222</v>
      </c>
      <c r="B96" s="4">
        <v>19322.16</v>
      </c>
      <c r="C96" s="4">
        <v>873.2</v>
      </c>
      <c r="D96" s="4">
        <v>18448.96</v>
      </c>
      <c r="E96">
        <v>447</v>
      </c>
      <c r="F96">
        <v>445</v>
      </c>
    </row>
    <row r="97" spans="1:6" x14ac:dyDescent="0.25">
      <c r="A97" t="s">
        <v>223</v>
      </c>
      <c r="B97" s="4">
        <v>19130.37</v>
      </c>
      <c r="C97" s="4">
        <v>1691.5</v>
      </c>
      <c r="D97" s="4">
        <v>17438.87</v>
      </c>
      <c r="E97">
        <v>595</v>
      </c>
      <c r="F97">
        <v>581</v>
      </c>
    </row>
    <row r="98" spans="1:6" x14ac:dyDescent="0.25">
      <c r="A98" t="s">
        <v>224</v>
      </c>
      <c r="B98" s="4">
        <v>18890.47</v>
      </c>
      <c r="C98" s="4">
        <v>337.5</v>
      </c>
      <c r="D98" s="4">
        <v>18552.97</v>
      </c>
      <c r="E98">
        <v>698</v>
      </c>
      <c r="F98">
        <v>681</v>
      </c>
    </row>
    <row r="99" spans="1:6" x14ac:dyDescent="0.25">
      <c r="A99" t="s">
        <v>225</v>
      </c>
      <c r="B99" s="4">
        <v>18788.55</v>
      </c>
      <c r="C99" s="4">
        <v>185.8</v>
      </c>
      <c r="D99" s="4">
        <v>18602.75</v>
      </c>
      <c r="E99">
        <v>647</v>
      </c>
      <c r="F99">
        <v>646</v>
      </c>
    </row>
    <row r="100" spans="1:6" x14ac:dyDescent="0.25">
      <c r="A100" t="s">
        <v>226</v>
      </c>
      <c r="B100" s="4">
        <v>18569.84</v>
      </c>
      <c r="C100" s="4">
        <v>505.68</v>
      </c>
      <c r="D100" s="4">
        <v>18064.16</v>
      </c>
      <c r="E100">
        <v>519</v>
      </c>
      <c r="F100">
        <v>518</v>
      </c>
    </row>
    <row r="101" spans="1:6" x14ac:dyDescent="0.25">
      <c r="A101" t="s">
        <v>227</v>
      </c>
      <c r="B101" s="4">
        <v>18467.22</v>
      </c>
      <c r="C101" s="4">
        <v>585.9</v>
      </c>
      <c r="D101" s="4">
        <v>17881.32</v>
      </c>
      <c r="E101">
        <v>616</v>
      </c>
      <c r="F101">
        <v>605</v>
      </c>
    </row>
    <row r="102" spans="1:6" x14ac:dyDescent="0.25">
      <c r="A102" t="s">
        <v>228</v>
      </c>
      <c r="B102" s="4">
        <v>18390.2</v>
      </c>
      <c r="C102" s="4">
        <v>300.85000000000002</v>
      </c>
      <c r="D102" s="4">
        <v>18089.349999999999</v>
      </c>
      <c r="E102">
        <v>903</v>
      </c>
      <c r="F102">
        <v>880</v>
      </c>
    </row>
    <row r="103" spans="1:6" x14ac:dyDescent="0.25">
      <c r="A103" t="s">
        <v>229</v>
      </c>
      <c r="B103" s="4">
        <v>18323.38</v>
      </c>
      <c r="C103" s="4">
        <v>134.9</v>
      </c>
      <c r="D103" s="4">
        <v>18188.48</v>
      </c>
      <c r="E103">
        <v>1041</v>
      </c>
      <c r="F103">
        <v>1017</v>
      </c>
    </row>
    <row r="104" spans="1:6" x14ac:dyDescent="0.25">
      <c r="A104" t="s">
        <v>230</v>
      </c>
      <c r="B104" s="4">
        <v>18092.36</v>
      </c>
      <c r="C104" s="4">
        <v>242.35</v>
      </c>
      <c r="D104" s="4">
        <v>17850.009999999998</v>
      </c>
      <c r="E104">
        <v>1179</v>
      </c>
      <c r="F104">
        <v>1157</v>
      </c>
    </row>
    <row r="105" spans="1:6" x14ac:dyDescent="0.25">
      <c r="A105" t="s">
        <v>231</v>
      </c>
      <c r="B105" s="4">
        <v>18069.28</v>
      </c>
      <c r="C105" s="4">
        <v>6591.42</v>
      </c>
      <c r="D105" s="4">
        <v>11477.86</v>
      </c>
      <c r="E105">
        <v>267</v>
      </c>
      <c r="F105">
        <v>262</v>
      </c>
    </row>
    <row r="106" spans="1:6" x14ac:dyDescent="0.25">
      <c r="A106" t="s">
        <v>232</v>
      </c>
      <c r="B106" s="4">
        <v>18055.11</v>
      </c>
      <c r="C106" s="4">
        <v>1679.7</v>
      </c>
      <c r="D106" s="4">
        <v>16375.41</v>
      </c>
      <c r="E106">
        <v>673</v>
      </c>
      <c r="F106">
        <v>657</v>
      </c>
    </row>
    <row r="107" spans="1:6" x14ac:dyDescent="0.25">
      <c r="A107" t="s">
        <v>233</v>
      </c>
      <c r="B107" s="4">
        <v>17927.45</v>
      </c>
      <c r="C107" s="4">
        <v>90</v>
      </c>
      <c r="D107" s="4">
        <v>17837.45</v>
      </c>
      <c r="E107">
        <v>305</v>
      </c>
      <c r="F107">
        <v>305</v>
      </c>
    </row>
    <row r="108" spans="1:6" x14ac:dyDescent="0.25">
      <c r="A108" t="s">
        <v>234</v>
      </c>
      <c r="B108" s="4">
        <v>17910.03</v>
      </c>
      <c r="C108" s="4">
        <v>258.05</v>
      </c>
      <c r="D108" s="4">
        <v>17651.98</v>
      </c>
      <c r="E108">
        <v>676</v>
      </c>
      <c r="F108">
        <v>654</v>
      </c>
    </row>
    <row r="109" spans="1:6" x14ac:dyDescent="0.25">
      <c r="A109" t="s">
        <v>235</v>
      </c>
      <c r="B109" s="4">
        <v>17708.53</v>
      </c>
      <c r="C109" s="4">
        <v>99</v>
      </c>
      <c r="D109" s="4">
        <v>17609.53</v>
      </c>
      <c r="E109">
        <v>647</v>
      </c>
      <c r="F109">
        <v>623</v>
      </c>
    </row>
    <row r="110" spans="1:6" x14ac:dyDescent="0.25">
      <c r="A110" t="s">
        <v>236</v>
      </c>
      <c r="B110" s="4">
        <v>17551.759999999998</v>
      </c>
      <c r="C110" s="4">
        <v>387.5</v>
      </c>
      <c r="D110" s="4">
        <v>17164.259999999998</v>
      </c>
      <c r="E110">
        <v>793</v>
      </c>
      <c r="F110">
        <v>765</v>
      </c>
    </row>
    <row r="111" spans="1:6" x14ac:dyDescent="0.25">
      <c r="A111" t="s">
        <v>237</v>
      </c>
      <c r="B111" s="4">
        <v>17435.189999999999</v>
      </c>
      <c r="C111" s="4">
        <v>236.2</v>
      </c>
      <c r="D111" s="4">
        <v>17198.990000000002</v>
      </c>
      <c r="E111">
        <v>1117</v>
      </c>
      <c r="F111">
        <v>1090</v>
      </c>
    </row>
    <row r="112" spans="1:6" x14ac:dyDescent="0.25">
      <c r="A112" t="s">
        <v>238</v>
      </c>
      <c r="B112" s="4">
        <v>17205.37</v>
      </c>
      <c r="C112" s="4">
        <v>56.1</v>
      </c>
      <c r="D112" s="4">
        <v>17149.27</v>
      </c>
      <c r="E112">
        <v>980</v>
      </c>
      <c r="F112">
        <v>955</v>
      </c>
    </row>
    <row r="113" spans="1:6" x14ac:dyDescent="0.25">
      <c r="A113" t="s">
        <v>239</v>
      </c>
      <c r="B113" s="4">
        <v>17081.86</v>
      </c>
      <c r="C113" s="4">
        <v>215.14</v>
      </c>
      <c r="D113" s="4">
        <v>16866.72</v>
      </c>
      <c r="E113">
        <v>696</v>
      </c>
      <c r="F113">
        <v>686</v>
      </c>
    </row>
    <row r="114" spans="1:6" x14ac:dyDescent="0.25">
      <c r="A114" t="s">
        <v>240</v>
      </c>
      <c r="B114" s="4">
        <v>17049.919999999998</v>
      </c>
      <c r="C114" s="4">
        <v>118.6</v>
      </c>
      <c r="D114" s="4">
        <v>16931.32</v>
      </c>
      <c r="E114">
        <v>796</v>
      </c>
      <c r="F114">
        <v>777</v>
      </c>
    </row>
    <row r="115" spans="1:6" x14ac:dyDescent="0.25">
      <c r="A115" t="s">
        <v>241</v>
      </c>
      <c r="B115" s="4">
        <v>17047.060000000001</v>
      </c>
      <c r="C115" s="4">
        <v>133.46</v>
      </c>
      <c r="D115" s="4">
        <v>16913.599999999999</v>
      </c>
      <c r="E115">
        <v>633</v>
      </c>
      <c r="F115">
        <v>609</v>
      </c>
    </row>
    <row r="116" spans="1:6" x14ac:dyDescent="0.25">
      <c r="A116" t="s">
        <v>242</v>
      </c>
      <c r="B116" s="4">
        <v>17037.52</v>
      </c>
      <c r="C116" s="4">
        <v>206.7</v>
      </c>
      <c r="D116" s="4">
        <v>16830.82</v>
      </c>
      <c r="E116">
        <v>550</v>
      </c>
      <c r="F116">
        <v>536</v>
      </c>
    </row>
    <row r="117" spans="1:6" x14ac:dyDescent="0.25">
      <c r="A117" t="s">
        <v>243</v>
      </c>
      <c r="B117" s="4">
        <v>16937.82</v>
      </c>
      <c r="C117" s="4">
        <v>127.4</v>
      </c>
      <c r="D117" s="4">
        <v>16810.419999999998</v>
      </c>
      <c r="E117">
        <v>380</v>
      </c>
      <c r="F117">
        <v>380</v>
      </c>
    </row>
    <row r="118" spans="1:6" x14ac:dyDescent="0.25">
      <c r="A118" t="s">
        <v>244</v>
      </c>
      <c r="B118" s="4">
        <v>16759.75</v>
      </c>
      <c r="C118" s="4">
        <v>87.4</v>
      </c>
      <c r="D118" s="4">
        <v>16672.349999999999</v>
      </c>
      <c r="E118">
        <v>848</v>
      </c>
      <c r="F118">
        <v>833</v>
      </c>
    </row>
    <row r="119" spans="1:6" x14ac:dyDescent="0.25">
      <c r="A119" t="s">
        <v>245</v>
      </c>
      <c r="B119" s="4">
        <v>16528.310000000001</v>
      </c>
      <c r="C119" s="4">
        <v>168.3</v>
      </c>
      <c r="D119" s="4">
        <v>16360.01</v>
      </c>
      <c r="E119">
        <v>726</v>
      </c>
      <c r="F119">
        <v>711</v>
      </c>
    </row>
    <row r="120" spans="1:6" x14ac:dyDescent="0.25">
      <c r="A120" t="s">
        <v>246</v>
      </c>
      <c r="B120" s="4">
        <v>16507.23</v>
      </c>
      <c r="C120" s="4">
        <v>85</v>
      </c>
      <c r="D120" s="4">
        <v>16422.23</v>
      </c>
      <c r="E120">
        <v>1102</v>
      </c>
      <c r="F120">
        <v>1073</v>
      </c>
    </row>
    <row r="121" spans="1:6" x14ac:dyDescent="0.25">
      <c r="A121" t="s">
        <v>247</v>
      </c>
      <c r="B121" s="4">
        <v>16477.53</v>
      </c>
      <c r="C121" s="4">
        <v>206.59</v>
      </c>
      <c r="D121" s="4">
        <v>16270.94</v>
      </c>
      <c r="E121">
        <v>737</v>
      </c>
      <c r="F121">
        <v>728</v>
      </c>
    </row>
    <row r="122" spans="1:6" x14ac:dyDescent="0.25">
      <c r="A122" t="s">
        <v>248</v>
      </c>
      <c r="B122" s="4">
        <v>16363.3</v>
      </c>
      <c r="C122" s="4">
        <v>1248.25</v>
      </c>
      <c r="D122" s="4">
        <v>15115.05</v>
      </c>
      <c r="E122">
        <v>155</v>
      </c>
      <c r="F122">
        <v>155</v>
      </c>
    </row>
    <row r="123" spans="1:6" x14ac:dyDescent="0.25">
      <c r="A123" t="s">
        <v>249</v>
      </c>
      <c r="B123" s="4">
        <v>16357.05</v>
      </c>
      <c r="C123" s="4">
        <v>168.9</v>
      </c>
      <c r="D123" s="4">
        <v>16188.15</v>
      </c>
      <c r="E123">
        <v>926</v>
      </c>
      <c r="F123">
        <v>913</v>
      </c>
    </row>
    <row r="124" spans="1:6" x14ac:dyDescent="0.25">
      <c r="A124" t="s">
        <v>250</v>
      </c>
      <c r="B124" s="4">
        <v>16263.8</v>
      </c>
      <c r="C124" s="4">
        <v>443.25</v>
      </c>
      <c r="D124" s="4">
        <v>15820.55</v>
      </c>
      <c r="E124">
        <v>842</v>
      </c>
      <c r="F124">
        <v>831</v>
      </c>
    </row>
    <row r="125" spans="1:6" x14ac:dyDescent="0.25">
      <c r="A125" t="s">
        <v>251</v>
      </c>
      <c r="B125" s="4">
        <v>16164.04</v>
      </c>
      <c r="C125" s="4">
        <v>58</v>
      </c>
      <c r="D125" s="4">
        <v>16106.04</v>
      </c>
      <c r="E125">
        <v>469</v>
      </c>
      <c r="F125">
        <v>459</v>
      </c>
    </row>
    <row r="126" spans="1:6" x14ac:dyDescent="0.25">
      <c r="A126" t="s">
        <v>252</v>
      </c>
      <c r="B126" s="4">
        <v>16045.97</v>
      </c>
      <c r="C126" s="4">
        <v>127.5</v>
      </c>
      <c r="D126" s="4">
        <v>15918.47</v>
      </c>
      <c r="E126">
        <v>374</v>
      </c>
      <c r="F126">
        <v>370</v>
      </c>
    </row>
    <row r="127" spans="1:6" x14ac:dyDescent="0.25">
      <c r="A127" t="s">
        <v>253</v>
      </c>
      <c r="B127" s="4">
        <v>15983.33</v>
      </c>
      <c r="C127" s="4">
        <v>135.22</v>
      </c>
      <c r="D127" s="4">
        <v>15848.11</v>
      </c>
      <c r="E127">
        <v>683</v>
      </c>
      <c r="F127">
        <v>677</v>
      </c>
    </row>
    <row r="128" spans="1:6" x14ac:dyDescent="0.25">
      <c r="A128" t="s">
        <v>254</v>
      </c>
      <c r="B128" s="4">
        <v>15833.31</v>
      </c>
      <c r="C128" s="4">
        <v>64.349999999999994</v>
      </c>
      <c r="D128" s="4">
        <v>15768.96</v>
      </c>
      <c r="E128">
        <v>413</v>
      </c>
      <c r="F128">
        <v>401</v>
      </c>
    </row>
    <row r="129" spans="1:6" x14ac:dyDescent="0.25">
      <c r="A129" t="s">
        <v>255</v>
      </c>
      <c r="B129" s="4">
        <v>15828.84</v>
      </c>
      <c r="C129" s="4">
        <v>652.5</v>
      </c>
      <c r="D129" s="4">
        <v>15176.34</v>
      </c>
      <c r="E129">
        <v>321</v>
      </c>
      <c r="F129">
        <v>321</v>
      </c>
    </row>
    <row r="130" spans="1:6" x14ac:dyDescent="0.25">
      <c r="A130" t="s">
        <v>256</v>
      </c>
      <c r="B130" s="4">
        <v>15636.99</v>
      </c>
      <c r="C130" s="4">
        <v>122.65</v>
      </c>
      <c r="D130" s="4">
        <v>15514.34</v>
      </c>
      <c r="E130">
        <v>755</v>
      </c>
      <c r="F130">
        <v>748</v>
      </c>
    </row>
    <row r="131" spans="1:6" x14ac:dyDescent="0.25">
      <c r="A131" t="s">
        <v>257</v>
      </c>
      <c r="B131" s="4">
        <v>15240.07</v>
      </c>
      <c r="C131" s="4">
        <v>1240.7</v>
      </c>
      <c r="D131" s="4">
        <v>13999.37</v>
      </c>
      <c r="E131">
        <v>555</v>
      </c>
      <c r="F131">
        <v>543</v>
      </c>
    </row>
    <row r="132" spans="1:6" x14ac:dyDescent="0.25">
      <c r="A132" t="s">
        <v>258</v>
      </c>
      <c r="B132" s="4">
        <v>15122.97</v>
      </c>
      <c r="C132" s="4">
        <v>120.95</v>
      </c>
      <c r="D132" s="4">
        <v>15002.02</v>
      </c>
      <c r="E132">
        <v>446</v>
      </c>
      <c r="F132">
        <v>436</v>
      </c>
    </row>
    <row r="133" spans="1:6" x14ac:dyDescent="0.25">
      <c r="A133" t="s">
        <v>259</v>
      </c>
      <c r="B133" s="4">
        <v>14975.93</v>
      </c>
      <c r="C133" s="4">
        <v>552.6</v>
      </c>
      <c r="D133" s="4">
        <v>14423.33</v>
      </c>
      <c r="E133">
        <v>553</v>
      </c>
      <c r="F133">
        <v>533</v>
      </c>
    </row>
    <row r="134" spans="1:6" x14ac:dyDescent="0.25">
      <c r="A134" t="s">
        <v>260</v>
      </c>
      <c r="B134" s="4">
        <v>14501.18</v>
      </c>
      <c r="C134" s="4">
        <v>22.9</v>
      </c>
      <c r="D134" s="4">
        <v>14478.28</v>
      </c>
      <c r="E134">
        <v>336</v>
      </c>
      <c r="F134">
        <v>335</v>
      </c>
    </row>
    <row r="135" spans="1:6" x14ac:dyDescent="0.25">
      <c r="A135" t="s">
        <v>261</v>
      </c>
      <c r="B135" s="4">
        <v>14453.47</v>
      </c>
      <c r="C135" s="4">
        <v>952</v>
      </c>
      <c r="D135" s="4">
        <v>13501.47</v>
      </c>
      <c r="E135">
        <v>384</v>
      </c>
      <c r="F135">
        <v>380</v>
      </c>
    </row>
    <row r="136" spans="1:6" x14ac:dyDescent="0.25">
      <c r="A136" t="s">
        <v>262</v>
      </c>
      <c r="B136" s="4">
        <v>14410.62</v>
      </c>
      <c r="C136" s="4">
        <v>209.1</v>
      </c>
      <c r="D136" s="4">
        <v>14201.52</v>
      </c>
      <c r="E136">
        <v>580</v>
      </c>
      <c r="F136">
        <v>548</v>
      </c>
    </row>
    <row r="137" spans="1:6" x14ac:dyDescent="0.25">
      <c r="A137" t="s">
        <v>263</v>
      </c>
      <c r="B137" s="4">
        <v>14389.34</v>
      </c>
      <c r="C137" s="4">
        <v>711.8</v>
      </c>
      <c r="D137" s="4">
        <v>13677.54</v>
      </c>
      <c r="E137">
        <v>376</v>
      </c>
      <c r="F137">
        <v>376</v>
      </c>
    </row>
    <row r="138" spans="1:6" x14ac:dyDescent="0.25">
      <c r="A138" t="s">
        <v>264</v>
      </c>
      <c r="B138" s="4">
        <v>14324</v>
      </c>
      <c r="C138" s="4">
        <v>47.7</v>
      </c>
      <c r="D138" s="4">
        <v>14276.3</v>
      </c>
      <c r="E138">
        <v>409</v>
      </c>
      <c r="F138">
        <v>407</v>
      </c>
    </row>
    <row r="139" spans="1:6" x14ac:dyDescent="0.25">
      <c r="A139" t="s">
        <v>265</v>
      </c>
      <c r="B139" s="4">
        <v>14197.28</v>
      </c>
      <c r="C139" s="4">
        <v>243.63</v>
      </c>
      <c r="D139" s="4">
        <v>13953.65</v>
      </c>
      <c r="E139">
        <v>602</v>
      </c>
      <c r="F139">
        <v>595</v>
      </c>
    </row>
    <row r="140" spans="1:6" x14ac:dyDescent="0.25">
      <c r="A140" t="s">
        <v>266</v>
      </c>
      <c r="B140" s="4">
        <v>14193.35</v>
      </c>
      <c r="C140" s="4">
        <v>33.950000000000003</v>
      </c>
      <c r="D140" s="4">
        <v>14159.4</v>
      </c>
      <c r="E140">
        <v>459</v>
      </c>
      <c r="F140">
        <v>459</v>
      </c>
    </row>
    <row r="141" spans="1:6" x14ac:dyDescent="0.25">
      <c r="A141" t="s">
        <v>267</v>
      </c>
      <c r="B141" s="4">
        <v>14159.54</v>
      </c>
      <c r="C141" s="4">
        <v>165.2</v>
      </c>
      <c r="D141" s="4">
        <v>13994.34</v>
      </c>
      <c r="E141">
        <v>614</v>
      </c>
      <c r="F141">
        <v>610</v>
      </c>
    </row>
    <row r="142" spans="1:6" x14ac:dyDescent="0.25">
      <c r="A142" t="s">
        <v>268</v>
      </c>
      <c r="B142" s="4">
        <v>14141.7</v>
      </c>
      <c r="C142" s="4">
        <v>198.05</v>
      </c>
      <c r="D142" s="4">
        <v>13943.65</v>
      </c>
      <c r="E142">
        <v>553</v>
      </c>
      <c r="F142">
        <v>546</v>
      </c>
    </row>
    <row r="143" spans="1:6" x14ac:dyDescent="0.25">
      <c r="A143" t="s">
        <v>269</v>
      </c>
      <c r="B143" s="4">
        <v>14078.69</v>
      </c>
      <c r="C143" s="4">
        <v>111.3</v>
      </c>
      <c r="D143" s="4">
        <v>13967.39</v>
      </c>
      <c r="E143">
        <v>568</v>
      </c>
      <c r="F143">
        <v>554</v>
      </c>
    </row>
    <row r="144" spans="1:6" x14ac:dyDescent="0.25">
      <c r="A144" t="s">
        <v>270</v>
      </c>
      <c r="B144" s="4">
        <v>14031.16</v>
      </c>
      <c r="C144" s="4">
        <v>6.24</v>
      </c>
      <c r="D144" s="4">
        <v>14024.92</v>
      </c>
      <c r="E144">
        <v>717</v>
      </c>
      <c r="F144">
        <v>705</v>
      </c>
    </row>
    <row r="145" spans="1:6" x14ac:dyDescent="0.25">
      <c r="A145" t="s">
        <v>271</v>
      </c>
      <c r="B145" s="4">
        <v>13978.95</v>
      </c>
      <c r="C145" s="4">
        <v>505.68</v>
      </c>
      <c r="D145" s="4">
        <v>13473.27</v>
      </c>
      <c r="E145">
        <v>489</v>
      </c>
      <c r="F145">
        <v>476</v>
      </c>
    </row>
    <row r="146" spans="1:6" x14ac:dyDescent="0.25">
      <c r="A146" t="s">
        <v>272</v>
      </c>
      <c r="B146" s="4">
        <v>13931.31</v>
      </c>
      <c r="C146" s="4">
        <v>151.35</v>
      </c>
      <c r="D146" s="4">
        <v>13779.96</v>
      </c>
      <c r="E146">
        <v>267</v>
      </c>
      <c r="F146">
        <v>267</v>
      </c>
    </row>
    <row r="147" spans="1:6" x14ac:dyDescent="0.25">
      <c r="A147" t="s">
        <v>273</v>
      </c>
      <c r="B147" s="4">
        <v>13841.85</v>
      </c>
      <c r="C147" s="4">
        <v>253.92</v>
      </c>
      <c r="D147" s="4">
        <v>13587.93</v>
      </c>
      <c r="E147">
        <v>537</v>
      </c>
      <c r="F147">
        <v>535</v>
      </c>
    </row>
    <row r="148" spans="1:6" x14ac:dyDescent="0.25">
      <c r="A148" t="s">
        <v>274</v>
      </c>
      <c r="B148" s="4">
        <v>13838.1</v>
      </c>
      <c r="C148" s="4">
        <v>2778.77</v>
      </c>
      <c r="D148" s="4">
        <v>11059.33</v>
      </c>
      <c r="E148">
        <v>533</v>
      </c>
      <c r="F148">
        <v>522</v>
      </c>
    </row>
    <row r="149" spans="1:6" x14ac:dyDescent="0.25">
      <c r="A149" t="s">
        <v>275</v>
      </c>
      <c r="B149" s="4">
        <v>13812.92</v>
      </c>
      <c r="C149" s="4">
        <v>429.25</v>
      </c>
      <c r="D149" s="4">
        <v>13383.67</v>
      </c>
      <c r="E149">
        <v>313</v>
      </c>
      <c r="F149">
        <v>311</v>
      </c>
    </row>
    <row r="150" spans="1:6" x14ac:dyDescent="0.25">
      <c r="A150" t="s">
        <v>276</v>
      </c>
      <c r="B150" s="4">
        <v>13746.11</v>
      </c>
      <c r="C150" s="4">
        <v>876.35</v>
      </c>
      <c r="D150" s="4">
        <v>12869.76</v>
      </c>
      <c r="E150">
        <v>386</v>
      </c>
      <c r="F150">
        <v>382</v>
      </c>
    </row>
    <row r="151" spans="1:6" x14ac:dyDescent="0.25">
      <c r="A151" t="s">
        <v>277</v>
      </c>
      <c r="B151" s="4">
        <v>13720.77</v>
      </c>
      <c r="C151" s="4">
        <v>75</v>
      </c>
      <c r="D151" s="4">
        <v>13645.77</v>
      </c>
      <c r="E151">
        <v>345</v>
      </c>
      <c r="F151">
        <v>344</v>
      </c>
    </row>
    <row r="152" spans="1:6" x14ac:dyDescent="0.25">
      <c r="A152" t="s">
        <v>278</v>
      </c>
      <c r="B152" s="4">
        <v>13615.31</v>
      </c>
      <c r="C152" s="4">
        <v>47.85</v>
      </c>
      <c r="D152" s="4">
        <v>13567.46</v>
      </c>
      <c r="E152">
        <v>689</v>
      </c>
      <c r="F152">
        <v>673</v>
      </c>
    </row>
    <row r="153" spans="1:6" x14ac:dyDescent="0.25">
      <c r="A153" t="s">
        <v>279</v>
      </c>
      <c r="B153" s="4">
        <v>13612.41</v>
      </c>
      <c r="C153" s="4">
        <v>48.9</v>
      </c>
      <c r="D153" s="4">
        <v>13563.51</v>
      </c>
      <c r="E153">
        <v>486</v>
      </c>
      <c r="F153">
        <v>480</v>
      </c>
    </row>
    <row r="154" spans="1:6" x14ac:dyDescent="0.25">
      <c r="A154" t="s">
        <v>280</v>
      </c>
      <c r="B154" s="4">
        <v>13494.97</v>
      </c>
      <c r="C154" s="4">
        <v>53.55</v>
      </c>
      <c r="D154" s="4">
        <v>13441.42</v>
      </c>
      <c r="E154">
        <v>500</v>
      </c>
      <c r="F154">
        <v>476</v>
      </c>
    </row>
    <row r="155" spans="1:6" x14ac:dyDescent="0.25">
      <c r="A155" t="s">
        <v>281</v>
      </c>
      <c r="B155" s="4">
        <v>13360.2</v>
      </c>
      <c r="C155" s="4">
        <v>659.6</v>
      </c>
      <c r="D155" s="4">
        <v>12700.6</v>
      </c>
      <c r="E155">
        <v>767</v>
      </c>
      <c r="F155">
        <v>740</v>
      </c>
    </row>
    <row r="156" spans="1:6" x14ac:dyDescent="0.25">
      <c r="A156" t="s">
        <v>282</v>
      </c>
      <c r="B156" s="4">
        <v>13346.04</v>
      </c>
      <c r="C156" s="4">
        <v>66.58</v>
      </c>
      <c r="D156" s="4">
        <v>13279.46</v>
      </c>
      <c r="E156">
        <v>781</v>
      </c>
      <c r="F156">
        <v>772</v>
      </c>
    </row>
    <row r="157" spans="1:6" x14ac:dyDescent="0.25">
      <c r="A157" t="s">
        <v>283</v>
      </c>
      <c r="B157" s="4">
        <v>13344.77</v>
      </c>
      <c r="C157" s="4">
        <v>47.85</v>
      </c>
      <c r="D157" s="4">
        <v>13296.92</v>
      </c>
      <c r="E157">
        <v>724</v>
      </c>
      <c r="F157">
        <v>704</v>
      </c>
    </row>
    <row r="158" spans="1:6" x14ac:dyDescent="0.25">
      <c r="A158" t="s">
        <v>284</v>
      </c>
      <c r="B158" s="4">
        <v>13303.02</v>
      </c>
      <c r="C158" s="4">
        <v>317.60000000000002</v>
      </c>
      <c r="D158" s="4">
        <v>12985.42</v>
      </c>
      <c r="E158">
        <v>375</v>
      </c>
      <c r="F158">
        <v>372</v>
      </c>
    </row>
    <row r="159" spans="1:6" x14ac:dyDescent="0.25">
      <c r="A159" t="s">
        <v>285</v>
      </c>
      <c r="B159" s="4">
        <v>13284.49</v>
      </c>
      <c r="C159" s="4">
        <v>29.64</v>
      </c>
      <c r="D159" s="4">
        <v>13254.85</v>
      </c>
      <c r="E159">
        <v>413</v>
      </c>
      <c r="F159">
        <v>405</v>
      </c>
    </row>
    <row r="160" spans="1:6" x14ac:dyDescent="0.25">
      <c r="A160" t="s">
        <v>286</v>
      </c>
      <c r="B160" s="4">
        <v>13088.73</v>
      </c>
      <c r="C160" s="4">
        <v>863</v>
      </c>
      <c r="D160" s="4">
        <v>12225.73</v>
      </c>
      <c r="E160">
        <v>538</v>
      </c>
      <c r="F160">
        <v>536</v>
      </c>
    </row>
    <row r="161" spans="1:6" x14ac:dyDescent="0.25">
      <c r="A161" t="s">
        <v>287</v>
      </c>
      <c r="B161" s="4">
        <v>12835.28</v>
      </c>
      <c r="C161" s="4">
        <v>73.3</v>
      </c>
      <c r="D161" s="4">
        <v>12761.98</v>
      </c>
      <c r="E161">
        <v>550</v>
      </c>
      <c r="F161">
        <v>545</v>
      </c>
    </row>
    <row r="162" spans="1:6" x14ac:dyDescent="0.25">
      <c r="A162" t="s">
        <v>288</v>
      </c>
      <c r="B162" s="4">
        <v>12805.33</v>
      </c>
      <c r="C162" s="4">
        <v>104.25</v>
      </c>
      <c r="D162" s="4">
        <v>12701.08</v>
      </c>
      <c r="E162">
        <v>591</v>
      </c>
      <c r="F162">
        <v>561</v>
      </c>
    </row>
    <row r="163" spans="1:6" x14ac:dyDescent="0.25">
      <c r="A163" t="s">
        <v>289</v>
      </c>
      <c r="B163" s="4">
        <v>12792.25</v>
      </c>
      <c r="C163" s="4">
        <v>23.8</v>
      </c>
      <c r="D163" s="4">
        <v>12768.45</v>
      </c>
      <c r="E163">
        <v>410</v>
      </c>
      <c r="F163">
        <v>407</v>
      </c>
    </row>
    <row r="164" spans="1:6" x14ac:dyDescent="0.25">
      <c r="A164" t="s">
        <v>290</v>
      </c>
      <c r="B164" s="4">
        <v>12671.06</v>
      </c>
      <c r="C164" s="4">
        <v>243.9</v>
      </c>
      <c r="D164" s="4">
        <v>12427.16</v>
      </c>
      <c r="E164">
        <v>512</v>
      </c>
      <c r="F164">
        <v>506</v>
      </c>
    </row>
    <row r="165" spans="1:6" x14ac:dyDescent="0.25">
      <c r="A165" t="s">
        <v>291</v>
      </c>
      <c r="B165" s="4">
        <v>12642.93</v>
      </c>
      <c r="C165" s="4">
        <v>47.7</v>
      </c>
      <c r="D165" s="4">
        <v>12595.23</v>
      </c>
      <c r="E165">
        <v>387</v>
      </c>
      <c r="F165">
        <v>385</v>
      </c>
    </row>
    <row r="166" spans="1:6" x14ac:dyDescent="0.25">
      <c r="A166" t="s">
        <v>292</v>
      </c>
      <c r="B166" s="4">
        <v>12614.17</v>
      </c>
      <c r="C166" s="4">
        <v>63.6</v>
      </c>
      <c r="D166" s="4">
        <v>12550.57</v>
      </c>
      <c r="E166">
        <v>388</v>
      </c>
      <c r="F166">
        <v>383</v>
      </c>
    </row>
    <row r="167" spans="1:6" x14ac:dyDescent="0.25">
      <c r="A167" t="s">
        <v>293</v>
      </c>
      <c r="B167" s="4">
        <v>12572.71</v>
      </c>
      <c r="C167" s="4">
        <v>23.8</v>
      </c>
      <c r="D167" s="4">
        <v>12548.91</v>
      </c>
      <c r="E167">
        <v>654</v>
      </c>
      <c r="F167">
        <v>629</v>
      </c>
    </row>
    <row r="168" spans="1:6" x14ac:dyDescent="0.25">
      <c r="A168" t="s">
        <v>294</v>
      </c>
      <c r="B168" s="4">
        <v>12571.37</v>
      </c>
      <c r="C168" s="4">
        <v>36.9</v>
      </c>
      <c r="D168" s="4">
        <v>12534.47</v>
      </c>
      <c r="E168">
        <v>362</v>
      </c>
      <c r="F168">
        <v>358</v>
      </c>
    </row>
    <row r="169" spans="1:6" x14ac:dyDescent="0.25">
      <c r="A169" t="s">
        <v>295</v>
      </c>
      <c r="B169" s="4">
        <v>12552.4</v>
      </c>
      <c r="C169" s="4">
        <v>62.71</v>
      </c>
      <c r="D169" s="4">
        <v>12489.69</v>
      </c>
      <c r="E169">
        <v>730</v>
      </c>
      <c r="F169">
        <v>722</v>
      </c>
    </row>
    <row r="170" spans="1:6" x14ac:dyDescent="0.25">
      <c r="A170" t="s">
        <v>296</v>
      </c>
      <c r="B170" s="4">
        <v>12515.96</v>
      </c>
      <c r="C170" s="4">
        <v>72.25</v>
      </c>
      <c r="D170" s="4">
        <v>12443.71</v>
      </c>
      <c r="E170">
        <v>940</v>
      </c>
      <c r="F170">
        <v>926</v>
      </c>
    </row>
    <row r="171" spans="1:6" x14ac:dyDescent="0.25">
      <c r="A171" t="s">
        <v>297</v>
      </c>
      <c r="B171" s="4">
        <v>12487.17</v>
      </c>
      <c r="C171" s="4">
        <v>3.95</v>
      </c>
      <c r="D171" s="4">
        <v>12483.22</v>
      </c>
      <c r="E171">
        <v>190</v>
      </c>
      <c r="F171">
        <v>189</v>
      </c>
    </row>
    <row r="172" spans="1:6" x14ac:dyDescent="0.25">
      <c r="A172" t="s">
        <v>298</v>
      </c>
      <c r="B172" s="4">
        <v>12440.14</v>
      </c>
      <c r="C172" s="4">
        <v>1028.82</v>
      </c>
      <c r="D172" s="4">
        <v>11411.32</v>
      </c>
      <c r="E172">
        <v>480</v>
      </c>
      <c r="F172">
        <v>470</v>
      </c>
    </row>
    <row r="173" spans="1:6" x14ac:dyDescent="0.25">
      <c r="A173" t="s">
        <v>299</v>
      </c>
      <c r="B173" s="4">
        <v>12383.83</v>
      </c>
      <c r="C173" s="4">
        <v>342.6</v>
      </c>
      <c r="D173" s="4">
        <v>12041.23</v>
      </c>
      <c r="E173">
        <v>456</v>
      </c>
      <c r="F173">
        <v>454</v>
      </c>
    </row>
    <row r="174" spans="1:6" x14ac:dyDescent="0.25">
      <c r="A174" t="s">
        <v>300</v>
      </c>
      <c r="B174" s="4">
        <v>12373.88</v>
      </c>
      <c r="C174" s="4">
        <v>1158.3</v>
      </c>
      <c r="D174" s="4">
        <v>11215.58</v>
      </c>
      <c r="E174">
        <v>559</v>
      </c>
      <c r="F174">
        <v>547</v>
      </c>
    </row>
    <row r="175" spans="1:6" x14ac:dyDescent="0.25">
      <c r="A175" t="s">
        <v>301</v>
      </c>
      <c r="B175" s="4">
        <v>12350.73</v>
      </c>
      <c r="C175" s="4">
        <v>345.2</v>
      </c>
      <c r="D175" s="4">
        <v>12005.53</v>
      </c>
      <c r="E175">
        <v>325</v>
      </c>
      <c r="F175">
        <v>322</v>
      </c>
    </row>
    <row r="176" spans="1:6" x14ac:dyDescent="0.25">
      <c r="A176" t="s">
        <v>302</v>
      </c>
      <c r="B176" s="4">
        <v>12245.02</v>
      </c>
      <c r="C176" s="4">
        <v>55.55</v>
      </c>
      <c r="D176" s="4">
        <v>12189.47</v>
      </c>
      <c r="E176">
        <v>890</v>
      </c>
      <c r="F176">
        <v>869</v>
      </c>
    </row>
    <row r="177" spans="1:6" x14ac:dyDescent="0.25">
      <c r="A177" t="s">
        <v>303</v>
      </c>
      <c r="B177" s="4">
        <v>12114.97</v>
      </c>
      <c r="C177" s="4">
        <v>40.049999999999997</v>
      </c>
      <c r="D177" s="4">
        <v>12074.92</v>
      </c>
      <c r="E177">
        <v>288</v>
      </c>
      <c r="F177">
        <v>287</v>
      </c>
    </row>
    <row r="178" spans="1:6" x14ac:dyDescent="0.25">
      <c r="A178" t="s">
        <v>304</v>
      </c>
      <c r="B178" s="4">
        <v>12071.92</v>
      </c>
      <c r="C178" s="4">
        <v>124.1</v>
      </c>
      <c r="D178" s="4">
        <v>11947.82</v>
      </c>
      <c r="E178">
        <v>397</v>
      </c>
      <c r="F178">
        <v>393</v>
      </c>
    </row>
    <row r="179" spans="1:6" x14ac:dyDescent="0.25">
      <c r="A179" t="s">
        <v>305</v>
      </c>
      <c r="B179" s="4">
        <v>12016.34</v>
      </c>
      <c r="C179" s="4">
        <v>3512.65</v>
      </c>
      <c r="D179" s="4">
        <v>8503.69</v>
      </c>
      <c r="E179">
        <v>338</v>
      </c>
      <c r="F179">
        <v>331</v>
      </c>
    </row>
    <row r="180" spans="1:6" x14ac:dyDescent="0.25">
      <c r="A180" t="s">
        <v>306</v>
      </c>
      <c r="B180" s="4">
        <v>11971.15</v>
      </c>
      <c r="C180" s="4">
        <v>2653.7</v>
      </c>
      <c r="D180" s="4">
        <v>9317.4500000000007</v>
      </c>
      <c r="E180">
        <v>425</v>
      </c>
      <c r="F180">
        <v>415</v>
      </c>
    </row>
    <row r="181" spans="1:6" x14ac:dyDescent="0.25">
      <c r="A181" t="s">
        <v>307</v>
      </c>
      <c r="B181" s="4">
        <v>11944.88</v>
      </c>
      <c r="C181" s="4">
        <v>71.75</v>
      </c>
      <c r="D181" s="4">
        <v>11873.13</v>
      </c>
      <c r="E181">
        <v>315</v>
      </c>
      <c r="F181">
        <v>303</v>
      </c>
    </row>
    <row r="182" spans="1:6" x14ac:dyDescent="0.25">
      <c r="A182" t="s">
        <v>308</v>
      </c>
      <c r="B182" s="4">
        <v>11928.45</v>
      </c>
      <c r="C182" s="4">
        <v>144.03</v>
      </c>
      <c r="D182" s="4">
        <v>11784.42</v>
      </c>
      <c r="E182">
        <v>482</v>
      </c>
      <c r="F182">
        <v>477</v>
      </c>
    </row>
    <row r="183" spans="1:6" x14ac:dyDescent="0.25">
      <c r="A183" t="s">
        <v>309</v>
      </c>
      <c r="B183" s="4">
        <v>11893.23</v>
      </c>
      <c r="C183" s="4">
        <v>223.8</v>
      </c>
      <c r="D183" s="4">
        <v>11669.43</v>
      </c>
      <c r="E183">
        <v>334</v>
      </c>
      <c r="F183">
        <v>326</v>
      </c>
    </row>
    <row r="184" spans="1:6" x14ac:dyDescent="0.25">
      <c r="A184" t="s">
        <v>310</v>
      </c>
      <c r="B184" s="4">
        <v>11882.57</v>
      </c>
      <c r="C184" s="4">
        <v>192.95</v>
      </c>
      <c r="D184" s="4">
        <v>11689.62</v>
      </c>
      <c r="E184">
        <v>463</v>
      </c>
      <c r="F184">
        <v>460</v>
      </c>
    </row>
    <row r="185" spans="1:6" x14ac:dyDescent="0.25">
      <c r="A185" t="s">
        <v>311</v>
      </c>
      <c r="B185" s="4">
        <v>11815.69</v>
      </c>
      <c r="C185" s="4">
        <v>231.6</v>
      </c>
      <c r="D185" s="4">
        <v>11584.09</v>
      </c>
      <c r="E185">
        <v>773</v>
      </c>
      <c r="F185">
        <v>758</v>
      </c>
    </row>
    <row r="186" spans="1:6" x14ac:dyDescent="0.25">
      <c r="A186" t="s">
        <v>312</v>
      </c>
      <c r="B186" s="4">
        <v>11671.09</v>
      </c>
      <c r="C186" s="4">
        <v>157.1</v>
      </c>
      <c r="D186" s="4">
        <v>11513.99</v>
      </c>
      <c r="E186">
        <v>534</v>
      </c>
      <c r="F186">
        <v>531</v>
      </c>
    </row>
    <row r="187" spans="1:6" x14ac:dyDescent="0.25">
      <c r="A187" t="s">
        <v>313</v>
      </c>
      <c r="B187" s="4">
        <v>11613.03</v>
      </c>
      <c r="C187" s="4">
        <v>224.76</v>
      </c>
      <c r="D187" s="4">
        <v>11388.27</v>
      </c>
      <c r="E187">
        <v>351</v>
      </c>
      <c r="F187">
        <v>338</v>
      </c>
    </row>
    <row r="188" spans="1:6" x14ac:dyDescent="0.25">
      <c r="A188" t="s">
        <v>314</v>
      </c>
      <c r="B188" s="4">
        <v>11555.56</v>
      </c>
      <c r="C188" s="4">
        <v>23.85</v>
      </c>
      <c r="D188" s="4">
        <v>11531.71</v>
      </c>
      <c r="E188">
        <v>445</v>
      </c>
      <c r="F188">
        <v>443</v>
      </c>
    </row>
    <row r="189" spans="1:6" x14ac:dyDescent="0.25">
      <c r="A189" t="s">
        <v>315</v>
      </c>
      <c r="B189" s="4">
        <v>11532.39</v>
      </c>
      <c r="C189" s="4">
        <v>89.55</v>
      </c>
      <c r="D189" s="4">
        <v>11442.84</v>
      </c>
      <c r="E189">
        <v>345</v>
      </c>
      <c r="F189">
        <v>344</v>
      </c>
    </row>
    <row r="190" spans="1:6" x14ac:dyDescent="0.25">
      <c r="A190" t="s">
        <v>316</v>
      </c>
      <c r="B190" s="4">
        <v>11479.65</v>
      </c>
      <c r="C190" s="4">
        <v>195</v>
      </c>
      <c r="D190" s="4">
        <v>11284.65</v>
      </c>
      <c r="E190">
        <v>579</v>
      </c>
      <c r="F190">
        <v>570</v>
      </c>
    </row>
    <row r="191" spans="1:6" x14ac:dyDescent="0.25">
      <c r="A191" t="s">
        <v>317</v>
      </c>
      <c r="B191" s="4">
        <v>11466.37</v>
      </c>
      <c r="C191" s="4">
        <v>239.6</v>
      </c>
      <c r="D191" s="4">
        <v>11226.77</v>
      </c>
      <c r="E191">
        <v>505</v>
      </c>
      <c r="F191">
        <v>490</v>
      </c>
    </row>
    <row r="192" spans="1:6" x14ac:dyDescent="0.25">
      <c r="A192" t="s">
        <v>318</v>
      </c>
      <c r="B192" s="4">
        <v>11420.29</v>
      </c>
      <c r="C192" s="4">
        <v>201.53</v>
      </c>
      <c r="D192" s="4">
        <v>11218.76</v>
      </c>
      <c r="E192">
        <v>758</v>
      </c>
      <c r="F192">
        <v>742</v>
      </c>
    </row>
    <row r="193" spans="1:6" x14ac:dyDescent="0.25">
      <c r="A193" t="s">
        <v>319</v>
      </c>
      <c r="B193" s="4">
        <v>11407.56</v>
      </c>
      <c r="C193" s="4">
        <v>78.5</v>
      </c>
      <c r="D193" s="4">
        <v>11329.06</v>
      </c>
      <c r="E193">
        <v>439</v>
      </c>
      <c r="F193">
        <v>430</v>
      </c>
    </row>
    <row r="194" spans="1:6" x14ac:dyDescent="0.25">
      <c r="A194" t="s">
        <v>320</v>
      </c>
      <c r="B194" s="4">
        <v>11354.56</v>
      </c>
      <c r="C194" s="4">
        <v>93.75</v>
      </c>
      <c r="D194" s="4">
        <v>11260.81</v>
      </c>
      <c r="E194">
        <v>365</v>
      </c>
      <c r="F194">
        <v>361</v>
      </c>
    </row>
    <row r="195" spans="1:6" x14ac:dyDescent="0.25">
      <c r="A195" t="s">
        <v>321</v>
      </c>
      <c r="B195" s="4">
        <v>11338.27</v>
      </c>
      <c r="C195" s="4">
        <v>298.2</v>
      </c>
      <c r="D195" s="4">
        <v>11040.07</v>
      </c>
      <c r="E195">
        <v>294</v>
      </c>
      <c r="F195">
        <v>290</v>
      </c>
    </row>
    <row r="196" spans="1:6" x14ac:dyDescent="0.25">
      <c r="A196" t="s">
        <v>322</v>
      </c>
      <c r="B196" s="4">
        <v>11319.36</v>
      </c>
      <c r="C196" s="4">
        <v>14.45</v>
      </c>
      <c r="D196" s="4">
        <v>11304.91</v>
      </c>
      <c r="E196">
        <v>1012</v>
      </c>
      <c r="F196">
        <v>986</v>
      </c>
    </row>
    <row r="197" spans="1:6" x14ac:dyDescent="0.25">
      <c r="A197" t="s">
        <v>323</v>
      </c>
      <c r="B197" s="4">
        <v>11290.12</v>
      </c>
      <c r="C197" s="4">
        <v>3692.95</v>
      </c>
      <c r="D197" s="4">
        <v>7597.17</v>
      </c>
      <c r="E197">
        <v>369</v>
      </c>
      <c r="F197">
        <v>365</v>
      </c>
    </row>
    <row r="198" spans="1:6" x14ac:dyDescent="0.25">
      <c r="A198" t="s">
        <v>324</v>
      </c>
      <c r="B198" s="4">
        <v>11276.21</v>
      </c>
      <c r="C198" s="4">
        <v>97</v>
      </c>
      <c r="D198" s="4">
        <v>11179.21</v>
      </c>
      <c r="E198">
        <v>300</v>
      </c>
      <c r="F198">
        <v>299</v>
      </c>
    </row>
    <row r="199" spans="1:6" x14ac:dyDescent="0.25">
      <c r="A199" t="s">
        <v>325</v>
      </c>
      <c r="B199" s="4">
        <v>11227.47</v>
      </c>
      <c r="C199" s="4">
        <v>832.35</v>
      </c>
      <c r="D199" s="4">
        <v>10395.120000000001</v>
      </c>
      <c r="E199">
        <v>395</v>
      </c>
      <c r="F199">
        <v>386</v>
      </c>
    </row>
    <row r="200" spans="1:6" x14ac:dyDescent="0.25">
      <c r="A200" t="s">
        <v>326</v>
      </c>
      <c r="B200" s="4">
        <v>11117.05</v>
      </c>
      <c r="C200" s="4">
        <v>1046.3</v>
      </c>
      <c r="D200" s="4">
        <v>10070.75</v>
      </c>
      <c r="E200">
        <v>446</v>
      </c>
      <c r="F200">
        <v>445</v>
      </c>
    </row>
    <row r="201" spans="1:6" x14ac:dyDescent="0.25">
      <c r="A201" t="s">
        <v>327</v>
      </c>
      <c r="B201" s="4">
        <v>11104.79</v>
      </c>
      <c r="C201" s="4">
        <v>53.1</v>
      </c>
      <c r="D201" s="4">
        <v>11051.69</v>
      </c>
      <c r="E201">
        <v>419</v>
      </c>
      <c r="F201">
        <v>412</v>
      </c>
    </row>
    <row r="202" spans="1:6" x14ac:dyDescent="0.25">
      <c r="A202" t="s">
        <v>328</v>
      </c>
      <c r="B202" s="4">
        <v>11090.58</v>
      </c>
      <c r="C202" s="4">
        <v>28.05</v>
      </c>
      <c r="D202" s="4">
        <v>11062.53</v>
      </c>
      <c r="E202">
        <v>698</v>
      </c>
      <c r="F202">
        <v>682</v>
      </c>
    </row>
    <row r="203" spans="1:6" x14ac:dyDescent="0.25">
      <c r="A203" t="s">
        <v>329</v>
      </c>
      <c r="B203" s="4">
        <v>11014.62</v>
      </c>
      <c r="C203" s="4">
        <v>40.31</v>
      </c>
      <c r="D203" s="4">
        <v>10974.31</v>
      </c>
      <c r="E203">
        <v>524</v>
      </c>
      <c r="F203">
        <v>522</v>
      </c>
    </row>
    <row r="204" spans="1:6" x14ac:dyDescent="0.25">
      <c r="A204" t="s">
        <v>330</v>
      </c>
      <c r="B204" s="4">
        <v>10981.95</v>
      </c>
      <c r="C204" s="4">
        <v>11.9</v>
      </c>
      <c r="D204" s="4">
        <v>10970.05</v>
      </c>
      <c r="E204">
        <v>353</v>
      </c>
      <c r="F204">
        <v>350</v>
      </c>
    </row>
    <row r="205" spans="1:6" x14ac:dyDescent="0.25">
      <c r="A205" t="s">
        <v>331</v>
      </c>
      <c r="B205" s="4">
        <v>10938.31</v>
      </c>
      <c r="C205" s="4">
        <v>132.78</v>
      </c>
      <c r="D205" s="4">
        <v>10805.53</v>
      </c>
      <c r="E205">
        <v>430</v>
      </c>
      <c r="F205">
        <v>418</v>
      </c>
    </row>
    <row r="206" spans="1:6" x14ac:dyDescent="0.25">
      <c r="A206" t="s">
        <v>332</v>
      </c>
      <c r="B206" s="4">
        <v>10910.61</v>
      </c>
      <c r="C206" s="4">
        <v>307.95</v>
      </c>
      <c r="D206" s="4">
        <v>10602.66</v>
      </c>
      <c r="E206">
        <v>263</v>
      </c>
      <c r="F206">
        <v>261</v>
      </c>
    </row>
    <row r="207" spans="1:6" x14ac:dyDescent="0.25">
      <c r="A207" t="s">
        <v>333</v>
      </c>
      <c r="B207" s="4">
        <v>10858.89</v>
      </c>
      <c r="C207" s="4">
        <v>105.88</v>
      </c>
      <c r="D207" s="4">
        <v>10753.01</v>
      </c>
      <c r="E207">
        <v>441</v>
      </c>
      <c r="F207">
        <v>440</v>
      </c>
    </row>
    <row r="208" spans="1:6" x14ac:dyDescent="0.25">
      <c r="A208" t="s">
        <v>334</v>
      </c>
      <c r="B208" s="4">
        <v>10745.05</v>
      </c>
      <c r="C208" s="4">
        <v>142.15</v>
      </c>
      <c r="D208" s="4">
        <v>10602.9</v>
      </c>
      <c r="E208">
        <v>467</v>
      </c>
      <c r="F208">
        <v>464</v>
      </c>
    </row>
    <row r="209" spans="1:6" x14ac:dyDescent="0.25">
      <c r="A209" t="s">
        <v>335</v>
      </c>
      <c r="B209" s="4">
        <v>10676.62</v>
      </c>
      <c r="C209" s="4">
        <v>416.7</v>
      </c>
      <c r="D209" s="4">
        <v>10259.92</v>
      </c>
      <c r="E209">
        <v>278</v>
      </c>
      <c r="F209">
        <v>278</v>
      </c>
    </row>
    <row r="210" spans="1:6" x14ac:dyDescent="0.25">
      <c r="A210" t="s">
        <v>336</v>
      </c>
      <c r="B210" s="4">
        <v>10621.6</v>
      </c>
      <c r="C210" s="4">
        <v>86.7</v>
      </c>
      <c r="D210" s="4">
        <v>10534.9</v>
      </c>
      <c r="E210">
        <v>436</v>
      </c>
      <c r="F210">
        <v>422</v>
      </c>
    </row>
    <row r="211" spans="1:6" x14ac:dyDescent="0.25">
      <c r="A211" t="s">
        <v>337</v>
      </c>
      <c r="B211" s="4">
        <v>10535.65</v>
      </c>
      <c r="C211" s="4">
        <v>45</v>
      </c>
      <c r="D211" s="4">
        <v>10490.65</v>
      </c>
      <c r="E211">
        <v>613</v>
      </c>
      <c r="F211">
        <v>607</v>
      </c>
    </row>
    <row r="212" spans="1:6" x14ac:dyDescent="0.25">
      <c r="A212" t="s">
        <v>338</v>
      </c>
      <c r="B212" s="4">
        <v>10526</v>
      </c>
      <c r="C212" s="4">
        <v>59.32</v>
      </c>
      <c r="D212" s="4">
        <v>10466.68</v>
      </c>
      <c r="E212">
        <v>444</v>
      </c>
      <c r="F212">
        <v>425</v>
      </c>
    </row>
    <row r="213" spans="1:6" x14ac:dyDescent="0.25">
      <c r="A213" t="s">
        <v>339</v>
      </c>
      <c r="B213" s="4">
        <v>10518.25</v>
      </c>
      <c r="C213" s="4">
        <v>44.85</v>
      </c>
      <c r="D213" s="4">
        <v>10473.4</v>
      </c>
      <c r="E213">
        <v>628</v>
      </c>
      <c r="F213">
        <v>621</v>
      </c>
    </row>
    <row r="214" spans="1:6" x14ac:dyDescent="0.25">
      <c r="A214" t="s">
        <v>340</v>
      </c>
      <c r="B214" s="4">
        <v>10502.65</v>
      </c>
      <c r="C214" s="4">
        <v>114.8</v>
      </c>
      <c r="D214" s="4">
        <v>10387.85</v>
      </c>
      <c r="E214">
        <v>391</v>
      </c>
      <c r="F214">
        <v>390</v>
      </c>
    </row>
    <row r="215" spans="1:6" x14ac:dyDescent="0.25">
      <c r="A215" t="s">
        <v>341</v>
      </c>
      <c r="B215" s="4">
        <v>10498.01</v>
      </c>
      <c r="C215" s="4">
        <v>109.85</v>
      </c>
      <c r="D215" s="4">
        <v>10388.16</v>
      </c>
      <c r="E215">
        <v>688</v>
      </c>
      <c r="F215">
        <v>668</v>
      </c>
    </row>
    <row r="216" spans="1:6" x14ac:dyDescent="0.25">
      <c r="A216" t="s">
        <v>342</v>
      </c>
      <c r="B216" s="4">
        <v>10379.84</v>
      </c>
      <c r="C216" s="4">
        <v>1193.4000000000001</v>
      </c>
      <c r="D216" s="4">
        <v>9186.44</v>
      </c>
      <c r="E216">
        <v>359</v>
      </c>
      <c r="F216">
        <v>348</v>
      </c>
    </row>
    <row r="217" spans="1:6" x14ac:dyDescent="0.25">
      <c r="A217" t="s">
        <v>343</v>
      </c>
      <c r="B217" s="4">
        <v>10354.26</v>
      </c>
      <c r="C217" s="4">
        <v>257.55</v>
      </c>
      <c r="D217" s="4">
        <v>10096.709999999999</v>
      </c>
      <c r="E217">
        <v>373</v>
      </c>
      <c r="F217">
        <v>372</v>
      </c>
    </row>
    <row r="218" spans="1:6" x14ac:dyDescent="0.25">
      <c r="A218" t="s">
        <v>344</v>
      </c>
      <c r="B218" s="4">
        <v>10343.56</v>
      </c>
      <c r="C218" s="4">
        <v>45</v>
      </c>
      <c r="D218" s="4">
        <v>10298.56</v>
      </c>
      <c r="E218">
        <v>613</v>
      </c>
      <c r="F218">
        <v>603</v>
      </c>
    </row>
    <row r="219" spans="1:6" x14ac:dyDescent="0.25">
      <c r="A219" t="s">
        <v>345</v>
      </c>
      <c r="B219" s="4">
        <v>10297.27</v>
      </c>
      <c r="C219" s="4">
        <v>38.29</v>
      </c>
      <c r="D219" s="4">
        <v>10258.98</v>
      </c>
      <c r="E219">
        <v>361</v>
      </c>
      <c r="F219">
        <v>347</v>
      </c>
    </row>
    <row r="220" spans="1:6" x14ac:dyDescent="0.25">
      <c r="A220" t="s">
        <v>346</v>
      </c>
      <c r="B220" s="4">
        <v>10233.450000000001</v>
      </c>
      <c r="C220" s="4">
        <v>222.68</v>
      </c>
      <c r="D220" s="4">
        <v>10010.77</v>
      </c>
      <c r="E220">
        <v>266</v>
      </c>
      <c r="F220">
        <v>259</v>
      </c>
    </row>
    <row r="221" spans="1:6" x14ac:dyDescent="0.25">
      <c r="A221" t="s">
        <v>347</v>
      </c>
      <c r="B221" s="4">
        <v>10224.75</v>
      </c>
      <c r="C221" s="4">
        <v>33.6</v>
      </c>
      <c r="D221" s="4">
        <v>10191.15</v>
      </c>
      <c r="E221">
        <v>325</v>
      </c>
      <c r="F221">
        <v>317</v>
      </c>
    </row>
    <row r="222" spans="1:6" x14ac:dyDescent="0.25">
      <c r="A222" t="s">
        <v>348</v>
      </c>
      <c r="B222" s="4">
        <v>10133.33</v>
      </c>
      <c r="C222" s="4">
        <v>658.38</v>
      </c>
      <c r="D222" s="4">
        <v>9474.9500000000007</v>
      </c>
      <c r="E222">
        <v>355</v>
      </c>
      <c r="F222">
        <v>348</v>
      </c>
    </row>
    <row r="223" spans="1:6" x14ac:dyDescent="0.25">
      <c r="A223" t="s">
        <v>349</v>
      </c>
      <c r="B223" s="4">
        <v>10116.49</v>
      </c>
      <c r="C223" s="4">
        <v>165.25</v>
      </c>
      <c r="D223" s="4">
        <v>9951.24</v>
      </c>
      <c r="E223">
        <v>398</v>
      </c>
      <c r="F223">
        <v>394</v>
      </c>
    </row>
    <row r="224" spans="1:6" x14ac:dyDescent="0.25">
      <c r="A224" t="s">
        <v>350</v>
      </c>
      <c r="B224" s="4">
        <v>10070.11</v>
      </c>
      <c r="C224" s="4">
        <v>108.9</v>
      </c>
      <c r="D224" s="4">
        <v>9961.2099999999991</v>
      </c>
      <c r="E224">
        <v>581</v>
      </c>
      <c r="F224">
        <v>571</v>
      </c>
    </row>
    <row r="225" spans="1:6" x14ac:dyDescent="0.25">
      <c r="A225" t="s">
        <v>351</v>
      </c>
      <c r="B225" s="4">
        <v>10057.32</v>
      </c>
      <c r="C225" s="4">
        <v>54.6</v>
      </c>
      <c r="D225" s="4">
        <v>10002.719999999999</v>
      </c>
      <c r="E225">
        <v>508</v>
      </c>
      <c r="F225">
        <v>479</v>
      </c>
    </row>
    <row r="226" spans="1:6" x14ac:dyDescent="0.25">
      <c r="A226" t="s">
        <v>352</v>
      </c>
      <c r="B226" s="4">
        <v>10056.950000000001</v>
      </c>
      <c r="C226" s="4">
        <v>64.75</v>
      </c>
      <c r="D226" s="4">
        <v>9992.2000000000007</v>
      </c>
      <c r="E226">
        <v>621</v>
      </c>
      <c r="F226">
        <v>609</v>
      </c>
    </row>
    <row r="227" spans="1:6" x14ac:dyDescent="0.25">
      <c r="A227" t="s">
        <v>353</v>
      </c>
      <c r="B227" s="4">
        <v>10051.99</v>
      </c>
      <c r="C227" s="4">
        <v>146.25</v>
      </c>
      <c r="D227" s="4">
        <v>9905.74</v>
      </c>
      <c r="E227">
        <v>383</v>
      </c>
      <c r="F227">
        <v>381</v>
      </c>
    </row>
    <row r="228" spans="1:6" x14ac:dyDescent="0.25">
      <c r="A228" t="s">
        <v>354</v>
      </c>
      <c r="B228" s="4">
        <v>10025.11</v>
      </c>
      <c r="C228" s="4">
        <v>40.950000000000003</v>
      </c>
      <c r="D228" s="4">
        <v>9984.16</v>
      </c>
      <c r="E228">
        <v>191</v>
      </c>
      <c r="F228">
        <v>188</v>
      </c>
    </row>
    <row r="229" spans="1:6" x14ac:dyDescent="0.25">
      <c r="A229" t="s">
        <v>355</v>
      </c>
      <c r="B229" s="4">
        <v>10021.42</v>
      </c>
      <c r="C229" s="4">
        <v>53.55</v>
      </c>
      <c r="D229" s="4">
        <v>9967.8700000000008</v>
      </c>
      <c r="E229">
        <v>327</v>
      </c>
      <c r="F229">
        <v>326</v>
      </c>
    </row>
    <row r="230" spans="1:6" x14ac:dyDescent="0.25">
      <c r="A230" t="s">
        <v>356</v>
      </c>
      <c r="B230" s="4">
        <v>9965.76</v>
      </c>
      <c r="C230" s="4">
        <v>35</v>
      </c>
      <c r="D230" s="4">
        <v>9930.76</v>
      </c>
      <c r="E230">
        <v>278</v>
      </c>
      <c r="F230">
        <v>277</v>
      </c>
    </row>
    <row r="231" spans="1:6" x14ac:dyDescent="0.25">
      <c r="A231" t="s">
        <v>357</v>
      </c>
      <c r="B231" s="4">
        <v>9963.8799999999992</v>
      </c>
      <c r="C231" s="4">
        <v>192.75</v>
      </c>
      <c r="D231" s="4">
        <v>9771.1299999999992</v>
      </c>
      <c r="E231">
        <v>351</v>
      </c>
      <c r="F231">
        <v>345</v>
      </c>
    </row>
    <row r="232" spans="1:6" x14ac:dyDescent="0.25">
      <c r="A232" t="s">
        <v>358</v>
      </c>
      <c r="B232" s="4">
        <v>9959.6</v>
      </c>
      <c r="C232" s="4">
        <v>48.3</v>
      </c>
      <c r="D232" s="4">
        <v>9911.2999999999993</v>
      </c>
      <c r="E232">
        <v>288</v>
      </c>
      <c r="F232">
        <v>285</v>
      </c>
    </row>
    <row r="233" spans="1:6" x14ac:dyDescent="0.25">
      <c r="A233" t="s">
        <v>359</v>
      </c>
      <c r="B233" s="4">
        <v>9933.8799999999992</v>
      </c>
      <c r="C233" s="4">
        <v>49.95</v>
      </c>
      <c r="D233" s="4">
        <v>9883.93</v>
      </c>
      <c r="E233">
        <v>260</v>
      </c>
      <c r="F233">
        <v>260</v>
      </c>
    </row>
    <row r="234" spans="1:6" x14ac:dyDescent="0.25">
      <c r="A234" t="s">
        <v>360</v>
      </c>
      <c r="B234" s="4">
        <v>9921.2900000000009</v>
      </c>
      <c r="C234" s="4">
        <v>15</v>
      </c>
      <c r="D234" s="4">
        <v>9906.2900000000009</v>
      </c>
      <c r="E234">
        <v>450</v>
      </c>
      <c r="F234">
        <v>443</v>
      </c>
    </row>
    <row r="235" spans="1:6" x14ac:dyDescent="0.25">
      <c r="A235" t="s">
        <v>361</v>
      </c>
      <c r="B235" s="4">
        <v>9898.9500000000007</v>
      </c>
      <c r="C235" s="4">
        <v>193.35</v>
      </c>
      <c r="D235" s="4">
        <v>9705.6</v>
      </c>
      <c r="E235">
        <v>331</v>
      </c>
      <c r="F235">
        <v>328</v>
      </c>
    </row>
    <row r="236" spans="1:6" x14ac:dyDescent="0.25">
      <c r="A236" t="s">
        <v>362</v>
      </c>
      <c r="B236" s="4">
        <v>9863.2800000000007</v>
      </c>
      <c r="C236" s="4">
        <v>34.65</v>
      </c>
      <c r="D236" s="4">
        <v>9828.6299999999992</v>
      </c>
      <c r="E236">
        <v>530</v>
      </c>
      <c r="F236">
        <v>515</v>
      </c>
    </row>
    <row r="237" spans="1:6" x14ac:dyDescent="0.25">
      <c r="A237" t="s">
        <v>363</v>
      </c>
      <c r="B237" s="4">
        <v>9843.59</v>
      </c>
      <c r="C237" s="4">
        <v>156.35</v>
      </c>
      <c r="D237" s="4">
        <v>9687.24</v>
      </c>
      <c r="E237">
        <v>517</v>
      </c>
      <c r="F237">
        <v>504</v>
      </c>
    </row>
    <row r="238" spans="1:6" x14ac:dyDescent="0.25">
      <c r="A238" t="s">
        <v>364</v>
      </c>
      <c r="B238" s="4">
        <v>9811.58</v>
      </c>
      <c r="C238" s="4">
        <v>270.14999999999998</v>
      </c>
      <c r="D238" s="4">
        <v>9541.43</v>
      </c>
      <c r="E238">
        <v>545</v>
      </c>
      <c r="F238">
        <v>541</v>
      </c>
    </row>
    <row r="239" spans="1:6" x14ac:dyDescent="0.25">
      <c r="A239" t="s">
        <v>365</v>
      </c>
      <c r="B239" s="4">
        <v>9765.11</v>
      </c>
      <c r="C239" s="4">
        <v>1671.6</v>
      </c>
      <c r="D239" s="4">
        <v>8093.51</v>
      </c>
      <c r="E239">
        <v>168</v>
      </c>
      <c r="F239">
        <v>168</v>
      </c>
    </row>
    <row r="240" spans="1:6" x14ac:dyDescent="0.25">
      <c r="A240" t="s">
        <v>366</v>
      </c>
      <c r="B240" s="4">
        <v>9749.82</v>
      </c>
      <c r="C240" s="4">
        <v>405</v>
      </c>
      <c r="D240" s="4">
        <v>9344.82</v>
      </c>
      <c r="E240">
        <v>446</v>
      </c>
      <c r="F240">
        <v>433</v>
      </c>
    </row>
    <row r="241" spans="1:6" x14ac:dyDescent="0.25">
      <c r="A241" t="s">
        <v>367</v>
      </c>
      <c r="B241" s="4">
        <v>9748.1299999999992</v>
      </c>
      <c r="C241" s="4">
        <v>35.25</v>
      </c>
      <c r="D241" s="4">
        <v>9712.8799999999992</v>
      </c>
      <c r="E241">
        <v>586</v>
      </c>
      <c r="F241">
        <v>573</v>
      </c>
    </row>
    <row r="242" spans="1:6" x14ac:dyDescent="0.25">
      <c r="A242" t="s">
        <v>368</v>
      </c>
      <c r="B242" s="4">
        <v>9686.82</v>
      </c>
      <c r="C242" s="4">
        <v>227.8</v>
      </c>
      <c r="D242" s="4">
        <v>9459.02</v>
      </c>
      <c r="E242">
        <v>421</v>
      </c>
      <c r="F242">
        <v>416</v>
      </c>
    </row>
    <row r="243" spans="1:6" x14ac:dyDescent="0.25">
      <c r="A243" t="s">
        <v>369</v>
      </c>
      <c r="B243" s="4">
        <v>9681.18</v>
      </c>
      <c r="C243" s="4">
        <v>92.4</v>
      </c>
      <c r="D243" s="4">
        <v>9588.7800000000007</v>
      </c>
      <c r="E243">
        <v>560</v>
      </c>
      <c r="F243">
        <v>544</v>
      </c>
    </row>
    <row r="244" spans="1:6" x14ac:dyDescent="0.25">
      <c r="A244" t="s">
        <v>370</v>
      </c>
      <c r="B244" s="4">
        <v>9602.32</v>
      </c>
      <c r="C244" s="4">
        <v>1.06</v>
      </c>
      <c r="D244" s="4">
        <v>9601.26</v>
      </c>
      <c r="E244">
        <v>390</v>
      </c>
      <c r="F244">
        <v>389</v>
      </c>
    </row>
    <row r="245" spans="1:6" x14ac:dyDescent="0.25">
      <c r="A245" t="s">
        <v>371</v>
      </c>
      <c r="B245" s="4">
        <v>9600.15</v>
      </c>
      <c r="C245" s="4">
        <v>225.5</v>
      </c>
      <c r="D245" s="4">
        <v>9374.65</v>
      </c>
      <c r="E245">
        <v>332</v>
      </c>
      <c r="F245">
        <v>329</v>
      </c>
    </row>
    <row r="246" spans="1:6" x14ac:dyDescent="0.25">
      <c r="A246" t="s">
        <v>372</v>
      </c>
      <c r="B246" s="4">
        <v>9568.73</v>
      </c>
      <c r="C246" s="4">
        <v>272.61</v>
      </c>
      <c r="D246" s="4">
        <v>9296.1200000000008</v>
      </c>
      <c r="E246">
        <v>239</v>
      </c>
      <c r="F246">
        <v>238</v>
      </c>
    </row>
    <row r="247" spans="1:6" x14ac:dyDescent="0.25">
      <c r="A247" t="s">
        <v>373</v>
      </c>
      <c r="B247" s="4">
        <v>9554.4699999999993</v>
      </c>
      <c r="C247" s="4">
        <v>326.8</v>
      </c>
      <c r="D247" s="4">
        <v>9227.67</v>
      </c>
      <c r="E247">
        <v>479</v>
      </c>
      <c r="F247">
        <v>476</v>
      </c>
    </row>
    <row r="248" spans="1:6" x14ac:dyDescent="0.25">
      <c r="A248" t="s">
        <v>374</v>
      </c>
      <c r="B248" s="4">
        <v>9546.5300000000007</v>
      </c>
      <c r="C248" s="4">
        <v>121.17</v>
      </c>
      <c r="D248" s="4">
        <v>9425.36</v>
      </c>
      <c r="E248">
        <v>470</v>
      </c>
      <c r="F248">
        <v>456</v>
      </c>
    </row>
    <row r="249" spans="1:6" x14ac:dyDescent="0.25">
      <c r="A249" t="s">
        <v>375</v>
      </c>
      <c r="B249" s="4">
        <v>9524.7199999999993</v>
      </c>
      <c r="C249" s="4">
        <v>140.4</v>
      </c>
      <c r="D249" s="4">
        <v>9384.32</v>
      </c>
      <c r="E249">
        <v>649</v>
      </c>
      <c r="F249">
        <v>619</v>
      </c>
    </row>
    <row r="250" spans="1:6" x14ac:dyDescent="0.25">
      <c r="A250" t="s">
        <v>376</v>
      </c>
      <c r="B250" s="4">
        <v>9413.82</v>
      </c>
      <c r="C250" s="4">
        <v>0</v>
      </c>
      <c r="D250" s="4">
        <v>9413.82</v>
      </c>
      <c r="E250">
        <v>547</v>
      </c>
      <c r="F250">
        <v>538</v>
      </c>
    </row>
    <row r="251" spans="1:6" x14ac:dyDescent="0.25">
      <c r="A251" t="s">
        <v>377</v>
      </c>
      <c r="B251" s="4">
        <v>9404.15</v>
      </c>
      <c r="C251" s="4">
        <v>27.3</v>
      </c>
      <c r="D251" s="4">
        <v>9376.85</v>
      </c>
      <c r="E251">
        <v>530</v>
      </c>
      <c r="F251">
        <v>517</v>
      </c>
    </row>
    <row r="252" spans="1:6" x14ac:dyDescent="0.25">
      <c r="A252" t="s">
        <v>378</v>
      </c>
      <c r="B252" s="4">
        <v>9388.5300000000007</v>
      </c>
      <c r="C252" s="4">
        <v>12.3</v>
      </c>
      <c r="D252" s="4">
        <v>9376.23</v>
      </c>
      <c r="E252">
        <v>481</v>
      </c>
      <c r="F252">
        <v>478</v>
      </c>
    </row>
    <row r="253" spans="1:6" x14ac:dyDescent="0.25">
      <c r="A253" t="s">
        <v>379</v>
      </c>
      <c r="B253" s="4">
        <v>9301.4</v>
      </c>
      <c r="C253" s="4">
        <v>510.6</v>
      </c>
      <c r="D253" s="4">
        <v>8790.7999999999993</v>
      </c>
      <c r="E253">
        <v>493</v>
      </c>
      <c r="F253">
        <v>485</v>
      </c>
    </row>
    <row r="254" spans="1:6" x14ac:dyDescent="0.25">
      <c r="A254" t="s">
        <v>380</v>
      </c>
      <c r="B254" s="4">
        <v>9266.84</v>
      </c>
      <c r="C254" s="4">
        <v>244.97</v>
      </c>
      <c r="D254" s="4">
        <v>9021.8700000000008</v>
      </c>
      <c r="E254">
        <v>419</v>
      </c>
      <c r="F254">
        <v>403</v>
      </c>
    </row>
    <row r="255" spans="1:6" x14ac:dyDescent="0.25">
      <c r="A255" t="s">
        <v>381</v>
      </c>
      <c r="B255" s="4">
        <v>9264.91</v>
      </c>
      <c r="C255" s="4">
        <v>0</v>
      </c>
      <c r="D255" s="4">
        <v>9264.91</v>
      </c>
      <c r="E255">
        <v>469</v>
      </c>
      <c r="F255">
        <v>449</v>
      </c>
    </row>
    <row r="256" spans="1:6" x14ac:dyDescent="0.25">
      <c r="A256" t="s">
        <v>382</v>
      </c>
      <c r="B256" s="4">
        <v>9212.15</v>
      </c>
      <c r="C256" s="4">
        <v>6.25</v>
      </c>
      <c r="D256" s="4">
        <v>9205.9</v>
      </c>
      <c r="E256">
        <v>689</v>
      </c>
      <c r="F256">
        <v>670</v>
      </c>
    </row>
    <row r="257" spans="1:6" x14ac:dyDescent="0.25">
      <c r="A257" t="s">
        <v>383</v>
      </c>
      <c r="B257" s="4">
        <v>9183.7199999999993</v>
      </c>
      <c r="C257" s="4">
        <v>95.7</v>
      </c>
      <c r="D257" s="4">
        <v>9088.02</v>
      </c>
      <c r="E257">
        <v>863</v>
      </c>
      <c r="F257">
        <v>828</v>
      </c>
    </row>
    <row r="258" spans="1:6" x14ac:dyDescent="0.25">
      <c r="A258" t="s">
        <v>384</v>
      </c>
      <c r="B258" s="4">
        <v>9167.39</v>
      </c>
      <c r="C258" s="4">
        <v>368.71</v>
      </c>
      <c r="D258" s="4">
        <v>8798.68</v>
      </c>
      <c r="E258">
        <v>384</v>
      </c>
      <c r="F258">
        <v>376</v>
      </c>
    </row>
    <row r="259" spans="1:6" x14ac:dyDescent="0.25">
      <c r="A259" t="s">
        <v>385</v>
      </c>
      <c r="B259" s="4">
        <v>9159.31</v>
      </c>
      <c r="C259" s="4">
        <v>30</v>
      </c>
      <c r="D259" s="4">
        <v>9129.31</v>
      </c>
      <c r="E259">
        <v>631</v>
      </c>
      <c r="F259">
        <v>616</v>
      </c>
    </row>
    <row r="260" spans="1:6" x14ac:dyDescent="0.25">
      <c r="A260" t="s">
        <v>386</v>
      </c>
      <c r="B260" s="4">
        <v>9158.8700000000008</v>
      </c>
      <c r="C260" s="4">
        <v>90.75</v>
      </c>
      <c r="D260" s="4">
        <v>9068.1200000000008</v>
      </c>
      <c r="E260">
        <v>264</v>
      </c>
      <c r="F260">
        <v>257</v>
      </c>
    </row>
    <row r="261" spans="1:6" x14ac:dyDescent="0.25">
      <c r="A261" t="s">
        <v>387</v>
      </c>
      <c r="B261" s="4">
        <v>9088.6299999999992</v>
      </c>
      <c r="C261" s="4">
        <v>24.15</v>
      </c>
      <c r="D261" s="4">
        <v>9064.48</v>
      </c>
      <c r="E261">
        <v>202</v>
      </c>
      <c r="F261">
        <v>201</v>
      </c>
    </row>
    <row r="262" spans="1:6" x14ac:dyDescent="0.25">
      <c r="A262" t="s">
        <v>388</v>
      </c>
      <c r="B262" s="4">
        <v>9080.2000000000007</v>
      </c>
      <c r="C262" s="4">
        <v>115.89</v>
      </c>
      <c r="D262" s="4">
        <v>8964.31</v>
      </c>
      <c r="E262">
        <v>455</v>
      </c>
      <c r="F262">
        <v>445</v>
      </c>
    </row>
    <row r="263" spans="1:6" x14ac:dyDescent="0.25">
      <c r="A263" t="s">
        <v>389</v>
      </c>
      <c r="B263" s="4">
        <v>9050.44</v>
      </c>
      <c r="C263" s="4">
        <v>37.5</v>
      </c>
      <c r="D263" s="4">
        <v>9012.94</v>
      </c>
      <c r="E263">
        <v>454</v>
      </c>
      <c r="F263">
        <v>441</v>
      </c>
    </row>
    <row r="264" spans="1:6" x14ac:dyDescent="0.25">
      <c r="A264" t="s">
        <v>390</v>
      </c>
      <c r="B264" s="4">
        <v>9043.94</v>
      </c>
      <c r="C264" s="4">
        <v>39.6</v>
      </c>
      <c r="D264" s="4">
        <v>9004.34</v>
      </c>
      <c r="E264">
        <v>439</v>
      </c>
      <c r="F264">
        <v>422</v>
      </c>
    </row>
    <row r="265" spans="1:6" x14ac:dyDescent="0.25">
      <c r="A265" t="s">
        <v>391</v>
      </c>
      <c r="B265" s="4">
        <v>9012.27</v>
      </c>
      <c r="C265" s="4">
        <v>78</v>
      </c>
      <c r="D265" s="4">
        <v>8934.27</v>
      </c>
      <c r="E265">
        <v>379</v>
      </c>
      <c r="F265">
        <v>372</v>
      </c>
    </row>
    <row r="266" spans="1:6" x14ac:dyDescent="0.25">
      <c r="A266" t="s">
        <v>392</v>
      </c>
      <c r="B266" s="4">
        <v>8995.43</v>
      </c>
      <c r="C266" s="4">
        <v>59.15</v>
      </c>
      <c r="D266" s="4">
        <v>8936.2800000000007</v>
      </c>
      <c r="E266">
        <v>405</v>
      </c>
      <c r="F266">
        <v>392</v>
      </c>
    </row>
    <row r="267" spans="1:6" x14ac:dyDescent="0.25">
      <c r="A267" t="s">
        <v>393</v>
      </c>
      <c r="B267" s="4">
        <v>8941.61</v>
      </c>
      <c r="C267" s="4">
        <v>0</v>
      </c>
      <c r="D267" s="4">
        <v>8941.61</v>
      </c>
      <c r="E267">
        <v>425</v>
      </c>
      <c r="F267">
        <v>397</v>
      </c>
    </row>
    <row r="268" spans="1:6" x14ac:dyDescent="0.25">
      <c r="A268" t="s">
        <v>394</v>
      </c>
      <c r="B268" s="4">
        <v>8925.41</v>
      </c>
      <c r="C268" s="4">
        <v>169.85</v>
      </c>
      <c r="D268" s="4">
        <v>8755.56</v>
      </c>
      <c r="E268">
        <v>583</v>
      </c>
      <c r="F268">
        <v>562</v>
      </c>
    </row>
    <row r="269" spans="1:6" x14ac:dyDescent="0.25">
      <c r="A269" t="s">
        <v>395</v>
      </c>
      <c r="B269" s="4">
        <v>8862.99</v>
      </c>
      <c r="C269" s="4">
        <v>39.9</v>
      </c>
      <c r="D269" s="4">
        <v>8823.09</v>
      </c>
      <c r="E269">
        <v>441</v>
      </c>
      <c r="F269">
        <v>437</v>
      </c>
    </row>
    <row r="270" spans="1:6" x14ac:dyDescent="0.25">
      <c r="A270" t="s">
        <v>396</v>
      </c>
      <c r="B270" s="4">
        <v>8862.2900000000009</v>
      </c>
      <c r="C270" s="4">
        <v>32.5</v>
      </c>
      <c r="D270" s="4">
        <v>8829.7900000000009</v>
      </c>
      <c r="E270">
        <v>604</v>
      </c>
      <c r="F270">
        <v>587</v>
      </c>
    </row>
    <row r="271" spans="1:6" x14ac:dyDescent="0.25">
      <c r="A271" t="s">
        <v>397</v>
      </c>
      <c r="B271" s="4">
        <v>8754.6299999999992</v>
      </c>
      <c r="C271" s="4">
        <v>97.46</v>
      </c>
      <c r="D271" s="4">
        <v>8657.17</v>
      </c>
      <c r="E271">
        <v>353</v>
      </c>
      <c r="F271">
        <v>347</v>
      </c>
    </row>
    <row r="272" spans="1:6" x14ac:dyDescent="0.25">
      <c r="A272" t="s">
        <v>398</v>
      </c>
      <c r="B272" s="4">
        <v>8714.24</v>
      </c>
      <c r="C272" s="4">
        <v>72.92</v>
      </c>
      <c r="D272" s="4">
        <v>8641.32</v>
      </c>
      <c r="E272">
        <v>137</v>
      </c>
      <c r="F272">
        <v>137</v>
      </c>
    </row>
    <row r="273" spans="1:6" x14ac:dyDescent="0.25">
      <c r="A273" t="s">
        <v>399</v>
      </c>
      <c r="B273" s="4">
        <v>8675.3700000000008</v>
      </c>
      <c r="C273" s="4">
        <v>338</v>
      </c>
      <c r="D273" s="4">
        <v>8337.3700000000008</v>
      </c>
      <c r="E273">
        <v>374</v>
      </c>
      <c r="F273">
        <v>368</v>
      </c>
    </row>
    <row r="274" spans="1:6" x14ac:dyDescent="0.25">
      <c r="A274" t="s">
        <v>400</v>
      </c>
      <c r="B274" s="4">
        <v>8626.94</v>
      </c>
      <c r="C274" s="4">
        <v>1103.6500000000001</v>
      </c>
      <c r="D274" s="4">
        <v>7523.29</v>
      </c>
      <c r="E274">
        <v>498</v>
      </c>
      <c r="F274">
        <v>481</v>
      </c>
    </row>
    <row r="275" spans="1:6" x14ac:dyDescent="0.25">
      <c r="A275" t="s">
        <v>401</v>
      </c>
      <c r="B275" s="4">
        <v>8620.32</v>
      </c>
      <c r="C275" s="4">
        <v>24.75</v>
      </c>
      <c r="D275" s="4">
        <v>8595.57</v>
      </c>
      <c r="E275">
        <v>472</v>
      </c>
      <c r="F275">
        <v>467</v>
      </c>
    </row>
    <row r="276" spans="1:6" x14ac:dyDescent="0.25">
      <c r="A276" t="s">
        <v>402</v>
      </c>
      <c r="B276" s="4">
        <v>8614.85</v>
      </c>
      <c r="C276" s="4">
        <v>41.65</v>
      </c>
      <c r="D276" s="4">
        <v>8573.2000000000007</v>
      </c>
      <c r="E276">
        <v>262</v>
      </c>
      <c r="F276">
        <v>260</v>
      </c>
    </row>
    <row r="277" spans="1:6" x14ac:dyDescent="0.25">
      <c r="A277" t="s">
        <v>403</v>
      </c>
      <c r="B277" s="4">
        <v>8578</v>
      </c>
      <c r="C277" s="4">
        <v>78.45</v>
      </c>
      <c r="D277" s="4">
        <v>8499.5499999999993</v>
      </c>
      <c r="E277">
        <v>372</v>
      </c>
      <c r="F277">
        <v>368</v>
      </c>
    </row>
    <row r="278" spans="1:6" x14ac:dyDescent="0.25">
      <c r="A278" t="s">
        <v>404</v>
      </c>
      <c r="B278" s="4">
        <v>8577.51</v>
      </c>
      <c r="C278" s="4">
        <v>103.16</v>
      </c>
      <c r="D278" s="4">
        <v>8474.35</v>
      </c>
      <c r="E278">
        <v>307</v>
      </c>
      <c r="F278">
        <v>297</v>
      </c>
    </row>
    <row r="279" spans="1:6" x14ac:dyDescent="0.25">
      <c r="A279" t="s">
        <v>405</v>
      </c>
      <c r="B279" s="4">
        <v>8553.34</v>
      </c>
      <c r="C279" s="4">
        <v>60</v>
      </c>
      <c r="D279" s="4">
        <v>8493.34</v>
      </c>
      <c r="E279">
        <v>257</v>
      </c>
      <c r="F279">
        <v>257</v>
      </c>
    </row>
    <row r="280" spans="1:6" x14ac:dyDescent="0.25">
      <c r="A280" t="s">
        <v>406</v>
      </c>
      <c r="B280" s="4">
        <v>8549.85</v>
      </c>
      <c r="C280" s="4">
        <v>550</v>
      </c>
      <c r="D280" s="4">
        <v>7999.85</v>
      </c>
      <c r="E280">
        <v>401</v>
      </c>
      <c r="F280">
        <v>394</v>
      </c>
    </row>
    <row r="281" spans="1:6" x14ac:dyDescent="0.25">
      <c r="A281" t="s">
        <v>407</v>
      </c>
      <c r="B281" s="4">
        <v>8540.9</v>
      </c>
      <c r="C281" s="4">
        <v>90</v>
      </c>
      <c r="D281" s="4">
        <v>8450.9</v>
      </c>
      <c r="E281">
        <v>696</v>
      </c>
      <c r="F281">
        <v>685</v>
      </c>
    </row>
    <row r="282" spans="1:6" x14ac:dyDescent="0.25">
      <c r="A282" t="s">
        <v>408</v>
      </c>
      <c r="B282" s="4">
        <v>8535.52</v>
      </c>
      <c r="C282" s="4">
        <v>147.6</v>
      </c>
      <c r="D282" s="4">
        <v>8387.92</v>
      </c>
      <c r="E282">
        <v>419</v>
      </c>
      <c r="F282">
        <v>402</v>
      </c>
    </row>
    <row r="283" spans="1:6" x14ac:dyDescent="0.25">
      <c r="A283" t="s">
        <v>409</v>
      </c>
      <c r="B283" s="4">
        <v>8509.68</v>
      </c>
      <c r="C283" s="4">
        <v>11.4</v>
      </c>
      <c r="D283" s="4">
        <v>8498.2800000000007</v>
      </c>
      <c r="E283">
        <v>430</v>
      </c>
      <c r="F283">
        <v>415</v>
      </c>
    </row>
    <row r="284" spans="1:6" x14ac:dyDescent="0.25">
      <c r="A284" t="s">
        <v>410</v>
      </c>
      <c r="B284" s="4">
        <v>8473.27</v>
      </c>
      <c r="C284" s="4">
        <v>64.349999999999994</v>
      </c>
      <c r="D284" s="4">
        <v>8408.92</v>
      </c>
      <c r="E284">
        <v>653</v>
      </c>
      <c r="F284">
        <v>629</v>
      </c>
    </row>
    <row r="285" spans="1:6" x14ac:dyDescent="0.25">
      <c r="A285" t="s">
        <v>411</v>
      </c>
      <c r="B285" s="4">
        <v>8469.99</v>
      </c>
      <c r="C285" s="4">
        <v>5.95</v>
      </c>
      <c r="D285" s="4">
        <v>8464.0400000000009</v>
      </c>
      <c r="E285">
        <v>220</v>
      </c>
      <c r="F285">
        <v>215</v>
      </c>
    </row>
    <row r="286" spans="1:6" x14ac:dyDescent="0.25">
      <c r="A286" t="s">
        <v>412</v>
      </c>
      <c r="B286" s="4">
        <v>8441.82</v>
      </c>
      <c r="C286" s="4">
        <v>139.77000000000001</v>
      </c>
      <c r="D286" s="4">
        <v>8302.0499999999993</v>
      </c>
      <c r="E286">
        <v>346</v>
      </c>
      <c r="F286">
        <v>333</v>
      </c>
    </row>
    <row r="287" spans="1:6" x14ac:dyDescent="0.25">
      <c r="A287" t="s">
        <v>413</v>
      </c>
      <c r="B287" s="4">
        <v>8418.44</v>
      </c>
      <c r="C287" s="4">
        <v>26.4</v>
      </c>
      <c r="D287" s="4">
        <v>8392.0400000000009</v>
      </c>
      <c r="E287">
        <v>677</v>
      </c>
      <c r="F287">
        <v>663</v>
      </c>
    </row>
    <row r="288" spans="1:6" x14ac:dyDescent="0.25">
      <c r="A288" t="s">
        <v>414</v>
      </c>
      <c r="B288" s="4">
        <v>8374.19</v>
      </c>
      <c r="C288" s="4">
        <v>173.65</v>
      </c>
      <c r="D288" s="4">
        <v>8200.5400000000009</v>
      </c>
      <c r="E288">
        <v>457</v>
      </c>
      <c r="F288">
        <v>453</v>
      </c>
    </row>
    <row r="289" spans="1:6" x14ac:dyDescent="0.25">
      <c r="A289" t="s">
        <v>415</v>
      </c>
      <c r="B289" s="4">
        <v>8268.5400000000009</v>
      </c>
      <c r="C289" s="4">
        <v>355.3</v>
      </c>
      <c r="D289" s="4">
        <v>7913.24</v>
      </c>
      <c r="E289">
        <v>262</v>
      </c>
      <c r="F289">
        <v>260</v>
      </c>
    </row>
    <row r="290" spans="1:6" x14ac:dyDescent="0.25">
      <c r="A290" t="s">
        <v>416</v>
      </c>
      <c r="B290" s="4">
        <v>8225</v>
      </c>
      <c r="C290" s="4">
        <v>36.25</v>
      </c>
      <c r="D290" s="4">
        <v>8188.75</v>
      </c>
      <c r="E290">
        <v>295</v>
      </c>
      <c r="F290">
        <v>292</v>
      </c>
    </row>
    <row r="291" spans="1:6" x14ac:dyDescent="0.25">
      <c r="A291" t="s">
        <v>417</v>
      </c>
      <c r="B291" s="4">
        <v>8189.29</v>
      </c>
      <c r="C291" s="4">
        <v>168.3</v>
      </c>
      <c r="D291" s="4">
        <v>8020.99</v>
      </c>
      <c r="E291">
        <v>365</v>
      </c>
      <c r="F291">
        <v>365</v>
      </c>
    </row>
    <row r="292" spans="1:6" x14ac:dyDescent="0.25">
      <c r="A292" t="s">
        <v>418</v>
      </c>
      <c r="B292" s="4">
        <v>8168.6</v>
      </c>
      <c r="C292" s="4">
        <v>187.5</v>
      </c>
      <c r="D292" s="4">
        <v>7981.1</v>
      </c>
      <c r="E292">
        <v>437</v>
      </c>
      <c r="F292">
        <v>428</v>
      </c>
    </row>
    <row r="293" spans="1:6" x14ac:dyDescent="0.25">
      <c r="A293" t="s">
        <v>419</v>
      </c>
      <c r="B293" s="4">
        <v>8161.46</v>
      </c>
      <c r="C293" s="4">
        <v>98.75</v>
      </c>
      <c r="D293" s="4">
        <v>8062.71</v>
      </c>
      <c r="E293">
        <v>699</v>
      </c>
      <c r="F293">
        <v>688</v>
      </c>
    </row>
    <row r="294" spans="1:6" x14ac:dyDescent="0.25">
      <c r="A294" t="s">
        <v>420</v>
      </c>
      <c r="B294" s="4">
        <v>8135.4</v>
      </c>
      <c r="C294" s="4">
        <v>455.2</v>
      </c>
      <c r="D294" s="4">
        <v>7680.2</v>
      </c>
      <c r="E294">
        <v>487</v>
      </c>
      <c r="F294">
        <v>474</v>
      </c>
    </row>
    <row r="295" spans="1:6" x14ac:dyDescent="0.25">
      <c r="A295" t="s">
        <v>421</v>
      </c>
      <c r="B295" s="4">
        <v>8125</v>
      </c>
      <c r="C295" s="4">
        <v>1730.5</v>
      </c>
      <c r="D295" s="4">
        <v>6394.5</v>
      </c>
      <c r="E295">
        <v>38</v>
      </c>
      <c r="F295">
        <v>38</v>
      </c>
    </row>
    <row r="296" spans="1:6" x14ac:dyDescent="0.25">
      <c r="A296" t="s">
        <v>422</v>
      </c>
      <c r="B296" s="4">
        <v>8101.15</v>
      </c>
      <c r="C296" s="4">
        <v>260.75</v>
      </c>
      <c r="D296" s="4">
        <v>7840.4</v>
      </c>
      <c r="E296">
        <v>477</v>
      </c>
      <c r="F296">
        <v>464</v>
      </c>
    </row>
    <row r="297" spans="1:6" x14ac:dyDescent="0.25">
      <c r="A297" t="s">
        <v>423</v>
      </c>
      <c r="B297" s="4">
        <v>8050.53</v>
      </c>
      <c r="C297" s="4">
        <v>195.19</v>
      </c>
      <c r="D297" s="4">
        <v>7855.34</v>
      </c>
      <c r="E297">
        <v>633</v>
      </c>
      <c r="F297">
        <v>610</v>
      </c>
    </row>
    <row r="298" spans="1:6" x14ac:dyDescent="0.25">
      <c r="A298" t="s">
        <v>424</v>
      </c>
      <c r="B298" s="4">
        <v>8033.85</v>
      </c>
      <c r="C298" s="4">
        <v>120</v>
      </c>
      <c r="D298" s="4">
        <v>7913.85</v>
      </c>
      <c r="E298">
        <v>388</v>
      </c>
      <c r="F298">
        <v>379</v>
      </c>
    </row>
    <row r="299" spans="1:6" x14ac:dyDescent="0.25">
      <c r="A299" t="s">
        <v>425</v>
      </c>
      <c r="B299" s="4">
        <v>7980.92</v>
      </c>
      <c r="C299" s="4">
        <v>8.16</v>
      </c>
      <c r="D299" s="4">
        <v>7972.76</v>
      </c>
      <c r="E299">
        <v>528</v>
      </c>
      <c r="F299">
        <v>512</v>
      </c>
    </row>
    <row r="300" spans="1:6" x14ac:dyDescent="0.25">
      <c r="A300" t="s">
        <v>426</v>
      </c>
      <c r="B300" s="4">
        <v>7954</v>
      </c>
      <c r="C300" s="4">
        <v>99.5</v>
      </c>
      <c r="D300" s="4">
        <v>7854.5</v>
      </c>
      <c r="E300">
        <v>334</v>
      </c>
      <c r="F300">
        <v>321</v>
      </c>
    </row>
    <row r="301" spans="1:6" x14ac:dyDescent="0.25">
      <c r="A301" t="s">
        <v>427</v>
      </c>
      <c r="B301" s="4">
        <v>7938.78</v>
      </c>
      <c r="C301" s="4">
        <v>29.7</v>
      </c>
      <c r="D301" s="4">
        <v>7909.08</v>
      </c>
      <c r="E301">
        <v>391</v>
      </c>
      <c r="F301">
        <v>388</v>
      </c>
    </row>
    <row r="302" spans="1:6" x14ac:dyDescent="0.25">
      <c r="A302" t="s">
        <v>428</v>
      </c>
      <c r="B302" s="4">
        <v>7919.23</v>
      </c>
      <c r="C302" s="4">
        <v>232.8</v>
      </c>
      <c r="D302" s="4">
        <v>7686.43</v>
      </c>
      <c r="E302">
        <v>430</v>
      </c>
      <c r="F302">
        <v>429</v>
      </c>
    </row>
    <row r="303" spans="1:6" x14ac:dyDescent="0.25">
      <c r="A303" t="s">
        <v>429</v>
      </c>
      <c r="B303" s="4">
        <v>7873.72</v>
      </c>
      <c r="C303" s="4">
        <v>40.799999999999997</v>
      </c>
      <c r="D303" s="4">
        <v>7832.92</v>
      </c>
      <c r="E303">
        <v>489</v>
      </c>
      <c r="F303">
        <v>482</v>
      </c>
    </row>
    <row r="304" spans="1:6" x14ac:dyDescent="0.25">
      <c r="A304" t="s">
        <v>430</v>
      </c>
      <c r="B304" s="4">
        <v>7861.93</v>
      </c>
      <c r="C304" s="4">
        <v>188.85</v>
      </c>
      <c r="D304" s="4">
        <v>7673.08</v>
      </c>
      <c r="E304">
        <v>190</v>
      </c>
      <c r="F304">
        <v>189</v>
      </c>
    </row>
    <row r="305" spans="1:6" x14ac:dyDescent="0.25">
      <c r="A305" t="s">
        <v>431</v>
      </c>
      <c r="B305" s="4">
        <v>7830.32</v>
      </c>
      <c r="C305" s="4">
        <v>15.21</v>
      </c>
      <c r="D305" s="4">
        <v>7815.11</v>
      </c>
      <c r="E305">
        <v>380</v>
      </c>
      <c r="F305">
        <v>370</v>
      </c>
    </row>
    <row r="306" spans="1:6" x14ac:dyDescent="0.25">
      <c r="A306" t="s">
        <v>432</v>
      </c>
      <c r="B306" s="4">
        <v>7825.56</v>
      </c>
      <c r="C306" s="4">
        <v>65.599999999999994</v>
      </c>
      <c r="D306" s="4">
        <v>7759.96</v>
      </c>
      <c r="E306">
        <v>285</v>
      </c>
      <c r="F306">
        <v>274</v>
      </c>
    </row>
    <row r="307" spans="1:6" x14ac:dyDescent="0.25">
      <c r="A307" t="s">
        <v>433</v>
      </c>
      <c r="B307" s="4">
        <v>7777.09</v>
      </c>
      <c r="C307" s="4">
        <v>44.55</v>
      </c>
      <c r="D307" s="4">
        <v>7732.54</v>
      </c>
      <c r="E307">
        <v>585</v>
      </c>
      <c r="F307">
        <v>566</v>
      </c>
    </row>
    <row r="308" spans="1:6" x14ac:dyDescent="0.25">
      <c r="A308" t="s">
        <v>434</v>
      </c>
      <c r="B308" s="4">
        <v>7773.7</v>
      </c>
      <c r="C308" s="4">
        <v>279.77</v>
      </c>
      <c r="D308" s="4">
        <v>7493.93</v>
      </c>
      <c r="E308">
        <v>500</v>
      </c>
      <c r="F308">
        <v>493</v>
      </c>
    </row>
    <row r="309" spans="1:6" x14ac:dyDescent="0.25">
      <c r="A309" t="s">
        <v>435</v>
      </c>
      <c r="B309" s="4">
        <v>7758.7</v>
      </c>
      <c r="C309" s="4">
        <v>101.7</v>
      </c>
      <c r="D309" s="4">
        <v>7657</v>
      </c>
      <c r="E309">
        <v>185</v>
      </c>
      <c r="F309">
        <v>184</v>
      </c>
    </row>
    <row r="310" spans="1:6" x14ac:dyDescent="0.25">
      <c r="A310" t="s">
        <v>436</v>
      </c>
      <c r="B310" s="4">
        <v>7756.42</v>
      </c>
      <c r="C310" s="4">
        <v>54.6</v>
      </c>
      <c r="D310" s="4">
        <v>7701.82</v>
      </c>
      <c r="E310">
        <v>475</v>
      </c>
      <c r="F310">
        <v>468</v>
      </c>
    </row>
    <row r="311" spans="1:6" x14ac:dyDescent="0.25">
      <c r="A311" t="s">
        <v>437</v>
      </c>
      <c r="B311" s="4">
        <v>7741.94</v>
      </c>
      <c r="C311" s="4">
        <v>138.34</v>
      </c>
      <c r="D311" s="4">
        <v>7603.6</v>
      </c>
      <c r="E311">
        <v>586</v>
      </c>
      <c r="F311">
        <v>583</v>
      </c>
    </row>
    <row r="312" spans="1:6" x14ac:dyDescent="0.25">
      <c r="A312" t="s">
        <v>438</v>
      </c>
      <c r="B312" s="4">
        <v>7732.93</v>
      </c>
      <c r="C312" s="4">
        <v>15.9</v>
      </c>
      <c r="D312" s="4">
        <v>7717.03</v>
      </c>
      <c r="E312">
        <v>236</v>
      </c>
      <c r="F312">
        <v>233</v>
      </c>
    </row>
    <row r="313" spans="1:6" x14ac:dyDescent="0.25">
      <c r="A313" t="s">
        <v>439</v>
      </c>
      <c r="B313" s="4">
        <v>7674.8</v>
      </c>
      <c r="C313" s="4">
        <v>679.75</v>
      </c>
      <c r="D313" s="4">
        <v>6995.05</v>
      </c>
      <c r="E313">
        <v>163</v>
      </c>
      <c r="F313">
        <v>163</v>
      </c>
    </row>
    <row r="314" spans="1:6" x14ac:dyDescent="0.25">
      <c r="A314" t="s">
        <v>440</v>
      </c>
      <c r="B314" s="4">
        <v>7672.41</v>
      </c>
      <c r="C314" s="4">
        <v>20.2</v>
      </c>
      <c r="D314" s="4">
        <v>7652.21</v>
      </c>
      <c r="E314">
        <v>540</v>
      </c>
      <c r="F314">
        <v>537</v>
      </c>
    </row>
    <row r="315" spans="1:6" x14ac:dyDescent="0.25">
      <c r="A315" t="s">
        <v>441</v>
      </c>
      <c r="B315" s="4">
        <v>7657.32</v>
      </c>
      <c r="C315" s="4">
        <v>162.5</v>
      </c>
      <c r="D315" s="4">
        <v>7494.82</v>
      </c>
      <c r="E315">
        <v>287</v>
      </c>
      <c r="F315">
        <v>284</v>
      </c>
    </row>
    <row r="316" spans="1:6" x14ac:dyDescent="0.25">
      <c r="A316" t="s">
        <v>442</v>
      </c>
      <c r="B316" s="4">
        <v>7642.44</v>
      </c>
      <c r="C316" s="4">
        <v>412.35</v>
      </c>
      <c r="D316" s="4">
        <v>7230.09</v>
      </c>
      <c r="E316">
        <v>294</v>
      </c>
      <c r="F316">
        <v>290</v>
      </c>
    </row>
    <row r="317" spans="1:6" x14ac:dyDescent="0.25">
      <c r="A317" t="s">
        <v>443</v>
      </c>
      <c r="B317" s="4">
        <v>7628.53</v>
      </c>
      <c r="C317" s="4">
        <v>188.08</v>
      </c>
      <c r="D317" s="4">
        <v>7440.45</v>
      </c>
      <c r="E317">
        <v>514</v>
      </c>
      <c r="F317">
        <v>509</v>
      </c>
    </row>
    <row r="318" spans="1:6" x14ac:dyDescent="0.25">
      <c r="A318" t="s">
        <v>444</v>
      </c>
      <c r="B318" s="4">
        <v>7608.79</v>
      </c>
      <c r="C318" s="4">
        <v>1185.9000000000001</v>
      </c>
      <c r="D318" s="4">
        <v>6422.89</v>
      </c>
      <c r="E318">
        <v>281</v>
      </c>
      <c r="F318">
        <v>274</v>
      </c>
    </row>
    <row r="319" spans="1:6" x14ac:dyDescent="0.25">
      <c r="A319" t="s">
        <v>445</v>
      </c>
      <c r="B319" s="4">
        <v>7597.02</v>
      </c>
      <c r="C319" s="4">
        <v>0</v>
      </c>
      <c r="D319" s="4">
        <v>7597.02</v>
      </c>
      <c r="E319">
        <v>210</v>
      </c>
      <c r="F319">
        <v>206</v>
      </c>
    </row>
    <row r="320" spans="1:6" x14ac:dyDescent="0.25">
      <c r="A320" t="s">
        <v>446</v>
      </c>
      <c r="B320" s="4">
        <v>7563.08</v>
      </c>
      <c r="C320" s="4">
        <v>22.5</v>
      </c>
      <c r="D320" s="4">
        <v>7540.58</v>
      </c>
      <c r="E320">
        <v>426</v>
      </c>
      <c r="F320">
        <v>413</v>
      </c>
    </row>
    <row r="321" spans="1:6" x14ac:dyDescent="0.25">
      <c r="A321" t="s">
        <v>447</v>
      </c>
      <c r="B321" s="4">
        <v>7561.64</v>
      </c>
      <c r="C321" s="4">
        <v>56.25</v>
      </c>
      <c r="D321" s="4">
        <v>7505.39</v>
      </c>
      <c r="E321">
        <v>416</v>
      </c>
      <c r="F321">
        <v>395</v>
      </c>
    </row>
    <row r="322" spans="1:6" x14ac:dyDescent="0.25">
      <c r="A322" t="s">
        <v>448</v>
      </c>
      <c r="B322" s="4">
        <v>7547.39</v>
      </c>
      <c r="C322" s="4">
        <v>117.21</v>
      </c>
      <c r="D322" s="4">
        <v>7430.18</v>
      </c>
      <c r="E322">
        <v>360</v>
      </c>
      <c r="F322">
        <v>357</v>
      </c>
    </row>
    <row r="323" spans="1:6" x14ac:dyDescent="0.25">
      <c r="A323" t="s">
        <v>449</v>
      </c>
      <c r="B323" s="4">
        <v>7527.66</v>
      </c>
      <c r="C323" s="4">
        <v>102.67</v>
      </c>
      <c r="D323" s="4">
        <v>7424.99</v>
      </c>
      <c r="E323">
        <v>448</v>
      </c>
      <c r="F323">
        <v>437</v>
      </c>
    </row>
    <row r="324" spans="1:6" x14ac:dyDescent="0.25">
      <c r="A324" t="s">
        <v>450</v>
      </c>
      <c r="B324" s="4">
        <v>7520.28</v>
      </c>
      <c r="C324" s="4">
        <v>70.2</v>
      </c>
      <c r="D324" s="4">
        <v>7450.08</v>
      </c>
      <c r="E324">
        <v>559</v>
      </c>
      <c r="F324">
        <v>550</v>
      </c>
    </row>
    <row r="325" spans="1:6" x14ac:dyDescent="0.25">
      <c r="A325" t="s">
        <v>451</v>
      </c>
      <c r="B325" s="4">
        <v>7437.94</v>
      </c>
      <c r="C325" s="4">
        <v>56.45</v>
      </c>
      <c r="D325" s="4">
        <v>7381.49</v>
      </c>
      <c r="E325">
        <v>475</v>
      </c>
      <c r="F325">
        <v>469</v>
      </c>
    </row>
    <row r="326" spans="1:6" x14ac:dyDescent="0.25">
      <c r="A326" t="s">
        <v>452</v>
      </c>
      <c r="B326" s="4">
        <v>7426.82</v>
      </c>
      <c r="C326" s="4">
        <v>43.75</v>
      </c>
      <c r="D326" s="4">
        <v>7383.07</v>
      </c>
      <c r="E326">
        <v>550</v>
      </c>
      <c r="F326">
        <v>535</v>
      </c>
    </row>
    <row r="327" spans="1:6" x14ac:dyDescent="0.25">
      <c r="A327" t="s">
        <v>453</v>
      </c>
      <c r="B327" s="4">
        <v>7363.86</v>
      </c>
      <c r="C327" s="4">
        <v>43.35</v>
      </c>
      <c r="D327" s="4">
        <v>7320.51</v>
      </c>
      <c r="E327">
        <v>234</v>
      </c>
      <c r="F327">
        <v>233</v>
      </c>
    </row>
    <row r="328" spans="1:6" x14ac:dyDescent="0.25">
      <c r="A328" t="s">
        <v>454</v>
      </c>
      <c r="B328" s="4">
        <v>7356.18</v>
      </c>
      <c r="C328" s="4">
        <v>63.75</v>
      </c>
      <c r="D328" s="4">
        <v>7292.43</v>
      </c>
      <c r="E328">
        <v>221</v>
      </c>
      <c r="F328">
        <v>220</v>
      </c>
    </row>
    <row r="329" spans="1:6" x14ac:dyDescent="0.25">
      <c r="A329" t="s">
        <v>455</v>
      </c>
      <c r="B329" s="4">
        <v>7320.36</v>
      </c>
      <c r="C329" s="4">
        <v>29.22</v>
      </c>
      <c r="D329" s="4">
        <v>7291.14</v>
      </c>
      <c r="E329">
        <v>464</v>
      </c>
      <c r="F329">
        <v>450</v>
      </c>
    </row>
    <row r="330" spans="1:6" x14ac:dyDescent="0.25">
      <c r="A330" t="s">
        <v>456</v>
      </c>
      <c r="B330" s="4">
        <v>7254.65</v>
      </c>
      <c r="C330" s="4">
        <v>214.17</v>
      </c>
      <c r="D330" s="4">
        <v>7040.48</v>
      </c>
      <c r="E330">
        <v>250</v>
      </c>
      <c r="F330">
        <v>246</v>
      </c>
    </row>
    <row r="331" spans="1:6" x14ac:dyDescent="0.25">
      <c r="A331" t="s">
        <v>457</v>
      </c>
      <c r="B331" s="4">
        <v>7236.93</v>
      </c>
      <c r="C331" s="4">
        <v>980.07</v>
      </c>
      <c r="D331" s="4">
        <v>6256.86</v>
      </c>
      <c r="E331">
        <v>308</v>
      </c>
      <c r="F331">
        <v>305</v>
      </c>
    </row>
    <row r="332" spans="1:6" x14ac:dyDescent="0.25">
      <c r="A332" t="s">
        <v>458</v>
      </c>
      <c r="B332" s="4">
        <v>7232.95</v>
      </c>
      <c r="C332" s="4">
        <v>178.95</v>
      </c>
      <c r="D332" s="4">
        <v>7054</v>
      </c>
      <c r="E332">
        <v>293</v>
      </c>
      <c r="F332">
        <v>289</v>
      </c>
    </row>
    <row r="333" spans="1:6" x14ac:dyDescent="0.25">
      <c r="A333" t="s">
        <v>459</v>
      </c>
      <c r="B333" s="4">
        <v>7207.37</v>
      </c>
      <c r="C333" s="4">
        <v>64.349999999999994</v>
      </c>
      <c r="D333" s="4">
        <v>7143.02</v>
      </c>
      <c r="E333">
        <v>405</v>
      </c>
      <c r="F333">
        <v>396</v>
      </c>
    </row>
    <row r="334" spans="1:6" x14ac:dyDescent="0.25">
      <c r="A334" t="s">
        <v>460</v>
      </c>
      <c r="B334" s="4">
        <v>7191.15</v>
      </c>
      <c r="C334" s="4">
        <v>381.85</v>
      </c>
      <c r="D334" s="4">
        <v>6809.3</v>
      </c>
      <c r="E334">
        <v>227</v>
      </c>
      <c r="F334">
        <v>222</v>
      </c>
    </row>
    <row r="335" spans="1:6" x14ac:dyDescent="0.25">
      <c r="A335" t="s">
        <v>461</v>
      </c>
      <c r="B335" s="4">
        <v>7190.35</v>
      </c>
      <c r="C335" s="4">
        <v>76.5</v>
      </c>
      <c r="D335" s="4">
        <v>7113.85</v>
      </c>
      <c r="E335">
        <v>208</v>
      </c>
      <c r="F335">
        <v>208</v>
      </c>
    </row>
    <row r="336" spans="1:6" x14ac:dyDescent="0.25">
      <c r="A336" t="s">
        <v>462</v>
      </c>
      <c r="B336" s="4">
        <v>7176.67</v>
      </c>
      <c r="C336" s="4">
        <v>138.6</v>
      </c>
      <c r="D336" s="4">
        <v>7038.07</v>
      </c>
      <c r="E336">
        <v>585</v>
      </c>
      <c r="F336">
        <v>560</v>
      </c>
    </row>
    <row r="337" spans="1:6" x14ac:dyDescent="0.25">
      <c r="A337" t="s">
        <v>463</v>
      </c>
      <c r="B337" s="4">
        <v>7173.55</v>
      </c>
      <c r="C337" s="4">
        <v>348.25</v>
      </c>
      <c r="D337" s="4">
        <v>6825.3</v>
      </c>
      <c r="E337">
        <v>218</v>
      </c>
      <c r="F337">
        <v>218</v>
      </c>
    </row>
    <row r="338" spans="1:6" x14ac:dyDescent="0.25">
      <c r="A338" t="s">
        <v>464</v>
      </c>
      <c r="B338" s="4">
        <v>7163.65</v>
      </c>
      <c r="C338" s="4">
        <v>420</v>
      </c>
      <c r="D338" s="4">
        <v>6743.65</v>
      </c>
      <c r="E338">
        <v>249</v>
      </c>
      <c r="F338">
        <v>243</v>
      </c>
    </row>
    <row r="339" spans="1:6" x14ac:dyDescent="0.25">
      <c r="A339" t="s">
        <v>465</v>
      </c>
      <c r="B339" s="4">
        <v>7136.23</v>
      </c>
      <c r="C339" s="4">
        <v>306.05</v>
      </c>
      <c r="D339" s="4">
        <v>6830.18</v>
      </c>
      <c r="E339">
        <v>379</v>
      </c>
      <c r="F339">
        <v>368</v>
      </c>
    </row>
    <row r="340" spans="1:6" x14ac:dyDescent="0.25">
      <c r="A340" t="s">
        <v>466</v>
      </c>
      <c r="B340" s="4">
        <v>7136</v>
      </c>
      <c r="C340" s="4">
        <v>115.01</v>
      </c>
      <c r="D340" s="4">
        <v>7020.99</v>
      </c>
      <c r="E340">
        <v>441</v>
      </c>
      <c r="F340">
        <v>425</v>
      </c>
    </row>
    <row r="341" spans="1:6" x14ac:dyDescent="0.25">
      <c r="A341" t="s">
        <v>467</v>
      </c>
      <c r="B341" s="4">
        <v>7133</v>
      </c>
      <c r="C341" s="4">
        <v>413.65</v>
      </c>
      <c r="D341" s="4">
        <v>6719.35</v>
      </c>
      <c r="E341">
        <v>186</v>
      </c>
      <c r="F341">
        <v>185</v>
      </c>
    </row>
    <row r="342" spans="1:6" x14ac:dyDescent="0.25">
      <c r="A342" t="s">
        <v>468</v>
      </c>
      <c r="B342" s="4">
        <v>7121.38</v>
      </c>
      <c r="C342" s="4">
        <v>136.19999999999999</v>
      </c>
      <c r="D342" s="4">
        <v>6985.18</v>
      </c>
      <c r="E342">
        <v>333</v>
      </c>
      <c r="F342">
        <v>329</v>
      </c>
    </row>
    <row r="343" spans="1:6" x14ac:dyDescent="0.25">
      <c r="A343" t="s">
        <v>469</v>
      </c>
      <c r="B343" s="4">
        <v>7106.95</v>
      </c>
      <c r="C343" s="4">
        <v>92.2</v>
      </c>
      <c r="D343" s="4">
        <v>7014.75</v>
      </c>
      <c r="E343">
        <v>287</v>
      </c>
      <c r="F343">
        <v>285</v>
      </c>
    </row>
    <row r="344" spans="1:6" x14ac:dyDescent="0.25">
      <c r="A344" t="s">
        <v>470</v>
      </c>
      <c r="B344" s="4">
        <v>7106.21</v>
      </c>
      <c r="C344" s="4">
        <v>95.37</v>
      </c>
      <c r="D344" s="4">
        <v>7010.84</v>
      </c>
      <c r="E344">
        <v>339</v>
      </c>
      <c r="F344">
        <v>327</v>
      </c>
    </row>
    <row r="345" spans="1:6" x14ac:dyDescent="0.25">
      <c r="A345" t="s">
        <v>471</v>
      </c>
      <c r="B345" s="4">
        <v>7104.22</v>
      </c>
      <c r="C345" s="4">
        <v>24.75</v>
      </c>
      <c r="D345" s="4">
        <v>7079.47</v>
      </c>
      <c r="E345">
        <v>317</v>
      </c>
      <c r="F345">
        <v>311</v>
      </c>
    </row>
    <row r="346" spans="1:6" x14ac:dyDescent="0.25">
      <c r="A346" t="s">
        <v>472</v>
      </c>
      <c r="B346" s="4">
        <v>7072.16</v>
      </c>
      <c r="C346" s="4">
        <v>37.57</v>
      </c>
      <c r="D346" s="4">
        <v>7034.59</v>
      </c>
      <c r="E346">
        <v>344</v>
      </c>
      <c r="F346">
        <v>333</v>
      </c>
    </row>
    <row r="347" spans="1:6" x14ac:dyDescent="0.25">
      <c r="A347" t="s">
        <v>473</v>
      </c>
      <c r="B347" s="4">
        <v>7062.7</v>
      </c>
      <c r="C347" s="4">
        <v>0</v>
      </c>
      <c r="D347" s="4">
        <v>7062.7</v>
      </c>
      <c r="E347">
        <v>399</v>
      </c>
      <c r="F347">
        <v>396</v>
      </c>
    </row>
    <row r="348" spans="1:6" x14ac:dyDescent="0.25">
      <c r="A348" t="s">
        <v>474</v>
      </c>
      <c r="B348" s="4">
        <v>7053.28</v>
      </c>
      <c r="C348" s="4">
        <v>21.45</v>
      </c>
      <c r="D348" s="4">
        <v>7031.83</v>
      </c>
      <c r="E348">
        <v>452</v>
      </c>
      <c r="F348">
        <v>450</v>
      </c>
    </row>
    <row r="349" spans="1:6" x14ac:dyDescent="0.25">
      <c r="A349" t="s">
        <v>475</v>
      </c>
      <c r="B349" s="4">
        <v>7047.24</v>
      </c>
      <c r="C349" s="4">
        <v>135.30000000000001</v>
      </c>
      <c r="D349" s="4">
        <v>6911.94</v>
      </c>
      <c r="E349">
        <v>322</v>
      </c>
      <c r="F349">
        <v>317</v>
      </c>
    </row>
    <row r="350" spans="1:6" x14ac:dyDescent="0.25">
      <c r="A350" t="s">
        <v>476</v>
      </c>
      <c r="B350" s="4">
        <v>7047.17</v>
      </c>
      <c r="C350" s="4">
        <v>237.75</v>
      </c>
      <c r="D350" s="4">
        <v>6809.42</v>
      </c>
      <c r="E350">
        <v>139</v>
      </c>
      <c r="F350">
        <v>137</v>
      </c>
    </row>
    <row r="351" spans="1:6" x14ac:dyDescent="0.25">
      <c r="A351" t="s">
        <v>477</v>
      </c>
      <c r="B351" s="4">
        <v>7044.64</v>
      </c>
      <c r="C351" s="4">
        <v>214.8</v>
      </c>
      <c r="D351" s="4">
        <v>6829.84</v>
      </c>
      <c r="E351">
        <v>216</v>
      </c>
      <c r="F351">
        <v>210</v>
      </c>
    </row>
    <row r="352" spans="1:6" x14ac:dyDescent="0.25">
      <c r="A352" t="s">
        <v>478</v>
      </c>
      <c r="B352" s="4">
        <v>7019.01</v>
      </c>
      <c r="C352" s="4">
        <v>0</v>
      </c>
      <c r="D352" s="4">
        <v>7019.01</v>
      </c>
      <c r="E352">
        <v>106</v>
      </c>
      <c r="F352">
        <v>103</v>
      </c>
    </row>
    <row r="353" spans="1:6" x14ac:dyDescent="0.25">
      <c r="A353" t="s">
        <v>479</v>
      </c>
      <c r="B353" s="4">
        <v>7011.57</v>
      </c>
      <c r="C353" s="4">
        <v>209.3</v>
      </c>
      <c r="D353" s="4">
        <v>6802.27</v>
      </c>
      <c r="E353">
        <v>204</v>
      </c>
      <c r="F353">
        <v>201</v>
      </c>
    </row>
    <row r="354" spans="1:6" x14ac:dyDescent="0.25">
      <c r="A354" t="s">
        <v>480</v>
      </c>
      <c r="B354" s="4">
        <v>7003.38</v>
      </c>
      <c r="C354" s="4">
        <v>57.45</v>
      </c>
      <c r="D354" s="4">
        <v>6945.93</v>
      </c>
      <c r="E354">
        <v>233</v>
      </c>
      <c r="F354">
        <v>233</v>
      </c>
    </row>
    <row r="355" spans="1:6" x14ac:dyDescent="0.25">
      <c r="A355" t="s">
        <v>481</v>
      </c>
      <c r="B355" s="4">
        <v>7001.99</v>
      </c>
      <c r="C355" s="4">
        <v>26.56</v>
      </c>
      <c r="D355" s="4">
        <v>6975.43</v>
      </c>
      <c r="E355">
        <v>562</v>
      </c>
      <c r="F355">
        <v>552</v>
      </c>
    </row>
    <row r="356" spans="1:6" x14ac:dyDescent="0.25">
      <c r="A356" t="s">
        <v>482</v>
      </c>
      <c r="B356" s="4">
        <v>6977.6</v>
      </c>
      <c r="C356" s="4">
        <v>118.65</v>
      </c>
      <c r="D356" s="4">
        <v>6858.95</v>
      </c>
      <c r="E356">
        <v>265</v>
      </c>
      <c r="F356">
        <v>265</v>
      </c>
    </row>
    <row r="357" spans="1:6" x14ac:dyDescent="0.25">
      <c r="A357" t="s">
        <v>483</v>
      </c>
      <c r="B357" s="4">
        <v>6952.31</v>
      </c>
      <c r="C357" s="4">
        <v>0</v>
      </c>
      <c r="D357" s="4">
        <v>6952.31</v>
      </c>
      <c r="E357">
        <v>210</v>
      </c>
      <c r="F357">
        <v>208</v>
      </c>
    </row>
    <row r="358" spans="1:6" x14ac:dyDescent="0.25">
      <c r="A358" t="s">
        <v>484</v>
      </c>
      <c r="B358" s="4">
        <v>6942.33</v>
      </c>
      <c r="C358" s="4">
        <v>1134.32</v>
      </c>
      <c r="D358" s="4">
        <v>5808.01</v>
      </c>
      <c r="E358">
        <v>355</v>
      </c>
      <c r="F358">
        <v>349</v>
      </c>
    </row>
    <row r="359" spans="1:6" x14ac:dyDescent="0.25">
      <c r="A359" t="s">
        <v>485</v>
      </c>
      <c r="B359" s="4">
        <v>6939.08</v>
      </c>
      <c r="C359" s="4">
        <v>20.28</v>
      </c>
      <c r="D359" s="4">
        <v>6918.8</v>
      </c>
      <c r="E359">
        <v>457</v>
      </c>
      <c r="F359">
        <v>449</v>
      </c>
    </row>
    <row r="360" spans="1:6" x14ac:dyDescent="0.25">
      <c r="A360" t="s">
        <v>486</v>
      </c>
      <c r="B360" s="4">
        <v>6933.26</v>
      </c>
      <c r="C360" s="4">
        <v>0</v>
      </c>
      <c r="D360" s="4">
        <v>6933.26</v>
      </c>
      <c r="E360">
        <v>532</v>
      </c>
      <c r="F360">
        <v>527</v>
      </c>
    </row>
    <row r="361" spans="1:6" x14ac:dyDescent="0.25">
      <c r="A361" t="s">
        <v>487</v>
      </c>
      <c r="B361" s="4">
        <v>6932.16</v>
      </c>
      <c r="C361" s="4">
        <v>83</v>
      </c>
      <c r="D361" s="4">
        <v>6849.16</v>
      </c>
      <c r="E361">
        <v>307</v>
      </c>
      <c r="F361">
        <v>299</v>
      </c>
    </row>
    <row r="362" spans="1:6" x14ac:dyDescent="0.25">
      <c r="A362" t="s">
        <v>488</v>
      </c>
      <c r="B362" s="4">
        <v>6928.65</v>
      </c>
      <c r="C362" s="4">
        <v>114.39</v>
      </c>
      <c r="D362" s="4">
        <v>6814.26</v>
      </c>
      <c r="E362">
        <v>301</v>
      </c>
      <c r="F362">
        <v>296</v>
      </c>
    </row>
    <row r="363" spans="1:6" x14ac:dyDescent="0.25">
      <c r="A363" t="s">
        <v>489</v>
      </c>
      <c r="B363" s="4">
        <v>6927.64</v>
      </c>
      <c r="C363" s="4">
        <v>158</v>
      </c>
      <c r="D363" s="4">
        <v>6769.64</v>
      </c>
      <c r="E363">
        <v>274</v>
      </c>
      <c r="F363">
        <v>271</v>
      </c>
    </row>
    <row r="364" spans="1:6" x14ac:dyDescent="0.25">
      <c r="A364" t="s">
        <v>490</v>
      </c>
      <c r="B364" s="4">
        <v>6909.37</v>
      </c>
      <c r="C364" s="4">
        <v>88.4</v>
      </c>
      <c r="D364" s="4">
        <v>6820.97</v>
      </c>
      <c r="E364">
        <v>263</v>
      </c>
      <c r="F364">
        <v>261</v>
      </c>
    </row>
    <row r="365" spans="1:6" x14ac:dyDescent="0.25">
      <c r="A365" t="s">
        <v>491</v>
      </c>
      <c r="B365" s="4">
        <v>6901.33</v>
      </c>
      <c r="C365" s="4">
        <v>42.5</v>
      </c>
      <c r="D365" s="4">
        <v>6858.83</v>
      </c>
      <c r="E365">
        <v>314</v>
      </c>
      <c r="F365">
        <v>299</v>
      </c>
    </row>
    <row r="366" spans="1:6" x14ac:dyDescent="0.25">
      <c r="A366" t="s">
        <v>492</v>
      </c>
      <c r="B366" s="4">
        <v>6890.47</v>
      </c>
      <c r="C366" s="4">
        <v>13.65</v>
      </c>
      <c r="D366" s="4">
        <v>6876.82</v>
      </c>
      <c r="E366">
        <v>350</v>
      </c>
      <c r="F366">
        <v>340</v>
      </c>
    </row>
    <row r="367" spans="1:6" x14ac:dyDescent="0.25">
      <c r="A367" t="s">
        <v>493</v>
      </c>
      <c r="B367" s="4">
        <v>6878.37</v>
      </c>
      <c r="C367" s="4">
        <v>239.04</v>
      </c>
      <c r="D367" s="4">
        <v>6639.33</v>
      </c>
      <c r="E367">
        <v>277</v>
      </c>
      <c r="F367">
        <v>268</v>
      </c>
    </row>
    <row r="368" spans="1:6" x14ac:dyDescent="0.25">
      <c r="A368" t="s">
        <v>494</v>
      </c>
      <c r="B368" s="4">
        <v>6860.09</v>
      </c>
      <c r="C368" s="4">
        <v>314.95</v>
      </c>
      <c r="D368" s="4">
        <v>6545.14</v>
      </c>
      <c r="E368">
        <v>248</v>
      </c>
      <c r="F368">
        <v>246</v>
      </c>
    </row>
    <row r="369" spans="1:6" x14ac:dyDescent="0.25">
      <c r="A369" t="s">
        <v>495</v>
      </c>
      <c r="B369" s="4">
        <v>6859.36</v>
      </c>
      <c r="C369" s="4">
        <v>46.2</v>
      </c>
      <c r="D369" s="4">
        <v>6813.16</v>
      </c>
      <c r="E369">
        <v>383</v>
      </c>
      <c r="F369">
        <v>365</v>
      </c>
    </row>
    <row r="370" spans="1:6" x14ac:dyDescent="0.25">
      <c r="A370" t="s">
        <v>496</v>
      </c>
      <c r="B370" s="4">
        <v>6827.98</v>
      </c>
      <c r="C370" s="4">
        <v>204.2</v>
      </c>
      <c r="D370" s="4">
        <v>6623.78</v>
      </c>
      <c r="E370">
        <v>211</v>
      </c>
      <c r="F370">
        <v>205</v>
      </c>
    </row>
    <row r="371" spans="1:6" x14ac:dyDescent="0.25">
      <c r="A371" t="s">
        <v>497</v>
      </c>
      <c r="B371" s="4">
        <v>6823.91</v>
      </c>
      <c r="C371" s="4">
        <v>16.5</v>
      </c>
      <c r="D371" s="4">
        <v>6807.41</v>
      </c>
      <c r="E371">
        <v>152</v>
      </c>
      <c r="F371">
        <v>152</v>
      </c>
    </row>
    <row r="372" spans="1:6" x14ac:dyDescent="0.25">
      <c r="A372" t="s">
        <v>498</v>
      </c>
      <c r="B372" s="4">
        <v>6815.9</v>
      </c>
      <c r="C372" s="4">
        <v>77.55</v>
      </c>
      <c r="D372" s="4">
        <v>6738.35</v>
      </c>
      <c r="E372">
        <v>419</v>
      </c>
      <c r="F372">
        <v>409</v>
      </c>
    </row>
    <row r="373" spans="1:6" x14ac:dyDescent="0.25">
      <c r="A373" t="s">
        <v>499</v>
      </c>
      <c r="B373" s="4">
        <v>6792.23</v>
      </c>
      <c r="C373" s="4">
        <v>42.9</v>
      </c>
      <c r="D373" s="4">
        <v>6749.33</v>
      </c>
      <c r="E373">
        <v>163</v>
      </c>
      <c r="F373">
        <v>161</v>
      </c>
    </row>
    <row r="374" spans="1:6" x14ac:dyDescent="0.25">
      <c r="A374" t="s">
        <v>500</v>
      </c>
      <c r="B374" s="4">
        <v>6789.46</v>
      </c>
      <c r="C374" s="4">
        <v>12.9</v>
      </c>
      <c r="D374" s="4">
        <v>6776.56</v>
      </c>
      <c r="E374">
        <v>495</v>
      </c>
      <c r="F374">
        <v>483</v>
      </c>
    </row>
    <row r="375" spans="1:6" x14ac:dyDescent="0.25">
      <c r="A375" t="s">
        <v>501</v>
      </c>
      <c r="B375" s="4">
        <v>6785.17</v>
      </c>
      <c r="C375" s="4">
        <v>165.5</v>
      </c>
      <c r="D375" s="4">
        <v>6619.67</v>
      </c>
      <c r="E375">
        <v>211</v>
      </c>
      <c r="F375">
        <v>209</v>
      </c>
    </row>
    <row r="376" spans="1:6" x14ac:dyDescent="0.25">
      <c r="A376" t="s">
        <v>502</v>
      </c>
      <c r="B376" s="4">
        <v>6753.51</v>
      </c>
      <c r="C376" s="4">
        <v>118.65</v>
      </c>
      <c r="D376" s="4">
        <v>6634.86</v>
      </c>
      <c r="E376">
        <v>135</v>
      </c>
      <c r="F376">
        <v>133</v>
      </c>
    </row>
    <row r="377" spans="1:6" x14ac:dyDescent="0.25">
      <c r="A377" t="s">
        <v>503</v>
      </c>
      <c r="B377" s="4">
        <v>6739.71</v>
      </c>
      <c r="C377" s="4">
        <v>40.89</v>
      </c>
      <c r="D377" s="4">
        <v>6698.82</v>
      </c>
      <c r="E377">
        <v>256</v>
      </c>
      <c r="F377">
        <v>256</v>
      </c>
    </row>
    <row r="378" spans="1:6" x14ac:dyDescent="0.25">
      <c r="A378" t="s">
        <v>504</v>
      </c>
      <c r="B378" s="4">
        <v>6726.64</v>
      </c>
      <c r="C378" s="4">
        <v>68.099999999999994</v>
      </c>
      <c r="D378" s="4">
        <v>6658.54</v>
      </c>
      <c r="E378">
        <v>220</v>
      </c>
      <c r="F378">
        <v>215</v>
      </c>
    </row>
    <row r="379" spans="1:6" x14ac:dyDescent="0.25">
      <c r="A379" t="s">
        <v>505</v>
      </c>
      <c r="B379" s="4">
        <v>6715.93</v>
      </c>
      <c r="C379" s="4">
        <v>118.54</v>
      </c>
      <c r="D379" s="4">
        <v>6597.39</v>
      </c>
      <c r="E379">
        <v>315</v>
      </c>
      <c r="F379">
        <v>309</v>
      </c>
    </row>
    <row r="380" spans="1:6" x14ac:dyDescent="0.25">
      <c r="A380" t="s">
        <v>506</v>
      </c>
      <c r="B380" s="4">
        <v>6710.42</v>
      </c>
      <c r="C380" s="4">
        <v>157</v>
      </c>
      <c r="D380" s="4">
        <v>6553.42</v>
      </c>
      <c r="E380">
        <v>348</v>
      </c>
      <c r="F380">
        <v>345</v>
      </c>
    </row>
    <row r="381" spans="1:6" x14ac:dyDescent="0.25">
      <c r="A381" t="s">
        <v>507</v>
      </c>
      <c r="B381" s="4">
        <v>6701.22</v>
      </c>
      <c r="C381" s="4">
        <v>147.9</v>
      </c>
      <c r="D381" s="4">
        <v>6553.32</v>
      </c>
      <c r="E381">
        <v>350</v>
      </c>
      <c r="F381">
        <v>339</v>
      </c>
    </row>
    <row r="382" spans="1:6" x14ac:dyDescent="0.25">
      <c r="A382" t="s">
        <v>508</v>
      </c>
      <c r="B382" s="4">
        <v>6684.67</v>
      </c>
      <c r="C382" s="4">
        <v>35.700000000000003</v>
      </c>
      <c r="D382" s="4">
        <v>6648.97</v>
      </c>
      <c r="E382">
        <v>279</v>
      </c>
      <c r="F382">
        <v>278</v>
      </c>
    </row>
    <row r="383" spans="1:6" x14ac:dyDescent="0.25">
      <c r="A383" t="s">
        <v>509</v>
      </c>
      <c r="B383" s="4">
        <v>6681.21</v>
      </c>
      <c r="C383" s="4">
        <v>740.94</v>
      </c>
      <c r="D383" s="4">
        <v>5940.27</v>
      </c>
      <c r="E383">
        <v>362</v>
      </c>
      <c r="F383">
        <v>357</v>
      </c>
    </row>
    <row r="384" spans="1:6" x14ac:dyDescent="0.25">
      <c r="A384" t="s">
        <v>510</v>
      </c>
      <c r="B384" s="4">
        <v>6672.7</v>
      </c>
      <c r="C384" s="4">
        <v>18.850000000000001</v>
      </c>
      <c r="D384" s="4">
        <v>6653.85</v>
      </c>
      <c r="E384">
        <v>512</v>
      </c>
      <c r="F384">
        <v>510</v>
      </c>
    </row>
    <row r="385" spans="1:6" x14ac:dyDescent="0.25">
      <c r="A385" t="s">
        <v>511</v>
      </c>
      <c r="B385" s="4">
        <v>6671.14</v>
      </c>
      <c r="C385" s="4">
        <v>379.15</v>
      </c>
      <c r="D385" s="4">
        <v>6291.99</v>
      </c>
      <c r="E385">
        <v>317</v>
      </c>
      <c r="F385">
        <v>314</v>
      </c>
    </row>
    <row r="386" spans="1:6" x14ac:dyDescent="0.25">
      <c r="A386" t="s">
        <v>512</v>
      </c>
      <c r="B386" s="4">
        <v>6667.04</v>
      </c>
      <c r="C386" s="4">
        <v>56.25</v>
      </c>
      <c r="D386" s="4">
        <v>6610.79</v>
      </c>
      <c r="E386">
        <v>380</v>
      </c>
      <c r="F386">
        <v>378</v>
      </c>
    </row>
    <row r="387" spans="1:6" x14ac:dyDescent="0.25">
      <c r="A387" t="s">
        <v>513</v>
      </c>
      <c r="B387" s="4">
        <v>6613.04</v>
      </c>
      <c r="C387" s="4">
        <v>42.99</v>
      </c>
      <c r="D387" s="4">
        <v>6570.05</v>
      </c>
      <c r="E387">
        <v>581</v>
      </c>
      <c r="F387">
        <v>575</v>
      </c>
    </row>
    <row r="388" spans="1:6" x14ac:dyDescent="0.25">
      <c r="A388" t="s">
        <v>514</v>
      </c>
      <c r="B388" s="4">
        <v>6555.33</v>
      </c>
      <c r="C388" s="4">
        <v>62.14</v>
      </c>
      <c r="D388" s="4">
        <v>6493.19</v>
      </c>
      <c r="E388">
        <v>646</v>
      </c>
      <c r="F388">
        <v>615</v>
      </c>
    </row>
    <row r="389" spans="1:6" x14ac:dyDescent="0.25">
      <c r="A389" t="s">
        <v>515</v>
      </c>
      <c r="B389" s="4">
        <v>6544.63</v>
      </c>
      <c r="C389" s="4">
        <v>82.5</v>
      </c>
      <c r="D389" s="4">
        <v>6462.13</v>
      </c>
      <c r="E389">
        <v>300</v>
      </c>
      <c r="F389">
        <v>296</v>
      </c>
    </row>
    <row r="390" spans="1:6" x14ac:dyDescent="0.25">
      <c r="A390" t="s">
        <v>516</v>
      </c>
      <c r="B390" s="4">
        <v>6496.04</v>
      </c>
      <c r="C390" s="4">
        <v>61.25</v>
      </c>
      <c r="D390" s="4">
        <v>6434.79</v>
      </c>
      <c r="E390">
        <v>355</v>
      </c>
      <c r="F390">
        <v>344</v>
      </c>
    </row>
    <row r="391" spans="1:6" x14ac:dyDescent="0.25">
      <c r="A391" t="s">
        <v>517</v>
      </c>
      <c r="B391" s="4">
        <v>6488.2</v>
      </c>
      <c r="C391" s="4">
        <v>38.25</v>
      </c>
      <c r="D391" s="4">
        <v>6449.95</v>
      </c>
      <c r="E391">
        <v>347</v>
      </c>
      <c r="F391">
        <v>344</v>
      </c>
    </row>
    <row r="392" spans="1:6" x14ac:dyDescent="0.25">
      <c r="A392" t="s">
        <v>518</v>
      </c>
      <c r="B392" s="4">
        <v>6474.29</v>
      </c>
      <c r="C392" s="4">
        <v>33.6</v>
      </c>
      <c r="D392" s="4">
        <v>6440.69</v>
      </c>
      <c r="E392">
        <v>469</v>
      </c>
      <c r="F392">
        <v>457</v>
      </c>
    </row>
    <row r="393" spans="1:6" x14ac:dyDescent="0.25">
      <c r="A393" t="s">
        <v>519</v>
      </c>
      <c r="B393" s="4">
        <v>6457.15</v>
      </c>
      <c r="C393" s="4">
        <v>0</v>
      </c>
      <c r="D393" s="4">
        <v>6457.15</v>
      </c>
      <c r="E393">
        <v>69</v>
      </c>
      <c r="F393">
        <v>68</v>
      </c>
    </row>
    <row r="394" spans="1:6" x14ac:dyDescent="0.25">
      <c r="A394" t="s">
        <v>520</v>
      </c>
      <c r="B394" s="4">
        <v>6452.94</v>
      </c>
      <c r="C394" s="4">
        <v>12.75</v>
      </c>
      <c r="D394" s="4">
        <v>6440.19</v>
      </c>
      <c r="E394">
        <v>344</v>
      </c>
      <c r="F394">
        <v>334</v>
      </c>
    </row>
    <row r="395" spans="1:6" x14ac:dyDescent="0.25">
      <c r="A395" t="s">
        <v>521</v>
      </c>
      <c r="B395" s="4">
        <v>6451.07</v>
      </c>
      <c r="C395" s="4">
        <v>23.1</v>
      </c>
      <c r="D395" s="4">
        <v>6427.97</v>
      </c>
      <c r="E395">
        <v>339</v>
      </c>
      <c r="F395">
        <v>333</v>
      </c>
    </row>
    <row r="396" spans="1:6" x14ac:dyDescent="0.25">
      <c r="A396" t="s">
        <v>522</v>
      </c>
      <c r="B396" s="4">
        <v>6441.06</v>
      </c>
      <c r="C396" s="4">
        <v>27.5</v>
      </c>
      <c r="D396" s="4">
        <v>6413.56</v>
      </c>
      <c r="E396">
        <v>456</v>
      </c>
      <c r="F396">
        <v>448</v>
      </c>
    </row>
    <row r="397" spans="1:6" x14ac:dyDescent="0.25">
      <c r="A397" t="s">
        <v>523</v>
      </c>
      <c r="B397" s="4">
        <v>6436.61</v>
      </c>
      <c r="C397" s="4">
        <v>0</v>
      </c>
      <c r="D397" s="4">
        <v>6436.61</v>
      </c>
      <c r="E397">
        <v>268</v>
      </c>
      <c r="F397">
        <v>257</v>
      </c>
    </row>
    <row r="398" spans="1:6" x14ac:dyDescent="0.25">
      <c r="A398" t="s">
        <v>524</v>
      </c>
      <c r="B398" s="4">
        <v>6431.11</v>
      </c>
      <c r="C398" s="4">
        <v>0</v>
      </c>
      <c r="D398" s="4">
        <v>6431.11</v>
      </c>
      <c r="E398">
        <v>38</v>
      </c>
      <c r="F398">
        <v>38</v>
      </c>
    </row>
    <row r="399" spans="1:6" x14ac:dyDescent="0.25">
      <c r="A399" t="s">
        <v>525</v>
      </c>
      <c r="B399" s="4">
        <v>6422.28</v>
      </c>
      <c r="C399" s="4">
        <v>727.05</v>
      </c>
      <c r="D399" s="4">
        <v>5695.23</v>
      </c>
      <c r="E399">
        <v>196</v>
      </c>
      <c r="F399">
        <v>194</v>
      </c>
    </row>
    <row r="400" spans="1:6" x14ac:dyDescent="0.25">
      <c r="A400" t="s">
        <v>526</v>
      </c>
      <c r="B400" s="4">
        <v>6412.77</v>
      </c>
      <c r="C400" s="4">
        <v>11.4</v>
      </c>
      <c r="D400" s="4">
        <v>6401.37</v>
      </c>
      <c r="E400">
        <v>459</v>
      </c>
      <c r="F400">
        <v>457</v>
      </c>
    </row>
    <row r="401" spans="1:6" x14ac:dyDescent="0.25">
      <c r="A401" t="s">
        <v>527</v>
      </c>
      <c r="B401" s="4">
        <v>6405.54</v>
      </c>
      <c r="C401" s="4">
        <v>200.85</v>
      </c>
      <c r="D401" s="4">
        <v>6204.69</v>
      </c>
      <c r="E401">
        <v>309</v>
      </c>
      <c r="F401">
        <v>299</v>
      </c>
    </row>
    <row r="402" spans="1:6" x14ac:dyDescent="0.25">
      <c r="A402" t="s">
        <v>528</v>
      </c>
      <c r="B402" s="4">
        <v>6401.97</v>
      </c>
      <c r="C402" s="4">
        <v>117.55</v>
      </c>
      <c r="D402" s="4">
        <v>6284.42</v>
      </c>
      <c r="E402">
        <v>390</v>
      </c>
      <c r="F402">
        <v>381</v>
      </c>
    </row>
    <row r="403" spans="1:6" x14ac:dyDescent="0.25">
      <c r="A403" t="s">
        <v>529</v>
      </c>
      <c r="B403" s="4">
        <v>6379.59</v>
      </c>
      <c r="C403" s="4">
        <v>48.4</v>
      </c>
      <c r="D403" s="4">
        <v>6331.19</v>
      </c>
      <c r="E403">
        <v>654</v>
      </c>
      <c r="F403">
        <v>629</v>
      </c>
    </row>
    <row r="404" spans="1:6" x14ac:dyDescent="0.25">
      <c r="A404" t="s">
        <v>530</v>
      </c>
      <c r="B404" s="4">
        <v>6360.91</v>
      </c>
      <c r="C404" s="4">
        <v>154.30000000000001</v>
      </c>
      <c r="D404" s="4">
        <v>6206.61</v>
      </c>
      <c r="E404">
        <v>306</v>
      </c>
      <c r="F404">
        <v>305</v>
      </c>
    </row>
    <row r="405" spans="1:6" x14ac:dyDescent="0.25">
      <c r="A405" t="s">
        <v>531</v>
      </c>
      <c r="B405" s="4">
        <v>6353.55</v>
      </c>
      <c r="C405" s="4">
        <v>171.15</v>
      </c>
      <c r="D405" s="4">
        <v>6182.4</v>
      </c>
      <c r="E405">
        <v>263</v>
      </c>
      <c r="F405">
        <v>261</v>
      </c>
    </row>
    <row r="406" spans="1:6" x14ac:dyDescent="0.25">
      <c r="A406" t="s">
        <v>532</v>
      </c>
      <c r="B406" s="4">
        <v>6349.95</v>
      </c>
      <c r="C406" s="4">
        <v>17.7</v>
      </c>
      <c r="D406" s="4">
        <v>6332.25</v>
      </c>
      <c r="E406">
        <v>291</v>
      </c>
      <c r="F406">
        <v>284</v>
      </c>
    </row>
    <row r="407" spans="1:6" x14ac:dyDescent="0.25">
      <c r="A407" t="s">
        <v>533</v>
      </c>
      <c r="B407" s="4">
        <v>6332.29</v>
      </c>
      <c r="C407" s="4">
        <v>321.95999999999998</v>
      </c>
      <c r="D407" s="4">
        <v>6010.33</v>
      </c>
      <c r="E407">
        <v>340</v>
      </c>
      <c r="F407">
        <v>332</v>
      </c>
    </row>
    <row r="408" spans="1:6" x14ac:dyDescent="0.25">
      <c r="A408" t="s">
        <v>534</v>
      </c>
      <c r="B408" s="4">
        <v>6321.76</v>
      </c>
      <c r="C408" s="4">
        <v>227</v>
      </c>
      <c r="D408" s="4">
        <v>6094.76</v>
      </c>
      <c r="E408">
        <v>459</v>
      </c>
      <c r="F408">
        <v>451</v>
      </c>
    </row>
    <row r="409" spans="1:6" x14ac:dyDescent="0.25">
      <c r="A409" t="s">
        <v>535</v>
      </c>
      <c r="B409" s="4">
        <v>6316.36</v>
      </c>
      <c r="C409" s="4">
        <v>2.95</v>
      </c>
      <c r="D409" s="4">
        <v>6313.41</v>
      </c>
      <c r="E409">
        <v>293</v>
      </c>
      <c r="F409">
        <v>290</v>
      </c>
    </row>
    <row r="410" spans="1:6" x14ac:dyDescent="0.25">
      <c r="A410" t="s">
        <v>536</v>
      </c>
      <c r="B410" s="4">
        <v>6298.61</v>
      </c>
      <c r="C410" s="4">
        <v>1.65</v>
      </c>
      <c r="D410" s="4">
        <v>6296.96</v>
      </c>
      <c r="E410">
        <v>531</v>
      </c>
      <c r="F410">
        <v>530</v>
      </c>
    </row>
    <row r="411" spans="1:6" x14ac:dyDescent="0.25">
      <c r="A411" t="s">
        <v>537</v>
      </c>
      <c r="B411" s="4">
        <v>6210</v>
      </c>
      <c r="C411" s="4">
        <v>517.5</v>
      </c>
      <c r="D411" s="4">
        <v>5692.5</v>
      </c>
      <c r="E411">
        <v>41</v>
      </c>
      <c r="F411">
        <v>41</v>
      </c>
    </row>
    <row r="412" spans="1:6" x14ac:dyDescent="0.25">
      <c r="A412" t="s">
        <v>538</v>
      </c>
      <c r="B412" s="4">
        <v>6142.29</v>
      </c>
      <c r="C412" s="4">
        <v>4.95</v>
      </c>
      <c r="D412" s="4">
        <v>6137.34</v>
      </c>
      <c r="E412">
        <v>357</v>
      </c>
      <c r="F412">
        <v>345</v>
      </c>
    </row>
    <row r="413" spans="1:6" x14ac:dyDescent="0.25">
      <c r="A413" t="s">
        <v>539</v>
      </c>
      <c r="B413" s="4">
        <v>6141.29</v>
      </c>
      <c r="C413" s="4">
        <v>96.25</v>
      </c>
      <c r="D413" s="4">
        <v>6045.04</v>
      </c>
      <c r="E413">
        <v>381</v>
      </c>
      <c r="F413">
        <v>374</v>
      </c>
    </row>
    <row r="414" spans="1:6" x14ac:dyDescent="0.25">
      <c r="A414" t="s">
        <v>540</v>
      </c>
      <c r="B414" s="4">
        <v>6117.91</v>
      </c>
      <c r="C414" s="4">
        <v>36.06</v>
      </c>
      <c r="D414" s="4">
        <v>6081.85</v>
      </c>
      <c r="E414">
        <v>638</v>
      </c>
      <c r="F414">
        <v>601</v>
      </c>
    </row>
    <row r="415" spans="1:6" x14ac:dyDescent="0.25">
      <c r="A415" t="s">
        <v>541</v>
      </c>
      <c r="B415" s="4">
        <v>6102.18</v>
      </c>
      <c r="C415" s="4">
        <v>180</v>
      </c>
      <c r="D415" s="4">
        <v>5922.18</v>
      </c>
      <c r="E415">
        <v>258</v>
      </c>
      <c r="F415">
        <v>258</v>
      </c>
    </row>
    <row r="416" spans="1:6" x14ac:dyDescent="0.25">
      <c r="A416" t="s">
        <v>542</v>
      </c>
      <c r="B416" s="4">
        <v>6093.05</v>
      </c>
      <c r="C416" s="4">
        <v>76.05</v>
      </c>
      <c r="D416" s="4">
        <v>6017</v>
      </c>
      <c r="E416">
        <v>361</v>
      </c>
      <c r="F416">
        <v>358</v>
      </c>
    </row>
    <row r="417" spans="1:6" x14ac:dyDescent="0.25">
      <c r="A417" t="s">
        <v>543</v>
      </c>
      <c r="B417" s="4">
        <v>6078.54</v>
      </c>
      <c r="C417" s="4">
        <v>214.81</v>
      </c>
      <c r="D417" s="4">
        <v>5863.73</v>
      </c>
      <c r="E417">
        <v>374</v>
      </c>
      <c r="F417">
        <v>369</v>
      </c>
    </row>
    <row r="418" spans="1:6" x14ac:dyDescent="0.25">
      <c r="A418" t="s">
        <v>544</v>
      </c>
      <c r="B418" s="4">
        <v>6071.75</v>
      </c>
      <c r="C418" s="4">
        <v>143.94999999999999</v>
      </c>
      <c r="D418" s="4">
        <v>5927.8</v>
      </c>
      <c r="E418">
        <v>375</v>
      </c>
      <c r="F418">
        <v>365</v>
      </c>
    </row>
    <row r="419" spans="1:6" x14ac:dyDescent="0.25">
      <c r="A419" t="s">
        <v>545</v>
      </c>
      <c r="B419" s="4">
        <v>6060.25</v>
      </c>
      <c r="C419" s="4">
        <v>3.9</v>
      </c>
      <c r="D419" s="4">
        <v>6056.35</v>
      </c>
      <c r="E419">
        <v>443</v>
      </c>
      <c r="F419">
        <v>439</v>
      </c>
    </row>
    <row r="420" spans="1:6" x14ac:dyDescent="0.25">
      <c r="A420" t="s">
        <v>546</v>
      </c>
      <c r="B420" s="4">
        <v>6045</v>
      </c>
      <c r="C420" s="4">
        <v>0</v>
      </c>
      <c r="D420" s="4">
        <v>6045</v>
      </c>
      <c r="E420">
        <v>2</v>
      </c>
      <c r="F420">
        <v>2</v>
      </c>
    </row>
    <row r="421" spans="1:6" x14ac:dyDescent="0.25">
      <c r="A421" t="s">
        <v>547</v>
      </c>
      <c r="B421" s="4">
        <v>6036.39</v>
      </c>
      <c r="C421" s="4">
        <v>172.8</v>
      </c>
      <c r="D421" s="4">
        <v>5863.59</v>
      </c>
      <c r="E421">
        <v>242</v>
      </c>
      <c r="F421">
        <v>239</v>
      </c>
    </row>
    <row r="422" spans="1:6" x14ac:dyDescent="0.25">
      <c r="A422" t="s">
        <v>548</v>
      </c>
      <c r="B422" s="4">
        <v>6034.9</v>
      </c>
      <c r="C422" s="4">
        <v>194.07</v>
      </c>
      <c r="D422" s="4">
        <v>5840.83</v>
      </c>
      <c r="E422">
        <v>220</v>
      </c>
      <c r="F422">
        <v>220</v>
      </c>
    </row>
    <row r="423" spans="1:6" x14ac:dyDescent="0.25">
      <c r="A423" t="s">
        <v>549</v>
      </c>
      <c r="B423" s="4">
        <v>6021.4</v>
      </c>
      <c r="C423" s="4">
        <v>95.2</v>
      </c>
      <c r="D423" s="4">
        <v>5926.2</v>
      </c>
      <c r="E423">
        <v>144</v>
      </c>
      <c r="F423">
        <v>143</v>
      </c>
    </row>
    <row r="424" spans="1:6" x14ac:dyDescent="0.25">
      <c r="A424" t="s">
        <v>550</v>
      </c>
      <c r="B424" s="4">
        <v>6013.43</v>
      </c>
      <c r="C424" s="4">
        <v>0</v>
      </c>
      <c r="D424" s="4">
        <v>6013.43</v>
      </c>
      <c r="E424">
        <v>331</v>
      </c>
      <c r="F424">
        <v>321</v>
      </c>
    </row>
    <row r="425" spans="1:6" x14ac:dyDescent="0.25">
      <c r="A425" t="s">
        <v>551</v>
      </c>
      <c r="B425" s="4">
        <v>6011.51</v>
      </c>
      <c r="C425" s="4">
        <v>80.7</v>
      </c>
      <c r="D425" s="4">
        <v>5930.81</v>
      </c>
      <c r="E425">
        <v>353</v>
      </c>
      <c r="F425">
        <v>343</v>
      </c>
    </row>
    <row r="426" spans="1:6" x14ac:dyDescent="0.25">
      <c r="A426" t="s">
        <v>552</v>
      </c>
      <c r="B426" s="4">
        <v>6009.84</v>
      </c>
      <c r="C426" s="4">
        <v>159.15</v>
      </c>
      <c r="D426" s="4">
        <v>5850.69</v>
      </c>
      <c r="E426">
        <v>206</v>
      </c>
      <c r="F426">
        <v>205</v>
      </c>
    </row>
    <row r="427" spans="1:6" x14ac:dyDescent="0.25">
      <c r="A427" t="s">
        <v>553</v>
      </c>
      <c r="B427" s="4">
        <v>5988.05</v>
      </c>
      <c r="C427" s="4">
        <v>33.75</v>
      </c>
      <c r="D427" s="4">
        <v>5954.3</v>
      </c>
      <c r="E427">
        <v>383</v>
      </c>
      <c r="F427">
        <v>378</v>
      </c>
    </row>
    <row r="428" spans="1:6" x14ac:dyDescent="0.25">
      <c r="A428" t="s">
        <v>554</v>
      </c>
      <c r="B428" s="4">
        <v>5968.3</v>
      </c>
      <c r="C428" s="4">
        <v>4.1500000000000004</v>
      </c>
      <c r="D428" s="4">
        <v>5964.15</v>
      </c>
      <c r="E428">
        <v>219</v>
      </c>
      <c r="F428">
        <v>214</v>
      </c>
    </row>
    <row r="429" spans="1:6" x14ac:dyDescent="0.25">
      <c r="A429" t="s">
        <v>555</v>
      </c>
      <c r="B429" s="4">
        <v>5961.25</v>
      </c>
      <c r="C429" s="4">
        <v>0</v>
      </c>
      <c r="D429" s="4">
        <v>5961.25</v>
      </c>
      <c r="E429">
        <v>33</v>
      </c>
      <c r="F429">
        <v>33</v>
      </c>
    </row>
    <row r="430" spans="1:6" x14ac:dyDescent="0.25">
      <c r="A430" t="s">
        <v>556</v>
      </c>
      <c r="B430" s="4">
        <v>5954.61</v>
      </c>
      <c r="C430" s="4">
        <v>38.25</v>
      </c>
      <c r="D430" s="4">
        <v>5916.36</v>
      </c>
      <c r="E430">
        <v>199</v>
      </c>
      <c r="F430">
        <v>196</v>
      </c>
    </row>
    <row r="431" spans="1:6" x14ac:dyDescent="0.25">
      <c r="A431" t="s">
        <v>557</v>
      </c>
      <c r="B431" s="4">
        <v>5949.34</v>
      </c>
      <c r="C431" s="4">
        <v>8.25</v>
      </c>
      <c r="D431" s="4">
        <v>5941.09</v>
      </c>
      <c r="E431">
        <v>278</v>
      </c>
      <c r="F431">
        <v>278</v>
      </c>
    </row>
    <row r="432" spans="1:6" x14ac:dyDescent="0.25">
      <c r="A432" t="s">
        <v>558</v>
      </c>
      <c r="B432" s="4">
        <v>5925.39</v>
      </c>
      <c r="C432" s="4">
        <v>21.45</v>
      </c>
      <c r="D432" s="4">
        <v>5903.94</v>
      </c>
      <c r="E432">
        <v>479</v>
      </c>
      <c r="F432">
        <v>468</v>
      </c>
    </row>
    <row r="433" spans="1:6" x14ac:dyDescent="0.25">
      <c r="A433" t="s">
        <v>559</v>
      </c>
      <c r="B433" s="4">
        <v>5907.36</v>
      </c>
      <c r="C433" s="4">
        <v>126.88</v>
      </c>
      <c r="D433" s="4">
        <v>5780.48</v>
      </c>
      <c r="E433">
        <v>249</v>
      </c>
      <c r="F433">
        <v>235</v>
      </c>
    </row>
    <row r="434" spans="1:6" x14ac:dyDescent="0.25">
      <c r="A434" t="s">
        <v>560</v>
      </c>
      <c r="B434" s="4">
        <v>5868.5</v>
      </c>
      <c r="C434" s="4">
        <v>4803.0600000000004</v>
      </c>
      <c r="D434" s="4">
        <v>1065.44</v>
      </c>
      <c r="E434">
        <v>57</v>
      </c>
      <c r="F434">
        <v>57</v>
      </c>
    </row>
    <row r="435" spans="1:6" x14ac:dyDescent="0.25">
      <c r="A435" t="s">
        <v>561</v>
      </c>
      <c r="B435" s="4">
        <v>5849.29</v>
      </c>
      <c r="C435" s="4">
        <v>37.65</v>
      </c>
      <c r="D435" s="4">
        <v>5811.64</v>
      </c>
      <c r="E435">
        <v>274</v>
      </c>
      <c r="F435">
        <v>272</v>
      </c>
    </row>
    <row r="436" spans="1:6" x14ac:dyDescent="0.25">
      <c r="A436" t="s">
        <v>562</v>
      </c>
      <c r="B436" s="4">
        <v>5843.92</v>
      </c>
      <c r="C436" s="4">
        <v>407.4</v>
      </c>
      <c r="D436" s="4">
        <v>5436.52</v>
      </c>
      <c r="E436">
        <v>83</v>
      </c>
      <c r="F436">
        <v>83</v>
      </c>
    </row>
    <row r="437" spans="1:6" x14ac:dyDescent="0.25">
      <c r="A437" t="s">
        <v>563</v>
      </c>
      <c r="B437" s="4">
        <v>5837.84</v>
      </c>
      <c r="C437" s="4">
        <v>282.25</v>
      </c>
      <c r="D437" s="4">
        <v>5555.59</v>
      </c>
      <c r="E437">
        <v>209</v>
      </c>
      <c r="F437">
        <v>208</v>
      </c>
    </row>
    <row r="438" spans="1:6" x14ac:dyDescent="0.25">
      <c r="A438" t="s">
        <v>564</v>
      </c>
      <c r="B438" s="4">
        <v>5812.72</v>
      </c>
      <c r="C438" s="4">
        <v>7.5</v>
      </c>
      <c r="D438" s="4">
        <v>5805.22</v>
      </c>
      <c r="E438">
        <v>294</v>
      </c>
      <c r="F438">
        <v>290</v>
      </c>
    </row>
    <row r="439" spans="1:6" x14ac:dyDescent="0.25">
      <c r="A439" t="s">
        <v>565</v>
      </c>
      <c r="B439" s="4">
        <v>5807.35</v>
      </c>
      <c r="C439" s="4">
        <v>524.04999999999995</v>
      </c>
      <c r="D439" s="4">
        <v>5283.3</v>
      </c>
      <c r="E439">
        <v>235</v>
      </c>
      <c r="F439">
        <v>232</v>
      </c>
    </row>
    <row r="440" spans="1:6" x14ac:dyDescent="0.25">
      <c r="A440" t="s">
        <v>566</v>
      </c>
      <c r="B440" s="4">
        <v>5802.6</v>
      </c>
      <c r="C440" s="4">
        <v>106.25</v>
      </c>
      <c r="D440" s="4">
        <v>5696.35</v>
      </c>
      <c r="E440">
        <v>154</v>
      </c>
      <c r="F440">
        <v>149</v>
      </c>
    </row>
    <row r="441" spans="1:6" x14ac:dyDescent="0.25">
      <c r="A441" t="s">
        <v>567</v>
      </c>
      <c r="B441" s="4">
        <v>5793.62</v>
      </c>
      <c r="C441" s="4">
        <v>0</v>
      </c>
      <c r="D441" s="4">
        <v>5793.62</v>
      </c>
      <c r="E441">
        <v>170</v>
      </c>
      <c r="F441">
        <v>170</v>
      </c>
    </row>
    <row r="442" spans="1:6" x14ac:dyDescent="0.25">
      <c r="A442" t="s">
        <v>568</v>
      </c>
      <c r="B442" s="4">
        <v>5762.28</v>
      </c>
      <c r="C442" s="4">
        <v>15.9</v>
      </c>
      <c r="D442" s="4">
        <v>5746.38</v>
      </c>
      <c r="E442">
        <v>180</v>
      </c>
      <c r="F442">
        <v>179</v>
      </c>
    </row>
    <row r="443" spans="1:6" x14ac:dyDescent="0.25">
      <c r="A443" t="s">
        <v>569</v>
      </c>
      <c r="B443" s="4">
        <v>5750.21</v>
      </c>
      <c r="C443" s="4">
        <v>25.53</v>
      </c>
      <c r="D443" s="4">
        <v>5724.68</v>
      </c>
      <c r="E443">
        <v>128</v>
      </c>
      <c r="F443">
        <v>127</v>
      </c>
    </row>
    <row r="444" spans="1:6" x14ac:dyDescent="0.25">
      <c r="A444" t="s">
        <v>570</v>
      </c>
      <c r="B444" s="4">
        <v>5731.26</v>
      </c>
      <c r="C444" s="4">
        <v>103.68</v>
      </c>
      <c r="D444" s="4">
        <v>5627.58</v>
      </c>
      <c r="E444">
        <v>476</v>
      </c>
      <c r="F444">
        <v>467</v>
      </c>
    </row>
    <row r="445" spans="1:6" x14ac:dyDescent="0.25">
      <c r="A445" t="s">
        <v>571</v>
      </c>
      <c r="B445" s="4">
        <v>5728.08</v>
      </c>
      <c r="C445" s="4">
        <v>140.25</v>
      </c>
      <c r="D445" s="4">
        <v>5587.83</v>
      </c>
      <c r="E445">
        <v>472</v>
      </c>
      <c r="F445">
        <v>467</v>
      </c>
    </row>
    <row r="446" spans="1:6" x14ac:dyDescent="0.25">
      <c r="A446" t="s">
        <v>572</v>
      </c>
      <c r="B446" s="4">
        <v>5716.85</v>
      </c>
      <c r="C446" s="4">
        <v>0</v>
      </c>
      <c r="D446" s="4">
        <v>5716.85</v>
      </c>
      <c r="E446">
        <v>61</v>
      </c>
      <c r="F446">
        <v>61</v>
      </c>
    </row>
    <row r="447" spans="1:6" x14ac:dyDescent="0.25">
      <c r="A447" t="s">
        <v>573</v>
      </c>
      <c r="B447" s="4">
        <v>5704.78</v>
      </c>
      <c r="C447" s="4">
        <v>59.15</v>
      </c>
      <c r="D447" s="4">
        <v>5645.63</v>
      </c>
      <c r="E447">
        <v>307</v>
      </c>
      <c r="F447">
        <v>304</v>
      </c>
    </row>
    <row r="448" spans="1:6" x14ac:dyDescent="0.25">
      <c r="A448" t="s">
        <v>574</v>
      </c>
      <c r="B448" s="4">
        <v>5695.77</v>
      </c>
      <c r="C448" s="4">
        <v>41.9</v>
      </c>
      <c r="D448" s="4">
        <v>5653.87</v>
      </c>
      <c r="E448">
        <v>395</v>
      </c>
      <c r="F448">
        <v>390</v>
      </c>
    </row>
    <row r="449" spans="1:6" x14ac:dyDescent="0.25">
      <c r="A449" t="s">
        <v>575</v>
      </c>
      <c r="B449" s="4">
        <v>5681.9</v>
      </c>
      <c r="C449" s="4">
        <v>44.2</v>
      </c>
      <c r="D449" s="4">
        <v>5637.7</v>
      </c>
      <c r="E449">
        <v>703</v>
      </c>
      <c r="F449">
        <v>670</v>
      </c>
    </row>
    <row r="450" spans="1:6" x14ac:dyDescent="0.25">
      <c r="A450" t="s">
        <v>576</v>
      </c>
      <c r="B450" s="4">
        <v>5662.58</v>
      </c>
      <c r="C450" s="4">
        <v>157.65</v>
      </c>
      <c r="D450" s="4">
        <v>5504.93</v>
      </c>
      <c r="E450">
        <v>187</v>
      </c>
      <c r="F450">
        <v>178</v>
      </c>
    </row>
    <row r="451" spans="1:6" x14ac:dyDescent="0.25">
      <c r="A451" t="s">
        <v>577</v>
      </c>
      <c r="B451" s="4">
        <v>5661.05</v>
      </c>
      <c r="C451" s="4">
        <v>149.19999999999999</v>
      </c>
      <c r="D451" s="4">
        <v>5511.85</v>
      </c>
      <c r="E451">
        <v>240</v>
      </c>
      <c r="F451">
        <v>238</v>
      </c>
    </row>
    <row r="452" spans="1:6" x14ac:dyDescent="0.25">
      <c r="A452" t="s">
        <v>578</v>
      </c>
      <c r="B452" s="4">
        <v>5607.74</v>
      </c>
      <c r="C452" s="4">
        <v>35.85</v>
      </c>
      <c r="D452" s="4">
        <v>5571.89</v>
      </c>
      <c r="E452">
        <v>212</v>
      </c>
      <c r="F452">
        <v>209</v>
      </c>
    </row>
    <row r="453" spans="1:6" x14ac:dyDescent="0.25">
      <c r="A453" t="s">
        <v>579</v>
      </c>
      <c r="B453" s="4">
        <v>5585.45</v>
      </c>
      <c r="C453" s="4">
        <v>146.19999999999999</v>
      </c>
      <c r="D453" s="4">
        <v>5439.25</v>
      </c>
      <c r="E453">
        <v>319</v>
      </c>
      <c r="F453">
        <v>318</v>
      </c>
    </row>
    <row r="454" spans="1:6" x14ac:dyDescent="0.25">
      <c r="A454" t="s">
        <v>580</v>
      </c>
      <c r="B454" s="4">
        <v>5575.33</v>
      </c>
      <c r="C454" s="4">
        <v>57.75</v>
      </c>
      <c r="D454" s="4">
        <v>5517.58</v>
      </c>
      <c r="E454">
        <v>418</v>
      </c>
      <c r="F454">
        <v>415</v>
      </c>
    </row>
    <row r="455" spans="1:6" x14ac:dyDescent="0.25">
      <c r="A455" t="s">
        <v>581</v>
      </c>
      <c r="B455" s="4">
        <v>5568.07</v>
      </c>
      <c r="C455" s="4">
        <v>10.199999999999999</v>
      </c>
      <c r="D455" s="4">
        <v>5557.87</v>
      </c>
      <c r="E455">
        <v>423</v>
      </c>
      <c r="F455">
        <v>412</v>
      </c>
    </row>
    <row r="456" spans="1:6" x14ac:dyDescent="0.25">
      <c r="A456" t="s">
        <v>582</v>
      </c>
      <c r="B456" s="4">
        <v>5564.25</v>
      </c>
      <c r="C456" s="4">
        <v>132.75</v>
      </c>
      <c r="D456" s="4">
        <v>5431.5</v>
      </c>
      <c r="E456">
        <v>268</v>
      </c>
      <c r="F456">
        <v>267</v>
      </c>
    </row>
    <row r="457" spans="1:6" x14ac:dyDescent="0.25">
      <c r="A457" t="s">
        <v>583</v>
      </c>
      <c r="B457" s="4">
        <v>5559.11</v>
      </c>
      <c r="C457" s="4">
        <v>0</v>
      </c>
      <c r="D457" s="4">
        <v>5559.11</v>
      </c>
      <c r="E457">
        <v>114</v>
      </c>
      <c r="F457">
        <v>112</v>
      </c>
    </row>
    <row r="458" spans="1:6" x14ac:dyDescent="0.25">
      <c r="A458" t="s">
        <v>584</v>
      </c>
      <c r="B458" s="4">
        <v>5556.79</v>
      </c>
      <c r="C458" s="4">
        <v>79.2</v>
      </c>
      <c r="D458" s="4">
        <v>5477.59</v>
      </c>
      <c r="E458">
        <v>298</v>
      </c>
      <c r="F458">
        <v>291</v>
      </c>
    </row>
    <row r="459" spans="1:6" x14ac:dyDescent="0.25">
      <c r="A459" t="s">
        <v>585</v>
      </c>
      <c r="B459" s="4">
        <v>5549.68</v>
      </c>
      <c r="C459" s="4">
        <v>140.25</v>
      </c>
      <c r="D459" s="4">
        <v>5409.43</v>
      </c>
      <c r="E459">
        <v>387</v>
      </c>
      <c r="F459">
        <v>376</v>
      </c>
    </row>
    <row r="460" spans="1:6" x14ac:dyDescent="0.25">
      <c r="A460" t="s">
        <v>586</v>
      </c>
      <c r="B460" s="4">
        <v>5528.04</v>
      </c>
      <c r="C460" s="4">
        <v>45</v>
      </c>
      <c r="D460" s="4">
        <v>5483.04</v>
      </c>
      <c r="E460">
        <v>273</v>
      </c>
      <c r="F460">
        <v>267</v>
      </c>
    </row>
    <row r="461" spans="1:6" x14ac:dyDescent="0.25">
      <c r="A461" t="s">
        <v>587</v>
      </c>
      <c r="B461" s="4">
        <v>5525.4</v>
      </c>
      <c r="C461" s="4">
        <v>8.25</v>
      </c>
      <c r="D461" s="4">
        <v>5517.15</v>
      </c>
      <c r="E461">
        <v>155</v>
      </c>
      <c r="F461">
        <v>155</v>
      </c>
    </row>
    <row r="462" spans="1:6" x14ac:dyDescent="0.25">
      <c r="A462" t="s">
        <v>588</v>
      </c>
      <c r="B462" s="4">
        <v>5519.42</v>
      </c>
      <c r="C462" s="4">
        <v>186.9</v>
      </c>
      <c r="D462" s="4">
        <v>5332.52</v>
      </c>
      <c r="E462">
        <v>359</v>
      </c>
      <c r="F462">
        <v>351</v>
      </c>
    </row>
    <row r="463" spans="1:6" x14ac:dyDescent="0.25">
      <c r="A463" t="s">
        <v>589</v>
      </c>
      <c r="B463" s="4">
        <v>5517.99</v>
      </c>
      <c r="C463" s="4">
        <v>124.8</v>
      </c>
      <c r="D463" s="4">
        <v>5393.19</v>
      </c>
      <c r="E463">
        <v>257</v>
      </c>
      <c r="F463">
        <v>255</v>
      </c>
    </row>
    <row r="464" spans="1:6" x14ac:dyDescent="0.25">
      <c r="A464" t="s">
        <v>590</v>
      </c>
      <c r="B464" s="4">
        <v>5513.83</v>
      </c>
      <c r="C464" s="4">
        <v>16.5</v>
      </c>
      <c r="D464" s="4">
        <v>5497.33</v>
      </c>
      <c r="E464">
        <v>338</v>
      </c>
      <c r="F464">
        <v>325</v>
      </c>
    </row>
    <row r="465" spans="1:6" x14ac:dyDescent="0.25">
      <c r="A465" t="s">
        <v>591</v>
      </c>
      <c r="B465" s="4">
        <v>5481.09</v>
      </c>
      <c r="C465" s="4">
        <v>29.4</v>
      </c>
      <c r="D465" s="4">
        <v>5451.69</v>
      </c>
      <c r="E465">
        <v>384</v>
      </c>
      <c r="F465">
        <v>378</v>
      </c>
    </row>
    <row r="466" spans="1:6" x14ac:dyDescent="0.25">
      <c r="A466" t="s">
        <v>592</v>
      </c>
      <c r="B466" s="4">
        <v>5479.06</v>
      </c>
      <c r="C466" s="4">
        <v>5.9</v>
      </c>
      <c r="D466" s="4">
        <v>5473.16</v>
      </c>
      <c r="E466">
        <v>278</v>
      </c>
      <c r="F466">
        <v>271</v>
      </c>
    </row>
    <row r="467" spans="1:6" x14ac:dyDescent="0.25">
      <c r="A467" t="s">
        <v>593</v>
      </c>
      <c r="B467" s="4">
        <v>5468.66</v>
      </c>
      <c r="C467" s="4">
        <v>0</v>
      </c>
      <c r="D467" s="4">
        <v>5468.66</v>
      </c>
      <c r="E467">
        <v>389</v>
      </c>
      <c r="F467">
        <v>378</v>
      </c>
    </row>
    <row r="468" spans="1:6" x14ac:dyDescent="0.25">
      <c r="A468" t="s">
        <v>594</v>
      </c>
      <c r="B468" s="4">
        <v>5416.18</v>
      </c>
      <c r="C468" s="4">
        <v>0</v>
      </c>
      <c r="D468" s="4">
        <v>5416.18</v>
      </c>
      <c r="E468">
        <v>45</v>
      </c>
      <c r="F468">
        <v>45</v>
      </c>
    </row>
    <row r="469" spans="1:6" x14ac:dyDescent="0.25">
      <c r="A469" t="s">
        <v>595</v>
      </c>
      <c r="B469" s="4">
        <v>5415</v>
      </c>
      <c r="C469" s="4">
        <v>415</v>
      </c>
      <c r="D469" s="4">
        <v>5000</v>
      </c>
      <c r="E469">
        <v>26</v>
      </c>
      <c r="F469">
        <v>26</v>
      </c>
    </row>
    <row r="470" spans="1:6" x14ac:dyDescent="0.25">
      <c r="A470" t="s">
        <v>596</v>
      </c>
      <c r="B470" s="4">
        <v>5403.28</v>
      </c>
      <c r="C470" s="4">
        <v>88.1</v>
      </c>
      <c r="D470" s="4">
        <v>5315.18</v>
      </c>
      <c r="E470">
        <v>318</v>
      </c>
      <c r="F470">
        <v>316</v>
      </c>
    </row>
    <row r="471" spans="1:6" x14ac:dyDescent="0.25">
      <c r="A471" t="s">
        <v>597</v>
      </c>
      <c r="B471" s="4">
        <v>5389.02</v>
      </c>
      <c r="C471" s="4">
        <v>48.75</v>
      </c>
      <c r="D471" s="4">
        <v>5340.27</v>
      </c>
      <c r="E471">
        <v>133</v>
      </c>
      <c r="F471">
        <v>131</v>
      </c>
    </row>
    <row r="472" spans="1:6" x14ac:dyDescent="0.25">
      <c r="A472" t="s">
        <v>598</v>
      </c>
      <c r="B472" s="4">
        <v>5377.81</v>
      </c>
      <c r="C472" s="4">
        <v>386.75</v>
      </c>
      <c r="D472" s="4">
        <v>4991.0600000000004</v>
      </c>
      <c r="E472">
        <v>208</v>
      </c>
      <c r="F472">
        <v>205</v>
      </c>
    </row>
    <row r="473" spans="1:6" x14ac:dyDescent="0.25">
      <c r="A473" t="s">
        <v>599</v>
      </c>
      <c r="B473" s="4">
        <v>5345.88</v>
      </c>
      <c r="C473" s="4">
        <v>18.850000000000001</v>
      </c>
      <c r="D473" s="4">
        <v>5327.03</v>
      </c>
      <c r="E473">
        <v>479</v>
      </c>
      <c r="F473">
        <v>467</v>
      </c>
    </row>
    <row r="474" spans="1:6" x14ac:dyDescent="0.25">
      <c r="A474" t="s">
        <v>600</v>
      </c>
      <c r="B474" s="4">
        <v>5314.9</v>
      </c>
      <c r="C474" s="4">
        <v>74.34</v>
      </c>
      <c r="D474" s="4">
        <v>5240.5600000000004</v>
      </c>
      <c r="E474">
        <v>546</v>
      </c>
      <c r="F474">
        <v>534</v>
      </c>
    </row>
    <row r="475" spans="1:6" x14ac:dyDescent="0.25">
      <c r="A475" t="s">
        <v>601</v>
      </c>
      <c r="B475" s="4">
        <v>5276.94</v>
      </c>
      <c r="C475" s="4">
        <v>119.4</v>
      </c>
      <c r="D475" s="4">
        <v>5157.54</v>
      </c>
      <c r="E475">
        <v>191</v>
      </c>
      <c r="F475">
        <v>188</v>
      </c>
    </row>
    <row r="476" spans="1:6" x14ac:dyDescent="0.25">
      <c r="A476" t="s">
        <v>602</v>
      </c>
      <c r="B476" s="4">
        <v>5274.12</v>
      </c>
      <c r="C476" s="4">
        <v>1.65</v>
      </c>
      <c r="D476" s="4">
        <v>5272.47</v>
      </c>
      <c r="E476">
        <v>332</v>
      </c>
      <c r="F476">
        <v>318</v>
      </c>
    </row>
    <row r="477" spans="1:6" x14ac:dyDescent="0.25">
      <c r="A477" t="s">
        <v>603</v>
      </c>
      <c r="B477" s="4">
        <v>5248.21</v>
      </c>
      <c r="C477" s="4">
        <v>85.2</v>
      </c>
      <c r="D477" s="4">
        <v>5163.01</v>
      </c>
      <c r="E477">
        <v>237</v>
      </c>
      <c r="F477">
        <v>235</v>
      </c>
    </row>
    <row r="478" spans="1:6" x14ac:dyDescent="0.25">
      <c r="A478" t="s">
        <v>604</v>
      </c>
      <c r="B478" s="4">
        <v>5225.3999999999996</v>
      </c>
      <c r="C478" s="4">
        <v>176.45</v>
      </c>
      <c r="D478" s="4">
        <v>5048.95</v>
      </c>
      <c r="E478">
        <v>129</v>
      </c>
      <c r="F478">
        <v>128</v>
      </c>
    </row>
    <row r="479" spans="1:6" x14ac:dyDescent="0.25">
      <c r="A479" t="s">
        <v>605</v>
      </c>
      <c r="B479" s="4">
        <v>5219.1000000000004</v>
      </c>
      <c r="C479" s="4">
        <v>23</v>
      </c>
      <c r="D479" s="4">
        <v>5196.1000000000004</v>
      </c>
      <c r="E479">
        <v>155</v>
      </c>
      <c r="F479">
        <v>152</v>
      </c>
    </row>
    <row r="480" spans="1:6" x14ac:dyDescent="0.25">
      <c r="A480" t="s">
        <v>606</v>
      </c>
      <c r="B480" s="4">
        <v>5211.7</v>
      </c>
      <c r="C480" s="4">
        <v>3.75</v>
      </c>
      <c r="D480" s="4">
        <v>5207.95</v>
      </c>
      <c r="E480">
        <v>262</v>
      </c>
      <c r="F480">
        <v>254</v>
      </c>
    </row>
    <row r="481" spans="1:6" x14ac:dyDescent="0.25">
      <c r="A481" t="s">
        <v>607</v>
      </c>
      <c r="B481" s="4">
        <v>5198.66</v>
      </c>
      <c r="C481" s="4">
        <v>352.35</v>
      </c>
      <c r="D481" s="4">
        <v>4846.3100000000004</v>
      </c>
      <c r="E481">
        <v>233</v>
      </c>
      <c r="F481">
        <v>232</v>
      </c>
    </row>
    <row r="482" spans="1:6" x14ac:dyDescent="0.25">
      <c r="A482" t="s">
        <v>608</v>
      </c>
      <c r="B482" s="4">
        <v>5195.03</v>
      </c>
      <c r="C482" s="4">
        <v>62.1</v>
      </c>
      <c r="D482" s="4">
        <v>5132.93</v>
      </c>
      <c r="E482">
        <v>357</v>
      </c>
      <c r="F482">
        <v>356</v>
      </c>
    </row>
    <row r="483" spans="1:6" x14ac:dyDescent="0.25">
      <c r="A483" t="s">
        <v>609</v>
      </c>
      <c r="B483" s="4">
        <v>5184.6899999999996</v>
      </c>
      <c r="C483" s="4">
        <v>58.75</v>
      </c>
      <c r="D483" s="4">
        <v>5125.9399999999996</v>
      </c>
      <c r="E483">
        <v>487</v>
      </c>
      <c r="F483">
        <v>445</v>
      </c>
    </row>
    <row r="484" spans="1:6" x14ac:dyDescent="0.25">
      <c r="A484" t="s">
        <v>610</v>
      </c>
      <c r="B484" s="4">
        <v>5176.25</v>
      </c>
      <c r="C484" s="4">
        <v>354</v>
      </c>
      <c r="D484" s="4">
        <v>4822.25</v>
      </c>
      <c r="E484">
        <v>147</v>
      </c>
      <c r="F484">
        <v>146</v>
      </c>
    </row>
    <row r="485" spans="1:6" x14ac:dyDescent="0.25">
      <c r="A485" t="s">
        <v>611</v>
      </c>
      <c r="B485" s="4">
        <v>5174.32</v>
      </c>
      <c r="C485" s="4">
        <v>0</v>
      </c>
      <c r="D485" s="4">
        <v>5174.32</v>
      </c>
      <c r="E485">
        <v>372</v>
      </c>
      <c r="F485">
        <v>365</v>
      </c>
    </row>
    <row r="486" spans="1:6" x14ac:dyDescent="0.25">
      <c r="A486" t="s">
        <v>612</v>
      </c>
      <c r="B486" s="4">
        <v>5170.6400000000003</v>
      </c>
      <c r="C486" s="4">
        <v>58.6</v>
      </c>
      <c r="D486" s="4">
        <v>5112.04</v>
      </c>
      <c r="E486">
        <v>158</v>
      </c>
      <c r="F486">
        <v>156</v>
      </c>
    </row>
    <row r="487" spans="1:6" x14ac:dyDescent="0.25">
      <c r="A487" t="s">
        <v>613</v>
      </c>
      <c r="B487" s="4">
        <v>5170.1000000000004</v>
      </c>
      <c r="C487" s="4">
        <v>444</v>
      </c>
      <c r="D487" s="4">
        <v>4726.1000000000004</v>
      </c>
      <c r="E487">
        <v>171</v>
      </c>
      <c r="F487">
        <v>163</v>
      </c>
    </row>
    <row r="488" spans="1:6" x14ac:dyDescent="0.25">
      <c r="A488" t="s">
        <v>614</v>
      </c>
      <c r="B488" s="4">
        <v>5167.88</v>
      </c>
      <c r="C488" s="4">
        <v>136.25</v>
      </c>
      <c r="D488" s="4">
        <v>5031.63</v>
      </c>
      <c r="E488">
        <v>263</v>
      </c>
      <c r="F488">
        <v>262</v>
      </c>
    </row>
    <row r="489" spans="1:6" x14ac:dyDescent="0.25">
      <c r="A489" t="s">
        <v>615</v>
      </c>
      <c r="B489" s="4">
        <v>5161.88</v>
      </c>
      <c r="C489" s="4">
        <v>17.7</v>
      </c>
      <c r="D489" s="4">
        <v>5144.18</v>
      </c>
      <c r="E489">
        <v>286</v>
      </c>
      <c r="F489">
        <v>282</v>
      </c>
    </row>
    <row r="490" spans="1:6" x14ac:dyDescent="0.25">
      <c r="A490" t="s">
        <v>616</v>
      </c>
      <c r="B490" s="4">
        <v>5147.66</v>
      </c>
      <c r="C490" s="4">
        <v>154.5</v>
      </c>
      <c r="D490" s="4">
        <v>4993.16</v>
      </c>
      <c r="E490">
        <v>286</v>
      </c>
      <c r="F490">
        <v>280</v>
      </c>
    </row>
    <row r="491" spans="1:6" x14ac:dyDescent="0.25">
      <c r="A491" t="s">
        <v>617</v>
      </c>
      <c r="B491" s="4">
        <v>5143.6899999999996</v>
      </c>
      <c r="C491" s="4">
        <v>0</v>
      </c>
      <c r="D491" s="4">
        <v>5143.6899999999996</v>
      </c>
      <c r="E491">
        <v>176</v>
      </c>
      <c r="F491">
        <v>176</v>
      </c>
    </row>
    <row r="492" spans="1:6" x14ac:dyDescent="0.25">
      <c r="A492" t="s">
        <v>618</v>
      </c>
      <c r="B492" s="4">
        <v>5136.84</v>
      </c>
      <c r="C492" s="4">
        <v>30.6</v>
      </c>
      <c r="D492" s="4">
        <v>5106.24</v>
      </c>
      <c r="E492">
        <v>214</v>
      </c>
      <c r="F492">
        <v>212</v>
      </c>
    </row>
    <row r="493" spans="1:6" x14ac:dyDescent="0.25">
      <c r="A493" t="s">
        <v>619</v>
      </c>
      <c r="B493" s="4">
        <v>5127.24</v>
      </c>
      <c r="C493" s="4">
        <v>446.7</v>
      </c>
      <c r="D493" s="4">
        <v>4680.54</v>
      </c>
      <c r="E493">
        <v>155</v>
      </c>
      <c r="F493">
        <v>154</v>
      </c>
    </row>
    <row r="494" spans="1:6" x14ac:dyDescent="0.25">
      <c r="A494" t="s">
        <v>620</v>
      </c>
      <c r="B494" s="4">
        <v>5097.6499999999996</v>
      </c>
      <c r="C494" s="4">
        <v>59.7</v>
      </c>
      <c r="D494" s="4">
        <v>5037.95</v>
      </c>
      <c r="E494">
        <v>217</v>
      </c>
      <c r="F494">
        <v>217</v>
      </c>
    </row>
    <row r="495" spans="1:6" x14ac:dyDescent="0.25">
      <c r="A495" t="s">
        <v>621</v>
      </c>
      <c r="B495" s="4">
        <v>5093.76</v>
      </c>
      <c r="C495" s="4">
        <v>41.91</v>
      </c>
      <c r="D495" s="4">
        <v>5051.8500000000004</v>
      </c>
      <c r="E495">
        <v>269</v>
      </c>
      <c r="F495">
        <v>248</v>
      </c>
    </row>
    <row r="496" spans="1:6" x14ac:dyDescent="0.25">
      <c r="A496" t="s">
        <v>622</v>
      </c>
      <c r="B496" s="4">
        <v>5093.57</v>
      </c>
      <c r="C496" s="4">
        <v>57.78</v>
      </c>
      <c r="D496" s="4">
        <v>5035.79</v>
      </c>
      <c r="E496">
        <v>400</v>
      </c>
      <c r="F496">
        <v>392</v>
      </c>
    </row>
    <row r="497" spans="1:6" x14ac:dyDescent="0.25">
      <c r="A497" t="s">
        <v>623</v>
      </c>
      <c r="B497" s="4">
        <v>5089.5600000000004</v>
      </c>
      <c r="C497" s="4">
        <v>11.9</v>
      </c>
      <c r="D497" s="4">
        <v>5077.66</v>
      </c>
      <c r="E497">
        <v>284</v>
      </c>
      <c r="F497">
        <v>270</v>
      </c>
    </row>
    <row r="498" spans="1:6" x14ac:dyDescent="0.25">
      <c r="A498" t="s">
        <v>624</v>
      </c>
      <c r="B498" s="4">
        <v>5088.45</v>
      </c>
      <c r="C498" s="4">
        <v>46.24</v>
      </c>
      <c r="D498" s="4">
        <v>5042.21</v>
      </c>
      <c r="E498">
        <v>280</v>
      </c>
      <c r="F498">
        <v>277</v>
      </c>
    </row>
    <row r="499" spans="1:6" x14ac:dyDescent="0.25">
      <c r="A499" t="s">
        <v>625</v>
      </c>
      <c r="B499" s="4">
        <v>5078.43</v>
      </c>
      <c r="C499" s="4">
        <v>10.79</v>
      </c>
      <c r="D499" s="4">
        <v>5067.6400000000003</v>
      </c>
      <c r="E499">
        <v>455</v>
      </c>
      <c r="F499">
        <v>444</v>
      </c>
    </row>
    <row r="500" spans="1:6" x14ac:dyDescent="0.25">
      <c r="A500" t="s">
        <v>626</v>
      </c>
      <c r="B500" s="4">
        <v>5068.3999999999996</v>
      </c>
      <c r="C500" s="4">
        <v>92.8</v>
      </c>
      <c r="D500" s="4">
        <v>4975.6000000000004</v>
      </c>
      <c r="E500">
        <v>489</v>
      </c>
      <c r="F500">
        <v>475</v>
      </c>
    </row>
    <row r="501" spans="1:6" x14ac:dyDescent="0.25">
      <c r="A501" t="s">
        <v>627</v>
      </c>
      <c r="B501" s="4">
        <v>5061.63</v>
      </c>
      <c r="C501" s="4">
        <v>234.25</v>
      </c>
      <c r="D501" s="4">
        <v>4827.38</v>
      </c>
      <c r="E501">
        <v>131</v>
      </c>
      <c r="F501">
        <v>129</v>
      </c>
    </row>
    <row r="502" spans="1:6" x14ac:dyDescent="0.25">
      <c r="A502" t="s">
        <v>628</v>
      </c>
      <c r="B502" s="4">
        <v>5044.34</v>
      </c>
      <c r="C502" s="4">
        <v>106.25</v>
      </c>
      <c r="D502" s="4">
        <v>4938.09</v>
      </c>
      <c r="E502">
        <v>134</v>
      </c>
      <c r="F502">
        <v>132</v>
      </c>
    </row>
    <row r="503" spans="1:6" x14ac:dyDescent="0.25">
      <c r="A503" t="s">
        <v>629</v>
      </c>
      <c r="B503" s="4">
        <v>5037.96</v>
      </c>
      <c r="C503" s="4">
        <v>62.5</v>
      </c>
      <c r="D503" s="4">
        <v>4975.46</v>
      </c>
      <c r="E503">
        <v>119</v>
      </c>
      <c r="F503">
        <v>117</v>
      </c>
    </row>
    <row r="504" spans="1:6" x14ac:dyDescent="0.25">
      <c r="A504" t="s">
        <v>630</v>
      </c>
      <c r="B504" s="4">
        <v>5031.83</v>
      </c>
      <c r="C504" s="4">
        <v>59.4</v>
      </c>
      <c r="D504" s="4">
        <v>4972.43</v>
      </c>
      <c r="E504">
        <v>256</v>
      </c>
      <c r="F504">
        <v>252</v>
      </c>
    </row>
    <row r="505" spans="1:6" x14ac:dyDescent="0.25">
      <c r="A505" t="s">
        <v>631</v>
      </c>
      <c r="B505" s="4">
        <v>5031.38</v>
      </c>
      <c r="C505" s="4">
        <v>27.3</v>
      </c>
      <c r="D505" s="4">
        <v>5004.08</v>
      </c>
      <c r="E505">
        <v>370</v>
      </c>
      <c r="F505">
        <v>367</v>
      </c>
    </row>
    <row r="506" spans="1:6" x14ac:dyDescent="0.25">
      <c r="A506" t="s">
        <v>632</v>
      </c>
      <c r="B506" s="4">
        <v>5023.5</v>
      </c>
      <c r="C506" s="4">
        <v>71.900000000000006</v>
      </c>
      <c r="D506" s="4">
        <v>4951.6000000000004</v>
      </c>
      <c r="E506">
        <v>219</v>
      </c>
      <c r="F506">
        <v>214</v>
      </c>
    </row>
    <row r="507" spans="1:6" x14ac:dyDescent="0.25">
      <c r="A507" t="s">
        <v>633</v>
      </c>
      <c r="B507" s="4">
        <v>5022.1000000000004</v>
      </c>
      <c r="C507" s="4">
        <v>23.6</v>
      </c>
      <c r="D507" s="4">
        <v>4998.5</v>
      </c>
      <c r="E507">
        <v>308</v>
      </c>
      <c r="F507">
        <v>301</v>
      </c>
    </row>
    <row r="508" spans="1:6" x14ac:dyDescent="0.25">
      <c r="A508" t="s">
        <v>634</v>
      </c>
      <c r="B508" s="4">
        <v>5009.5600000000004</v>
      </c>
      <c r="C508" s="4">
        <v>239.7</v>
      </c>
      <c r="D508" s="4">
        <v>4769.8599999999997</v>
      </c>
      <c r="E508">
        <v>198</v>
      </c>
      <c r="F508">
        <v>198</v>
      </c>
    </row>
    <row r="509" spans="1:6" x14ac:dyDescent="0.25">
      <c r="A509" t="s">
        <v>635</v>
      </c>
      <c r="B509" s="4">
        <v>5001.9799999999996</v>
      </c>
      <c r="C509" s="4">
        <v>55.35</v>
      </c>
      <c r="D509" s="4">
        <v>4946.63</v>
      </c>
      <c r="E509">
        <v>454</v>
      </c>
      <c r="F509">
        <v>446</v>
      </c>
    </row>
    <row r="510" spans="1:6" x14ac:dyDescent="0.25">
      <c r="A510" t="s">
        <v>636</v>
      </c>
      <c r="B510" s="4">
        <v>4997.28</v>
      </c>
      <c r="C510" s="4">
        <v>0</v>
      </c>
      <c r="D510" s="4">
        <v>4997.28</v>
      </c>
      <c r="E510">
        <v>246</v>
      </c>
      <c r="F510">
        <v>245</v>
      </c>
    </row>
    <row r="511" spans="1:6" x14ac:dyDescent="0.25">
      <c r="A511" t="s">
        <v>637</v>
      </c>
      <c r="B511" s="4">
        <v>4974.51</v>
      </c>
      <c r="C511" s="4">
        <v>12.5</v>
      </c>
      <c r="D511" s="4">
        <v>4962.01</v>
      </c>
      <c r="E511">
        <v>56</v>
      </c>
      <c r="F511">
        <v>53</v>
      </c>
    </row>
    <row r="512" spans="1:6" x14ac:dyDescent="0.25">
      <c r="A512" t="s">
        <v>638</v>
      </c>
      <c r="B512" s="4">
        <v>4964.03</v>
      </c>
      <c r="C512" s="4">
        <v>34.450000000000003</v>
      </c>
      <c r="D512" s="4">
        <v>4929.58</v>
      </c>
      <c r="E512">
        <v>421</v>
      </c>
      <c r="F512">
        <v>410</v>
      </c>
    </row>
    <row r="513" spans="1:6" x14ac:dyDescent="0.25">
      <c r="A513" t="s">
        <v>639</v>
      </c>
      <c r="B513" s="4">
        <v>4950.54</v>
      </c>
      <c r="C513" s="4">
        <v>15.95</v>
      </c>
      <c r="D513" s="4">
        <v>4934.59</v>
      </c>
      <c r="E513">
        <v>389</v>
      </c>
      <c r="F513">
        <v>377</v>
      </c>
    </row>
    <row r="514" spans="1:6" x14ac:dyDescent="0.25">
      <c r="A514" t="s">
        <v>640</v>
      </c>
      <c r="B514" s="4">
        <v>4944.37</v>
      </c>
      <c r="C514" s="4">
        <v>0</v>
      </c>
      <c r="D514" s="4">
        <v>4944.37</v>
      </c>
      <c r="E514">
        <v>293</v>
      </c>
      <c r="F514">
        <v>276</v>
      </c>
    </row>
    <row r="515" spans="1:6" x14ac:dyDescent="0.25">
      <c r="A515" t="s">
        <v>641</v>
      </c>
      <c r="B515" s="4">
        <v>4934.87</v>
      </c>
      <c r="C515" s="4">
        <v>0</v>
      </c>
      <c r="D515" s="4">
        <v>4934.87</v>
      </c>
      <c r="E515">
        <v>111</v>
      </c>
      <c r="F515">
        <v>111</v>
      </c>
    </row>
    <row r="516" spans="1:6" x14ac:dyDescent="0.25">
      <c r="A516" t="s">
        <v>642</v>
      </c>
      <c r="B516" s="4">
        <v>4914.6899999999996</v>
      </c>
      <c r="C516" s="4">
        <v>5.0999999999999996</v>
      </c>
      <c r="D516" s="4">
        <v>4909.59</v>
      </c>
      <c r="E516">
        <v>289</v>
      </c>
      <c r="F516">
        <v>279</v>
      </c>
    </row>
    <row r="517" spans="1:6" x14ac:dyDescent="0.25">
      <c r="A517" t="s">
        <v>643</v>
      </c>
      <c r="B517" s="4">
        <v>4901.8</v>
      </c>
      <c r="C517" s="4">
        <v>47.2</v>
      </c>
      <c r="D517" s="4">
        <v>4854.6000000000004</v>
      </c>
      <c r="E517">
        <v>253</v>
      </c>
      <c r="F517">
        <v>251</v>
      </c>
    </row>
    <row r="518" spans="1:6" x14ac:dyDescent="0.25">
      <c r="A518" t="s">
        <v>644</v>
      </c>
      <c r="B518" s="4">
        <v>4897.63</v>
      </c>
      <c r="C518" s="4">
        <v>35.700000000000003</v>
      </c>
      <c r="D518" s="4">
        <v>4861.93</v>
      </c>
      <c r="E518">
        <v>447</v>
      </c>
      <c r="F518">
        <v>436</v>
      </c>
    </row>
    <row r="519" spans="1:6" x14ac:dyDescent="0.25">
      <c r="A519" t="s">
        <v>645</v>
      </c>
      <c r="B519" s="4">
        <v>4896.55</v>
      </c>
      <c r="C519" s="4">
        <v>50.85</v>
      </c>
      <c r="D519" s="4">
        <v>4845.7</v>
      </c>
      <c r="E519">
        <v>112</v>
      </c>
      <c r="F519">
        <v>111</v>
      </c>
    </row>
    <row r="520" spans="1:6" x14ac:dyDescent="0.25">
      <c r="A520" t="s">
        <v>646</v>
      </c>
      <c r="B520" s="4">
        <v>4880.6499999999996</v>
      </c>
      <c r="C520" s="4">
        <v>104.88</v>
      </c>
      <c r="D520" s="4">
        <v>4775.7700000000004</v>
      </c>
      <c r="E520">
        <v>361</v>
      </c>
      <c r="F520">
        <v>354</v>
      </c>
    </row>
    <row r="521" spans="1:6" x14ac:dyDescent="0.25">
      <c r="A521" t="s">
        <v>647</v>
      </c>
      <c r="B521" s="4">
        <v>4868.05</v>
      </c>
      <c r="C521" s="4">
        <v>61.25</v>
      </c>
      <c r="D521" s="4">
        <v>4806.8</v>
      </c>
      <c r="E521">
        <v>246</v>
      </c>
      <c r="F521">
        <v>240</v>
      </c>
    </row>
    <row r="522" spans="1:6" x14ac:dyDescent="0.25">
      <c r="A522" t="s">
        <v>648</v>
      </c>
      <c r="B522" s="4">
        <v>4864.3</v>
      </c>
      <c r="C522" s="4">
        <v>2.5</v>
      </c>
      <c r="D522" s="4">
        <v>4861.8</v>
      </c>
      <c r="E522">
        <v>345</v>
      </c>
      <c r="F522">
        <v>335</v>
      </c>
    </row>
    <row r="523" spans="1:6" x14ac:dyDescent="0.25">
      <c r="A523" t="s">
        <v>649</v>
      </c>
      <c r="B523" s="4">
        <v>4861.8999999999996</v>
      </c>
      <c r="C523" s="4">
        <v>0</v>
      </c>
      <c r="D523" s="4">
        <v>4861.8999999999996</v>
      </c>
      <c r="E523">
        <v>439</v>
      </c>
      <c r="F523">
        <v>428</v>
      </c>
    </row>
    <row r="524" spans="1:6" x14ac:dyDescent="0.25">
      <c r="A524" t="s">
        <v>650</v>
      </c>
      <c r="B524" s="4">
        <v>4853.8100000000004</v>
      </c>
      <c r="C524" s="4">
        <v>1.79</v>
      </c>
      <c r="D524" s="4">
        <v>4852.0200000000004</v>
      </c>
      <c r="E524">
        <v>301</v>
      </c>
      <c r="F524">
        <v>300</v>
      </c>
    </row>
    <row r="525" spans="1:6" x14ac:dyDescent="0.25">
      <c r="A525" t="s">
        <v>651</v>
      </c>
      <c r="B525" s="4">
        <v>4851.88</v>
      </c>
      <c r="C525" s="4">
        <v>3.75</v>
      </c>
      <c r="D525" s="4">
        <v>4848.13</v>
      </c>
      <c r="E525">
        <v>221</v>
      </c>
      <c r="F525">
        <v>212</v>
      </c>
    </row>
    <row r="526" spans="1:6" x14ac:dyDescent="0.25">
      <c r="A526" t="s">
        <v>652</v>
      </c>
      <c r="B526" s="4">
        <v>4834.51</v>
      </c>
      <c r="C526" s="4">
        <v>58.9</v>
      </c>
      <c r="D526" s="4">
        <v>4775.6099999999997</v>
      </c>
      <c r="E526">
        <v>336</v>
      </c>
      <c r="F526">
        <v>333</v>
      </c>
    </row>
    <row r="527" spans="1:6" x14ac:dyDescent="0.25">
      <c r="A527" t="s">
        <v>653</v>
      </c>
      <c r="B527" s="4">
        <v>4830.53</v>
      </c>
      <c r="C527" s="4">
        <v>0</v>
      </c>
      <c r="D527" s="4">
        <v>4830.53</v>
      </c>
      <c r="E527">
        <v>59</v>
      </c>
      <c r="F527">
        <v>57</v>
      </c>
    </row>
    <row r="528" spans="1:6" x14ac:dyDescent="0.25">
      <c r="A528" t="s">
        <v>654</v>
      </c>
      <c r="B528" s="4">
        <v>4818.07</v>
      </c>
      <c r="C528" s="4">
        <v>0</v>
      </c>
      <c r="D528" s="4">
        <v>4818.07</v>
      </c>
      <c r="E528">
        <v>54</v>
      </c>
      <c r="F528">
        <v>50</v>
      </c>
    </row>
    <row r="529" spans="1:6" x14ac:dyDescent="0.25">
      <c r="A529" t="s">
        <v>655</v>
      </c>
      <c r="B529" s="4">
        <v>4799.83</v>
      </c>
      <c r="C529" s="4">
        <v>0</v>
      </c>
      <c r="D529" s="4">
        <v>4799.83</v>
      </c>
      <c r="E529">
        <v>363</v>
      </c>
      <c r="F529">
        <v>356</v>
      </c>
    </row>
    <row r="530" spans="1:6" x14ac:dyDescent="0.25">
      <c r="A530" t="s">
        <v>656</v>
      </c>
      <c r="B530" s="4">
        <v>4780.54</v>
      </c>
      <c r="C530" s="4">
        <v>8.3000000000000007</v>
      </c>
      <c r="D530" s="4">
        <v>4772.24</v>
      </c>
      <c r="E530">
        <v>244</v>
      </c>
      <c r="F530">
        <v>237</v>
      </c>
    </row>
    <row r="531" spans="1:6" x14ac:dyDescent="0.25">
      <c r="A531" t="s">
        <v>657</v>
      </c>
      <c r="B531" s="4">
        <v>4771.76</v>
      </c>
      <c r="C531" s="4">
        <v>52</v>
      </c>
      <c r="D531" s="4">
        <v>4719.76</v>
      </c>
      <c r="E531">
        <v>230</v>
      </c>
      <c r="F531">
        <v>223</v>
      </c>
    </row>
    <row r="532" spans="1:6" x14ac:dyDescent="0.25">
      <c r="A532" t="s">
        <v>658</v>
      </c>
      <c r="B532" s="4">
        <v>4764.5</v>
      </c>
      <c r="C532" s="4">
        <v>64.349999999999994</v>
      </c>
      <c r="D532" s="4">
        <v>4700.1499999999996</v>
      </c>
      <c r="E532">
        <v>266</v>
      </c>
      <c r="F532">
        <v>264</v>
      </c>
    </row>
    <row r="533" spans="1:6" x14ac:dyDescent="0.25">
      <c r="A533" t="s">
        <v>659</v>
      </c>
      <c r="B533" s="4">
        <v>4761.78</v>
      </c>
      <c r="C533" s="4">
        <v>22.7</v>
      </c>
      <c r="D533" s="4">
        <v>4739.08</v>
      </c>
      <c r="E533">
        <v>262</v>
      </c>
      <c r="F533">
        <v>256</v>
      </c>
    </row>
    <row r="534" spans="1:6" x14ac:dyDescent="0.25">
      <c r="A534" t="s">
        <v>660</v>
      </c>
      <c r="B534" s="4">
        <v>4758.75</v>
      </c>
      <c r="C534" s="4">
        <v>108.95</v>
      </c>
      <c r="D534" s="4">
        <v>4649.8</v>
      </c>
      <c r="E534">
        <v>242</v>
      </c>
      <c r="F534">
        <v>238</v>
      </c>
    </row>
    <row r="535" spans="1:6" x14ac:dyDescent="0.25">
      <c r="A535" t="s">
        <v>661</v>
      </c>
      <c r="B535" s="4">
        <v>4753.29</v>
      </c>
      <c r="C535" s="4">
        <v>18.149999999999999</v>
      </c>
      <c r="D535" s="4">
        <v>4735.1400000000003</v>
      </c>
      <c r="E535">
        <v>134</v>
      </c>
      <c r="F535">
        <v>131</v>
      </c>
    </row>
    <row r="536" spans="1:6" x14ac:dyDescent="0.25">
      <c r="A536" t="s">
        <v>662</v>
      </c>
      <c r="B536" s="4">
        <v>4752.3100000000004</v>
      </c>
      <c r="C536" s="4">
        <v>9.9</v>
      </c>
      <c r="D536" s="4">
        <v>4742.41</v>
      </c>
      <c r="E536">
        <v>202</v>
      </c>
      <c r="F536">
        <v>192</v>
      </c>
    </row>
    <row r="537" spans="1:6" x14ac:dyDescent="0.25">
      <c r="A537" t="s">
        <v>663</v>
      </c>
      <c r="B537" s="4">
        <v>4749.84</v>
      </c>
      <c r="C537" s="4">
        <v>6.25</v>
      </c>
      <c r="D537" s="4">
        <v>4743.59</v>
      </c>
      <c r="E537">
        <v>339</v>
      </c>
      <c r="F537">
        <v>333</v>
      </c>
    </row>
    <row r="538" spans="1:6" x14ac:dyDescent="0.25">
      <c r="A538" t="s">
        <v>664</v>
      </c>
      <c r="B538" s="4">
        <v>4747.62</v>
      </c>
      <c r="C538" s="4">
        <v>41.65</v>
      </c>
      <c r="D538" s="4">
        <v>4705.97</v>
      </c>
      <c r="E538">
        <v>222</v>
      </c>
      <c r="F538">
        <v>222</v>
      </c>
    </row>
    <row r="539" spans="1:6" x14ac:dyDescent="0.25">
      <c r="A539" t="s">
        <v>665</v>
      </c>
      <c r="B539" s="4">
        <v>4741.37</v>
      </c>
      <c r="C539" s="4">
        <v>0</v>
      </c>
      <c r="D539" s="4">
        <v>4741.37</v>
      </c>
      <c r="E539">
        <v>55</v>
      </c>
      <c r="F539">
        <v>52</v>
      </c>
    </row>
    <row r="540" spans="1:6" x14ac:dyDescent="0.25">
      <c r="A540" t="s">
        <v>666</v>
      </c>
      <c r="B540" s="4">
        <v>4729.9799999999996</v>
      </c>
      <c r="C540" s="4">
        <v>200</v>
      </c>
      <c r="D540" s="4">
        <v>4529.9799999999996</v>
      </c>
      <c r="E540">
        <v>329</v>
      </c>
      <c r="F540">
        <v>325</v>
      </c>
    </row>
    <row r="541" spans="1:6" x14ac:dyDescent="0.25">
      <c r="A541" t="s">
        <v>667</v>
      </c>
      <c r="B541" s="4">
        <v>4721.7299999999996</v>
      </c>
      <c r="C541" s="4">
        <v>24.45</v>
      </c>
      <c r="D541" s="4">
        <v>4697.28</v>
      </c>
      <c r="E541">
        <v>358</v>
      </c>
      <c r="F541">
        <v>351</v>
      </c>
    </row>
    <row r="542" spans="1:6" x14ac:dyDescent="0.25">
      <c r="A542" t="s">
        <v>668</v>
      </c>
      <c r="B542" s="4">
        <v>4716.33</v>
      </c>
      <c r="C542" s="4">
        <v>33</v>
      </c>
      <c r="D542" s="4">
        <v>4683.33</v>
      </c>
      <c r="E542">
        <v>427</v>
      </c>
      <c r="F542">
        <v>409</v>
      </c>
    </row>
    <row r="543" spans="1:6" x14ac:dyDescent="0.25">
      <c r="A543" t="s">
        <v>669</v>
      </c>
      <c r="B543" s="4">
        <v>4709.07</v>
      </c>
      <c r="C543" s="4">
        <v>14.56</v>
      </c>
      <c r="D543" s="4">
        <v>4694.51</v>
      </c>
      <c r="E543">
        <v>374</v>
      </c>
      <c r="F543">
        <v>363</v>
      </c>
    </row>
    <row r="544" spans="1:6" x14ac:dyDescent="0.25">
      <c r="A544" t="s">
        <v>670</v>
      </c>
      <c r="B544" s="4">
        <v>4697.58</v>
      </c>
      <c r="C544" s="4">
        <v>101.25</v>
      </c>
      <c r="D544" s="4">
        <v>4596.33</v>
      </c>
      <c r="E544">
        <v>229</v>
      </c>
      <c r="F544">
        <v>226</v>
      </c>
    </row>
    <row r="545" spans="1:6" x14ac:dyDescent="0.25">
      <c r="A545" t="s">
        <v>671</v>
      </c>
      <c r="B545" s="4">
        <v>4680.63</v>
      </c>
      <c r="C545" s="4">
        <v>0</v>
      </c>
      <c r="D545" s="4">
        <v>4680.63</v>
      </c>
      <c r="E545">
        <v>371</v>
      </c>
      <c r="F545">
        <v>364</v>
      </c>
    </row>
    <row r="546" spans="1:6" x14ac:dyDescent="0.25">
      <c r="A546" t="s">
        <v>672</v>
      </c>
      <c r="B546" s="4">
        <v>4678.71</v>
      </c>
      <c r="C546" s="4">
        <v>0</v>
      </c>
      <c r="D546" s="4">
        <v>4678.71</v>
      </c>
      <c r="E546">
        <v>300</v>
      </c>
      <c r="F546">
        <v>297</v>
      </c>
    </row>
    <row r="547" spans="1:6" x14ac:dyDescent="0.25">
      <c r="A547" t="s">
        <v>673</v>
      </c>
      <c r="B547" s="4">
        <v>4678.59</v>
      </c>
      <c r="C547" s="4">
        <v>27.3</v>
      </c>
      <c r="D547" s="4">
        <v>4651.29</v>
      </c>
      <c r="E547">
        <v>433</v>
      </c>
      <c r="F547">
        <v>423</v>
      </c>
    </row>
    <row r="548" spans="1:6" x14ac:dyDescent="0.25">
      <c r="A548" t="s">
        <v>674</v>
      </c>
      <c r="B548" s="4">
        <v>4674.62</v>
      </c>
      <c r="C548" s="4">
        <v>132.55000000000001</v>
      </c>
      <c r="D548" s="4">
        <v>4542.07</v>
      </c>
      <c r="E548">
        <v>68</v>
      </c>
      <c r="F548">
        <v>68</v>
      </c>
    </row>
    <row r="549" spans="1:6" x14ac:dyDescent="0.25">
      <c r="A549" t="s">
        <v>675</v>
      </c>
      <c r="B549" s="4">
        <v>4670.3599999999997</v>
      </c>
      <c r="C549" s="4">
        <v>118.25</v>
      </c>
      <c r="D549" s="4">
        <v>4552.1099999999997</v>
      </c>
      <c r="E549">
        <v>145</v>
      </c>
      <c r="F549">
        <v>142</v>
      </c>
    </row>
    <row r="550" spans="1:6" x14ac:dyDescent="0.25">
      <c r="A550" t="s">
        <v>676</v>
      </c>
      <c r="B550" s="4">
        <v>4649.5</v>
      </c>
      <c r="C550" s="4">
        <v>12.6</v>
      </c>
      <c r="D550" s="4">
        <v>4636.8999999999996</v>
      </c>
      <c r="E550">
        <v>167</v>
      </c>
      <c r="F550">
        <v>165</v>
      </c>
    </row>
    <row r="551" spans="1:6" x14ac:dyDescent="0.25">
      <c r="A551" t="s">
        <v>677</v>
      </c>
      <c r="B551" s="4">
        <v>4643.67</v>
      </c>
      <c r="C551" s="4">
        <v>19.8</v>
      </c>
      <c r="D551" s="4">
        <v>4623.87</v>
      </c>
      <c r="E551">
        <v>260</v>
      </c>
      <c r="F551">
        <v>250</v>
      </c>
    </row>
    <row r="552" spans="1:6" x14ac:dyDescent="0.25">
      <c r="A552" t="s">
        <v>678</v>
      </c>
      <c r="B552" s="4">
        <v>4640.78</v>
      </c>
      <c r="C552" s="4">
        <v>0</v>
      </c>
      <c r="D552" s="4">
        <v>4640.78</v>
      </c>
      <c r="E552">
        <v>218</v>
      </c>
      <c r="F552">
        <v>218</v>
      </c>
    </row>
    <row r="553" spans="1:6" x14ac:dyDescent="0.25">
      <c r="A553" t="s">
        <v>679</v>
      </c>
      <c r="B553" s="4">
        <v>4625.8599999999997</v>
      </c>
      <c r="C553" s="4">
        <v>103.95</v>
      </c>
      <c r="D553" s="4">
        <v>4521.91</v>
      </c>
      <c r="E553">
        <v>192</v>
      </c>
      <c r="F553">
        <v>190</v>
      </c>
    </row>
    <row r="554" spans="1:6" x14ac:dyDescent="0.25">
      <c r="A554" t="s">
        <v>680</v>
      </c>
      <c r="B554" s="4">
        <v>4621.87</v>
      </c>
      <c r="C554" s="4">
        <v>35</v>
      </c>
      <c r="D554" s="4">
        <v>4586.87</v>
      </c>
      <c r="E554">
        <v>254</v>
      </c>
      <c r="F554">
        <v>237</v>
      </c>
    </row>
    <row r="555" spans="1:6" x14ac:dyDescent="0.25">
      <c r="A555" t="s">
        <v>681</v>
      </c>
      <c r="B555" s="4">
        <v>4594.43</v>
      </c>
      <c r="C555" s="4">
        <v>50.7</v>
      </c>
      <c r="D555" s="4">
        <v>4543.7299999999996</v>
      </c>
      <c r="E555">
        <v>168</v>
      </c>
      <c r="F555">
        <v>168</v>
      </c>
    </row>
    <row r="556" spans="1:6" x14ac:dyDescent="0.25">
      <c r="A556" t="s">
        <v>682</v>
      </c>
      <c r="B556" s="4">
        <v>4572.41</v>
      </c>
      <c r="C556" s="4">
        <v>1.7</v>
      </c>
      <c r="D556" s="4">
        <v>4570.71</v>
      </c>
      <c r="E556">
        <v>192</v>
      </c>
      <c r="F556">
        <v>191</v>
      </c>
    </row>
    <row r="557" spans="1:6" x14ac:dyDescent="0.25">
      <c r="A557" t="s">
        <v>683</v>
      </c>
      <c r="B557" s="4">
        <v>4566.54</v>
      </c>
      <c r="C557" s="4">
        <v>25.3</v>
      </c>
      <c r="D557" s="4">
        <v>4541.24</v>
      </c>
      <c r="E557">
        <v>533</v>
      </c>
      <c r="F557">
        <v>520</v>
      </c>
    </row>
    <row r="558" spans="1:6" x14ac:dyDescent="0.25">
      <c r="A558" t="s">
        <v>684</v>
      </c>
      <c r="B558" s="4">
        <v>4561.76</v>
      </c>
      <c r="C558" s="4">
        <v>143.55000000000001</v>
      </c>
      <c r="D558" s="4">
        <v>4418.21</v>
      </c>
      <c r="E558">
        <v>169</v>
      </c>
      <c r="F558">
        <v>169</v>
      </c>
    </row>
    <row r="559" spans="1:6" x14ac:dyDescent="0.25">
      <c r="A559" t="s">
        <v>685</v>
      </c>
      <c r="B559" s="4">
        <v>4559.92</v>
      </c>
      <c r="C559" s="4">
        <v>65.61</v>
      </c>
      <c r="D559" s="4">
        <v>4494.3100000000004</v>
      </c>
      <c r="E559">
        <v>343</v>
      </c>
      <c r="F559">
        <v>337</v>
      </c>
    </row>
    <row r="560" spans="1:6" x14ac:dyDescent="0.25">
      <c r="A560" t="s">
        <v>686</v>
      </c>
      <c r="B560" s="4">
        <v>4557.97</v>
      </c>
      <c r="C560" s="4">
        <v>95.41</v>
      </c>
      <c r="D560" s="4">
        <v>4462.5600000000004</v>
      </c>
      <c r="E560">
        <v>341</v>
      </c>
      <c r="F560">
        <v>325</v>
      </c>
    </row>
    <row r="561" spans="1:6" x14ac:dyDescent="0.25">
      <c r="A561" t="s">
        <v>687</v>
      </c>
      <c r="B561" s="4">
        <v>4542.8900000000003</v>
      </c>
      <c r="C561" s="4">
        <v>5.2</v>
      </c>
      <c r="D561" s="4">
        <v>4537.6899999999996</v>
      </c>
      <c r="E561">
        <v>353</v>
      </c>
      <c r="F561">
        <v>351</v>
      </c>
    </row>
    <row r="562" spans="1:6" x14ac:dyDescent="0.25">
      <c r="A562" t="s">
        <v>688</v>
      </c>
      <c r="B562" s="4">
        <v>4531.9799999999996</v>
      </c>
      <c r="C562" s="4">
        <v>367.9</v>
      </c>
      <c r="D562" s="4">
        <v>4164.08</v>
      </c>
      <c r="E562">
        <v>367</v>
      </c>
      <c r="F562">
        <v>355</v>
      </c>
    </row>
    <row r="563" spans="1:6" x14ac:dyDescent="0.25">
      <c r="A563" t="s">
        <v>689</v>
      </c>
      <c r="B563" s="4">
        <v>4527.2</v>
      </c>
      <c r="C563" s="4">
        <v>48.4</v>
      </c>
      <c r="D563" s="4">
        <v>4478.8</v>
      </c>
      <c r="E563">
        <v>430</v>
      </c>
      <c r="F563">
        <v>407</v>
      </c>
    </row>
    <row r="564" spans="1:6" x14ac:dyDescent="0.25">
      <c r="A564" t="s">
        <v>690</v>
      </c>
      <c r="B564" s="4">
        <v>4515.22</v>
      </c>
      <c r="C564" s="4">
        <v>114.4</v>
      </c>
      <c r="D564" s="4">
        <v>4400.82</v>
      </c>
      <c r="E564">
        <v>209</v>
      </c>
      <c r="F564">
        <v>209</v>
      </c>
    </row>
    <row r="565" spans="1:6" x14ac:dyDescent="0.25">
      <c r="A565" t="s">
        <v>691</v>
      </c>
      <c r="B565" s="4">
        <v>4514.58</v>
      </c>
      <c r="C565" s="4">
        <v>239.85</v>
      </c>
      <c r="D565" s="4">
        <v>4274.7299999999996</v>
      </c>
      <c r="E565">
        <v>242</v>
      </c>
      <c r="F565">
        <v>241</v>
      </c>
    </row>
    <row r="566" spans="1:6" x14ac:dyDescent="0.25">
      <c r="A566" t="s">
        <v>692</v>
      </c>
      <c r="B566" s="4">
        <v>4488.63</v>
      </c>
      <c r="C566" s="4">
        <v>117</v>
      </c>
      <c r="D566" s="4">
        <v>4371.63</v>
      </c>
      <c r="E566">
        <v>188</v>
      </c>
      <c r="F566">
        <v>186</v>
      </c>
    </row>
    <row r="567" spans="1:6" x14ac:dyDescent="0.25">
      <c r="A567" t="s">
        <v>693</v>
      </c>
      <c r="B567" s="4">
        <v>4480.28</v>
      </c>
      <c r="C567" s="4">
        <v>16.5</v>
      </c>
      <c r="D567" s="4">
        <v>4463.78</v>
      </c>
      <c r="E567">
        <v>412</v>
      </c>
      <c r="F567">
        <v>411</v>
      </c>
    </row>
    <row r="568" spans="1:6" x14ac:dyDescent="0.25">
      <c r="A568" t="s">
        <v>694</v>
      </c>
      <c r="B568" s="4">
        <v>4476.01</v>
      </c>
      <c r="C568" s="4">
        <v>365.19</v>
      </c>
      <c r="D568" s="4">
        <v>4110.82</v>
      </c>
      <c r="E568">
        <v>238</v>
      </c>
      <c r="F568">
        <v>231</v>
      </c>
    </row>
    <row r="569" spans="1:6" x14ac:dyDescent="0.25">
      <c r="A569" t="s">
        <v>695</v>
      </c>
      <c r="B569" s="4">
        <v>4474.07</v>
      </c>
      <c r="C569" s="4">
        <v>21.75</v>
      </c>
      <c r="D569" s="4">
        <v>4452.32</v>
      </c>
      <c r="E569">
        <v>336</v>
      </c>
      <c r="F569">
        <v>334</v>
      </c>
    </row>
    <row r="570" spans="1:6" x14ac:dyDescent="0.25">
      <c r="A570" t="s">
        <v>696</v>
      </c>
      <c r="B570" s="4">
        <v>4470.8100000000004</v>
      </c>
      <c r="C570" s="4">
        <v>114.75</v>
      </c>
      <c r="D570" s="4">
        <v>4356.0600000000004</v>
      </c>
      <c r="E570">
        <v>174</v>
      </c>
      <c r="F570">
        <v>173</v>
      </c>
    </row>
    <row r="571" spans="1:6" x14ac:dyDescent="0.25">
      <c r="A571" t="s">
        <v>697</v>
      </c>
      <c r="B571" s="4">
        <v>4469.04</v>
      </c>
      <c r="C571" s="4">
        <v>604.35</v>
      </c>
      <c r="D571" s="4">
        <v>3864.69</v>
      </c>
      <c r="E571">
        <v>154</v>
      </c>
      <c r="F571">
        <v>152</v>
      </c>
    </row>
    <row r="572" spans="1:6" x14ac:dyDescent="0.25">
      <c r="A572" t="s">
        <v>698</v>
      </c>
      <c r="B572" s="4">
        <v>4465.97</v>
      </c>
      <c r="C572" s="4">
        <v>0</v>
      </c>
      <c r="D572" s="4">
        <v>4465.97</v>
      </c>
      <c r="E572">
        <v>88</v>
      </c>
      <c r="F572">
        <v>87</v>
      </c>
    </row>
    <row r="573" spans="1:6" x14ac:dyDescent="0.25">
      <c r="A573" t="s">
        <v>699</v>
      </c>
      <c r="B573" s="4">
        <v>4460.38</v>
      </c>
      <c r="C573" s="4">
        <v>0</v>
      </c>
      <c r="D573" s="4">
        <v>4460.38</v>
      </c>
      <c r="E573">
        <v>275</v>
      </c>
      <c r="F573">
        <v>272</v>
      </c>
    </row>
    <row r="574" spans="1:6" x14ac:dyDescent="0.25">
      <c r="A574" t="s">
        <v>700</v>
      </c>
      <c r="B574" s="4">
        <v>4444.2299999999996</v>
      </c>
      <c r="C574" s="4">
        <v>15.17</v>
      </c>
      <c r="D574" s="4">
        <v>4429.0600000000004</v>
      </c>
      <c r="E574">
        <v>186</v>
      </c>
      <c r="F574">
        <v>185</v>
      </c>
    </row>
    <row r="575" spans="1:6" x14ac:dyDescent="0.25">
      <c r="A575" t="s">
        <v>701</v>
      </c>
      <c r="B575" s="4">
        <v>4427.3599999999997</v>
      </c>
      <c r="C575" s="4">
        <v>76.5</v>
      </c>
      <c r="D575" s="4">
        <v>4350.8599999999997</v>
      </c>
      <c r="E575">
        <v>202</v>
      </c>
      <c r="F575">
        <v>199</v>
      </c>
    </row>
    <row r="576" spans="1:6" x14ac:dyDescent="0.25">
      <c r="A576" t="s">
        <v>702</v>
      </c>
      <c r="B576" s="4">
        <v>4387.82</v>
      </c>
      <c r="C576" s="4">
        <v>78</v>
      </c>
      <c r="D576" s="4">
        <v>4309.82</v>
      </c>
      <c r="E576">
        <v>370</v>
      </c>
      <c r="F576">
        <v>362</v>
      </c>
    </row>
    <row r="577" spans="1:6" x14ac:dyDescent="0.25">
      <c r="A577" t="s">
        <v>703</v>
      </c>
      <c r="B577" s="4">
        <v>4366.82</v>
      </c>
      <c r="C577" s="4">
        <v>58.2</v>
      </c>
      <c r="D577" s="4">
        <v>4308.62</v>
      </c>
      <c r="E577">
        <v>146</v>
      </c>
      <c r="F577">
        <v>144</v>
      </c>
    </row>
    <row r="578" spans="1:6" x14ac:dyDescent="0.25">
      <c r="A578" t="s">
        <v>704</v>
      </c>
      <c r="B578" s="4">
        <v>4355.1000000000004</v>
      </c>
      <c r="C578" s="4">
        <v>30</v>
      </c>
      <c r="D578" s="4">
        <v>4325.1000000000004</v>
      </c>
      <c r="E578">
        <v>348</v>
      </c>
      <c r="F578">
        <v>337</v>
      </c>
    </row>
    <row r="579" spans="1:6" x14ac:dyDescent="0.25">
      <c r="A579" t="s">
        <v>705</v>
      </c>
      <c r="B579" s="4">
        <v>4336.7</v>
      </c>
      <c r="C579" s="4">
        <v>44.25</v>
      </c>
      <c r="D579" s="4">
        <v>4292.45</v>
      </c>
      <c r="E579">
        <v>298</v>
      </c>
      <c r="F579">
        <v>287</v>
      </c>
    </row>
    <row r="580" spans="1:6" x14ac:dyDescent="0.25">
      <c r="A580" t="s">
        <v>706</v>
      </c>
      <c r="B580" s="4">
        <v>4335.76</v>
      </c>
      <c r="C580" s="4">
        <v>0</v>
      </c>
      <c r="D580" s="4">
        <v>4335.76</v>
      </c>
      <c r="E580">
        <v>54</v>
      </c>
      <c r="F580">
        <v>54</v>
      </c>
    </row>
    <row r="581" spans="1:6" x14ac:dyDescent="0.25">
      <c r="A581" t="s">
        <v>707</v>
      </c>
      <c r="B581" s="4">
        <v>4329.4799999999996</v>
      </c>
      <c r="C581" s="4">
        <v>13.02</v>
      </c>
      <c r="D581" s="4">
        <v>4316.46</v>
      </c>
      <c r="E581">
        <v>595</v>
      </c>
      <c r="F581">
        <v>583</v>
      </c>
    </row>
    <row r="582" spans="1:6" x14ac:dyDescent="0.25">
      <c r="A582" t="s">
        <v>708</v>
      </c>
      <c r="B582" s="4">
        <v>4328.53</v>
      </c>
      <c r="C582" s="4">
        <v>10.5</v>
      </c>
      <c r="D582" s="4">
        <v>4318.03</v>
      </c>
      <c r="E582">
        <v>316</v>
      </c>
      <c r="F582">
        <v>313</v>
      </c>
    </row>
    <row r="583" spans="1:6" x14ac:dyDescent="0.25">
      <c r="A583" t="s">
        <v>709</v>
      </c>
      <c r="B583" s="4">
        <v>4322.42</v>
      </c>
      <c r="C583" s="4">
        <v>21</v>
      </c>
      <c r="D583" s="4">
        <v>4301.42</v>
      </c>
      <c r="E583">
        <v>337</v>
      </c>
      <c r="F583">
        <v>336</v>
      </c>
    </row>
    <row r="584" spans="1:6" x14ac:dyDescent="0.25">
      <c r="A584" t="s">
        <v>710</v>
      </c>
      <c r="B584" s="4">
        <v>4322.16</v>
      </c>
      <c r="C584" s="4">
        <v>16.25</v>
      </c>
      <c r="D584" s="4">
        <v>4305.91</v>
      </c>
      <c r="E584">
        <v>422</v>
      </c>
      <c r="F584">
        <v>412</v>
      </c>
    </row>
    <row r="585" spans="1:6" x14ac:dyDescent="0.25">
      <c r="A585" t="s">
        <v>711</v>
      </c>
      <c r="B585" s="4">
        <v>4286.55</v>
      </c>
      <c r="C585" s="4">
        <v>8.25</v>
      </c>
      <c r="D585" s="4">
        <v>4278.3</v>
      </c>
      <c r="E585">
        <v>205</v>
      </c>
      <c r="F585">
        <v>205</v>
      </c>
    </row>
    <row r="586" spans="1:6" x14ac:dyDescent="0.25">
      <c r="A586" t="s">
        <v>712</v>
      </c>
      <c r="B586" s="4">
        <v>4282.57</v>
      </c>
      <c r="C586" s="4">
        <v>7.9</v>
      </c>
      <c r="D586" s="4">
        <v>4274.67</v>
      </c>
      <c r="E586">
        <v>303</v>
      </c>
      <c r="F586">
        <v>295</v>
      </c>
    </row>
    <row r="587" spans="1:6" x14ac:dyDescent="0.25">
      <c r="A587" t="s">
        <v>713</v>
      </c>
      <c r="B587" s="4">
        <v>4278.54</v>
      </c>
      <c r="C587" s="4">
        <v>69.349999999999994</v>
      </c>
      <c r="D587" s="4">
        <v>4209.1899999999996</v>
      </c>
      <c r="E587">
        <v>178</v>
      </c>
      <c r="F587">
        <v>177</v>
      </c>
    </row>
    <row r="588" spans="1:6" x14ac:dyDescent="0.25">
      <c r="A588" t="s">
        <v>714</v>
      </c>
      <c r="B588" s="4">
        <v>4260.12</v>
      </c>
      <c r="C588" s="4">
        <v>109.2</v>
      </c>
      <c r="D588" s="4">
        <v>4150.92</v>
      </c>
      <c r="E588">
        <v>415</v>
      </c>
      <c r="F588">
        <v>405</v>
      </c>
    </row>
    <row r="589" spans="1:6" x14ac:dyDescent="0.25">
      <c r="A589" t="s">
        <v>715</v>
      </c>
      <c r="B589" s="4">
        <v>4235.88</v>
      </c>
      <c r="C589" s="4">
        <v>11.25</v>
      </c>
      <c r="D589" s="4">
        <v>4224.63</v>
      </c>
      <c r="E589">
        <v>264</v>
      </c>
      <c r="F589">
        <v>262</v>
      </c>
    </row>
    <row r="590" spans="1:6" x14ac:dyDescent="0.25">
      <c r="A590" t="s">
        <v>716</v>
      </c>
      <c r="B590" s="4">
        <v>4231.95</v>
      </c>
      <c r="C590" s="4">
        <v>10.79</v>
      </c>
      <c r="D590" s="4">
        <v>4221.16</v>
      </c>
      <c r="E590">
        <v>421</v>
      </c>
      <c r="F590">
        <v>415</v>
      </c>
    </row>
    <row r="591" spans="1:6" x14ac:dyDescent="0.25">
      <c r="A591" t="s">
        <v>717</v>
      </c>
      <c r="B591" s="4">
        <v>4228.01</v>
      </c>
      <c r="C591" s="4">
        <v>149.05000000000001</v>
      </c>
      <c r="D591" s="4">
        <v>4078.96</v>
      </c>
      <c r="E591">
        <v>147</v>
      </c>
      <c r="F591">
        <v>146</v>
      </c>
    </row>
    <row r="592" spans="1:6" x14ac:dyDescent="0.25">
      <c r="A592" t="s">
        <v>718</v>
      </c>
      <c r="B592" s="4">
        <v>4217.7299999999996</v>
      </c>
      <c r="C592" s="4">
        <v>25.65</v>
      </c>
      <c r="D592" s="4">
        <v>4192.08</v>
      </c>
      <c r="E592">
        <v>229</v>
      </c>
      <c r="F592">
        <v>225</v>
      </c>
    </row>
    <row r="593" spans="1:6" x14ac:dyDescent="0.25">
      <c r="A593" t="s">
        <v>719</v>
      </c>
      <c r="B593" s="4">
        <v>4215.1400000000003</v>
      </c>
      <c r="C593" s="4">
        <v>70.89</v>
      </c>
      <c r="D593" s="4">
        <v>4144.25</v>
      </c>
      <c r="E593">
        <v>226</v>
      </c>
      <c r="F593">
        <v>220</v>
      </c>
    </row>
    <row r="594" spans="1:6" x14ac:dyDescent="0.25">
      <c r="A594" t="s">
        <v>720</v>
      </c>
      <c r="B594" s="4">
        <v>4208.96</v>
      </c>
      <c r="C594" s="4">
        <v>31.6</v>
      </c>
      <c r="D594" s="4">
        <v>4177.3599999999997</v>
      </c>
      <c r="E594">
        <v>251</v>
      </c>
      <c r="F594">
        <v>246</v>
      </c>
    </row>
    <row r="595" spans="1:6" x14ac:dyDescent="0.25">
      <c r="A595" t="s">
        <v>721</v>
      </c>
      <c r="B595" s="4">
        <v>4197.83</v>
      </c>
      <c r="C595" s="4">
        <v>36.520000000000003</v>
      </c>
      <c r="D595" s="4">
        <v>4161.3100000000004</v>
      </c>
      <c r="E595">
        <v>275</v>
      </c>
      <c r="F595">
        <v>274</v>
      </c>
    </row>
    <row r="596" spans="1:6" x14ac:dyDescent="0.25">
      <c r="A596" t="s">
        <v>722</v>
      </c>
      <c r="B596" s="4">
        <v>4194.8900000000003</v>
      </c>
      <c r="C596" s="4">
        <v>30</v>
      </c>
      <c r="D596" s="4">
        <v>4164.8900000000003</v>
      </c>
      <c r="E596">
        <v>217</v>
      </c>
      <c r="F596">
        <v>217</v>
      </c>
    </row>
    <row r="597" spans="1:6" x14ac:dyDescent="0.25">
      <c r="A597" t="s">
        <v>723</v>
      </c>
      <c r="B597" s="4">
        <v>4190.83</v>
      </c>
      <c r="C597" s="4">
        <v>65</v>
      </c>
      <c r="D597" s="4">
        <v>4125.83</v>
      </c>
      <c r="E597">
        <v>239</v>
      </c>
      <c r="F597">
        <v>237</v>
      </c>
    </row>
    <row r="598" spans="1:6" x14ac:dyDescent="0.25">
      <c r="A598" t="s">
        <v>724</v>
      </c>
      <c r="B598" s="4">
        <v>4158.68</v>
      </c>
      <c r="C598" s="4">
        <v>293.25</v>
      </c>
      <c r="D598" s="4">
        <v>3865.43</v>
      </c>
      <c r="E598">
        <v>257</v>
      </c>
      <c r="F598">
        <v>255</v>
      </c>
    </row>
    <row r="599" spans="1:6" x14ac:dyDescent="0.25">
      <c r="A599" t="s">
        <v>725</v>
      </c>
      <c r="B599" s="4">
        <v>4155.34</v>
      </c>
      <c r="C599" s="4">
        <v>14.6</v>
      </c>
      <c r="D599" s="4">
        <v>4140.74</v>
      </c>
      <c r="E599">
        <v>154</v>
      </c>
      <c r="F599">
        <v>153</v>
      </c>
    </row>
    <row r="600" spans="1:6" x14ac:dyDescent="0.25">
      <c r="A600" t="s">
        <v>726</v>
      </c>
      <c r="B600" s="4">
        <v>4149.93</v>
      </c>
      <c r="C600" s="4">
        <v>27.71</v>
      </c>
      <c r="D600" s="4">
        <v>4122.22</v>
      </c>
      <c r="E600">
        <v>297</v>
      </c>
      <c r="F600">
        <v>295</v>
      </c>
    </row>
    <row r="601" spans="1:6" x14ac:dyDescent="0.25">
      <c r="A601" t="s">
        <v>727</v>
      </c>
      <c r="B601" s="4">
        <v>4147.7299999999996</v>
      </c>
      <c r="C601" s="4">
        <v>195.2</v>
      </c>
      <c r="D601" s="4">
        <v>3952.53</v>
      </c>
      <c r="E601">
        <v>207</v>
      </c>
      <c r="F601">
        <v>200</v>
      </c>
    </row>
    <row r="602" spans="1:6" x14ac:dyDescent="0.25">
      <c r="A602" t="s">
        <v>728</v>
      </c>
      <c r="B602" s="4">
        <v>4145.47</v>
      </c>
      <c r="C602" s="4">
        <v>199.65</v>
      </c>
      <c r="D602" s="4">
        <v>3945.82</v>
      </c>
      <c r="E602">
        <v>74</v>
      </c>
      <c r="F602">
        <v>74</v>
      </c>
    </row>
    <row r="603" spans="1:6" x14ac:dyDescent="0.25">
      <c r="A603" t="s">
        <v>729</v>
      </c>
      <c r="B603" s="4">
        <v>4142.92</v>
      </c>
      <c r="C603" s="4">
        <v>30.72</v>
      </c>
      <c r="D603" s="4">
        <v>4112.2</v>
      </c>
      <c r="E603">
        <v>268</v>
      </c>
      <c r="F603">
        <v>262</v>
      </c>
    </row>
    <row r="604" spans="1:6" x14ac:dyDescent="0.25">
      <c r="A604" t="s">
        <v>730</v>
      </c>
      <c r="B604" s="4">
        <v>4123.38</v>
      </c>
      <c r="C604" s="4">
        <v>10.15</v>
      </c>
      <c r="D604" s="4">
        <v>4113.2299999999996</v>
      </c>
      <c r="E604">
        <v>279</v>
      </c>
      <c r="F604">
        <v>277</v>
      </c>
    </row>
    <row r="605" spans="1:6" x14ac:dyDescent="0.25">
      <c r="A605" t="s">
        <v>731</v>
      </c>
      <c r="B605" s="4">
        <v>4109.72</v>
      </c>
      <c r="C605" s="4">
        <v>103.35</v>
      </c>
      <c r="D605" s="4">
        <v>4006.37</v>
      </c>
      <c r="E605">
        <v>214</v>
      </c>
      <c r="F605">
        <v>213</v>
      </c>
    </row>
    <row r="606" spans="1:6" x14ac:dyDescent="0.25">
      <c r="A606" t="s">
        <v>732</v>
      </c>
      <c r="B606" s="4">
        <v>4101.37</v>
      </c>
      <c r="C606" s="4">
        <v>37.35</v>
      </c>
      <c r="D606" s="4">
        <v>4064.02</v>
      </c>
      <c r="E606">
        <v>159</v>
      </c>
      <c r="F606">
        <v>158</v>
      </c>
    </row>
    <row r="607" spans="1:6" x14ac:dyDescent="0.25">
      <c r="A607" t="s">
        <v>733</v>
      </c>
      <c r="B607" s="4">
        <v>4097.28</v>
      </c>
      <c r="C607" s="4">
        <v>45</v>
      </c>
      <c r="D607" s="4">
        <v>4052.28</v>
      </c>
      <c r="E607">
        <v>181</v>
      </c>
      <c r="F607">
        <v>175</v>
      </c>
    </row>
    <row r="608" spans="1:6" x14ac:dyDescent="0.25">
      <c r="A608" t="s">
        <v>734</v>
      </c>
      <c r="B608" s="4">
        <v>4086.37</v>
      </c>
      <c r="C608" s="4">
        <v>83.25</v>
      </c>
      <c r="D608" s="4">
        <v>4003.12</v>
      </c>
      <c r="E608">
        <v>221</v>
      </c>
      <c r="F608">
        <v>214</v>
      </c>
    </row>
    <row r="609" spans="1:6" x14ac:dyDescent="0.25">
      <c r="A609" t="s">
        <v>735</v>
      </c>
      <c r="B609" s="4">
        <v>4082.52</v>
      </c>
      <c r="C609" s="4">
        <v>0</v>
      </c>
      <c r="D609" s="4">
        <v>4082.52</v>
      </c>
      <c r="E609">
        <v>103</v>
      </c>
      <c r="F609">
        <v>103</v>
      </c>
    </row>
    <row r="610" spans="1:6" x14ac:dyDescent="0.25">
      <c r="A610" t="s">
        <v>736</v>
      </c>
      <c r="B610" s="4">
        <v>4075.94</v>
      </c>
      <c r="C610" s="4">
        <v>83.05</v>
      </c>
      <c r="D610" s="4">
        <v>3992.89</v>
      </c>
      <c r="E610">
        <v>555</v>
      </c>
      <c r="F610">
        <v>538</v>
      </c>
    </row>
    <row r="611" spans="1:6" x14ac:dyDescent="0.25">
      <c r="A611" t="s">
        <v>737</v>
      </c>
      <c r="B611" s="4">
        <v>4072.97</v>
      </c>
      <c r="C611" s="4">
        <v>0.84</v>
      </c>
      <c r="D611" s="4">
        <v>4072.13</v>
      </c>
      <c r="E611">
        <v>448</v>
      </c>
      <c r="F611">
        <v>443</v>
      </c>
    </row>
    <row r="612" spans="1:6" x14ac:dyDescent="0.25">
      <c r="A612" t="s">
        <v>738</v>
      </c>
      <c r="B612" s="4">
        <v>4063.76</v>
      </c>
      <c r="C612" s="4">
        <v>45.9</v>
      </c>
      <c r="D612" s="4">
        <v>4017.86</v>
      </c>
      <c r="E612">
        <v>293</v>
      </c>
      <c r="F612">
        <v>288</v>
      </c>
    </row>
    <row r="613" spans="1:6" x14ac:dyDescent="0.25">
      <c r="A613" t="s">
        <v>739</v>
      </c>
      <c r="B613" s="4">
        <v>4053.88</v>
      </c>
      <c r="C613" s="4">
        <v>0</v>
      </c>
      <c r="D613" s="4">
        <v>4053.88</v>
      </c>
      <c r="E613">
        <v>153</v>
      </c>
      <c r="F613">
        <v>151</v>
      </c>
    </row>
    <row r="614" spans="1:6" x14ac:dyDescent="0.25">
      <c r="A614" t="s">
        <v>740</v>
      </c>
      <c r="B614" s="4">
        <v>4051.79</v>
      </c>
      <c r="C614" s="4">
        <v>0</v>
      </c>
      <c r="D614" s="4">
        <v>4051.79</v>
      </c>
      <c r="E614">
        <v>252</v>
      </c>
      <c r="F614">
        <v>251</v>
      </c>
    </row>
    <row r="615" spans="1:6" x14ac:dyDescent="0.25">
      <c r="A615" t="s">
        <v>741</v>
      </c>
      <c r="B615" s="4">
        <v>4046.5</v>
      </c>
      <c r="C615" s="4">
        <v>49.5</v>
      </c>
      <c r="D615" s="4">
        <v>3997</v>
      </c>
      <c r="E615">
        <v>140</v>
      </c>
      <c r="F615">
        <v>139</v>
      </c>
    </row>
    <row r="616" spans="1:6" x14ac:dyDescent="0.25">
      <c r="A616" t="s">
        <v>742</v>
      </c>
      <c r="B616" s="4">
        <v>4039.28</v>
      </c>
      <c r="C616" s="4">
        <v>3.86</v>
      </c>
      <c r="D616" s="4">
        <v>4035.42</v>
      </c>
      <c r="E616">
        <v>249</v>
      </c>
      <c r="F616">
        <v>248</v>
      </c>
    </row>
    <row r="617" spans="1:6" x14ac:dyDescent="0.25">
      <c r="A617" t="s">
        <v>743</v>
      </c>
      <c r="B617" s="4">
        <v>4037.98</v>
      </c>
      <c r="C617" s="4">
        <v>22.1</v>
      </c>
      <c r="D617" s="4">
        <v>4015.88</v>
      </c>
      <c r="E617">
        <v>557</v>
      </c>
      <c r="F617">
        <v>544</v>
      </c>
    </row>
    <row r="618" spans="1:6" x14ac:dyDescent="0.25">
      <c r="A618" t="s">
        <v>744</v>
      </c>
      <c r="B618" s="4">
        <v>4012.05</v>
      </c>
      <c r="C618" s="4">
        <v>6.3</v>
      </c>
      <c r="D618" s="4">
        <v>4005.75</v>
      </c>
      <c r="E618">
        <v>189</v>
      </c>
      <c r="F618">
        <v>186</v>
      </c>
    </row>
    <row r="619" spans="1:6" x14ac:dyDescent="0.25">
      <c r="A619" t="s">
        <v>745</v>
      </c>
      <c r="B619" s="4">
        <v>4010.55</v>
      </c>
      <c r="C619" s="4">
        <v>66</v>
      </c>
      <c r="D619" s="4">
        <v>3944.55</v>
      </c>
      <c r="E619">
        <v>453</v>
      </c>
      <c r="F619">
        <v>437</v>
      </c>
    </row>
    <row r="620" spans="1:6" x14ac:dyDescent="0.25">
      <c r="A620" t="s">
        <v>746</v>
      </c>
      <c r="B620" s="4">
        <v>4002.61</v>
      </c>
      <c r="C620" s="4">
        <v>15.6</v>
      </c>
      <c r="D620" s="4">
        <v>3987.01</v>
      </c>
      <c r="E620">
        <v>338</v>
      </c>
      <c r="F620">
        <v>334</v>
      </c>
    </row>
    <row r="621" spans="1:6" x14ac:dyDescent="0.25">
      <c r="A621" t="s">
        <v>747</v>
      </c>
      <c r="B621" s="4">
        <v>3999.57</v>
      </c>
      <c r="C621" s="4">
        <v>268.25</v>
      </c>
      <c r="D621" s="4">
        <v>3731.32</v>
      </c>
      <c r="E621">
        <v>171</v>
      </c>
      <c r="F621">
        <v>165</v>
      </c>
    </row>
    <row r="622" spans="1:6" x14ac:dyDescent="0.25">
      <c r="A622" t="s">
        <v>748</v>
      </c>
      <c r="B622" s="4">
        <v>3999.5</v>
      </c>
      <c r="C622" s="4">
        <v>4.1500000000000004</v>
      </c>
      <c r="D622" s="4">
        <v>3995.35</v>
      </c>
      <c r="E622">
        <v>172</v>
      </c>
      <c r="F622">
        <v>172</v>
      </c>
    </row>
    <row r="623" spans="1:6" x14ac:dyDescent="0.25">
      <c r="A623" t="s">
        <v>749</v>
      </c>
      <c r="B623" s="4">
        <v>3992.58</v>
      </c>
      <c r="C623" s="4">
        <v>283.2</v>
      </c>
      <c r="D623" s="4">
        <v>3709.38</v>
      </c>
      <c r="E623">
        <v>206</v>
      </c>
      <c r="F623">
        <v>198</v>
      </c>
    </row>
    <row r="624" spans="1:6" x14ac:dyDescent="0.25">
      <c r="A624" t="s">
        <v>750</v>
      </c>
      <c r="B624" s="4">
        <v>3989.94</v>
      </c>
      <c r="C624" s="4">
        <v>396.45</v>
      </c>
      <c r="D624" s="4">
        <v>3593.49</v>
      </c>
      <c r="E624">
        <v>224</v>
      </c>
      <c r="F624">
        <v>220</v>
      </c>
    </row>
    <row r="625" spans="1:6" x14ac:dyDescent="0.25">
      <c r="A625" t="s">
        <v>751</v>
      </c>
      <c r="B625" s="4">
        <v>3988.98</v>
      </c>
      <c r="C625" s="4">
        <v>37.35</v>
      </c>
      <c r="D625" s="4">
        <v>3951.63</v>
      </c>
      <c r="E625">
        <v>184</v>
      </c>
      <c r="F625">
        <v>184</v>
      </c>
    </row>
    <row r="626" spans="1:6" x14ac:dyDescent="0.25">
      <c r="A626" t="s">
        <v>752</v>
      </c>
      <c r="B626" s="4">
        <v>3984.37</v>
      </c>
      <c r="C626" s="4">
        <v>15</v>
      </c>
      <c r="D626" s="4">
        <v>3969.37</v>
      </c>
      <c r="E626">
        <v>325</v>
      </c>
      <c r="F626">
        <v>322</v>
      </c>
    </row>
    <row r="627" spans="1:6" x14ac:dyDescent="0.25">
      <c r="A627" t="s">
        <v>753</v>
      </c>
      <c r="B627" s="4">
        <v>3978.97</v>
      </c>
      <c r="C627" s="4">
        <v>114.69</v>
      </c>
      <c r="D627" s="4">
        <v>3864.28</v>
      </c>
      <c r="E627">
        <v>244</v>
      </c>
      <c r="F627">
        <v>241</v>
      </c>
    </row>
    <row r="628" spans="1:6" x14ac:dyDescent="0.25">
      <c r="A628" t="s">
        <v>754</v>
      </c>
      <c r="B628" s="4">
        <v>3974.13</v>
      </c>
      <c r="C628" s="4">
        <v>20.65</v>
      </c>
      <c r="D628" s="4">
        <v>3953.48</v>
      </c>
      <c r="E628">
        <v>274</v>
      </c>
      <c r="F628">
        <v>267</v>
      </c>
    </row>
    <row r="629" spans="1:6" x14ac:dyDescent="0.25">
      <c r="A629" t="s">
        <v>755</v>
      </c>
      <c r="B629" s="4">
        <v>3952.19</v>
      </c>
      <c r="C629" s="4">
        <v>1.95</v>
      </c>
      <c r="D629" s="4">
        <v>3950.24</v>
      </c>
      <c r="E629">
        <v>302</v>
      </c>
      <c r="F629">
        <v>291</v>
      </c>
    </row>
    <row r="630" spans="1:6" x14ac:dyDescent="0.25">
      <c r="A630" t="s">
        <v>756</v>
      </c>
      <c r="B630" s="4">
        <v>3930.27</v>
      </c>
      <c r="C630" s="4">
        <v>0</v>
      </c>
      <c r="D630" s="4">
        <v>3930.27</v>
      </c>
      <c r="E630">
        <v>32</v>
      </c>
      <c r="F630">
        <v>32</v>
      </c>
    </row>
    <row r="631" spans="1:6" x14ac:dyDescent="0.25">
      <c r="A631" t="s">
        <v>757</v>
      </c>
      <c r="B631" s="4">
        <v>3929.15</v>
      </c>
      <c r="C631" s="4">
        <v>29.25</v>
      </c>
      <c r="D631" s="4">
        <v>3899.9</v>
      </c>
      <c r="E631">
        <v>192</v>
      </c>
      <c r="F631">
        <v>186</v>
      </c>
    </row>
    <row r="632" spans="1:6" x14ac:dyDescent="0.25">
      <c r="A632" t="s">
        <v>758</v>
      </c>
      <c r="B632" s="4">
        <v>3914.96</v>
      </c>
      <c r="C632" s="4">
        <v>124.05</v>
      </c>
      <c r="D632" s="4">
        <v>3790.91</v>
      </c>
      <c r="E632">
        <v>297</v>
      </c>
      <c r="F632">
        <v>291</v>
      </c>
    </row>
    <row r="633" spans="1:6" x14ac:dyDescent="0.25">
      <c r="A633" t="s">
        <v>759</v>
      </c>
      <c r="B633" s="4">
        <v>3913.72</v>
      </c>
      <c r="C633" s="4">
        <v>20.399999999999999</v>
      </c>
      <c r="D633" s="4">
        <v>3893.32</v>
      </c>
      <c r="E633">
        <v>246</v>
      </c>
      <c r="F633">
        <v>244</v>
      </c>
    </row>
    <row r="634" spans="1:6" x14ac:dyDescent="0.25">
      <c r="A634" t="s">
        <v>760</v>
      </c>
      <c r="B634" s="4">
        <v>3909.63</v>
      </c>
      <c r="C634" s="4">
        <v>8.85</v>
      </c>
      <c r="D634" s="4">
        <v>3900.78</v>
      </c>
      <c r="E634">
        <v>263</v>
      </c>
      <c r="F634">
        <v>255</v>
      </c>
    </row>
    <row r="635" spans="1:6" x14ac:dyDescent="0.25">
      <c r="A635" t="s">
        <v>761</v>
      </c>
      <c r="B635" s="4">
        <v>3896.84</v>
      </c>
      <c r="C635" s="4">
        <v>24.75</v>
      </c>
      <c r="D635" s="4">
        <v>3872.09</v>
      </c>
      <c r="E635">
        <v>186</v>
      </c>
      <c r="F635">
        <v>186</v>
      </c>
    </row>
    <row r="636" spans="1:6" x14ac:dyDescent="0.25">
      <c r="A636" t="s">
        <v>762</v>
      </c>
      <c r="B636" s="4">
        <v>3896.45</v>
      </c>
      <c r="C636" s="4">
        <v>0</v>
      </c>
      <c r="D636" s="4">
        <v>3896.45</v>
      </c>
      <c r="E636">
        <v>95</v>
      </c>
      <c r="F636">
        <v>95</v>
      </c>
    </row>
    <row r="637" spans="1:6" x14ac:dyDescent="0.25">
      <c r="A637" t="s">
        <v>763</v>
      </c>
      <c r="B637" s="4">
        <v>3883.99</v>
      </c>
      <c r="C637" s="4">
        <v>0</v>
      </c>
      <c r="D637" s="4">
        <v>3883.99</v>
      </c>
      <c r="E637">
        <v>124</v>
      </c>
      <c r="F637">
        <v>116</v>
      </c>
    </row>
    <row r="638" spans="1:6" x14ac:dyDescent="0.25">
      <c r="A638" t="s">
        <v>764</v>
      </c>
      <c r="B638" s="4">
        <v>3880.2</v>
      </c>
      <c r="C638" s="4">
        <v>0</v>
      </c>
      <c r="D638" s="4">
        <v>3880.2</v>
      </c>
      <c r="E638">
        <v>222</v>
      </c>
      <c r="F638">
        <v>222</v>
      </c>
    </row>
    <row r="639" spans="1:6" x14ac:dyDescent="0.25">
      <c r="A639" t="s">
        <v>765</v>
      </c>
      <c r="B639" s="4">
        <v>3877.68</v>
      </c>
      <c r="C639" s="4">
        <v>112.49</v>
      </c>
      <c r="D639" s="4">
        <v>3765.19</v>
      </c>
      <c r="E639">
        <v>532</v>
      </c>
      <c r="F639">
        <v>512</v>
      </c>
    </row>
    <row r="640" spans="1:6" x14ac:dyDescent="0.25">
      <c r="A640" t="s">
        <v>766</v>
      </c>
      <c r="B640" s="4">
        <v>3877.09</v>
      </c>
      <c r="C640" s="4">
        <v>16.8</v>
      </c>
      <c r="D640" s="4">
        <v>3860.29</v>
      </c>
      <c r="E640">
        <v>140</v>
      </c>
      <c r="F640">
        <v>140</v>
      </c>
    </row>
    <row r="641" spans="1:6" x14ac:dyDescent="0.25">
      <c r="A641" t="s">
        <v>767</v>
      </c>
      <c r="B641" s="4">
        <v>3876.78</v>
      </c>
      <c r="C641" s="4">
        <v>75.900000000000006</v>
      </c>
      <c r="D641" s="4">
        <v>3800.88</v>
      </c>
      <c r="E641">
        <v>207</v>
      </c>
      <c r="F641">
        <v>199</v>
      </c>
    </row>
    <row r="642" spans="1:6" x14ac:dyDescent="0.25">
      <c r="A642" t="s">
        <v>768</v>
      </c>
      <c r="B642" s="4">
        <v>3856.07</v>
      </c>
      <c r="C642" s="4">
        <v>190.5</v>
      </c>
      <c r="D642" s="4">
        <v>3665.57</v>
      </c>
      <c r="E642">
        <v>281</v>
      </c>
      <c r="F642">
        <v>275</v>
      </c>
    </row>
    <row r="643" spans="1:6" x14ac:dyDescent="0.25">
      <c r="A643" t="s">
        <v>769</v>
      </c>
      <c r="B643" s="4">
        <v>3848.86</v>
      </c>
      <c r="C643" s="4">
        <v>31.9</v>
      </c>
      <c r="D643" s="4">
        <v>3816.96</v>
      </c>
      <c r="E643">
        <v>70</v>
      </c>
      <c r="F643">
        <v>70</v>
      </c>
    </row>
    <row r="644" spans="1:6" x14ac:dyDescent="0.25">
      <c r="A644" t="s">
        <v>770</v>
      </c>
      <c r="B644" s="4">
        <v>3847.36</v>
      </c>
      <c r="C644" s="4">
        <v>15</v>
      </c>
      <c r="D644" s="4">
        <v>3832.36</v>
      </c>
      <c r="E644">
        <v>331</v>
      </c>
      <c r="F644">
        <v>323</v>
      </c>
    </row>
    <row r="645" spans="1:6" x14ac:dyDescent="0.25">
      <c r="A645" t="s">
        <v>771</v>
      </c>
      <c r="B645" s="4">
        <v>3844.81</v>
      </c>
      <c r="C645" s="4">
        <v>27.8</v>
      </c>
      <c r="D645" s="4">
        <v>3817.01</v>
      </c>
      <c r="E645">
        <v>166</v>
      </c>
      <c r="F645">
        <v>159</v>
      </c>
    </row>
    <row r="646" spans="1:6" x14ac:dyDescent="0.25">
      <c r="A646" t="s">
        <v>772</v>
      </c>
      <c r="B646" s="4">
        <v>3840.13</v>
      </c>
      <c r="C646" s="4">
        <v>24.9</v>
      </c>
      <c r="D646" s="4">
        <v>3815.23</v>
      </c>
      <c r="E646">
        <v>117</v>
      </c>
      <c r="F646">
        <v>115</v>
      </c>
    </row>
    <row r="647" spans="1:6" x14ac:dyDescent="0.25">
      <c r="A647" t="s">
        <v>773</v>
      </c>
      <c r="B647" s="4">
        <v>3839.24</v>
      </c>
      <c r="C647" s="4">
        <v>283.2</v>
      </c>
      <c r="D647" s="4">
        <v>3556.04</v>
      </c>
      <c r="E647">
        <v>139</v>
      </c>
      <c r="F647">
        <v>138</v>
      </c>
    </row>
    <row r="648" spans="1:6" x14ac:dyDescent="0.25">
      <c r="A648" t="s">
        <v>774</v>
      </c>
      <c r="B648" s="4">
        <v>3827.16</v>
      </c>
      <c r="C648" s="4">
        <v>13.52</v>
      </c>
      <c r="D648" s="4">
        <v>3813.64</v>
      </c>
      <c r="E648">
        <v>211</v>
      </c>
      <c r="F648">
        <v>210</v>
      </c>
    </row>
    <row r="649" spans="1:6" x14ac:dyDescent="0.25">
      <c r="A649" t="s">
        <v>775</v>
      </c>
      <c r="B649" s="4">
        <v>3823.21</v>
      </c>
      <c r="C649" s="4">
        <v>127.45</v>
      </c>
      <c r="D649" s="4">
        <v>3695.76</v>
      </c>
      <c r="E649">
        <v>162</v>
      </c>
      <c r="F649">
        <v>162</v>
      </c>
    </row>
    <row r="650" spans="1:6" x14ac:dyDescent="0.25">
      <c r="A650" t="s">
        <v>776</v>
      </c>
      <c r="B650" s="4">
        <v>3822.5</v>
      </c>
      <c r="C650" s="4">
        <v>83.7</v>
      </c>
      <c r="D650" s="4">
        <v>3738.8</v>
      </c>
      <c r="E650">
        <v>210</v>
      </c>
      <c r="F650">
        <v>204</v>
      </c>
    </row>
    <row r="651" spans="1:6" x14ac:dyDescent="0.25">
      <c r="A651" t="s">
        <v>777</v>
      </c>
      <c r="B651" s="4">
        <v>3822.45</v>
      </c>
      <c r="C651" s="4">
        <v>13.5</v>
      </c>
      <c r="D651" s="4">
        <v>3808.95</v>
      </c>
      <c r="E651">
        <v>136</v>
      </c>
      <c r="F651">
        <v>134</v>
      </c>
    </row>
    <row r="652" spans="1:6" x14ac:dyDescent="0.25">
      <c r="A652" t="s">
        <v>778</v>
      </c>
      <c r="B652" s="4">
        <v>3822.12</v>
      </c>
      <c r="C652" s="4">
        <v>2.5499999999999998</v>
      </c>
      <c r="D652" s="4">
        <v>3819.57</v>
      </c>
      <c r="E652">
        <v>121</v>
      </c>
      <c r="F652">
        <v>120</v>
      </c>
    </row>
    <row r="653" spans="1:6" x14ac:dyDescent="0.25">
      <c r="A653" t="s">
        <v>779</v>
      </c>
      <c r="B653" s="4">
        <v>3800.16</v>
      </c>
      <c r="C653" s="4">
        <v>48.7</v>
      </c>
      <c r="D653" s="4">
        <v>3751.46</v>
      </c>
      <c r="E653">
        <v>89</v>
      </c>
      <c r="F653">
        <v>89</v>
      </c>
    </row>
    <row r="654" spans="1:6" x14ac:dyDescent="0.25">
      <c r="A654" t="s">
        <v>780</v>
      </c>
      <c r="B654" s="4">
        <v>3791.11</v>
      </c>
      <c r="C654" s="4">
        <v>18.75</v>
      </c>
      <c r="D654" s="4">
        <v>3772.36</v>
      </c>
      <c r="E654">
        <v>421</v>
      </c>
      <c r="F654">
        <v>409</v>
      </c>
    </row>
    <row r="655" spans="1:6" x14ac:dyDescent="0.25">
      <c r="A655" t="s">
        <v>781</v>
      </c>
      <c r="B655" s="4">
        <v>3789.32</v>
      </c>
      <c r="C655" s="4">
        <v>25.35</v>
      </c>
      <c r="D655" s="4">
        <v>3763.97</v>
      </c>
      <c r="E655">
        <v>197</v>
      </c>
      <c r="F655">
        <v>196</v>
      </c>
    </row>
    <row r="656" spans="1:6" x14ac:dyDescent="0.25">
      <c r="A656" t="s">
        <v>782</v>
      </c>
      <c r="B656" s="4">
        <v>3784.13</v>
      </c>
      <c r="C656" s="4">
        <v>30</v>
      </c>
      <c r="D656" s="4">
        <v>3754.13</v>
      </c>
      <c r="E656">
        <v>148</v>
      </c>
      <c r="F656">
        <v>146</v>
      </c>
    </row>
    <row r="657" spans="1:6" x14ac:dyDescent="0.25">
      <c r="A657" t="s">
        <v>783</v>
      </c>
      <c r="B657" s="4">
        <v>3773.58</v>
      </c>
      <c r="C657" s="4">
        <v>77.75</v>
      </c>
      <c r="D657" s="4">
        <v>3695.83</v>
      </c>
      <c r="E657">
        <v>136</v>
      </c>
      <c r="F657">
        <v>135</v>
      </c>
    </row>
    <row r="658" spans="1:6" x14ac:dyDescent="0.25">
      <c r="A658" t="s">
        <v>784</v>
      </c>
      <c r="B658" s="4">
        <v>3766.93</v>
      </c>
      <c r="C658" s="4">
        <v>18.75</v>
      </c>
      <c r="D658" s="4">
        <v>3748.18</v>
      </c>
      <c r="E658">
        <v>228</v>
      </c>
      <c r="F658">
        <v>226</v>
      </c>
    </row>
    <row r="659" spans="1:6" x14ac:dyDescent="0.25">
      <c r="A659" t="s">
        <v>785</v>
      </c>
      <c r="B659" s="4">
        <v>3763.95</v>
      </c>
      <c r="C659" s="4">
        <v>64.349999999999994</v>
      </c>
      <c r="D659" s="4">
        <v>3699.6</v>
      </c>
      <c r="E659">
        <v>197</v>
      </c>
      <c r="F659">
        <v>194</v>
      </c>
    </row>
    <row r="660" spans="1:6" x14ac:dyDescent="0.25">
      <c r="A660" t="s">
        <v>786</v>
      </c>
      <c r="B660" s="4">
        <v>3756.79</v>
      </c>
      <c r="C660" s="4">
        <v>260.3</v>
      </c>
      <c r="D660" s="4">
        <v>3496.49</v>
      </c>
      <c r="E660">
        <v>149</v>
      </c>
      <c r="F660">
        <v>144</v>
      </c>
    </row>
    <row r="661" spans="1:6" x14ac:dyDescent="0.25">
      <c r="A661" t="s">
        <v>787</v>
      </c>
      <c r="B661" s="4">
        <v>3725.61</v>
      </c>
      <c r="C661" s="4">
        <v>1.65</v>
      </c>
      <c r="D661" s="4">
        <v>3723.96</v>
      </c>
      <c r="E661">
        <v>381</v>
      </c>
      <c r="F661">
        <v>373</v>
      </c>
    </row>
    <row r="662" spans="1:6" x14ac:dyDescent="0.25">
      <c r="A662" t="s">
        <v>788</v>
      </c>
      <c r="B662" s="4">
        <v>3725.07</v>
      </c>
      <c r="C662" s="4">
        <v>43.75</v>
      </c>
      <c r="D662" s="4">
        <v>3681.32</v>
      </c>
      <c r="E662">
        <v>217</v>
      </c>
      <c r="F662">
        <v>209</v>
      </c>
    </row>
    <row r="663" spans="1:6" x14ac:dyDescent="0.25">
      <c r="A663" t="s">
        <v>789</v>
      </c>
      <c r="B663" s="4">
        <v>3722.23</v>
      </c>
      <c r="C663" s="4">
        <v>139.75</v>
      </c>
      <c r="D663" s="4">
        <v>3582.48</v>
      </c>
      <c r="E663">
        <v>168</v>
      </c>
      <c r="F663">
        <v>166</v>
      </c>
    </row>
    <row r="664" spans="1:6" x14ac:dyDescent="0.25">
      <c r="A664" t="s">
        <v>790</v>
      </c>
      <c r="B664" s="4">
        <v>3721.63</v>
      </c>
      <c r="C664" s="4">
        <v>124.58</v>
      </c>
      <c r="D664" s="4">
        <v>3597.05</v>
      </c>
      <c r="E664">
        <v>216</v>
      </c>
      <c r="F664">
        <v>212</v>
      </c>
    </row>
    <row r="665" spans="1:6" x14ac:dyDescent="0.25">
      <c r="A665" t="s">
        <v>791</v>
      </c>
      <c r="B665" s="4">
        <v>3718.09</v>
      </c>
      <c r="C665" s="4">
        <v>11.62</v>
      </c>
      <c r="D665" s="4">
        <v>3706.47</v>
      </c>
      <c r="E665">
        <v>446</v>
      </c>
      <c r="F665">
        <v>433</v>
      </c>
    </row>
    <row r="666" spans="1:6" x14ac:dyDescent="0.25">
      <c r="A666" t="s">
        <v>792</v>
      </c>
      <c r="B666" s="4">
        <v>3717.56</v>
      </c>
      <c r="C666" s="4">
        <v>1514.05</v>
      </c>
      <c r="D666" s="4">
        <v>2203.5100000000002</v>
      </c>
      <c r="E666">
        <v>23</v>
      </c>
      <c r="F666">
        <v>23</v>
      </c>
    </row>
    <row r="667" spans="1:6" x14ac:dyDescent="0.25">
      <c r="A667" t="s">
        <v>793</v>
      </c>
      <c r="B667" s="4">
        <v>3713.54</v>
      </c>
      <c r="C667" s="4">
        <v>50.4</v>
      </c>
      <c r="D667" s="4">
        <v>3663.14</v>
      </c>
      <c r="E667">
        <v>410</v>
      </c>
      <c r="F667">
        <v>399</v>
      </c>
    </row>
    <row r="668" spans="1:6" x14ac:dyDescent="0.25">
      <c r="A668" t="s">
        <v>794</v>
      </c>
      <c r="B668" s="4">
        <v>3708.52</v>
      </c>
      <c r="C668" s="4">
        <v>14.85</v>
      </c>
      <c r="D668" s="4">
        <v>3693.67</v>
      </c>
      <c r="E668">
        <v>163</v>
      </c>
      <c r="F668">
        <v>161</v>
      </c>
    </row>
    <row r="669" spans="1:6" x14ac:dyDescent="0.25">
      <c r="A669" t="s">
        <v>795</v>
      </c>
      <c r="B669" s="4">
        <v>3692.37</v>
      </c>
      <c r="C669" s="4">
        <v>36.450000000000003</v>
      </c>
      <c r="D669" s="4">
        <v>3655.92</v>
      </c>
      <c r="E669">
        <v>252</v>
      </c>
      <c r="F669">
        <v>246</v>
      </c>
    </row>
    <row r="670" spans="1:6" x14ac:dyDescent="0.25">
      <c r="A670" t="s">
        <v>796</v>
      </c>
      <c r="B670" s="4">
        <v>3689.46</v>
      </c>
      <c r="C670" s="4">
        <v>18.399999999999999</v>
      </c>
      <c r="D670" s="4">
        <v>3671.06</v>
      </c>
      <c r="E670">
        <v>238</v>
      </c>
      <c r="F670">
        <v>231</v>
      </c>
    </row>
    <row r="671" spans="1:6" x14ac:dyDescent="0.25">
      <c r="A671" t="s">
        <v>797</v>
      </c>
      <c r="B671" s="4">
        <v>3685</v>
      </c>
      <c r="C671" s="4">
        <v>800</v>
      </c>
      <c r="D671" s="4">
        <v>2885</v>
      </c>
      <c r="E671">
        <v>20</v>
      </c>
      <c r="F671">
        <v>20</v>
      </c>
    </row>
    <row r="672" spans="1:6" x14ac:dyDescent="0.25">
      <c r="A672" t="s">
        <v>798</v>
      </c>
      <c r="B672" s="4">
        <v>3678.11</v>
      </c>
      <c r="C672" s="4">
        <v>23.7</v>
      </c>
      <c r="D672" s="4">
        <v>3654.41</v>
      </c>
      <c r="E672">
        <v>225</v>
      </c>
      <c r="F672">
        <v>223</v>
      </c>
    </row>
    <row r="673" spans="1:6" x14ac:dyDescent="0.25">
      <c r="A673" t="s">
        <v>799</v>
      </c>
      <c r="B673" s="4">
        <v>3674.7</v>
      </c>
      <c r="C673" s="4">
        <v>89.25</v>
      </c>
      <c r="D673" s="4">
        <v>3585.45</v>
      </c>
      <c r="E673">
        <v>199</v>
      </c>
      <c r="F673">
        <v>195</v>
      </c>
    </row>
    <row r="674" spans="1:6" x14ac:dyDescent="0.25">
      <c r="A674" t="s">
        <v>800</v>
      </c>
      <c r="B674" s="4">
        <v>3666.29</v>
      </c>
      <c r="C674" s="4">
        <v>57.16</v>
      </c>
      <c r="D674" s="4">
        <v>3609.13</v>
      </c>
      <c r="E674">
        <v>330</v>
      </c>
      <c r="F674">
        <v>317</v>
      </c>
    </row>
    <row r="675" spans="1:6" x14ac:dyDescent="0.25">
      <c r="A675" t="s">
        <v>801</v>
      </c>
      <c r="B675" s="4">
        <v>3660.37</v>
      </c>
      <c r="C675" s="4">
        <v>17.399999999999999</v>
      </c>
      <c r="D675" s="4">
        <v>3642.97</v>
      </c>
      <c r="E675">
        <v>202</v>
      </c>
      <c r="F675">
        <v>195</v>
      </c>
    </row>
    <row r="676" spans="1:6" x14ac:dyDescent="0.25">
      <c r="A676" t="s">
        <v>802</v>
      </c>
      <c r="B676" s="4">
        <v>3656.94</v>
      </c>
      <c r="C676" s="4">
        <v>4.95</v>
      </c>
      <c r="D676" s="4">
        <v>3651.99</v>
      </c>
      <c r="E676">
        <v>293</v>
      </c>
      <c r="F676">
        <v>281</v>
      </c>
    </row>
    <row r="677" spans="1:6" x14ac:dyDescent="0.25">
      <c r="A677" t="s">
        <v>803</v>
      </c>
      <c r="B677" s="4">
        <v>3649.07</v>
      </c>
      <c r="C677" s="4">
        <v>2.1</v>
      </c>
      <c r="D677" s="4">
        <v>3646.97</v>
      </c>
      <c r="E677">
        <v>295</v>
      </c>
      <c r="F677">
        <v>293</v>
      </c>
    </row>
    <row r="678" spans="1:6" x14ac:dyDescent="0.25">
      <c r="A678" t="s">
        <v>804</v>
      </c>
      <c r="B678" s="4">
        <v>3635.23</v>
      </c>
      <c r="C678" s="4">
        <v>128.75</v>
      </c>
      <c r="D678" s="4">
        <v>3506.48</v>
      </c>
      <c r="E678">
        <v>87</v>
      </c>
      <c r="F678">
        <v>78</v>
      </c>
    </row>
    <row r="679" spans="1:6" x14ac:dyDescent="0.25">
      <c r="A679" t="s">
        <v>805</v>
      </c>
      <c r="B679" s="4">
        <v>3633.17</v>
      </c>
      <c r="C679" s="4">
        <v>19.45</v>
      </c>
      <c r="D679" s="4">
        <v>3613.72</v>
      </c>
      <c r="E679">
        <v>153</v>
      </c>
      <c r="F679">
        <v>153</v>
      </c>
    </row>
    <row r="680" spans="1:6" x14ac:dyDescent="0.25">
      <c r="A680" t="s">
        <v>806</v>
      </c>
      <c r="B680" s="4">
        <v>3631.05</v>
      </c>
      <c r="C680" s="4">
        <v>10.79</v>
      </c>
      <c r="D680" s="4">
        <v>3620.26</v>
      </c>
      <c r="E680">
        <v>365</v>
      </c>
      <c r="F680">
        <v>354</v>
      </c>
    </row>
    <row r="681" spans="1:6" x14ac:dyDescent="0.25">
      <c r="A681" t="s">
        <v>807</v>
      </c>
      <c r="B681" s="4">
        <v>3624.6</v>
      </c>
      <c r="C681" s="4">
        <v>508.95</v>
      </c>
      <c r="D681" s="4">
        <v>3115.65</v>
      </c>
      <c r="E681">
        <v>88</v>
      </c>
      <c r="F681">
        <v>88</v>
      </c>
    </row>
    <row r="682" spans="1:6" x14ac:dyDescent="0.25">
      <c r="A682" t="s">
        <v>808</v>
      </c>
      <c r="B682" s="4">
        <v>3617.78</v>
      </c>
      <c r="C682" s="4">
        <v>219.76</v>
      </c>
      <c r="D682" s="4">
        <v>3398.02</v>
      </c>
      <c r="E682">
        <v>207</v>
      </c>
      <c r="F682">
        <v>192</v>
      </c>
    </row>
    <row r="683" spans="1:6" x14ac:dyDescent="0.25">
      <c r="A683" t="s">
        <v>809</v>
      </c>
      <c r="B683" s="4">
        <v>3610.25</v>
      </c>
      <c r="C683" s="4">
        <v>40.950000000000003</v>
      </c>
      <c r="D683" s="4">
        <v>3569.3</v>
      </c>
      <c r="E683">
        <v>191</v>
      </c>
      <c r="F683">
        <v>185</v>
      </c>
    </row>
    <row r="684" spans="1:6" x14ac:dyDescent="0.25">
      <c r="A684" t="s">
        <v>810</v>
      </c>
      <c r="B684" s="4">
        <v>3606.42</v>
      </c>
      <c r="C684" s="4">
        <v>1.25</v>
      </c>
      <c r="D684" s="4">
        <v>3605.17</v>
      </c>
      <c r="E684">
        <v>28</v>
      </c>
      <c r="F684">
        <v>28</v>
      </c>
    </row>
    <row r="685" spans="1:6" x14ac:dyDescent="0.25">
      <c r="A685" t="s">
        <v>811</v>
      </c>
      <c r="B685" s="4">
        <v>3585.99</v>
      </c>
      <c r="C685" s="4">
        <v>51</v>
      </c>
      <c r="D685" s="4">
        <v>3534.99</v>
      </c>
      <c r="E685">
        <v>104</v>
      </c>
      <c r="F685">
        <v>104</v>
      </c>
    </row>
    <row r="686" spans="1:6" x14ac:dyDescent="0.25">
      <c r="A686" t="s">
        <v>812</v>
      </c>
      <c r="B686" s="4">
        <v>3585.02</v>
      </c>
      <c r="C686" s="4">
        <v>16.5</v>
      </c>
      <c r="D686" s="4">
        <v>3568.52</v>
      </c>
      <c r="E686">
        <v>326</v>
      </c>
      <c r="F686">
        <v>318</v>
      </c>
    </row>
    <row r="687" spans="1:6" x14ac:dyDescent="0.25">
      <c r="A687" t="s">
        <v>813</v>
      </c>
      <c r="B687" s="4">
        <v>3584.99</v>
      </c>
      <c r="C687" s="4">
        <v>10.199999999999999</v>
      </c>
      <c r="D687" s="4">
        <v>3574.79</v>
      </c>
      <c r="E687">
        <v>363</v>
      </c>
      <c r="F687">
        <v>358</v>
      </c>
    </row>
    <row r="688" spans="1:6" x14ac:dyDescent="0.25">
      <c r="A688" t="s">
        <v>814</v>
      </c>
      <c r="B688" s="4">
        <v>3578.83</v>
      </c>
      <c r="C688" s="4">
        <v>2.5</v>
      </c>
      <c r="D688" s="4">
        <v>3576.33</v>
      </c>
      <c r="E688">
        <v>321</v>
      </c>
      <c r="F688">
        <v>313</v>
      </c>
    </row>
    <row r="689" spans="1:6" x14ac:dyDescent="0.25">
      <c r="A689" t="s">
        <v>815</v>
      </c>
      <c r="B689" s="4">
        <v>3573.83</v>
      </c>
      <c r="C689" s="4">
        <v>2.5499999999999998</v>
      </c>
      <c r="D689" s="4">
        <v>3571.28</v>
      </c>
      <c r="E689">
        <v>387</v>
      </c>
      <c r="F689">
        <v>375</v>
      </c>
    </row>
    <row r="690" spans="1:6" x14ac:dyDescent="0.25">
      <c r="A690" t="s">
        <v>816</v>
      </c>
      <c r="B690" s="4">
        <v>3570.76</v>
      </c>
      <c r="C690" s="4">
        <v>3.3</v>
      </c>
      <c r="D690" s="4">
        <v>3567.46</v>
      </c>
      <c r="E690">
        <v>301</v>
      </c>
      <c r="F690">
        <v>287</v>
      </c>
    </row>
    <row r="691" spans="1:6" x14ac:dyDescent="0.25">
      <c r="A691" t="s">
        <v>817</v>
      </c>
      <c r="B691" s="4">
        <v>3564.49</v>
      </c>
      <c r="C691" s="4">
        <v>37.5</v>
      </c>
      <c r="D691" s="4">
        <v>3526.99</v>
      </c>
      <c r="E691">
        <v>204</v>
      </c>
      <c r="F691">
        <v>203</v>
      </c>
    </row>
    <row r="692" spans="1:6" x14ac:dyDescent="0.25">
      <c r="A692" t="s">
        <v>818</v>
      </c>
      <c r="B692" s="4">
        <v>3564.48</v>
      </c>
      <c r="C692" s="4">
        <v>27.5</v>
      </c>
      <c r="D692" s="4">
        <v>3536.98</v>
      </c>
      <c r="E692">
        <v>418</v>
      </c>
      <c r="F692">
        <v>412</v>
      </c>
    </row>
    <row r="693" spans="1:6" x14ac:dyDescent="0.25">
      <c r="A693" t="s">
        <v>819</v>
      </c>
      <c r="B693" s="4">
        <v>3562.32</v>
      </c>
      <c r="C693" s="4">
        <v>9.75</v>
      </c>
      <c r="D693" s="4">
        <v>3552.57</v>
      </c>
      <c r="E693">
        <v>212</v>
      </c>
      <c r="F693">
        <v>211</v>
      </c>
    </row>
    <row r="694" spans="1:6" x14ac:dyDescent="0.25">
      <c r="A694" t="s">
        <v>820</v>
      </c>
      <c r="B694" s="4">
        <v>3561.34</v>
      </c>
      <c r="C694" s="4">
        <v>194.65</v>
      </c>
      <c r="D694" s="4">
        <v>3366.69</v>
      </c>
      <c r="E694">
        <v>156</v>
      </c>
      <c r="F694">
        <v>155</v>
      </c>
    </row>
    <row r="695" spans="1:6" x14ac:dyDescent="0.25">
      <c r="A695" t="s">
        <v>821</v>
      </c>
      <c r="B695" s="4">
        <v>3559</v>
      </c>
      <c r="C695" s="4">
        <v>127.5</v>
      </c>
      <c r="D695" s="4">
        <v>3431.5</v>
      </c>
      <c r="E695">
        <v>234</v>
      </c>
      <c r="F695">
        <v>234</v>
      </c>
    </row>
    <row r="696" spans="1:6" x14ac:dyDescent="0.25">
      <c r="A696" t="s">
        <v>822</v>
      </c>
      <c r="B696" s="4">
        <v>3545.6</v>
      </c>
      <c r="C696" s="4">
        <v>88.45</v>
      </c>
      <c r="D696" s="4">
        <v>3457.15</v>
      </c>
      <c r="E696">
        <v>360</v>
      </c>
      <c r="F696">
        <v>360</v>
      </c>
    </row>
    <row r="697" spans="1:6" x14ac:dyDescent="0.25">
      <c r="A697" t="s">
        <v>823</v>
      </c>
      <c r="B697" s="4">
        <v>3529.12</v>
      </c>
      <c r="C697" s="4">
        <v>0</v>
      </c>
      <c r="D697" s="4">
        <v>3529.12</v>
      </c>
      <c r="E697">
        <v>453</v>
      </c>
      <c r="F697">
        <v>436</v>
      </c>
    </row>
    <row r="698" spans="1:6" x14ac:dyDescent="0.25">
      <c r="A698" t="s">
        <v>824</v>
      </c>
      <c r="B698" s="4">
        <v>3528.89</v>
      </c>
      <c r="C698" s="4">
        <v>36.54</v>
      </c>
      <c r="D698" s="4">
        <v>3492.35</v>
      </c>
      <c r="E698">
        <v>298</v>
      </c>
      <c r="F698">
        <v>294</v>
      </c>
    </row>
    <row r="699" spans="1:6" x14ac:dyDescent="0.25">
      <c r="A699" t="s">
        <v>825</v>
      </c>
      <c r="B699" s="4">
        <v>3519.66</v>
      </c>
      <c r="C699" s="4">
        <v>0</v>
      </c>
      <c r="D699" s="4">
        <v>3519.66</v>
      </c>
      <c r="E699">
        <v>32</v>
      </c>
      <c r="F699">
        <v>32</v>
      </c>
    </row>
    <row r="700" spans="1:6" x14ac:dyDescent="0.25">
      <c r="A700" t="s">
        <v>826</v>
      </c>
      <c r="B700" s="4">
        <v>3517.52</v>
      </c>
      <c r="C700" s="4">
        <v>19.920000000000002</v>
      </c>
      <c r="D700" s="4">
        <v>3497.6</v>
      </c>
      <c r="E700">
        <v>335</v>
      </c>
      <c r="F700">
        <v>327</v>
      </c>
    </row>
    <row r="701" spans="1:6" x14ac:dyDescent="0.25">
      <c r="A701" t="s">
        <v>827</v>
      </c>
      <c r="B701" s="4">
        <v>3507.51</v>
      </c>
      <c r="C701" s="4">
        <v>2.89</v>
      </c>
      <c r="D701" s="4">
        <v>3504.62</v>
      </c>
      <c r="E701">
        <v>142</v>
      </c>
      <c r="F701">
        <v>141</v>
      </c>
    </row>
    <row r="702" spans="1:6" x14ac:dyDescent="0.25">
      <c r="A702" t="s">
        <v>828</v>
      </c>
      <c r="B702" s="4">
        <v>3507.17</v>
      </c>
      <c r="C702" s="4">
        <v>0</v>
      </c>
      <c r="D702" s="4">
        <v>3507.17</v>
      </c>
      <c r="E702">
        <v>232</v>
      </c>
      <c r="F702">
        <v>231</v>
      </c>
    </row>
    <row r="703" spans="1:6" x14ac:dyDescent="0.25">
      <c r="A703" t="s">
        <v>829</v>
      </c>
      <c r="B703" s="4">
        <v>3491.86</v>
      </c>
      <c r="C703" s="4">
        <v>74.7</v>
      </c>
      <c r="D703" s="4">
        <v>3417.16</v>
      </c>
      <c r="E703">
        <v>80</v>
      </c>
      <c r="F703">
        <v>80</v>
      </c>
    </row>
    <row r="704" spans="1:6" x14ac:dyDescent="0.25">
      <c r="A704" t="s">
        <v>830</v>
      </c>
      <c r="B704" s="4">
        <v>3488.44</v>
      </c>
      <c r="C704" s="4">
        <v>43.22</v>
      </c>
      <c r="D704" s="4">
        <v>3445.22</v>
      </c>
      <c r="E704">
        <v>391</v>
      </c>
      <c r="F704">
        <v>387</v>
      </c>
    </row>
    <row r="705" spans="1:6" x14ac:dyDescent="0.25">
      <c r="A705" t="s">
        <v>831</v>
      </c>
      <c r="B705" s="4">
        <v>3486.98</v>
      </c>
      <c r="C705" s="4">
        <v>15</v>
      </c>
      <c r="D705" s="4">
        <v>3471.98</v>
      </c>
      <c r="E705">
        <v>218</v>
      </c>
      <c r="F705">
        <v>214</v>
      </c>
    </row>
    <row r="706" spans="1:6" x14ac:dyDescent="0.25">
      <c r="A706" t="s">
        <v>832</v>
      </c>
      <c r="B706" s="4">
        <v>3478.92</v>
      </c>
      <c r="C706" s="4">
        <v>21.42</v>
      </c>
      <c r="D706" s="4">
        <v>3457.5</v>
      </c>
      <c r="E706">
        <v>243</v>
      </c>
      <c r="F706">
        <v>238</v>
      </c>
    </row>
    <row r="707" spans="1:6" x14ac:dyDescent="0.25">
      <c r="A707" t="s">
        <v>833</v>
      </c>
      <c r="B707" s="4">
        <v>3474.31</v>
      </c>
      <c r="C707" s="4">
        <v>127</v>
      </c>
      <c r="D707" s="4">
        <v>3347.31</v>
      </c>
      <c r="E707">
        <v>636</v>
      </c>
      <c r="F707">
        <v>631</v>
      </c>
    </row>
    <row r="708" spans="1:6" x14ac:dyDescent="0.25">
      <c r="A708" t="s">
        <v>834</v>
      </c>
      <c r="B708" s="4">
        <v>3470.83</v>
      </c>
      <c r="C708" s="4">
        <v>22.02</v>
      </c>
      <c r="D708" s="4">
        <v>3448.81</v>
      </c>
      <c r="E708">
        <v>256</v>
      </c>
      <c r="F708">
        <v>241</v>
      </c>
    </row>
    <row r="709" spans="1:6" x14ac:dyDescent="0.25">
      <c r="A709" t="s">
        <v>835</v>
      </c>
      <c r="B709" s="4">
        <v>3456.75</v>
      </c>
      <c r="C709" s="4">
        <v>15</v>
      </c>
      <c r="D709" s="4">
        <v>3441.75</v>
      </c>
      <c r="E709">
        <v>274</v>
      </c>
      <c r="F709">
        <v>266</v>
      </c>
    </row>
    <row r="710" spans="1:6" x14ac:dyDescent="0.25">
      <c r="A710" t="s">
        <v>836</v>
      </c>
      <c r="B710" s="4">
        <v>3456.33</v>
      </c>
      <c r="C710" s="4">
        <v>30</v>
      </c>
      <c r="D710" s="4">
        <v>3426.33</v>
      </c>
      <c r="E710">
        <v>314</v>
      </c>
      <c r="F710">
        <v>305</v>
      </c>
    </row>
    <row r="711" spans="1:6" x14ac:dyDescent="0.25">
      <c r="A711" t="s">
        <v>837</v>
      </c>
      <c r="B711" s="4">
        <v>3456.15</v>
      </c>
      <c r="C711" s="4">
        <v>46.3</v>
      </c>
      <c r="D711" s="4">
        <v>3409.85</v>
      </c>
      <c r="E711">
        <v>141</v>
      </c>
      <c r="F711">
        <v>133</v>
      </c>
    </row>
    <row r="712" spans="1:6" x14ac:dyDescent="0.25">
      <c r="A712" t="s">
        <v>838</v>
      </c>
      <c r="B712" s="4">
        <v>3450.21</v>
      </c>
      <c r="C712" s="4">
        <v>17.34</v>
      </c>
      <c r="D712" s="4">
        <v>3432.87</v>
      </c>
      <c r="E712">
        <v>210</v>
      </c>
      <c r="F712">
        <v>206</v>
      </c>
    </row>
    <row r="713" spans="1:6" x14ac:dyDescent="0.25">
      <c r="A713" t="s">
        <v>839</v>
      </c>
      <c r="B713" s="4">
        <v>3450.15</v>
      </c>
      <c r="C713" s="4">
        <v>2.5499999999999998</v>
      </c>
      <c r="D713" s="4">
        <v>3447.6</v>
      </c>
      <c r="E713">
        <v>138</v>
      </c>
      <c r="F713">
        <v>132</v>
      </c>
    </row>
    <row r="714" spans="1:6" x14ac:dyDescent="0.25">
      <c r="A714" t="s">
        <v>840</v>
      </c>
      <c r="B714" s="4">
        <v>3448.69</v>
      </c>
      <c r="C714" s="4">
        <v>0</v>
      </c>
      <c r="D714" s="4">
        <v>3448.69</v>
      </c>
      <c r="E714">
        <v>157</v>
      </c>
      <c r="F714">
        <v>154</v>
      </c>
    </row>
    <row r="715" spans="1:6" x14ac:dyDescent="0.25">
      <c r="A715" t="s">
        <v>841</v>
      </c>
      <c r="B715" s="4">
        <v>3448.05</v>
      </c>
      <c r="C715" s="4">
        <v>2.5499999999999998</v>
      </c>
      <c r="D715" s="4">
        <v>3445.5</v>
      </c>
      <c r="E715">
        <v>36</v>
      </c>
      <c r="F715">
        <v>36</v>
      </c>
    </row>
    <row r="716" spans="1:6" x14ac:dyDescent="0.25">
      <c r="A716" t="s">
        <v>842</v>
      </c>
      <c r="B716" s="4">
        <v>3447.55</v>
      </c>
      <c r="C716" s="4">
        <v>1.7</v>
      </c>
      <c r="D716" s="4">
        <v>3445.85</v>
      </c>
      <c r="E716">
        <v>330</v>
      </c>
      <c r="F716">
        <v>317</v>
      </c>
    </row>
    <row r="717" spans="1:6" x14ac:dyDescent="0.25">
      <c r="A717" t="s">
        <v>843</v>
      </c>
      <c r="B717" s="4">
        <v>3446.95</v>
      </c>
      <c r="C717" s="4">
        <v>216.9</v>
      </c>
      <c r="D717" s="4">
        <v>3230.05</v>
      </c>
      <c r="E717">
        <v>136</v>
      </c>
      <c r="F717">
        <v>134</v>
      </c>
    </row>
    <row r="718" spans="1:6" x14ac:dyDescent="0.25">
      <c r="A718" t="s">
        <v>844</v>
      </c>
      <c r="B718" s="4">
        <v>3444.91</v>
      </c>
      <c r="C718" s="4">
        <v>33.15</v>
      </c>
      <c r="D718" s="4">
        <v>3411.76</v>
      </c>
      <c r="E718">
        <v>199</v>
      </c>
      <c r="F718">
        <v>196</v>
      </c>
    </row>
    <row r="719" spans="1:6" x14ac:dyDescent="0.25">
      <c r="A719" t="s">
        <v>845</v>
      </c>
      <c r="B719" s="4">
        <v>3442.13</v>
      </c>
      <c r="C719" s="4">
        <v>23.8</v>
      </c>
      <c r="D719" s="4">
        <v>3418.33</v>
      </c>
      <c r="E719">
        <v>85</v>
      </c>
      <c r="F719">
        <v>85</v>
      </c>
    </row>
    <row r="720" spans="1:6" x14ac:dyDescent="0.25">
      <c r="A720" t="s">
        <v>846</v>
      </c>
      <c r="B720" s="4">
        <v>3439.94</v>
      </c>
      <c r="C720" s="4">
        <v>12.5</v>
      </c>
      <c r="D720" s="4">
        <v>3427.44</v>
      </c>
      <c r="E720">
        <v>100</v>
      </c>
      <c r="F720">
        <v>99</v>
      </c>
    </row>
    <row r="721" spans="1:6" x14ac:dyDescent="0.25">
      <c r="A721" t="s">
        <v>847</v>
      </c>
      <c r="B721" s="4">
        <v>3437.85</v>
      </c>
      <c r="C721" s="4">
        <v>49.92</v>
      </c>
      <c r="D721" s="4">
        <v>3387.93</v>
      </c>
      <c r="E721">
        <v>212</v>
      </c>
      <c r="F721">
        <v>205</v>
      </c>
    </row>
    <row r="722" spans="1:6" x14ac:dyDescent="0.25">
      <c r="A722" t="s">
        <v>848</v>
      </c>
      <c r="B722" s="4">
        <v>3431.89</v>
      </c>
      <c r="C722" s="4">
        <v>49.8</v>
      </c>
      <c r="D722" s="4">
        <v>3382.09</v>
      </c>
      <c r="E722">
        <v>332</v>
      </c>
      <c r="F722">
        <v>322</v>
      </c>
    </row>
    <row r="723" spans="1:6" x14ac:dyDescent="0.25">
      <c r="A723" t="s">
        <v>849</v>
      </c>
      <c r="B723" s="4">
        <v>3430</v>
      </c>
      <c r="C723" s="4">
        <v>0</v>
      </c>
      <c r="D723" s="4">
        <v>3430</v>
      </c>
      <c r="E723">
        <v>232</v>
      </c>
      <c r="F723">
        <v>230</v>
      </c>
    </row>
    <row r="724" spans="1:6" x14ac:dyDescent="0.25">
      <c r="A724" t="s">
        <v>850</v>
      </c>
      <c r="B724" s="4">
        <v>3427.48</v>
      </c>
      <c r="C724" s="4">
        <v>35.549999999999997</v>
      </c>
      <c r="D724" s="4">
        <v>3391.93</v>
      </c>
      <c r="E724">
        <v>213</v>
      </c>
      <c r="F724">
        <v>209</v>
      </c>
    </row>
    <row r="725" spans="1:6" x14ac:dyDescent="0.25">
      <c r="A725" t="s">
        <v>851</v>
      </c>
      <c r="B725" s="4">
        <v>3418.51</v>
      </c>
      <c r="C725" s="4">
        <v>20.65</v>
      </c>
      <c r="D725" s="4">
        <v>3397.86</v>
      </c>
      <c r="E725">
        <v>149</v>
      </c>
      <c r="F725">
        <v>142</v>
      </c>
    </row>
    <row r="726" spans="1:6" x14ac:dyDescent="0.25">
      <c r="A726" t="s">
        <v>852</v>
      </c>
      <c r="B726" s="4">
        <v>3417.28</v>
      </c>
      <c r="C726" s="4">
        <v>33.75</v>
      </c>
      <c r="D726" s="4">
        <v>3383.53</v>
      </c>
      <c r="E726">
        <v>230</v>
      </c>
      <c r="F726">
        <v>230</v>
      </c>
    </row>
    <row r="727" spans="1:6" x14ac:dyDescent="0.25">
      <c r="A727" t="s">
        <v>853</v>
      </c>
      <c r="B727" s="4">
        <v>3399.95</v>
      </c>
      <c r="C727" s="4">
        <v>0</v>
      </c>
      <c r="D727" s="4">
        <v>3399.95</v>
      </c>
      <c r="E727">
        <v>74</v>
      </c>
      <c r="F727">
        <v>74</v>
      </c>
    </row>
    <row r="728" spans="1:6" x14ac:dyDescent="0.25">
      <c r="A728" t="s">
        <v>854</v>
      </c>
      <c r="B728" s="4">
        <v>3399.49</v>
      </c>
      <c r="C728" s="4">
        <v>115.8</v>
      </c>
      <c r="D728" s="4">
        <v>3283.69</v>
      </c>
      <c r="E728">
        <v>186</v>
      </c>
      <c r="F728">
        <v>178</v>
      </c>
    </row>
    <row r="729" spans="1:6" x14ac:dyDescent="0.25">
      <c r="A729" t="s">
        <v>855</v>
      </c>
      <c r="B729" s="4">
        <v>3398.95</v>
      </c>
      <c r="C729" s="4">
        <v>74.099999999999994</v>
      </c>
      <c r="D729" s="4">
        <v>3324.85</v>
      </c>
      <c r="E729">
        <v>293</v>
      </c>
      <c r="F729">
        <v>286</v>
      </c>
    </row>
    <row r="730" spans="1:6" x14ac:dyDescent="0.25">
      <c r="A730" t="s">
        <v>856</v>
      </c>
      <c r="B730" s="4">
        <v>3397.65</v>
      </c>
      <c r="C730" s="4">
        <v>5.04</v>
      </c>
      <c r="D730" s="4">
        <v>3392.61</v>
      </c>
      <c r="E730">
        <v>530</v>
      </c>
      <c r="F730">
        <v>527</v>
      </c>
    </row>
    <row r="731" spans="1:6" x14ac:dyDescent="0.25">
      <c r="A731" t="s">
        <v>857</v>
      </c>
      <c r="B731" s="4">
        <v>3390.88</v>
      </c>
      <c r="C731" s="4">
        <v>82.6</v>
      </c>
      <c r="D731" s="4">
        <v>3308.28</v>
      </c>
      <c r="E731">
        <v>316</v>
      </c>
      <c r="F731">
        <v>313</v>
      </c>
    </row>
    <row r="732" spans="1:6" x14ac:dyDescent="0.25">
      <c r="A732" t="s">
        <v>858</v>
      </c>
      <c r="B732" s="4">
        <v>3380.45</v>
      </c>
      <c r="C732" s="4">
        <v>58.5</v>
      </c>
      <c r="D732" s="4">
        <v>3321.95</v>
      </c>
      <c r="E732">
        <v>254</v>
      </c>
      <c r="F732">
        <v>250</v>
      </c>
    </row>
    <row r="733" spans="1:6" x14ac:dyDescent="0.25">
      <c r="A733" t="s">
        <v>859</v>
      </c>
      <c r="B733" s="4">
        <v>3377.74</v>
      </c>
      <c r="C733" s="4">
        <v>6.05</v>
      </c>
      <c r="D733" s="4">
        <v>3371.69</v>
      </c>
      <c r="E733">
        <v>127</v>
      </c>
      <c r="F733">
        <v>125</v>
      </c>
    </row>
    <row r="734" spans="1:6" x14ac:dyDescent="0.25">
      <c r="A734" t="s">
        <v>860</v>
      </c>
      <c r="B734" s="4">
        <v>3363.34</v>
      </c>
      <c r="C734" s="4">
        <v>15</v>
      </c>
      <c r="D734" s="4">
        <v>3348.34</v>
      </c>
      <c r="E734">
        <v>432</v>
      </c>
      <c r="F734">
        <v>425</v>
      </c>
    </row>
    <row r="735" spans="1:6" x14ac:dyDescent="0.25">
      <c r="A735" t="s">
        <v>861</v>
      </c>
      <c r="B735" s="4">
        <v>3358.18</v>
      </c>
      <c r="C735" s="4">
        <v>1.25</v>
      </c>
      <c r="D735" s="4">
        <v>3356.93</v>
      </c>
      <c r="E735">
        <v>291</v>
      </c>
      <c r="F735">
        <v>281</v>
      </c>
    </row>
    <row r="736" spans="1:6" x14ac:dyDescent="0.25">
      <c r="A736" t="s">
        <v>862</v>
      </c>
      <c r="B736" s="4">
        <v>3354.22</v>
      </c>
      <c r="C736" s="4">
        <v>0</v>
      </c>
      <c r="D736" s="4">
        <v>3354.22</v>
      </c>
      <c r="E736">
        <v>52</v>
      </c>
      <c r="F736">
        <v>52</v>
      </c>
    </row>
    <row r="737" spans="1:6" x14ac:dyDescent="0.25">
      <c r="A737" t="s">
        <v>863</v>
      </c>
      <c r="B737" s="4">
        <v>3350.62</v>
      </c>
      <c r="C737" s="4">
        <v>27.3</v>
      </c>
      <c r="D737" s="4">
        <v>3323.32</v>
      </c>
      <c r="E737">
        <v>283</v>
      </c>
      <c r="F737">
        <v>277</v>
      </c>
    </row>
    <row r="738" spans="1:6" x14ac:dyDescent="0.25">
      <c r="A738" t="s">
        <v>864</v>
      </c>
      <c r="B738" s="4">
        <v>3348.39</v>
      </c>
      <c r="C738" s="4">
        <v>49.5</v>
      </c>
      <c r="D738" s="4">
        <v>3298.89</v>
      </c>
      <c r="E738">
        <v>331</v>
      </c>
      <c r="F738">
        <v>323</v>
      </c>
    </row>
    <row r="739" spans="1:6" x14ac:dyDescent="0.25">
      <c r="A739" t="s">
        <v>865</v>
      </c>
      <c r="B739" s="4">
        <v>3328.2</v>
      </c>
      <c r="C739" s="4">
        <v>12.75</v>
      </c>
      <c r="D739" s="4">
        <v>3315.45</v>
      </c>
      <c r="E739">
        <v>147</v>
      </c>
      <c r="F739">
        <v>146</v>
      </c>
    </row>
    <row r="740" spans="1:6" x14ac:dyDescent="0.25">
      <c r="A740" t="s">
        <v>866</v>
      </c>
      <c r="B740" s="4">
        <v>3305.83</v>
      </c>
      <c r="C740" s="4">
        <v>26.25</v>
      </c>
      <c r="D740" s="4">
        <v>3279.58</v>
      </c>
      <c r="E740">
        <v>220</v>
      </c>
      <c r="F740">
        <v>210</v>
      </c>
    </row>
    <row r="741" spans="1:6" x14ac:dyDescent="0.25">
      <c r="A741" t="s">
        <v>867</v>
      </c>
      <c r="B741" s="4">
        <v>3304.23</v>
      </c>
      <c r="C741" s="4">
        <v>15</v>
      </c>
      <c r="D741" s="4">
        <v>3289.23</v>
      </c>
      <c r="E741">
        <v>239</v>
      </c>
      <c r="F741">
        <v>237</v>
      </c>
    </row>
    <row r="742" spans="1:6" x14ac:dyDescent="0.25">
      <c r="A742" t="s">
        <v>868</v>
      </c>
      <c r="B742" s="4">
        <v>3294.91</v>
      </c>
      <c r="C742" s="4">
        <v>72.97</v>
      </c>
      <c r="D742" s="4">
        <v>3221.94</v>
      </c>
      <c r="E742">
        <v>344</v>
      </c>
      <c r="F742">
        <v>342</v>
      </c>
    </row>
    <row r="743" spans="1:6" x14ac:dyDescent="0.25">
      <c r="A743" t="s">
        <v>869</v>
      </c>
      <c r="B743" s="4">
        <v>3289.75</v>
      </c>
      <c r="C743" s="4">
        <v>23.75</v>
      </c>
      <c r="D743" s="4">
        <v>3266</v>
      </c>
      <c r="E743">
        <v>213</v>
      </c>
      <c r="F743">
        <v>211</v>
      </c>
    </row>
    <row r="744" spans="1:6" x14ac:dyDescent="0.25">
      <c r="A744" t="s">
        <v>870</v>
      </c>
      <c r="B744" s="4">
        <v>3282.3</v>
      </c>
      <c r="C744" s="4">
        <v>32.700000000000003</v>
      </c>
      <c r="D744" s="4">
        <v>3249.6</v>
      </c>
      <c r="E744">
        <v>232</v>
      </c>
      <c r="F744">
        <v>222</v>
      </c>
    </row>
    <row r="745" spans="1:6" x14ac:dyDescent="0.25">
      <c r="A745" t="s">
        <v>871</v>
      </c>
      <c r="B745" s="4">
        <v>3280.11</v>
      </c>
      <c r="C745" s="4">
        <v>31.2</v>
      </c>
      <c r="D745" s="4">
        <v>3248.91</v>
      </c>
      <c r="E745">
        <v>162</v>
      </c>
      <c r="F745">
        <v>159</v>
      </c>
    </row>
    <row r="746" spans="1:6" x14ac:dyDescent="0.25">
      <c r="A746" t="s">
        <v>872</v>
      </c>
      <c r="B746" s="4">
        <v>3279.21</v>
      </c>
      <c r="C746" s="4">
        <v>0</v>
      </c>
      <c r="D746" s="4">
        <v>3279.21</v>
      </c>
      <c r="E746">
        <v>394</v>
      </c>
      <c r="F746">
        <v>382</v>
      </c>
    </row>
    <row r="747" spans="1:6" x14ac:dyDescent="0.25">
      <c r="A747" t="s">
        <v>873</v>
      </c>
      <c r="B747" s="4">
        <v>3277.31</v>
      </c>
      <c r="C747" s="4">
        <v>64.900000000000006</v>
      </c>
      <c r="D747" s="4">
        <v>3212.41</v>
      </c>
      <c r="E747">
        <v>139</v>
      </c>
      <c r="F747">
        <v>138</v>
      </c>
    </row>
    <row r="748" spans="1:6" x14ac:dyDescent="0.25">
      <c r="A748" t="s">
        <v>874</v>
      </c>
      <c r="B748" s="4">
        <v>3266.09</v>
      </c>
      <c r="C748" s="4">
        <v>99</v>
      </c>
      <c r="D748" s="4">
        <v>3167.09</v>
      </c>
      <c r="E748">
        <v>200</v>
      </c>
      <c r="F748">
        <v>195</v>
      </c>
    </row>
    <row r="749" spans="1:6" x14ac:dyDescent="0.25">
      <c r="A749" t="s">
        <v>875</v>
      </c>
      <c r="B749" s="4">
        <v>3262.57</v>
      </c>
      <c r="C749" s="4">
        <v>8.25</v>
      </c>
      <c r="D749" s="4">
        <v>3254.32</v>
      </c>
      <c r="E749">
        <v>165</v>
      </c>
      <c r="F749">
        <v>164</v>
      </c>
    </row>
    <row r="750" spans="1:6" x14ac:dyDescent="0.25">
      <c r="A750" t="s">
        <v>876</v>
      </c>
      <c r="B750" s="4">
        <v>3262.25</v>
      </c>
      <c r="C750" s="4">
        <v>99.41</v>
      </c>
      <c r="D750" s="4">
        <v>3162.84</v>
      </c>
      <c r="E750">
        <v>306</v>
      </c>
      <c r="F750">
        <v>302</v>
      </c>
    </row>
    <row r="751" spans="1:6" x14ac:dyDescent="0.25">
      <c r="A751" t="s">
        <v>877</v>
      </c>
      <c r="B751" s="4">
        <v>3245.68</v>
      </c>
      <c r="C751" s="4">
        <v>14.7</v>
      </c>
      <c r="D751" s="4">
        <v>3230.98</v>
      </c>
      <c r="E751">
        <v>194</v>
      </c>
      <c r="F751">
        <v>192</v>
      </c>
    </row>
    <row r="752" spans="1:6" x14ac:dyDescent="0.25">
      <c r="A752" t="s">
        <v>878</v>
      </c>
      <c r="B752" s="4">
        <v>3244.94</v>
      </c>
      <c r="C752" s="4">
        <v>25.2</v>
      </c>
      <c r="D752" s="4">
        <v>3219.74</v>
      </c>
      <c r="E752">
        <v>333</v>
      </c>
      <c r="F752">
        <v>328</v>
      </c>
    </row>
    <row r="753" spans="1:6" x14ac:dyDescent="0.25">
      <c r="A753" t="s">
        <v>879</v>
      </c>
      <c r="B753" s="4">
        <v>3230.41</v>
      </c>
      <c r="C753" s="4">
        <v>78.75</v>
      </c>
      <c r="D753" s="4">
        <v>3151.66</v>
      </c>
      <c r="E753">
        <v>236</v>
      </c>
      <c r="F753">
        <v>229</v>
      </c>
    </row>
    <row r="754" spans="1:6" x14ac:dyDescent="0.25">
      <c r="A754" t="s">
        <v>880</v>
      </c>
      <c r="B754" s="4">
        <v>3228.42</v>
      </c>
      <c r="C754" s="4">
        <v>31.5</v>
      </c>
      <c r="D754" s="4">
        <v>3196.92</v>
      </c>
      <c r="E754">
        <v>236</v>
      </c>
      <c r="F754">
        <v>235</v>
      </c>
    </row>
    <row r="755" spans="1:6" x14ac:dyDescent="0.25">
      <c r="A755" t="s">
        <v>881</v>
      </c>
      <c r="B755" s="4">
        <v>3226.09</v>
      </c>
      <c r="C755" s="4">
        <v>13.05</v>
      </c>
      <c r="D755" s="4">
        <v>3213.04</v>
      </c>
      <c r="E755">
        <v>195</v>
      </c>
      <c r="F755">
        <v>191</v>
      </c>
    </row>
    <row r="756" spans="1:6" x14ac:dyDescent="0.25">
      <c r="A756" t="s">
        <v>882</v>
      </c>
      <c r="B756" s="4">
        <v>3223.49</v>
      </c>
      <c r="C756" s="4">
        <v>16.5</v>
      </c>
      <c r="D756" s="4">
        <v>3206.99</v>
      </c>
      <c r="E756">
        <v>162</v>
      </c>
      <c r="F756">
        <v>162</v>
      </c>
    </row>
    <row r="757" spans="1:6" x14ac:dyDescent="0.25">
      <c r="A757" t="s">
        <v>883</v>
      </c>
      <c r="B757" s="4">
        <v>3216.12</v>
      </c>
      <c r="C757" s="4">
        <v>2.6</v>
      </c>
      <c r="D757" s="4">
        <v>3213.52</v>
      </c>
      <c r="E757">
        <v>370</v>
      </c>
      <c r="F757">
        <v>355</v>
      </c>
    </row>
    <row r="758" spans="1:6" x14ac:dyDescent="0.25">
      <c r="A758" t="s">
        <v>884</v>
      </c>
      <c r="B758" s="4">
        <v>3210.52</v>
      </c>
      <c r="C758" s="4">
        <v>284.95</v>
      </c>
      <c r="D758" s="4">
        <v>2925.57</v>
      </c>
      <c r="E758">
        <v>221</v>
      </c>
      <c r="F758">
        <v>214</v>
      </c>
    </row>
    <row r="759" spans="1:6" x14ac:dyDescent="0.25">
      <c r="A759" t="s">
        <v>885</v>
      </c>
      <c r="B759" s="4">
        <v>3207.69</v>
      </c>
      <c r="C759" s="4">
        <v>128.72</v>
      </c>
      <c r="D759" s="4">
        <v>3078.97</v>
      </c>
      <c r="E759">
        <v>183</v>
      </c>
      <c r="F759">
        <v>177</v>
      </c>
    </row>
    <row r="760" spans="1:6" x14ac:dyDescent="0.25">
      <c r="A760" t="s">
        <v>886</v>
      </c>
      <c r="B760" s="4">
        <v>3193.83</v>
      </c>
      <c r="C760" s="4">
        <v>10.199999999999999</v>
      </c>
      <c r="D760" s="4">
        <v>3183.63</v>
      </c>
      <c r="E760">
        <v>222</v>
      </c>
      <c r="F760">
        <v>219</v>
      </c>
    </row>
    <row r="761" spans="1:6" x14ac:dyDescent="0.25">
      <c r="A761" t="s">
        <v>887</v>
      </c>
      <c r="B761" s="4">
        <v>3193.41</v>
      </c>
      <c r="C761" s="4">
        <v>8.5</v>
      </c>
      <c r="D761" s="4">
        <v>3184.91</v>
      </c>
      <c r="E761">
        <v>165</v>
      </c>
      <c r="F761">
        <v>163</v>
      </c>
    </row>
    <row r="762" spans="1:6" x14ac:dyDescent="0.25">
      <c r="A762" t="s">
        <v>888</v>
      </c>
      <c r="B762" s="4">
        <v>3174.84</v>
      </c>
      <c r="C762" s="4">
        <v>0</v>
      </c>
      <c r="D762" s="4">
        <v>3174.84</v>
      </c>
      <c r="E762">
        <v>166</v>
      </c>
      <c r="F762">
        <v>162</v>
      </c>
    </row>
    <row r="763" spans="1:6" x14ac:dyDescent="0.25">
      <c r="A763" t="s">
        <v>889</v>
      </c>
      <c r="B763" s="4">
        <v>3155.18</v>
      </c>
      <c r="C763" s="4">
        <v>6.3</v>
      </c>
      <c r="D763" s="4">
        <v>3148.88</v>
      </c>
      <c r="E763">
        <v>306</v>
      </c>
      <c r="F763">
        <v>294</v>
      </c>
    </row>
    <row r="764" spans="1:6" x14ac:dyDescent="0.25">
      <c r="A764" t="s">
        <v>890</v>
      </c>
      <c r="B764" s="4">
        <v>3153.09</v>
      </c>
      <c r="C764" s="4">
        <v>42.15</v>
      </c>
      <c r="D764" s="4">
        <v>3110.94</v>
      </c>
      <c r="E764">
        <v>202</v>
      </c>
      <c r="F764">
        <v>198</v>
      </c>
    </row>
    <row r="765" spans="1:6" x14ac:dyDescent="0.25">
      <c r="A765" t="s">
        <v>891</v>
      </c>
      <c r="B765" s="4">
        <v>3146.82</v>
      </c>
      <c r="C765" s="4">
        <v>223.12</v>
      </c>
      <c r="D765" s="4">
        <v>2923.7</v>
      </c>
      <c r="E765">
        <v>148</v>
      </c>
      <c r="F765">
        <v>143</v>
      </c>
    </row>
    <row r="766" spans="1:6" x14ac:dyDescent="0.25">
      <c r="A766" t="s">
        <v>892</v>
      </c>
      <c r="B766" s="4">
        <v>3145.05</v>
      </c>
      <c r="C766" s="4">
        <v>516.70000000000005</v>
      </c>
      <c r="D766" s="4">
        <v>2628.35</v>
      </c>
      <c r="E766">
        <v>157</v>
      </c>
      <c r="F766">
        <v>157</v>
      </c>
    </row>
    <row r="767" spans="1:6" x14ac:dyDescent="0.25">
      <c r="A767" t="s">
        <v>893</v>
      </c>
      <c r="B767" s="4">
        <v>3139.3</v>
      </c>
      <c r="C767" s="4">
        <v>127.5</v>
      </c>
      <c r="D767" s="4">
        <v>3011.8</v>
      </c>
      <c r="E767">
        <v>99</v>
      </c>
      <c r="F767">
        <v>98</v>
      </c>
    </row>
    <row r="768" spans="1:6" x14ac:dyDescent="0.25">
      <c r="A768" t="s">
        <v>894</v>
      </c>
      <c r="B768" s="4">
        <v>3138</v>
      </c>
      <c r="C768" s="4">
        <v>42.25</v>
      </c>
      <c r="D768" s="4">
        <v>3095.75</v>
      </c>
      <c r="E768">
        <v>230</v>
      </c>
      <c r="F768">
        <v>224</v>
      </c>
    </row>
    <row r="769" spans="1:6" x14ac:dyDescent="0.25">
      <c r="A769" t="s">
        <v>895</v>
      </c>
      <c r="B769" s="4">
        <v>3127.38</v>
      </c>
      <c r="C769" s="4">
        <v>5.0999999999999996</v>
      </c>
      <c r="D769" s="4">
        <v>3122.28</v>
      </c>
      <c r="E769">
        <v>214</v>
      </c>
      <c r="F769">
        <v>213</v>
      </c>
    </row>
    <row r="770" spans="1:6" x14ac:dyDescent="0.25">
      <c r="A770" t="s">
        <v>896</v>
      </c>
      <c r="B770" s="4">
        <v>3117.34</v>
      </c>
      <c r="C770" s="4">
        <v>7.5</v>
      </c>
      <c r="D770" s="4">
        <v>3109.84</v>
      </c>
      <c r="E770">
        <v>188</v>
      </c>
      <c r="F770">
        <v>184</v>
      </c>
    </row>
    <row r="771" spans="1:6" x14ac:dyDescent="0.25">
      <c r="A771" t="s">
        <v>897</v>
      </c>
      <c r="B771" s="4">
        <v>3112.81</v>
      </c>
      <c r="C771" s="4">
        <v>30.34</v>
      </c>
      <c r="D771" s="4">
        <v>3082.47</v>
      </c>
      <c r="E771">
        <v>329</v>
      </c>
      <c r="F771">
        <v>325</v>
      </c>
    </row>
    <row r="772" spans="1:6" x14ac:dyDescent="0.25">
      <c r="A772" t="s">
        <v>898</v>
      </c>
      <c r="B772" s="4">
        <v>3090.96</v>
      </c>
      <c r="C772" s="4">
        <v>2.1</v>
      </c>
      <c r="D772" s="4">
        <v>3088.86</v>
      </c>
      <c r="E772">
        <v>308</v>
      </c>
      <c r="F772">
        <v>304</v>
      </c>
    </row>
    <row r="773" spans="1:6" x14ac:dyDescent="0.25">
      <c r="A773" t="s">
        <v>899</v>
      </c>
      <c r="B773" s="4">
        <v>3082.71</v>
      </c>
      <c r="C773" s="4">
        <v>16.600000000000001</v>
      </c>
      <c r="D773" s="4">
        <v>3066.11</v>
      </c>
      <c r="E773">
        <v>107</v>
      </c>
      <c r="F773">
        <v>94</v>
      </c>
    </row>
    <row r="774" spans="1:6" x14ac:dyDescent="0.25">
      <c r="A774" t="s">
        <v>900</v>
      </c>
      <c r="B774" s="4">
        <v>3079.88</v>
      </c>
      <c r="C774" s="4">
        <v>0</v>
      </c>
      <c r="D774" s="4">
        <v>3079.88</v>
      </c>
      <c r="E774">
        <v>250</v>
      </c>
      <c r="F774">
        <v>241</v>
      </c>
    </row>
    <row r="775" spans="1:6" x14ac:dyDescent="0.25">
      <c r="A775" t="s">
        <v>901</v>
      </c>
      <c r="B775" s="4">
        <v>3072.59</v>
      </c>
      <c r="C775" s="4">
        <v>56.1</v>
      </c>
      <c r="D775" s="4">
        <v>3016.49</v>
      </c>
      <c r="E775">
        <v>233</v>
      </c>
      <c r="F775">
        <v>229</v>
      </c>
    </row>
    <row r="776" spans="1:6" x14ac:dyDescent="0.25">
      <c r="A776" t="s">
        <v>902</v>
      </c>
      <c r="B776" s="4">
        <v>3063.52</v>
      </c>
      <c r="C776" s="4">
        <v>464.17</v>
      </c>
      <c r="D776" s="4">
        <v>2599.35</v>
      </c>
      <c r="E776">
        <v>191</v>
      </c>
      <c r="F776">
        <v>186</v>
      </c>
    </row>
    <row r="777" spans="1:6" x14ac:dyDescent="0.25">
      <c r="A777" t="s">
        <v>903</v>
      </c>
      <c r="B777" s="4">
        <v>3056.34</v>
      </c>
      <c r="C777" s="4">
        <v>4.95</v>
      </c>
      <c r="D777" s="4">
        <v>3051.39</v>
      </c>
      <c r="E777">
        <v>261</v>
      </c>
      <c r="F777">
        <v>233</v>
      </c>
    </row>
    <row r="778" spans="1:6" x14ac:dyDescent="0.25">
      <c r="A778" t="s">
        <v>904</v>
      </c>
      <c r="B778" s="4">
        <v>3052.92</v>
      </c>
      <c r="C778" s="4">
        <v>0</v>
      </c>
      <c r="D778" s="4">
        <v>3052.92</v>
      </c>
      <c r="E778">
        <v>70</v>
      </c>
      <c r="F778">
        <v>67</v>
      </c>
    </row>
    <row r="779" spans="1:6" x14ac:dyDescent="0.25">
      <c r="A779" t="s">
        <v>905</v>
      </c>
      <c r="B779" s="4">
        <v>3045.68</v>
      </c>
      <c r="C779" s="4">
        <v>140.1</v>
      </c>
      <c r="D779" s="4">
        <v>2905.58</v>
      </c>
      <c r="E779">
        <v>169</v>
      </c>
      <c r="F779">
        <v>165</v>
      </c>
    </row>
    <row r="780" spans="1:6" x14ac:dyDescent="0.25">
      <c r="A780" t="s">
        <v>906</v>
      </c>
      <c r="B780" s="4">
        <v>3044.76</v>
      </c>
      <c r="C780" s="4">
        <v>0</v>
      </c>
      <c r="D780" s="4">
        <v>3044.76</v>
      </c>
      <c r="E780">
        <v>131</v>
      </c>
      <c r="F780">
        <v>125</v>
      </c>
    </row>
    <row r="781" spans="1:6" x14ac:dyDescent="0.25">
      <c r="A781" t="s">
        <v>907</v>
      </c>
      <c r="B781" s="4">
        <v>3042.19</v>
      </c>
      <c r="C781" s="4">
        <v>4.1500000000000004</v>
      </c>
      <c r="D781" s="4">
        <v>3038.04</v>
      </c>
      <c r="E781">
        <v>170</v>
      </c>
      <c r="F781">
        <v>163</v>
      </c>
    </row>
    <row r="782" spans="1:6" x14ac:dyDescent="0.25">
      <c r="A782" t="s">
        <v>908</v>
      </c>
      <c r="B782" s="4">
        <v>3037.11</v>
      </c>
      <c r="C782" s="4">
        <v>56.16</v>
      </c>
      <c r="D782" s="4">
        <v>2980.95</v>
      </c>
      <c r="E782">
        <v>223</v>
      </c>
      <c r="F782">
        <v>214</v>
      </c>
    </row>
    <row r="783" spans="1:6" x14ac:dyDescent="0.25">
      <c r="A783" t="s">
        <v>909</v>
      </c>
      <c r="B783" s="4">
        <v>3029.1</v>
      </c>
      <c r="C783" s="4">
        <v>115.19</v>
      </c>
      <c r="D783" s="4">
        <v>2913.91</v>
      </c>
      <c r="E783">
        <v>200</v>
      </c>
      <c r="F783">
        <v>199</v>
      </c>
    </row>
    <row r="784" spans="1:6" x14ac:dyDescent="0.25">
      <c r="A784" t="s">
        <v>910</v>
      </c>
      <c r="B784" s="4">
        <v>3027.38</v>
      </c>
      <c r="C784" s="4">
        <v>0</v>
      </c>
      <c r="D784" s="4">
        <v>3027.38</v>
      </c>
      <c r="E784">
        <v>123</v>
      </c>
      <c r="F784">
        <v>122</v>
      </c>
    </row>
    <row r="785" spans="1:6" x14ac:dyDescent="0.25">
      <c r="A785" t="s">
        <v>911</v>
      </c>
      <c r="B785" s="4">
        <v>3022.79</v>
      </c>
      <c r="C785" s="4">
        <v>73.75</v>
      </c>
      <c r="D785" s="4">
        <v>2949.04</v>
      </c>
      <c r="E785">
        <v>268</v>
      </c>
      <c r="F785">
        <v>252</v>
      </c>
    </row>
    <row r="786" spans="1:6" x14ac:dyDescent="0.25">
      <c r="A786" t="s">
        <v>912</v>
      </c>
      <c r="B786" s="4">
        <v>3021.12</v>
      </c>
      <c r="C786" s="4">
        <v>7.5</v>
      </c>
      <c r="D786" s="4">
        <v>3013.62</v>
      </c>
      <c r="E786">
        <v>135</v>
      </c>
      <c r="F786">
        <v>135</v>
      </c>
    </row>
    <row r="787" spans="1:6" x14ac:dyDescent="0.25">
      <c r="A787" t="s">
        <v>913</v>
      </c>
      <c r="B787" s="4">
        <v>3019.12</v>
      </c>
      <c r="C787" s="4">
        <v>200.58</v>
      </c>
      <c r="D787" s="4">
        <v>2818.54</v>
      </c>
      <c r="E787">
        <v>177</v>
      </c>
      <c r="F787">
        <v>172</v>
      </c>
    </row>
    <row r="788" spans="1:6" x14ac:dyDescent="0.25">
      <c r="A788" t="s">
        <v>914</v>
      </c>
      <c r="B788" s="4">
        <v>3018.15</v>
      </c>
      <c r="C788" s="4">
        <v>25</v>
      </c>
      <c r="D788" s="4">
        <v>2993.15</v>
      </c>
      <c r="E788">
        <v>228</v>
      </c>
      <c r="F788">
        <v>225</v>
      </c>
    </row>
    <row r="789" spans="1:6" x14ac:dyDescent="0.25">
      <c r="A789" t="s">
        <v>915</v>
      </c>
      <c r="B789" s="4">
        <v>3008.34</v>
      </c>
      <c r="C789" s="4">
        <v>0</v>
      </c>
      <c r="D789" s="4">
        <v>3008.34</v>
      </c>
      <c r="E789">
        <v>260</v>
      </c>
      <c r="F789">
        <v>260</v>
      </c>
    </row>
    <row r="790" spans="1:6" x14ac:dyDescent="0.25">
      <c r="A790" t="s">
        <v>916</v>
      </c>
      <c r="B790" s="4">
        <v>3000.02</v>
      </c>
      <c r="C790" s="4">
        <v>13.05</v>
      </c>
      <c r="D790" s="4">
        <v>2986.97</v>
      </c>
      <c r="E790">
        <v>278</v>
      </c>
      <c r="F790">
        <v>276</v>
      </c>
    </row>
    <row r="791" spans="1:6" x14ac:dyDescent="0.25">
      <c r="A791" t="s">
        <v>917</v>
      </c>
      <c r="B791" s="4">
        <v>2997.64</v>
      </c>
      <c r="C791" s="4">
        <v>0</v>
      </c>
      <c r="D791" s="4">
        <v>2997.64</v>
      </c>
      <c r="E791">
        <v>197</v>
      </c>
      <c r="F791">
        <v>193</v>
      </c>
    </row>
    <row r="792" spans="1:6" x14ac:dyDescent="0.25">
      <c r="A792" t="s">
        <v>918</v>
      </c>
      <c r="B792" s="4">
        <v>2990.92</v>
      </c>
      <c r="C792" s="4">
        <v>10.5</v>
      </c>
      <c r="D792" s="4">
        <v>2980.42</v>
      </c>
      <c r="E792">
        <v>249</v>
      </c>
      <c r="F792">
        <v>248</v>
      </c>
    </row>
    <row r="793" spans="1:6" x14ac:dyDescent="0.25">
      <c r="A793" t="s">
        <v>919</v>
      </c>
      <c r="B793" s="4">
        <v>2987.82</v>
      </c>
      <c r="C793" s="4">
        <v>2.5499999999999998</v>
      </c>
      <c r="D793" s="4">
        <v>2985.27</v>
      </c>
      <c r="E793">
        <v>104</v>
      </c>
      <c r="F793">
        <v>101</v>
      </c>
    </row>
    <row r="794" spans="1:6" x14ac:dyDescent="0.25">
      <c r="A794" t="s">
        <v>920</v>
      </c>
      <c r="B794" s="4">
        <v>2982.03</v>
      </c>
      <c r="C794" s="4">
        <v>25.5</v>
      </c>
      <c r="D794" s="4">
        <v>2956.53</v>
      </c>
      <c r="E794">
        <v>246</v>
      </c>
      <c r="F794">
        <v>241</v>
      </c>
    </row>
    <row r="795" spans="1:6" x14ac:dyDescent="0.25">
      <c r="A795" t="s">
        <v>921</v>
      </c>
      <c r="B795" s="4">
        <v>2975.14</v>
      </c>
      <c r="C795" s="4">
        <v>3.3</v>
      </c>
      <c r="D795" s="4">
        <v>2971.84</v>
      </c>
      <c r="E795">
        <v>183</v>
      </c>
      <c r="F795">
        <v>183</v>
      </c>
    </row>
    <row r="796" spans="1:6" x14ac:dyDescent="0.25">
      <c r="A796" t="s">
        <v>922</v>
      </c>
      <c r="B796" s="4">
        <v>2967.31</v>
      </c>
      <c r="C796" s="4">
        <v>0</v>
      </c>
      <c r="D796" s="4">
        <v>2967.31</v>
      </c>
      <c r="E796">
        <v>174</v>
      </c>
      <c r="F796">
        <v>169</v>
      </c>
    </row>
    <row r="797" spans="1:6" x14ac:dyDescent="0.25">
      <c r="A797" t="s">
        <v>923</v>
      </c>
      <c r="B797" s="4">
        <v>2959.42</v>
      </c>
      <c r="C797" s="4">
        <v>1.65</v>
      </c>
      <c r="D797" s="4">
        <v>2957.77</v>
      </c>
      <c r="E797">
        <v>264</v>
      </c>
      <c r="F797">
        <v>251</v>
      </c>
    </row>
    <row r="798" spans="1:6" x14ac:dyDescent="0.25">
      <c r="A798" t="s">
        <v>924</v>
      </c>
      <c r="B798" s="4">
        <v>2951.53</v>
      </c>
      <c r="C798" s="4">
        <v>41.65</v>
      </c>
      <c r="D798" s="4">
        <v>2909.88</v>
      </c>
      <c r="E798">
        <v>58</v>
      </c>
      <c r="F798">
        <v>58</v>
      </c>
    </row>
    <row r="799" spans="1:6" x14ac:dyDescent="0.25">
      <c r="A799" t="s">
        <v>925</v>
      </c>
      <c r="B799" s="4">
        <v>2950.67</v>
      </c>
      <c r="C799" s="4">
        <v>6.72</v>
      </c>
      <c r="D799" s="4">
        <v>2943.95</v>
      </c>
      <c r="E799">
        <v>373</v>
      </c>
      <c r="F799">
        <v>369</v>
      </c>
    </row>
    <row r="800" spans="1:6" x14ac:dyDescent="0.25">
      <c r="A800" t="s">
        <v>926</v>
      </c>
      <c r="B800" s="4">
        <v>2948.41</v>
      </c>
      <c r="C800" s="4">
        <v>0</v>
      </c>
      <c r="D800" s="4">
        <v>2948.41</v>
      </c>
      <c r="E800">
        <v>201</v>
      </c>
      <c r="F800">
        <v>192</v>
      </c>
    </row>
    <row r="801" spans="1:6" x14ac:dyDescent="0.25">
      <c r="A801" t="s">
        <v>927</v>
      </c>
      <c r="B801" s="4">
        <v>2946.88</v>
      </c>
      <c r="C801" s="4">
        <v>14.15</v>
      </c>
      <c r="D801" s="4">
        <v>2932.73</v>
      </c>
      <c r="E801">
        <v>161</v>
      </c>
      <c r="F801">
        <v>157</v>
      </c>
    </row>
    <row r="802" spans="1:6" x14ac:dyDescent="0.25">
      <c r="A802" t="s">
        <v>928</v>
      </c>
      <c r="B802" s="4">
        <v>2942.18</v>
      </c>
      <c r="C802" s="4">
        <v>553.70000000000005</v>
      </c>
      <c r="D802" s="4">
        <v>2388.48</v>
      </c>
      <c r="E802">
        <v>168</v>
      </c>
      <c r="F802">
        <v>164</v>
      </c>
    </row>
    <row r="803" spans="1:6" x14ac:dyDescent="0.25">
      <c r="A803" t="s">
        <v>929</v>
      </c>
      <c r="B803" s="4">
        <v>2934.81</v>
      </c>
      <c r="C803" s="4">
        <v>136.80000000000001</v>
      </c>
      <c r="D803" s="4">
        <v>2798.01</v>
      </c>
      <c r="E803">
        <v>112</v>
      </c>
      <c r="F803">
        <v>111</v>
      </c>
    </row>
    <row r="804" spans="1:6" x14ac:dyDescent="0.25">
      <c r="A804" t="s">
        <v>930</v>
      </c>
      <c r="B804" s="4">
        <v>2933.07</v>
      </c>
      <c r="C804" s="4">
        <v>30</v>
      </c>
      <c r="D804" s="4">
        <v>2903.07</v>
      </c>
      <c r="E804">
        <v>164</v>
      </c>
      <c r="F804">
        <v>160</v>
      </c>
    </row>
    <row r="805" spans="1:6" x14ac:dyDescent="0.25">
      <c r="A805" t="s">
        <v>931</v>
      </c>
      <c r="B805" s="4">
        <v>2923.13</v>
      </c>
      <c r="C805" s="4">
        <v>0</v>
      </c>
      <c r="D805" s="4">
        <v>2923.13</v>
      </c>
      <c r="E805">
        <v>148</v>
      </c>
      <c r="F805">
        <v>147</v>
      </c>
    </row>
    <row r="806" spans="1:6" x14ac:dyDescent="0.25">
      <c r="A806" t="s">
        <v>932</v>
      </c>
      <c r="B806" s="4">
        <v>2916.87</v>
      </c>
      <c r="C806" s="4">
        <v>1859.07</v>
      </c>
      <c r="D806" s="4">
        <v>1057.8</v>
      </c>
      <c r="E806">
        <v>43</v>
      </c>
      <c r="F806">
        <v>39</v>
      </c>
    </row>
    <row r="807" spans="1:6" x14ac:dyDescent="0.25">
      <c r="A807" t="s">
        <v>933</v>
      </c>
      <c r="B807" s="4">
        <v>2914.81</v>
      </c>
      <c r="C807" s="4">
        <v>79.8</v>
      </c>
      <c r="D807" s="4">
        <v>2835.01</v>
      </c>
      <c r="E807">
        <v>239</v>
      </c>
      <c r="F807">
        <v>236</v>
      </c>
    </row>
    <row r="808" spans="1:6" x14ac:dyDescent="0.25">
      <c r="A808" t="s">
        <v>934</v>
      </c>
      <c r="B808" s="4">
        <v>2911.27</v>
      </c>
      <c r="C808" s="4">
        <v>67.5</v>
      </c>
      <c r="D808" s="4">
        <v>2843.77</v>
      </c>
      <c r="E808">
        <v>127</v>
      </c>
      <c r="F808">
        <v>126</v>
      </c>
    </row>
    <row r="809" spans="1:6" x14ac:dyDescent="0.25">
      <c r="A809" t="s">
        <v>935</v>
      </c>
      <c r="B809" s="4">
        <v>2906.52</v>
      </c>
      <c r="C809" s="4">
        <v>23.62</v>
      </c>
      <c r="D809" s="4">
        <v>2882.9</v>
      </c>
      <c r="E809">
        <v>216</v>
      </c>
      <c r="F809">
        <v>214</v>
      </c>
    </row>
    <row r="810" spans="1:6" x14ac:dyDescent="0.25">
      <c r="A810" t="s">
        <v>936</v>
      </c>
      <c r="B810" s="4">
        <v>2901.75</v>
      </c>
      <c r="C810" s="4">
        <v>19.809999999999999</v>
      </c>
      <c r="D810" s="4">
        <v>2881.94</v>
      </c>
      <c r="E810">
        <v>143</v>
      </c>
      <c r="F810">
        <v>140</v>
      </c>
    </row>
    <row r="811" spans="1:6" x14ac:dyDescent="0.25">
      <c r="A811" t="s">
        <v>937</v>
      </c>
      <c r="B811" s="4">
        <v>2899.1</v>
      </c>
      <c r="C811" s="4">
        <v>12.5</v>
      </c>
      <c r="D811" s="4">
        <v>2886.6</v>
      </c>
      <c r="E811">
        <v>215</v>
      </c>
      <c r="F811">
        <v>214</v>
      </c>
    </row>
    <row r="812" spans="1:6" x14ac:dyDescent="0.25">
      <c r="A812" t="s">
        <v>938</v>
      </c>
      <c r="B812" s="4">
        <v>2891.25</v>
      </c>
      <c r="C812" s="4">
        <v>8.75</v>
      </c>
      <c r="D812" s="4">
        <v>2882.5</v>
      </c>
      <c r="E812">
        <v>179</v>
      </c>
      <c r="F812">
        <v>174</v>
      </c>
    </row>
    <row r="813" spans="1:6" x14ac:dyDescent="0.25">
      <c r="A813" t="s">
        <v>939</v>
      </c>
      <c r="B813" s="4">
        <v>2886.95</v>
      </c>
      <c r="C813" s="4">
        <v>15.95</v>
      </c>
      <c r="D813" s="4">
        <v>2871</v>
      </c>
      <c r="E813">
        <v>406</v>
      </c>
      <c r="F813">
        <v>393</v>
      </c>
    </row>
    <row r="814" spans="1:6" x14ac:dyDescent="0.25">
      <c r="A814" t="s">
        <v>940</v>
      </c>
      <c r="B814" s="4">
        <v>2885.13</v>
      </c>
      <c r="C814" s="4">
        <v>0</v>
      </c>
      <c r="D814" s="4">
        <v>2885.13</v>
      </c>
      <c r="E814">
        <v>82</v>
      </c>
      <c r="F814">
        <v>82</v>
      </c>
    </row>
    <row r="815" spans="1:6" x14ac:dyDescent="0.25">
      <c r="A815" t="s">
        <v>941</v>
      </c>
      <c r="B815" s="4">
        <v>2880.45</v>
      </c>
      <c r="C815" s="4">
        <v>15</v>
      </c>
      <c r="D815" s="4">
        <v>2865.45</v>
      </c>
      <c r="E815">
        <v>375</v>
      </c>
      <c r="F815">
        <v>366</v>
      </c>
    </row>
    <row r="816" spans="1:6" x14ac:dyDescent="0.25">
      <c r="A816" t="s">
        <v>942</v>
      </c>
      <c r="B816" s="4">
        <v>2873.08</v>
      </c>
      <c r="C816" s="4">
        <v>22.9</v>
      </c>
      <c r="D816" s="4">
        <v>2850.18</v>
      </c>
      <c r="E816">
        <v>116</v>
      </c>
      <c r="F816">
        <v>114</v>
      </c>
    </row>
    <row r="817" spans="1:6" x14ac:dyDescent="0.25">
      <c r="A817" t="s">
        <v>943</v>
      </c>
      <c r="B817" s="4">
        <v>2865.89</v>
      </c>
      <c r="C817" s="4">
        <v>75</v>
      </c>
      <c r="D817" s="4">
        <v>2790.89</v>
      </c>
      <c r="E817">
        <v>195</v>
      </c>
      <c r="F817">
        <v>186</v>
      </c>
    </row>
    <row r="818" spans="1:6" x14ac:dyDescent="0.25">
      <c r="A818" t="s">
        <v>944</v>
      </c>
      <c r="B818" s="4">
        <v>2860.98</v>
      </c>
      <c r="C818" s="4">
        <v>3.39</v>
      </c>
      <c r="D818" s="4">
        <v>2857.59</v>
      </c>
      <c r="E818">
        <v>83</v>
      </c>
      <c r="F818">
        <v>83</v>
      </c>
    </row>
    <row r="819" spans="1:6" x14ac:dyDescent="0.25">
      <c r="A819" t="s">
        <v>945</v>
      </c>
      <c r="B819" s="4">
        <v>2858.96</v>
      </c>
      <c r="C819" s="4">
        <v>45</v>
      </c>
      <c r="D819" s="4">
        <v>2813.96</v>
      </c>
      <c r="E819">
        <v>210</v>
      </c>
      <c r="F819">
        <v>208</v>
      </c>
    </row>
    <row r="820" spans="1:6" x14ac:dyDescent="0.25">
      <c r="A820" t="s">
        <v>946</v>
      </c>
      <c r="B820" s="4">
        <v>2857.64</v>
      </c>
      <c r="C820" s="4">
        <v>0</v>
      </c>
      <c r="D820" s="4">
        <v>2857.64</v>
      </c>
      <c r="E820">
        <v>221</v>
      </c>
      <c r="F820">
        <v>208</v>
      </c>
    </row>
    <row r="821" spans="1:6" x14ac:dyDescent="0.25">
      <c r="A821" t="s">
        <v>947</v>
      </c>
      <c r="B821" s="4">
        <v>2851.36</v>
      </c>
      <c r="C821" s="4">
        <v>237.3</v>
      </c>
      <c r="D821" s="4">
        <v>2614.06</v>
      </c>
      <c r="E821">
        <v>91</v>
      </c>
      <c r="F821">
        <v>91</v>
      </c>
    </row>
    <row r="822" spans="1:6" x14ac:dyDescent="0.25">
      <c r="A822" t="s">
        <v>948</v>
      </c>
      <c r="B822" s="4">
        <v>2849.35</v>
      </c>
      <c r="C822" s="4">
        <v>201.6</v>
      </c>
      <c r="D822" s="4">
        <v>2647.75</v>
      </c>
      <c r="E822">
        <v>192</v>
      </c>
      <c r="F822">
        <v>189</v>
      </c>
    </row>
    <row r="823" spans="1:6" x14ac:dyDescent="0.25">
      <c r="A823" t="s">
        <v>949</v>
      </c>
      <c r="B823" s="4">
        <v>2848.04</v>
      </c>
      <c r="C823" s="4">
        <v>18.850000000000001</v>
      </c>
      <c r="D823" s="4">
        <v>2829.19</v>
      </c>
      <c r="E823">
        <v>308</v>
      </c>
      <c r="F823">
        <v>298</v>
      </c>
    </row>
    <row r="824" spans="1:6" x14ac:dyDescent="0.25">
      <c r="A824" t="s">
        <v>950</v>
      </c>
      <c r="B824" s="4">
        <v>2844.16</v>
      </c>
      <c r="C824" s="4">
        <v>39.6</v>
      </c>
      <c r="D824" s="4">
        <v>2804.56</v>
      </c>
      <c r="E824">
        <v>126</v>
      </c>
      <c r="F824">
        <v>125</v>
      </c>
    </row>
    <row r="825" spans="1:6" x14ac:dyDescent="0.25">
      <c r="A825" t="s">
        <v>951</v>
      </c>
      <c r="B825" s="4">
        <v>2831.17</v>
      </c>
      <c r="C825" s="4">
        <v>71.25</v>
      </c>
      <c r="D825" s="4">
        <v>2759.92</v>
      </c>
      <c r="E825">
        <v>171</v>
      </c>
      <c r="F825">
        <v>162</v>
      </c>
    </row>
    <row r="826" spans="1:6" x14ac:dyDescent="0.25">
      <c r="A826" t="s">
        <v>952</v>
      </c>
      <c r="B826" s="4">
        <v>2823.86</v>
      </c>
      <c r="C826" s="4">
        <v>77.7</v>
      </c>
      <c r="D826" s="4">
        <v>2746.16</v>
      </c>
      <c r="E826">
        <v>290</v>
      </c>
      <c r="F826">
        <v>285</v>
      </c>
    </row>
    <row r="827" spans="1:6" x14ac:dyDescent="0.25">
      <c r="A827" t="s">
        <v>953</v>
      </c>
      <c r="B827" s="4">
        <v>2823.83</v>
      </c>
      <c r="C827" s="4">
        <v>322.85000000000002</v>
      </c>
      <c r="D827" s="4">
        <v>2500.98</v>
      </c>
      <c r="E827">
        <v>142</v>
      </c>
      <c r="F827">
        <v>140</v>
      </c>
    </row>
    <row r="828" spans="1:6" x14ac:dyDescent="0.25">
      <c r="A828" t="s">
        <v>954</v>
      </c>
      <c r="B828" s="4">
        <v>2822.32</v>
      </c>
      <c r="C828" s="4">
        <v>109.2</v>
      </c>
      <c r="D828" s="4">
        <v>2713.12</v>
      </c>
      <c r="E828">
        <v>118</v>
      </c>
      <c r="F828">
        <v>118</v>
      </c>
    </row>
    <row r="829" spans="1:6" x14ac:dyDescent="0.25">
      <c r="A829" t="s">
        <v>955</v>
      </c>
      <c r="B829" s="4">
        <v>2819.84</v>
      </c>
      <c r="C829" s="4">
        <v>82.5</v>
      </c>
      <c r="D829" s="4">
        <v>2737.34</v>
      </c>
      <c r="E829">
        <v>218</v>
      </c>
      <c r="F829">
        <v>217</v>
      </c>
    </row>
    <row r="830" spans="1:6" x14ac:dyDescent="0.25">
      <c r="A830" t="s">
        <v>956</v>
      </c>
      <c r="B830" s="4">
        <v>2803.13</v>
      </c>
      <c r="C830" s="4">
        <v>0</v>
      </c>
      <c r="D830" s="4">
        <v>2803.13</v>
      </c>
      <c r="E830">
        <v>159</v>
      </c>
      <c r="F830">
        <v>159</v>
      </c>
    </row>
    <row r="831" spans="1:6" x14ac:dyDescent="0.25">
      <c r="A831" t="s">
        <v>957</v>
      </c>
      <c r="B831" s="4">
        <v>2786.03</v>
      </c>
      <c r="C831" s="4">
        <v>244.9</v>
      </c>
      <c r="D831" s="4">
        <v>2541.13</v>
      </c>
      <c r="E831">
        <v>112</v>
      </c>
      <c r="F831">
        <v>112</v>
      </c>
    </row>
    <row r="832" spans="1:6" x14ac:dyDescent="0.25">
      <c r="A832" t="s">
        <v>958</v>
      </c>
      <c r="B832" s="4">
        <v>2784.9</v>
      </c>
      <c r="C832" s="4">
        <v>39.75</v>
      </c>
      <c r="D832" s="4">
        <v>2745.15</v>
      </c>
      <c r="E832">
        <v>182</v>
      </c>
      <c r="F832">
        <v>182</v>
      </c>
    </row>
    <row r="833" spans="1:6" x14ac:dyDescent="0.25">
      <c r="A833" t="s">
        <v>959</v>
      </c>
      <c r="B833" s="4">
        <v>2780.53</v>
      </c>
      <c r="C833" s="4">
        <v>15</v>
      </c>
      <c r="D833" s="4">
        <v>2765.53</v>
      </c>
      <c r="E833">
        <v>208</v>
      </c>
      <c r="F833">
        <v>196</v>
      </c>
    </row>
    <row r="834" spans="1:6" x14ac:dyDescent="0.25">
      <c r="A834" t="s">
        <v>960</v>
      </c>
      <c r="B834" s="4">
        <v>2778.84</v>
      </c>
      <c r="C834" s="4">
        <v>90.86</v>
      </c>
      <c r="D834" s="4">
        <v>2687.98</v>
      </c>
      <c r="E834">
        <v>310</v>
      </c>
      <c r="F834">
        <v>307</v>
      </c>
    </row>
    <row r="835" spans="1:6" x14ac:dyDescent="0.25">
      <c r="A835" t="s">
        <v>961</v>
      </c>
      <c r="B835" s="4">
        <v>2767.01</v>
      </c>
      <c r="C835" s="4">
        <v>11.8</v>
      </c>
      <c r="D835" s="4">
        <v>2755.21</v>
      </c>
      <c r="E835">
        <v>166</v>
      </c>
      <c r="F835">
        <v>164</v>
      </c>
    </row>
    <row r="836" spans="1:6" x14ac:dyDescent="0.25">
      <c r="A836" t="s">
        <v>962</v>
      </c>
      <c r="B836" s="4">
        <v>2765.15</v>
      </c>
      <c r="C836" s="4">
        <v>0</v>
      </c>
      <c r="D836" s="4">
        <v>2765.15</v>
      </c>
      <c r="E836">
        <v>117</v>
      </c>
      <c r="F836">
        <v>112</v>
      </c>
    </row>
    <row r="837" spans="1:6" x14ac:dyDescent="0.25">
      <c r="A837" t="s">
        <v>963</v>
      </c>
      <c r="B837" s="4">
        <v>2763.42</v>
      </c>
      <c r="C837" s="4">
        <v>47.6</v>
      </c>
      <c r="D837" s="4">
        <v>2715.82</v>
      </c>
      <c r="E837">
        <v>184</v>
      </c>
      <c r="F837">
        <v>182</v>
      </c>
    </row>
    <row r="838" spans="1:6" x14ac:dyDescent="0.25">
      <c r="A838" t="s">
        <v>964</v>
      </c>
      <c r="B838" s="4">
        <v>2761.9</v>
      </c>
      <c r="C838" s="4">
        <v>3.3</v>
      </c>
      <c r="D838" s="4">
        <v>2758.6</v>
      </c>
      <c r="E838">
        <v>203</v>
      </c>
      <c r="F838">
        <v>202</v>
      </c>
    </row>
    <row r="839" spans="1:6" x14ac:dyDescent="0.25">
      <c r="A839" t="s">
        <v>965</v>
      </c>
      <c r="B839" s="4">
        <v>2759.26</v>
      </c>
      <c r="C839" s="4">
        <v>24.13</v>
      </c>
      <c r="D839" s="4">
        <v>2735.13</v>
      </c>
      <c r="E839">
        <v>485</v>
      </c>
      <c r="F839">
        <v>472</v>
      </c>
    </row>
    <row r="840" spans="1:6" x14ac:dyDescent="0.25">
      <c r="A840" t="s">
        <v>966</v>
      </c>
      <c r="B840" s="4">
        <v>2757.57</v>
      </c>
      <c r="C840" s="4">
        <v>15</v>
      </c>
      <c r="D840" s="4">
        <v>2742.57</v>
      </c>
      <c r="E840">
        <v>342</v>
      </c>
      <c r="F840">
        <v>319</v>
      </c>
    </row>
    <row r="841" spans="1:6" x14ac:dyDescent="0.25">
      <c r="A841" t="s">
        <v>967</v>
      </c>
      <c r="B841" s="4">
        <v>2755.1</v>
      </c>
      <c r="C841" s="4">
        <v>21.75</v>
      </c>
      <c r="D841" s="4">
        <v>2733.35</v>
      </c>
      <c r="E841">
        <v>266</v>
      </c>
      <c r="F841">
        <v>261</v>
      </c>
    </row>
    <row r="842" spans="1:6" x14ac:dyDescent="0.25">
      <c r="A842" t="s">
        <v>968</v>
      </c>
      <c r="B842" s="4">
        <v>2754.4</v>
      </c>
      <c r="C842" s="4">
        <v>0</v>
      </c>
      <c r="D842" s="4">
        <v>2754.4</v>
      </c>
      <c r="E842">
        <v>196</v>
      </c>
      <c r="F842">
        <v>191</v>
      </c>
    </row>
    <row r="843" spans="1:6" x14ac:dyDescent="0.25">
      <c r="A843" t="s">
        <v>969</v>
      </c>
      <c r="B843" s="4">
        <v>2749.85</v>
      </c>
      <c r="C843" s="4">
        <v>0</v>
      </c>
      <c r="D843" s="4">
        <v>2749.85</v>
      </c>
      <c r="E843">
        <v>122</v>
      </c>
      <c r="F843">
        <v>121</v>
      </c>
    </row>
    <row r="844" spans="1:6" x14ac:dyDescent="0.25">
      <c r="A844" t="s">
        <v>970</v>
      </c>
      <c r="B844" s="4">
        <v>2745</v>
      </c>
      <c r="C844" s="4">
        <v>0</v>
      </c>
      <c r="D844" s="4">
        <v>2745</v>
      </c>
      <c r="E844">
        <v>13</v>
      </c>
      <c r="F844">
        <v>13</v>
      </c>
    </row>
    <row r="845" spans="1:6" x14ac:dyDescent="0.25">
      <c r="A845" t="s">
        <v>971</v>
      </c>
      <c r="B845" s="4">
        <v>2744.54</v>
      </c>
      <c r="C845" s="4">
        <v>33</v>
      </c>
      <c r="D845" s="4">
        <v>2711.54</v>
      </c>
      <c r="E845">
        <v>209</v>
      </c>
      <c r="F845">
        <v>204</v>
      </c>
    </row>
    <row r="846" spans="1:6" x14ac:dyDescent="0.25">
      <c r="A846" t="s">
        <v>972</v>
      </c>
      <c r="B846" s="4">
        <v>2743.13</v>
      </c>
      <c r="C846" s="4">
        <v>1.25</v>
      </c>
      <c r="D846" s="4">
        <v>2741.88</v>
      </c>
      <c r="E846">
        <v>266</v>
      </c>
      <c r="F846">
        <v>257</v>
      </c>
    </row>
    <row r="847" spans="1:6" x14ac:dyDescent="0.25">
      <c r="A847" t="s">
        <v>973</v>
      </c>
      <c r="B847" s="4">
        <v>2742.33</v>
      </c>
      <c r="C847" s="4">
        <v>31.8</v>
      </c>
      <c r="D847" s="4">
        <v>2710.53</v>
      </c>
      <c r="E847">
        <v>156</v>
      </c>
      <c r="F847">
        <v>155</v>
      </c>
    </row>
    <row r="848" spans="1:6" x14ac:dyDescent="0.25">
      <c r="A848" t="s">
        <v>974</v>
      </c>
      <c r="B848" s="4">
        <v>2737.63</v>
      </c>
      <c r="C848" s="4">
        <v>0</v>
      </c>
      <c r="D848" s="4">
        <v>2737.63</v>
      </c>
      <c r="E848">
        <v>434</v>
      </c>
      <c r="F848">
        <v>427</v>
      </c>
    </row>
    <row r="849" spans="1:6" x14ac:dyDescent="0.25">
      <c r="A849" t="s">
        <v>975</v>
      </c>
      <c r="B849" s="4">
        <v>2729.33</v>
      </c>
      <c r="C849" s="4">
        <v>59.7</v>
      </c>
      <c r="D849" s="4">
        <v>2669.63</v>
      </c>
      <c r="E849">
        <v>134</v>
      </c>
      <c r="F849">
        <v>133</v>
      </c>
    </row>
    <row r="850" spans="1:6" x14ac:dyDescent="0.25">
      <c r="A850" t="s">
        <v>976</v>
      </c>
      <c r="B850" s="4">
        <v>2725.05</v>
      </c>
      <c r="C850" s="4">
        <v>205.26</v>
      </c>
      <c r="D850" s="4">
        <v>2519.79</v>
      </c>
      <c r="E850">
        <v>200</v>
      </c>
      <c r="F850">
        <v>194</v>
      </c>
    </row>
    <row r="851" spans="1:6" x14ac:dyDescent="0.25">
      <c r="A851" t="s">
        <v>977</v>
      </c>
      <c r="B851" s="4">
        <v>2721.7</v>
      </c>
      <c r="C851" s="4">
        <v>15</v>
      </c>
      <c r="D851" s="4">
        <v>2706.7</v>
      </c>
      <c r="E851">
        <v>249</v>
      </c>
      <c r="F851">
        <v>233</v>
      </c>
    </row>
    <row r="852" spans="1:6" x14ac:dyDescent="0.25">
      <c r="A852" t="s">
        <v>978</v>
      </c>
      <c r="B852" s="4">
        <v>2718.65</v>
      </c>
      <c r="C852" s="4">
        <v>4.95</v>
      </c>
      <c r="D852" s="4">
        <v>2713.7</v>
      </c>
      <c r="E852">
        <v>92</v>
      </c>
      <c r="F852">
        <v>92</v>
      </c>
    </row>
    <row r="853" spans="1:6" x14ac:dyDescent="0.25">
      <c r="A853" t="s">
        <v>979</v>
      </c>
      <c r="B853" s="4">
        <v>2713.55</v>
      </c>
      <c r="C853" s="4">
        <v>10.199999999999999</v>
      </c>
      <c r="D853" s="4">
        <v>2703.35</v>
      </c>
      <c r="E853">
        <v>272</v>
      </c>
      <c r="F853">
        <v>268</v>
      </c>
    </row>
    <row r="854" spans="1:6" x14ac:dyDescent="0.25">
      <c r="A854" t="s">
        <v>980</v>
      </c>
      <c r="B854" s="4">
        <v>2709.3</v>
      </c>
      <c r="C854" s="4">
        <v>29.7</v>
      </c>
      <c r="D854" s="4">
        <v>2679.6</v>
      </c>
      <c r="E854">
        <v>183</v>
      </c>
      <c r="F854">
        <v>178</v>
      </c>
    </row>
    <row r="855" spans="1:6" x14ac:dyDescent="0.25">
      <c r="A855" t="s">
        <v>981</v>
      </c>
      <c r="B855" s="4">
        <v>2709.23</v>
      </c>
      <c r="C855" s="4">
        <v>0</v>
      </c>
      <c r="D855" s="4">
        <v>2709.23</v>
      </c>
      <c r="E855">
        <v>165</v>
      </c>
      <c r="F855">
        <v>159</v>
      </c>
    </row>
    <row r="856" spans="1:6" x14ac:dyDescent="0.25">
      <c r="A856" t="s">
        <v>982</v>
      </c>
      <c r="B856" s="4">
        <v>2709.04</v>
      </c>
      <c r="C856" s="4">
        <v>17.850000000000001</v>
      </c>
      <c r="D856" s="4">
        <v>2691.19</v>
      </c>
      <c r="E856">
        <v>311</v>
      </c>
      <c r="F856">
        <v>307</v>
      </c>
    </row>
    <row r="857" spans="1:6" x14ac:dyDescent="0.25">
      <c r="A857" t="s">
        <v>983</v>
      </c>
      <c r="B857" s="4">
        <v>2704.71</v>
      </c>
      <c r="C857" s="4">
        <v>83.3</v>
      </c>
      <c r="D857" s="4">
        <v>2621.41</v>
      </c>
      <c r="E857">
        <v>148</v>
      </c>
      <c r="F857">
        <v>148</v>
      </c>
    </row>
    <row r="858" spans="1:6" x14ac:dyDescent="0.25">
      <c r="A858" t="s">
        <v>984</v>
      </c>
      <c r="B858" s="4">
        <v>2704.58</v>
      </c>
      <c r="C858" s="4">
        <v>26.25</v>
      </c>
      <c r="D858" s="4">
        <v>2678.33</v>
      </c>
      <c r="E858">
        <v>224</v>
      </c>
      <c r="F858">
        <v>222</v>
      </c>
    </row>
    <row r="859" spans="1:6" x14ac:dyDescent="0.25">
      <c r="A859" t="s">
        <v>985</v>
      </c>
      <c r="B859" s="4">
        <v>2695.8</v>
      </c>
      <c r="C859" s="4">
        <v>66</v>
      </c>
      <c r="D859" s="4">
        <v>2629.8</v>
      </c>
      <c r="E859">
        <v>267</v>
      </c>
      <c r="F859">
        <v>259</v>
      </c>
    </row>
    <row r="860" spans="1:6" x14ac:dyDescent="0.25">
      <c r="A860" t="s">
        <v>986</v>
      </c>
      <c r="B860" s="4">
        <v>2694.56</v>
      </c>
      <c r="C860" s="4">
        <v>1.25</v>
      </c>
      <c r="D860" s="4">
        <v>2693.31</v>
      </c>
      <c r="E860">
        <v>317</v>
      </c>
      <c r="F860">
        <v>299</v>
      </c>
    </row>
    <row r="861" spans="1:6" x14ac:dyDescent="0.25">
      <c r="A861" t="s">
        <v>987</v>
      </c>
      <c r="B861" s="4">
        <v>2692.44</v>
      </c>
      <c r="C861" s="4">
        <v>579.80999999999995</v>
      </c>
      <c r="D861" s="4">
        <v>2112.63</v>
      </c>
      <c r="E861">
        <v>108</v>
      </c>
      <c r="F861">
        <v>105</v>
      </c>
    </row>
    <row r="862" spans="1:6" x14ac:dyDescent="0.25">
      <c r="A862" t="s">
        <v>988</v>
      </c>
      <c r="B862" s="4">
        <v>2687.4</v>
      </c>
      <c r="C862" s="4">
        <v>18.72</v>
      </c>
      <c r="D862" s="4">
        <v>2668.68</v>
      </c>
      <c r="E862">
        <v>257</v>
      </c>
      <c r="F862">
        <v>245</v>
      </c>
    </row>
    <row r="863" spans="1:6" x14ac:dyDescent="0.25">
      <c r="A863" t="s">
        <v>989</v>
      </c>
      <c r="B863" s="4">
        <v>2686.72</v>
      </c>
      <c r="C863" s="4">
        <v>24.15</v>
      </c>
      <c r="D863" s="4">
        <v>2662.57</v>
      </c>
      <c r="E863">
        <v>121</v>
      </c>
      <c r="F863">
        <v>120</v>
      </c>
    </row>
    <row r="864" spans="1:6" x14ac:dyDescent="0.25">
      <c r="A864" t="s">
        <v>990</v>
      </c>
      <c r="B864" s="4">
        <v>2684.65</v>
      </c>
      <c r="C864" s="4">
        <v>0</v>
      </c>
      <c r="D864" s="4">
        <v>2684.65</v>
      </c>
      <c r="E864">
        <v>49</v>
      </c>
      <c r="F864">
        <v>49</v>
      </c>
    </row>
    <row r="865" spans="1:6" x14ac:dyDescent="0.25">
      <c r="A865" t="s">
        <v>991</v>
      </c>
      <c r="B865" s="4">
        <v>2683.84</v>
      </c>
      <c r="C865" s="4">
        <v>31.5</v>
      </c>
      <c r="D865" s="4">
        <v>2652.34</v>
      </c>
      <c r="E865">
        <v>209</v>
      </c>
      <c r="F865">
        <v>208</v>
      </c>
    </row>
    <row r="866" spans="1:6" x14ac:dyDescent="0.25">
      <c r="A866" t="s">
        <v>992</v>
      </c>
      <c r="B866" s="4">
        <v>2678.96</v>
      </c>
      <c r="C866" s="4">
        <v>0</v>
      </c>
      <c r="D866" s="4">
        <v>2678.96</v>
      </c>
      <c r="E866">
        <v>102</v>
      </c>
      <c r="F866">
        <v>102</v>
      </c>
    </row>
    <row r="867" spans="1:6" x14ac:dyDescent="0.25">
      <c r="A867" t="s">
        <v>993</v>
      </c>
      <c r="B867" s="4">
        <v>2676.75</v>
      </c>
      <c r="C867" s="4">
        <v>283.14999999999998</v>
      </c>
      <c r="D867" s="4">
        <v>2393.6</v>
      </c>
      <c r="E867">
        <v>102</v>
      </c>
      <c r="F867">
        <v>101</v>
      </c>
    </row>
    <row r="868" spans="1:6" x14ac:dyDescent="0.25">
      <c r="A868" t="s">
        <v>994</v>
      </c>
      <c r="B868" s="4">
        <v>2667.5</v>
      </c>
      <c r="C868" s="4">
        <v>5.85</v>
      </c>
      <c r="D868" s="4">
        <v>2661.65</v>
      </c>
      <c r="E868">
        <v>229</v>
      </c>
      <c r="F868">
        <v>227</v>
      </c>
    </row>
    <row r="869" spans="1:6" x14ac:dyDescent="0.25">
      <c r="A869" t="s">
        <v>995</v>
      </c>
      <c r="B869" s="4">
        <v>2664.63</v>
      </c>
      <c r="C869" s="4">
        <v>104.53</v>
      </c>
      <c r="D869" s="4">
        <v>2560.1</v>
      </c>
      <c r="E869">
        <v>113</v>
      </c>
      <c r="F869">
        <v>110</v>
      </c>
    </row>
    <row r="870" spans="1:6" x14ac:dyDescent="0.25">
      <c r="A870" t="s">
        <v>996</v>
      </c>
      <c r="B870" s="4">
        <v>2663.54</v>
      </c>
      <c r="C870" s="4">
        <v>28.05</v>
      </c>
      <c r="D870" s="4">
        <v>2635.49</v>
      </c>
      <c r="E870">
        <v>240</v>
      </c>
      <c r="F870">
        <v>238</v>
      </c>
    </row>
    <row r="871" spans="1:6" x14ac:dyDescent="0.25">
      <c r="A871" t="s">
        <v>997</v>
      </c>
      <c r="B871" s="4">
        <v>2657.79</v>
      </c>
      <c r="C871" s="4">
        <v>0</v>
      </c>
      <c r="D871" s="4">
        <v>2657.79</v>
      </c>
      <c r="E871">
        <v>75</v>
      </c>
      <c r="F871">
        <v>73</v>
      </c>
    </row>
    <row r="872" spans="1:6" x14ac:dyDescent="0.25">
      <c r="A872" t="s">
        <v>998</v>
      </c>
      <c r="B872" s="4">
        <v>2655.13</v>
      </c>
      <c r="C872" s="4">
        <v>164.1</v>
      </c>
      <c r="D872" s="4">
        <v>2491.0300000000002</v>
      </c>
      <c r="E872">
        <v>234</v>
      </c>
      <c r="F872">
        <v>227</v>
      </c>
    </row>
    <row r="873" spans="1:6" x14ac:dyDescent="0.25">
      <c r="A873" t="s">
        <v>999</v>
      </c>
      <c r="B873" s="4">
        <v>2650.08</v>
      </c>
      <c r="C873" s="4">
        <v>50.4</v>
      </c>
      <c r="D873" s="4">
        <v>2599.6799999999998</v>
      </c>
      <c r="E873">
        <v>138</v>
      </c>
      <c r="F873">
        <v>136</v>
      </c>
    </row>
    <row r="874" spans="1:6" x14ac:dyDescent="0.25">
      <c r="A874" t="s">
        <v>1000</v>
      </c>
      <c r="B874" s="4">
        <v>2649.35</v>
      </c>
      <c r="C874" s="4">
        <v>30.6</v>
      </c>
      <c r="D874" s="4">
        <v>2618.75</v>
      </c>
      <c r="E874">
        <v>104</v>
      </c>
      <c r="F874">
        <v>102</v>
      </c>
    </row>
    <row r="875" spans="1:6" x14ac:dyDescent="0.25">
      <c r="A875" t="s">
        <v>1001</v>
      </c>
      <c r="B875" s="4">
        <v>2643.33</v>
      </c>
      <c r="C875" s="4">
        <v>10.199999999999999</v>
      </c>
      <c r="D875" s="4">
        <v>2633.13</v>
      </c>
      <c r="E875">
        <v>208</v>
      </c>
      <c r="F875">
        <v>206</v>
      </c>
    </row>
    <row r="876" spans="1:6" x14ac:dyDescent="0.25">
      <c r="A876" t="s">
        <v>1002</v>
      </c>
      <c r="B876" s="4">
        <v>2641.93</v>
      </c>
      <c r="C876" s="4">
        <v>4.8099999999999996</v>
      </c>
      <c r="D876" s="4">
        <v>2637.12</v>
      </c>
      <c r="E876">
        <v>244</v>
      </c>
      <c r="F876">
        <v>239</v>
      </c>
    </row>
    <row r="877" spans="1:6" x14ac:dyDescent="0.25">
      <c r="A877" t="s">
        <v>1003</v>
      </c>
      <c r="B877" s="4">
        <v>2640.86</v>
      </c>
      <c r="C877" s="4">
        <v>0.85</v>
      </c>
      <c r="D877" s="4">
        <v>2640.01</v>
      </c>
      <c r="E877">
        <v>250</v>
      </c>
      <c r="F877">
        <v>244</v>
      </c>
    </row>
    <row r="878" spans="1:6" x14ac:dyDescent="0.25">
      <c r="A878" t="s">
        <v>1004</v>
      </c>
      <c r="B878" s="4">
        <v>2621.4299999999998</v>
      </c>
      <c r="C878" s="4">
        <v>8.25</v>
      </c>
      <c r="D878" s="4">
        <v>2613.1799999999998</v>
      </c>
      <c r="E878">
        <v>131</v>
      </c>
      <c r="F878">
        <v>130</v>
      </c>
    </row>
    <row r="879" spans="1:6" x14ac:dyDescent="0.25">
      <c r="A879" t="s">
        <v>1005</v>
      </c>
      <c r="B879" s="4">
        <v>2618.25</v>
      </c>
      <c r="C879" s="4">
        <v>6.3</v>
      </c>
      <c r="D879" s="4">
        <v>2611.9499999999998</v>
      </c>
      <c r="E879">
        <v>202</v>
      </c>
      <c r="F879">
        <v>199</v>
      </c>
    </row>
    <row r="880" spans="1:6" x14ac:dyDescent="0.25">
      <c r="A880" t="s">
        <v>1006</v>
      </c>
      <c r="B880" s="4">
        <v>2610.29</v>
      </c>
      <c r="C880" s="4">
        <v>0</v>
      </c>
      <c r="D880" s="4">
        <v>2610.29</v>
      </c>
      <c r="E880">
        <v>6</v>
      </c>
      <c r="F880">
        <v>6</v>
      </c>
    </row>
    <row r="881" spans="1:6" x14ac:dyDescent="0.25">
      <c r="A881" t="s">
        <v>1007</v>
      </c>
      <c r="B881" s="4">
        <v>2608.08</v>
      </c>
      <c r="C881" s="4">
        <v>31.3</v>
      </c>
      <c r="D881" s="4">
        <v>2576.7800000000002</v>
      </c>
      <c r="E881">
        <v>53</v>
      </c>
      <c r="F881">
        <v>52</v>
      </c>
    </row>
    <row r="882" spans="1:6" x14ac:dyDescent="0.25">
      <c r="A882" t="s">
        <v>1008</v>
      </c>
      <c r="B882" s="4">
        <v>2603.5300000000002</v>
      </c>
      <c r="C882" s="4">
        <v>0</v>
      </c>
      <c r="D882" s="4">
        <v>2603.5300000000002</v>
      </c>
      <c r="E882">
        <v>5</v>
      </c>
      <c r="F882">
        <v>5</v>
      </c>
    </row>
    <row r="883" spans="1:6" x14ac:dyDescent="0.25">
      <c r="A883" t="s">
        <v>1009</v>
      </c>
      <c r="B883" s="4">
        <v>2600.13</v>
      </c>
      <c r="C883" s="4">
        <v>5.9</v>
      </c>
      <c r="D883" s="4">
        <v>2594.23</v>
      </c>
      <c r="E883">
        <v>173</v>
      </c>
      <c r="F883">
        <v>171</v>
      </c>
    </row>
    <row r="884" spans="1:6" x14ac:dyDescent="0.25">
      <c r="A884" t="s">
        <v>1010</v>
      </c>
      <c r="B884" s="4">
        <v>2598.23</v>
      </c>
      <c r="C884" s="4">
        <v>35</v>
      </c>
      <c r="D884" s="4">
        <v>2563.23</v>
      </c>
      <c r="E884">
        <v>271</v>
      </c>
      <c r="F884">
        <v>268</v>
      </c>
    </row>
    <row r="885" spans="1:6" x14ac:dyDescent="0.25">
      <c r="A885" t="s">
        <v>1011</v>
      </c>
      <c r="B885" s="4">
        <v>2593.5300000000002</v>
      </c>
      <c r="C885" s="4">
        <v>16.25</v>
      </c>
      <c r="D885" s="4">
        <v>2577.2800000000002</v>
      </c>
      <c r="E885">
        <v>198</v>
      </c>
      <c r="F885">
        <v>195</v>
      </c>
    </row>
    <row r="886" spans="1:6" x14ac:dyDescent="0.25">
      <c r="A886" t="s">
        <v>1012</v>
      </c>
      <c r="B886" s="4">
        <v>2593</v>
      </c>
      <c r="C886" s="4">
        <v>0</v>
      </c>
      <c r="D886" s="4">
        <v>2593</v>
      </c>
      <c r="E886">
        <v>213</v>
      </c>
      <c r="F886">
        <v>213</v>
      </c>
    </row>
    <row r="887" spans="1:6" x14ac:dyDescent="0.25">
      <c r="A887" t="s">
        <v>1013</v>
      </c>
      <c r="B887" s="4">
        <v>2588.6999999999998</v>
      </c>
      <c r="C887" s="4">
        <v>11.9</v>
      </c>
      <c r="D887" s="4">
        <v>2576.8000000000002</v>
      </c>
      <c r="E887">
        <v>159</v>
      </c>
      <c r="F887">
        <v>158</v>
      </c>
    </row>
    <row r="888" spans="1:6" x14ac:dyDescent="0.25">
      <c r="A888" t="s">
        <v>1014</v>
      </c>
      <c r="B888" s="4">
        <v>2588.65</v>
      </c>
      <c r="C888" s="4">
        <v>37.5</v>
      </c>
      <c r="D888" s="4">
        <v>2551.15</v>
      </c>
      <c r="E888">
        <v>292</v>
      </c>
      <c r="F888">
        <v>287</v>
      </c>
    </row>
    <row r="889" spans="1:6" x14ac:dyDescent="0.25">
      <c r="A889" t="s">
        <v>1015</v>
      </c>
      <c r="B889" s="4">
        <v>2585.92</v>
      </c>
      <c r="C889" s="4">
        <v>337.8</v>
      </c>
      <c r="D889" s="4">
        <v>2248.12</v>
      </c>
      <c r="E889">
        <v>123</v>
      </c>
      <c r="F889">
        <v>122</v>
      </c>
    </row>
    <row r="890" spans="1:6" x14ac:dyDescent="0.25">
      <c r="A890" t="s">
        <v>1016</v>
      </c>
      <c r="B890" s="4">
        <v>2578.2399999999998</v>
      </c>
      <c r="C890" s="4">
        <v>0</v>
      </c>
      <c r="D890" s="4">
        <v>2578.2399999999998</v>
      </c>
      <c r="E890">
        <v>218</v>
      </c>
      <c r="F890">
        <v>216</v>
      </c>
    </row>
    <row r="891" spans="1:6" x14ac:dyDescent="0.25">
      <c r="A891" t="s">
        <v>1017</v>
      </c>
      <c r="B891" s="4">
        <v>2577.4499999999998</v>
      </c>
      <c r="C891" s="4">
        <v>382.95</v>
      </c>
      <c r="D891" s="4">
        <v>2194.5</v>
      </c>
      <c r="E891">
        <v>83</v>
      </c>
      <c r="F891">
        <v>83</v>
      </c>
    </row>
    <row r="892" spans="1:6" x14ac:dyDescent="0.25">
      <c r="A892" t="s">
        <v>1018</v>
      </c>
      <c r="B892" s="4">
        <v>2570.52</v>
      </c>
      <c r="C892" s="4">
        <v>6.72</v>
      </c>
      <c r="D892" s="4">
        <v>2563.8000000000002</v>
      </c>
      <c r="E892">
        <v>540</v>
      </c>
      <c r="F892">
        <v>522</v>
      </c>
    </row>
    <row r="893" spans="1:6" x14ac:dyDescent="0.25">
      <c r="A893" t="s">
        <v>1019</v>
      </c>
      <c r="B893" s="4">
        <v>2568.34</v>
      </c>
      <c r="C893" s="4">
        <v>33.15</v>
      </c>
      <c r="D893" s="4">
        <v>2535.19</v>
      </c>
      <c r="E893">
        <v>166</v>
      </c>
      <c r="F893">
        <v>160</v>
      </c>
    </row>
    <row r="894" spans="1:6" x14ac:dyDescent="0.25">
      <c r="A894" t="s">
        <v>1020</v>
      </c>
      <c r="B894" s="4">
        <v>2557.12</v>
      </c>
      <c r="C894" s="4">
        <v>23.6</v>
      </c>
      <c r="D894" s="4">
        <v>2533.52</v>
      </c>
      <c r="E894">
        <v>258</v>
      </c>
      <c r="F894">
        <v>255</v>
      </c>
    </row>
    <row r="895" spans="1:6" x14ac:dyDescent="0.25">
      <c r="A895" t="s">
        <v>1021</v>
      </c>
      <c r="B895" s="4">
        <v>2556.1999999999998</v>
      </c>
      <c r="C895" s="4">
        <v>57.6</v>
      </c>
      <c r="D895" s="4">
        <v>2498.6</v>
      </c>
      <c r="E895">
        <v>250</v>
      </c>
      <c r="F895">
        <v>241</v>
      </c>
    </row>
    <row r="896" spans="1:6" x14ac:dyDescent="0.25">
      <c r="A896" t="s">
        <v>1022</v>
      </c>
      <c r="B896" s="4">
        <v>2549.11</v>
      </c>
      <c r="C896" s="4">
        <v>83.15</v>
      </c>
      <c r="D896" s="4">
        <v>2465.96</v>
      </c>
      <c r="E896">
        <v>186</v>
      </c>
      <c r="F896">
        <v>184</v>
      </c>
    </row>
    <row r="897" spans="1:6" x14ac:dyDescent="0.25">
      <c r="A897" t="s">
        <v>1023</v>
      </c>
      <c r="B897" s="4">
        <v>2540.39</v>
      </c>
      <c r="C897" s="4">
        <v>0</v>
      </c>
      <c r="D897" s="4">
        <v>2540.39</v>
      </c>
      <c r="E897">
        <v>318</v>
      </c>
      <c r="F897">
        <v>313</v>
      </c>
    </row>
    <row r="898" spans="1:6" x14ac:dyDescent="0.25">
      <c r="A898" t="s">
        <v>1024</v>
      </c>
      <c r="B898" s="4">
        <v>2529.42</v>
      </c>
      <c r="C898" s="4">
        <v>4.95</v>
      </c>
      <c r="D898" s="4">
        <v>2524.4699999999998</v>
      </c>
      <c r="E898">
        <v>136</v>
      </c>
      <c r="F898">
        <v>135</v>
      </c>
    </row>
    <row r="899" spans="1:6" x14ac:dyDescent="0.25">
      <c r="A899" t="s">
        <v>1025</v>
      </c>
      <c r="B899" s="4">
        <v>2528.15</v>
      </c>
      <c r="C899" s="4">
        <v>0</v>
      </c>
      <c r="D899" s="4">
        <v>2528.15</v>
      </c>
      <c r="E899">
        <v>159</v>
      </c>
      <c r="F899">
        <v>153</v>
      </c>
    </row>
    <row r="900" spans="1:6" x14ac:dyDescent="0.25">
      <c r="A900" t="s">
        <v>1026</v>
      </c>
      <c r="B900" s="4">
        <v>2526.69</v>
      </c>
      <c r="C900" s="4">
        <v>0</v>
      </c>
      <c r="D900" s="4">
        <v>2526.69</v>
      </c>
      <c r="E900">
        <v>134</v>
      </c>
      <c r="F900">
        <v>132</v>
      </c>
    </row>
    <row r="901" spans="1:6" x14ac:dyDescent="0.25">
      <c r="A901" t="s">
        <v>1027</v>
      </c>
      <c r="B901" s="4">
        <v>2519.38</v>
      </c>
      <c r="C901" s="4">
        <v>68.599999999999994</v>
      </c>
      <c r="D901" s="4">
        <v>2450.7800000000002</v>
      </c>
      <c r="E901">
        <v>132</v>
      </c>
      <c r="F901">
        <v>131</v>
      </c>
    </row>
    <row r="902" spans="1:6" x14ac:dyDescent="0.25">
      <c r="A902" t="s">
        <v>1028</v>
      </c>
      <c r="B902" s="4">
        <v>2518</v>
      </c>
      <c r="C902" s="4">
        <v>6.25</v>
      </c>
      <c r="D902" s="4">
        <v>2511.75</v>
      </c>
      <c r="E902">
        <v>304</v>
      </c>
      <c r="F902">
        <v>301</v>
      </c>
    </row>
    <row r="903" spans="1:6" x14ac:dyDescent="0.25">
      <c r="A903" t="s">
        <v>1029</v>
      </c>
      <c r="B903" s="4">
        <v>2515.52</v>
      </c>
      <c r="C903" s="4">
        <v>2.5499999999999998</v>
      </c>
      <c r="D903" s="4">
        <v>2512.9699999999998</v>
      </c>
      <c r="E903">
        <v>115</v>
      </c>
      <c r="F903">
        <v>114</v>
      </c>
    </row>
    <row r="904" spans="1:6" x14ac:dyDescent="0.25">
      <c r="A904" t="s">
        <v>1030</v>
      </c>
      <c r="B904" s="4">
        <v>2511.59</v>
      </c>
      <c r="C904" s="4">
        <v>9.9499999999999993</v>
      </c>
      <c r="D904" s="4">
        <v>2501.64</v>
      </c>
      <c r="E904">
        <v>111</v>
      </c>
      <c r="F904">
        <v>110</v>
      </c>
    </row>
    <row r="905" spans="1:6" x14ac:dyDescent="0.25">
      <c r="A905" t="s">
        <v>1031</v>
      </c>
      <c r="B905" s="4">
        <v>2511.2199999999998</v>
      </c>
      <c r="C905" s="4">
        <v>26.4</v>
      </c>
      <c r="D905" s="4">
        <v>2484.8200000000002</v>
      </c>
      <c r="E905">
        <v>221</v>
      </c>
      <c r="F905">
        <v>219</v>
      </c>
    </row>
    <row r="906" spans="1:6" x14ac:dyDescent="0.25">
      <c r="A906" t="s">
        <v>1032</v>
      </c>
      <c r="B906" s="4">
        <v>2503.34</v>
      </c>
      <c r="C906" s="4">
        <v>19.8</v>
      </c>
      <c r="D906" s="4">
        <v>2483.54</v>
      </c>
      <c r="E906">
        <v>205</v>
      </c>
      <c r="F906">
        <v>200</v>
      </c>
    </row>
    <row r="907" spans="1:6" x14ac:dyDescent="0.25">
      <c r="A907" t="s">
        <v>1033</v>
      </c>
      <c r="B907" s="4">
        <v>2501.56</v>
      </c>
      <c r="C907" s="4">
        <v>0</v>
      </c>
      <c r="D907" s="4">
        <v>2501.56</v>
      </c>
      <c r="E907">
        <v>101</v>
      </c>
      <c r="F907">
        <v>97</v>
      </c>
    </row>
    <row r="908" spans="1:6" x14ac:dyDescent="0.25">
      <c r="A908" t="s">
        <v>1034</v>
      </c>
      <c r="B908" s="4">
        <v>2495.75</v>
      </c>
      <c r="C908" s="4">
        <v>10.4</v>
      </c>
      <c r="D908" s="4">
        <v>2485.35</v>
      </c>
      <c r="E908">
        <v>289</v>
      </c>
      <c r="F908">
        <v>282</v>
      </c>
    </row>
    <row r="909" spans="1:6" x14ac:dyDescent="0.25">
      <c r="A909" t="s">
        <v>1035</v>
      </c>
      <c r="B909" s="4">
        <v>2494.33</v>
      </c>
      <c r="C909" s="4">
        <v>27.3</v>
      </c>
      <c r="D909" s="4">
        <v>2467.0300000000002</v>
      </c>
      <c r="E909">
        <v>182</v>
      </c>
      <c r="F909">
        <v>180</v>
      </c>
    </row>
    <row r="910" spans="1:6" x14ac:dyDescent="0.25">
      <c r="A910" t="s">
        <v>1036</v>
      </c>
      <c r="B910" s="4">
        <v>2471.39</v>
      </c>
      <c r="C910" s="4">
        <v>17</v>
      </c>
      <c r="D910" s="4">
        <v>2454.39</v>
      </c>
      <c r="E910">
        <v>101</v>
      </c>
      <c r="F910">
        <v>101</v>
      </c>
    </row>
    <row r="911" spans="1:6" x14ac:dyDescent="0.25">
      <c r="A911" t="s">
        <v>1037</v>
      </c>
      <c r="B911" s="4">
        <v>2462.9499999999998</v>
      </c>
      <c r="C911" s="4">
        <v>15</v>
      </c>
      <c r="D911" s="4">
        <v>2447.9499999999998</v>
      </c>
      <c r="E911">
        <v>215</v>
      </c>
      <c r="F911">
        <v>212</v>
      </c>
    </row>
    <row r="912" spans="1:6" x14ac:dyDescent="0.25">
      <c r="A912" t="s">
        <v>1038</v>
      </c>
      <c r="B912" s="4">
        <v>2449.3000000000002</v>
      </c>
      <c r="C912" s="4">
        <v>6.6</v>
      </c>
      <c r="D912" s="4">
        <v>2442.6999999999998</v>
      </c>
      <c r="E912">
        <v>162</v>
      </c>
      <c r="F912">
        <v>159</v>
      </c>
    </row>
    <row r="913" spans="1:6" x14ac:dyDescent="0.25">
      <c r="A913" t="s">
        <v>1039</v>
      </c>
      <c r="B913" s="4">
        <v>2440.27</v>
      </c>
      <c r="C913" s="4">
        <v>17</v>
      </c>
      <c r="D913" s="4">
        <v>2423.27</v>
      </c>
      <c r="E913">
        <v>226</v>
      </c>
      <c r="F913">
        <v>223</v>
      </c>
    </row>
    <row r="914" spans="1:6" x14ac:dyDescent="0.25">
      <c r="A914" t="s">
        <v>1040</v>
      </c>
      <c r="B914" s="4">
        <v>2430.44</v>
      </c>
      <c r="C914" s="4">
        <v>133.5</v>
      </c>
      <c r="D914" s="4">
        <v>2296.94</v>
      </c>
      <c r="E914">
        <v>258</v>
      </c>
      <c r="F914">
        <v>255</v>
      </c>
    </row>
    <row r="915" spans="1:6" x14ac:dyDescent="0.25">
      <c r="A915" t="s">
        <v>1041</v>
      </c>
      <c r="B915" s="4">
        <v>2429.38</v>
      </c>
      <c r="C915" s="4">
        <v>35</v>
      </c>
      <c r="D915" s="4">
        <v>2394.38</v>
      </c>
      <c r="E915">
        <v>149</v>
      </c>
      <c r="F915">
        <v>148</v>
      </c>
    </row>
    <row r="916" spans="1:6" x14ac:dyDescent="0.25">
      <c r="A916" t="s">
        <v>1042</v>
      </c>
      <c r="B916" s="4">
        <v>2428.91</v>
      </c>
      <c r="C916" s="4">
        <v>18.75</v>
      </c>
      <c r="D916" s="4">
        <v>2410.16</v>
      </c>
      <c r="E916">
        <v>112</v>
      </c>
      <c r="F916">
        <v>111</v>
      </c>
    </row>
    <row r="917" spans="1:6" x14ac:dyDescent="0.25">
      <c r="A917" t="s">
        <v>1043</v>
      </c>
      <c r="B917" s="4">
        <v>2428.1799999999998</v>
      </c>
      <c r="C917" s="4">
        <v>0</v>
      </c>
      <c r="D917" s="4">
        <v>2428.1799999999998</v>
      </c>
      <c r="E917">
        <v>199</v>
      </c>
      <c r="F917">
        <v>195</v>
      </c>
    </row>
    <row r="918" spans="1:6" x14ac:dyDescent="0.25">
      <c r="A918" t="s">
        <v>1044</v>
      </c>
      <c r="B918" s="4">
        <v>2427.25</v>
      </c>
      <c r="C918" s="4">
        <v>0</v>
      </c>
      <c r="D918" s="4">
        <v>2427.25</v>
      </c>
      <c r="E918">
        <v>223</v>
      </c>
      <c r="F918">
        <v>221</v>
      </c>
    </row>
    <row r="919" spans="1:6" x14ac:dyDescent="0.25">
      <c r="A919" t="s">
        <v>1045</v>
      </c>
      <c r="B919" s="4">
        <v>2423.54</v>
      </c>
      <c r="C919" s="4">
        <v>18.75</v>
      </c>
      <c r="D919" s="4">
        <v>2404.79</v>
      </c>
      <c r="E919">
        <v>317</v>
      </c>
      <c r="F919">
        <v>293</v>
      </c>
    </row>
    <row r="920" spans="1:6" x14ac:dyDescent="0.25">
      <c r="A920" t="s">
        <v>1046</v>
      </c>
      <c r="B920" s="4">
        <v>2420.34</v>
      </c>
      <c r="C920" s="4">
        <v>17.7</v>
      </c>
      <c r="D920" s="4">
        <v>2402.64</v>
      </c>
      <c r="E920">
        <v>210</v>
      </c>
      <c r="F920">
        <v>206</v>
      </c>
    </row>
    <row r="921" spans="1:6" x14ac:dyDescent="0.25">
      <c r="A921" t="s">
        <v>1047</v>
      </c>
      <c r="B921" s="4">
        <v>2419.29</v>
      </c>
      <c r="C921" s="4">
        <v>2.95</v>
      </c>
      <c r="D921" s="4">
        <v>2416.34</v>
      </c>
      <c r="E921">
        <v>109</v>
      </c>
      <c r="F921">
        <v>108</v>
      </c>
    </row>
    <row r="922" spans="1:6" x14ac:dyDescent="0.25">
      <c r="A922" t="s">
        <v>1048</v>
      </c>
      <c r="B922" s="4">
        <v>2418.94</v>
      </c>
      <c r="C922" s="4">
        <v>8.5</v>
      </c>
      <c r="D922" s="4">
        <v>2410.44</v>
      </c>
      <c r="E922">
        <v>229</v>
      </c>
      <c r="F922">
        <v>226</v>
      </c>
    </row>
    <row r="923" spans="1:6" x14ac:dyDescent="0.25">
      <c r="A923" t="s">
        <v>1049</v>
      </c>
      <c r="B923" s="4">
        <v>2418.6799999999998</v>
      </c>
      <c r="C923" s="4">
        <v>0</v>
      </c>
      <c r="D923" s="4">
        <v>2418.6799999999998</v>
      </c>
      <c r="E923">
        <v>353</v>
      </c>
      <c r="F923">
        <v>346</v>
      </c>
    </row>
    <row r="924" spans="1:6" x14ac:dyDescent="0.25">
      <c r="A924" t="s">
        <v>1050</v>
      </c>
      <c r="B924" s="4">
        <v>2409.34</v>
      </c>
      <c r="C924" s="4">
        <v>12.5</v>
      </c>
      <c r="D924" s="4">
        <v>2396.84</v>
      </c>
      <c r="E924">
        <v>108</v>
      </c>
      <c r="F924">
        <v>107</v>
      </c>
    </row>
    <row r="925" spans="1:6" x14ac:dyDescent="0.25">
      <c r="A925" t="s">
        <v>1051</v>
      </c>
      <c r="B925" s="4">
        <v>2407.52</v>
      </c>
      <c r="C925" s="4">
        <v>69.3</v>
      </c>
      <c r="D925" s="4">
        <v>2338.2199999999998</v>
      </c>
      <c r="E925">
        <v>128</v>
      </c>
      <c r="F925">
        <v>125</v>
      </c>
    </row>
    <row r="926" spans="1:6" x14ac:dyDescent="0.25">
      <c r="A926" t="s">
        <v>1052</v>
      </c>
      <c r="B926" s="4">
        <v>2401.0700000000002</v>
      </c>
      <c r="C926" s="4">
        <v>49.75</v>
      </c>
      <c r="D926" s="4">
        <v>2351.3200000000002</v>
      </c>
      <c r="E926">
        <v>157</v>
      </c>
      <c r="F926">
        <v>156</v>
      </c>
    </row>
    <row r="927" spans="1:6" x14ac:dyDescent="0.25">
      <c r="A927" t="s">
        <v>1053</v>
      </c>
      <c r="B927" s="4">
        <v>2400.0500000000002</v>
      </c>
      <c r="C927" s="4">
        <v>20</v>
      </c>
      <c r="D927" s="4">
        <v>2380.0500000000002</v>
      </c>
      <c r="E927">
        <v>269</v>
      </c>
      <c r="F927">
        <v>263</v>
      </c>
    </row>
    <row r="928" spans="1:6" x14ac:dyDescent="0.25">
      <c r="A928" t="s">
        <v>1054</v>
      </c>
      <c r="B928" s="4">
        <v>2393.59</v>
      </c>
      <c r="C928" s="4">
        <v>0</v>
      </c>
      <c r="D928" s="4">
        <v>2393.59</v>
      </c>
      <c r="E928">
        <v>124</v>
      </c>
      <c r="F928">
        <v>124</v>
      </c>
    </row>
    <row r="929" spans="1:6" x14ac:dyDescent="0.25">
      <c r="A929" t="s">
        <v>1055</v>
      </c>
      <c r="B929" s="4">
        <v>2389.52</v>
      </c>
      <c r="C929" s="4">
        <v>8.5</v>
      </c>
      <c r="D929" s="4">
        <v>2381.02</v>
      </c>
      <c r="E929">
        <v>210</v>
      </c>
      <c r="F929">
        <v>210</v>
      </c>
    </row>
    <row r="930" spans="1:6" x14ac:dyDescent="0.25">
      <c r="A930" t="s">
        <v>1056</v>
      </c>
      <c r="B930" s="4">
        <v>2389.44</v>
      </c>
      <c r="C930" s="4">
        <v>237.05</v>
      </c>
      <c r="D930" s="4">
        <v>2152.39</v>
      </c>
      <c r="E930">
        <v>115</v>
      </c>
      <c r="F930">
        <v>113</v>
      </c>
    </row>
    <row r="931" spans="1:6" x14ac:dyDescent="0.25">
      <c r="A931" t="s">
        <v>1057</v>
      </c>
      <c r="B931" s="4">
        <v>2387.0300000000002</v>
      </c>
      <c r="C931" s="4">
        <v>11.55</v>
      </c>
      <c r="D931" s="4">
        <v>2375.48</v>
      </c>
      <c r="E931">
        <v>139</v>
      </c>
      <c r="F931">
        <v>137</v>
      </c>
    </row>
    <row r="932" spans="1:6" x14ac:dyDescent="0.25">
      <c r="A932" t="s">
        <v>1058</v>
      </c>
      <c r="B932" s="4">
        <v>2385.12</v>
      </c>
      <c r="C932" s="4">
        <v>4.2</v>
      </c>
      <c r="D932" s="4">
        <v>2380.92</v>
      </c>
      <c r="E932">
        <v>162</v>
      </c>
      <c r="F932">
        <v>154</v>
      </c>
    </row>
    <row r="933" spans="1:6" x14ac:dyDescent="0.25">
      <c r="A933" t="s">
        <v>1059</v>
      </c>
      <c r="B933" s="4">
        <v>2384.9699999999998</v>
      </c>
      <c r="C933" s="4">
        <v>136.94999999999999</v>
      </c>
      <c r="D933" s="4">
        <v>2248.02</v>
      </c>
      <c r="E933">
        <v>106</v>
      </c>
      <c r="F933">
        <v>99</v>
      </c>
    </row>
    <row r="934" spans="1:6" x14ac:dyDescent="0.25">
      <c r="A934" t="s">
        <v>1060</v>
      </c>
      <c r="B934" s="4">
        <v>2382.46</v>
      </c>
      <c r="C934" s="4">
        <v>5.95</v>
      </c>
      <c r="D934" s="4">
        <v>2376.5100000000002</v>
      </c>
      <c r="E934">
        <v>284</v>
      </c>
      <c r="F934">
        <v>268</v>
      </c>
    </row>
    <row r="935" spans="1:6" x14ac:dyDescent="0.25">
      <c r="A935" t="s">
        <v>1061</v>
      </c>
      <c r="B935" s="4">
        <v>2378.52</v>
      </c>
      <c r="C935" s="4">
        <v>12.75</v>
      </c>
      <c r="D935" s="4">
        <v>2365.77</v>
      </c>
      <c r="E935">
        <v>99</v>
      </c>
      <c r="F935">
        <v>99</v>
      </c>
    </row>
    <row r="936" spans="1:6" x14ac:dyDescent="0.25">
      <c r="A936" t="s">
        <v>1062</v>
      </c>
      <c r="B936" s="4">
        <v>2378.48</v>
      </c>
      <c r="C936" s="4">
        <v>0</v>
      </c>
      <c r="D936" s="4">
        <v>2378.48</v>
      </c>
      <c r="E936">
        <v>106</v>
      </c>
      <c r="F936">
        <v>99</v>
      </c>
    </row>
    <row r="937" spans="1:6" x14ac:dyDescent="0.25">
      <c r="A937" t="s">
        <v>1063</v>
      </c>
      <c r="B937" s="4">
        <v>2375.44</v>
      </c>
      <c r="C937" s="4">
        <v>11.05</v>
      </c>
      <c r="D937" s="4">
        <v>2364.39</v>
      </c>
      <c r="E937">
        <v>361</v>
      </c>
      <c r="F937">
        <v>350</v>
      </c>
    </row>
    <row r="938" spans="1:6" x14ac:dyDescent="0.25">
      <c r="A938" t="s">
        <v>1064</v>
      </c>
      <c r="B938" s="4">
        <v>2374.44</v>
      </c>
      <c r="C938" s="4">
        <v>0</v>
      </c>
      <c r="D938" s="4">
        <v>2374.44</v>
      </c>
      <c r="E938">
        <v>66</v>
      </c>
      <c r="F938">
        <v>62</v>
      </c>
    </row>
    <row r="939" spans="1:6" x14ac:dyDescent="0.25">
      <c r="A939" t="s">
        <v>1065</v>
      </c>
      <c r="B939" s="4">
        <v>2373.63</v>
      </c>
      <c r="C939" s="4">
        <v>2.5</v>
      </c>
      <c r="D939" s="4">
        <v>2371.13</v>
      </c>
      <c r="E939">
        <v>131</v>
      </c>
      <c r="F939">
        <v>131</v>
      </c>
    </row>
    <row r="940" spans="1:6" x14ac:dyDescent="0.25">
      <c r="A940" t="s">
        <v>1066</v>
      </c>
      <c r="B940" s="4">
        <v>2367.39</v>
      </c>
      <c r="C940" s="4">
        <v>18.75</v>
      </c>
      <c r="D940" s="4">
        <v>2348.64</v>
      </c>
      <c r="E940">
        <v>114</v>
      </c>
      <c r="F940">
        <v>114</v>
      </c>
    </row>
    <row r="941" spans="1:6" x14ac:dyDescent="0.25">
      <c r="A941" t="s">
        <v>1067</v>
      </c>
      <c r="B941" s="4">
        <v>2360.6799999999998</v>
      </c>
      <c r="C941" s="4">
        <v>24.85</v>
      </c>
      <c r="D941" s="4">
        <v>2335.83</v>
      </c>
      <c r="E941">
        <v>113</v>
      </c>
      <c r="F941">
        <v>113</v>
      </c>
    </row>
    <row r="942" spans="1:6" x14ac:dyDescent="0.25">
      <c r="A942" t="s">
        <v>1068</v>
      </c>
      <c r="B942" s="4">
        <v>2358.15</v>
      </c>
      <c r="C942" s="4">
        <v>336.54</v>
      </c>
      <c r="D942" s="4">
        <v>2021.61</v>
      </c>
      <c r="E942">
        <v>118</v>
      </c>
      <c r="F942">
        <v>116</v>
      </c>
    </row>
    <row r="943" spans="1:6" x14ac:dyDescent="0.25">
      <c r="A943" t="s">
        <v>1069</v>
      </c>
      <c r="B943" s="4">
        <v>2356</v>
      </c>
      <c r="C943" s="4">
        <v>10.5</v>
      </c>
      <c r="D943" s="4">
        <v>2345.5</v>
      </c>
      <c r="E943">
        <v>165</v>
      </c>
      <c r="F943">
        <v>165</v>
      </c>
    </row>
    <row r="944" spans="1:6" x14ac:dyDescent="0.25">
      <c r="A944" t="s">
        <v>1070</v>
      </c>
      <c r="B944" s="4">
        <v>2354.87</v>
      </c>
      <c r="C944" s="4">
        <v>18.75</v>
      </c>
      <c r="D944" s="4">
        <v>2336.12</v>
      </c>
      <c r="E944">
        <v>83</v>
      </c>
      <c r="F944">
        <v>83</v>
      </c>
    </row>
    <row r="945" spans="1:6" x14ac:dyDescent="0.25">
      <c r="A945" t="s">
        <v>1071</v>
      </c>
      <c r="B945" s="4">
        <v>2354.8000000000002</v>
      </c>
      <c r="C945" s="4">
        <v>15</v>
      </c>
      <c r="D945" s="4">
        <v>2339.8000000000002</v>
      </c>
      <c r="E945">
        <v>77</v>
      </c>
      <c r="F945">
        <v>76</v>
      </c>
    </row>
    <row r="946" spans="1:6" x14ac:dyDescent="0.25">
      <c r="A946" t="s">
        <v>1072</v>
      </c>
      <c r="B946" s="4">
        <v>2351.44</v>
      </c>
      <c r="C946" s="4">
        <v>0</v>
      </c>
      <c r="D946" s="4">
        <v>2351.44</v>
      </c>
      <c r="E946">
        <v>214</v>
      </c>
      <c r="F946">
        <v>209</v>
      </c>
    </row>
    <row r="947" spans="1:6" x14ac:dyDescent="0.25">
      <c r="A947" t="s">
        <v>1073</v>
      </c>
      <c r="B947" s="4">
        <v>2346.12</v>
      </c>
      <c r="C947" s="4">
        <v>29.7</v>
      </c>
      <c r="D947" s="4">
        <v>2316.42</v>
      </c>
      <c r="E947">
        <v>166</v>
      </c>
      <c r="F947">
        <v>166</v>
      </c>
    </row>
    <row r="948" spans="1:6" x14ac:dyDescent="0.25">
      <c r="A948" t="s">
        <v>1074</v>
      </c>
      <c r="B948" s="4">
        <v>2334.94</v>
      </c>
      <c r="C948" s="4">
        <v>30.6</v>
      </c>
      <c r="D948" s="4">
        <v>2304.34</v>
      </c>
      <c r="E948">
        <v>200</v>
      </c>
      <c r="F948">
        <v>198</v>
      </c>
    </row>
    <row r="949" spans="1:6" x14ac:dyDescent="0.25">
      <c r="A949" t="s">
        <v>1075</v>
      </c>
      <c r="B949" s="4">
        <v>2331.14</v>
      </c>
      <c r="C949" s="4">
        <v>93.75</v>
      </c>
      <c r="D949" s="4">
        <v>2237.39</v>
      </c>
      <c r="E949">
        <v>188</v>
      </c>
      <c r="F949">
        <v>185</v>
      </c>
    </row>
    <row r="950" spans="1:6" x14ac:dyDescent="0.25">
      <c r="A950" t="s">
        <v>1076</v>
      </c>
      <c r="B950" s="4">
        <v>2331</v>
      </c>
      <c r="C950" s="4">
        <v>0</v>
      </c>
      <c r="D950" s="4">
        <v>2331</v>
      </c>
      <c r="E950">
        <v>167</v>
      </c>
      <c r="F950">
        <v>167</v>
      </c>
    </row>
    <row r="951" spans="1:6" x14ac:dyDescent="0.25">
      <c r="A951" t="s">
        <v>1077</v>
      </c>
      <c r="B951" s="4">
        <v>2323.8000000000002</v>
      </c>
      <c r="C951" s="4">
        <v>36.25</v>
      </c>
      <c r="D951" s="4">
        <v>2287.5500000000002</v>
      </c>
      <c r="E951">
        <v>252</v>
      </c>
      <c r="F951">
        <v>249</v>
      </c>
    </row>
    <row r="952" spans="1:6" x14ac:dyDescent="0.25">
      <c r="A952" t="s">
        <v>1078</v>
      </c>
      <c r="B952" s="4">
        <v>2315.33</v>
      </c>
      <c r="C952" s="4">
        <v>87.9</v>
      </c>
      <c r="D952" s="4">
        <v>2227.4299999999998</v>
      </c>
      <c r="E952">
        <v>111</v>
      </c>
      <c r="F952">
        <v>109</v>
      </c>
    </row>
    <row r="953" spans="1:6" x14ac:dyDescent="0.25">
      <c r="A953" t="s">
        <v>1079</v>
      </c>
      <c r="B953" s="4">
        <v>2315.25</v>
      </c>
      <c r="C953" s="4">
        <v>21.45</v>
      </c>
      <c r="D953" s="4">
        <v>2293.8000000000002</v>
      </c>
      <c r="E953">
        <v>230</v>
      </c>
      <c r="F953">
        <v>223</v>
      </c>
    </row>
    <row r="954" spans="1:6" x14ac:dyDescent="0.25">
      <c r="A954" t="s">
        <v>1080</v>
      </c>
      <c r="B954" s="4">
        <v>2314.7399999999998</v>
      </c>
      <c r="C954" s="4">
        <v>2.95</v>
      </c>
      <c r="D954" s="4">
        <v>2311.79</v>
      </c>
      <c r="E954">
        <v>173</v>
      </c>
      <c r="F954">
        <v>169</v>
      </c>
    </row>
    <row r="955" spans="1:6" x14ac:dyDescent="0.25">
      <c r="A955" t="s">
        <v>1081</v>
      </c>
      <c r="B955" s="4">
        <v>2313.5300000000002</v>
      </c>
      <c r="C955" s="4">
        <v>0</v>
      </c>
      <c r="D955" s="4">
        <v>2313.5300000000002</v>
      </c>
      <c r="E955">
        <v>192</v>
      </c>
      <c r="F955">
        <v>185</v>
      </c>
    </row>
    <row r="956" spans="1:6" x14ac:dyDescent="0.25">
      <c r="A956" t="s">
        <v>1082</v>
      </c>
      <c r="B956" s="4">
        <v>2304.83</v>
      </c>
      <c r="C956" s="4">
        <v>6.1</v>
      </c>
      <c r="D956" s="4">
        <v>2298.73</v>
      </c>
      <c r="E956">
        <v>122</v>
      </c>
      <c r="F956">
        <v>120</v>
      </c>
    </row>
    <row r="957" spans="1:6" x14ac:dyDescent="0.25">
      <c r="A957" t="s">
        <v>1083</v>
      </c>
      <c r="B957" s="4">
        <v>2304.14</v>
      </c>
      <c r="C957" s="4">
        <v>0.39</v>
      </c>
      <c r="D957" s="4">
        <v>2303.75</v>
      </c>
      <c r="E957">
        <v>371</v>
      </c>
      <c r="F957">
        <v>359</v>
      </c>
    </row>
    <row r="958" spans="1:6" x14ac:dyDescent="0.25">
      <c r="A958" t="s">
        <v>1084</v>
      </c>
      <c r="B958" s="4">
        <v>2303.92</v>
      </c>
      <c r="C958" s="4">
        <v>46.2</v>
      </c>
      <c r="D958" s="4">
        <v>2257.7199999999998</v>
      </c>
      <c r="E958">
        <v>156</v>
      </c>
      <c r="F958">
        <v>156</v>
      </c>
    </row>
    <row r="959" spans="1:6" x14ac:dyDescent="0.25">
      <c r="A959" t="s">
        <v>1085</v>
      </c>
      <c r="B959" s="4">
        <v>2301.31</v>
      </c>
      <c r="C959" s="4">
        <v>6.3</v>
      </c>
      <c r="D959" s="4">
        <v>2295.0100000000002</v>
      </c>
      <c r="E959">
        <v>225</v>
      </c>
      <c r="F959">
        <v>219</v>
      </c>
    </row>
    <row r="960" spans="1:6" x14ac:dyDescent="0.25">
      <c r="A960" t="s">
        <v>1086</v>
      </c>
      <c r="B960" s="4">
        <v>2299.4699999999998</v>
      </c>
      <c r="C960" s="4">
        <v>7.5</v>
      </c>
      <c r="D960" s="4">
        <v>2291.9699999999998</v>
      </c>
      <c r="E960">
        <v>231</v>
      </c>
      <c r="F960">
        <v>216</v>
      </c>
    </row>
    <row r="961" spans="1:6" x14ac:dyDescent="0.25">
      <c r="A961" t="s">
        <v>1087</v>
      </c>
      <c r="B961" s="4">
        <v>2296.15</v>
      </c>
      <c r="C961" s="4">
        <v>0</v>
      </c>
      <c r="D961" s="4">
        <v>2296.15</v>
      </c>
      <c r="E961">
        <v>119</v>
      </c>
      <c r="F961">
        <v>114</v>
      </c>
    </row>
    <row r="962" spans="1:6" x14ac:dyDescent="0.25">
      <c r="A962" t="s">
        <v>1088</v>
      </c>
      <c r="B962" s="4">
        <v>2292.34</v>
      </c>
      <c r="C962" s="4">
        <v>41.16</v>
      </c>
      <c r="D962" s="4">
        <v>2251.1799999999998</v>
      </c>
      <c r="E962">
        <v>144</v>
      </c>
      <c r="F962">
        <v>143</v>
      </c>
    </row>
    <row r="963" spans="1:6" x14ac:dyDescent="0.25">
      <c r="A963" t="s">
        <v>1089</v>
      </c>
      <c r="B963" s="4">
        <v>2291.44</v>
      </c>
      <c r="C963" s="4">
        <v>0</v>
      </c>
      <c r="D963" s="4">
        <v>2291.44</v>
      </c>
      <c r="E963">
        <v>166</v>
      </c>
      <c r="F963">
        <v>162</v>
      </c>
    </row>
    <row r="964" spans="1:6" x14ac:dyDescent="0.25">
      <c r="A964" t="s">
        <v>1090</v>
      </c>
      <c r="B964" s="4">
        <v>2283.41</v>
      </c>
      <c r="C964" s="4">
        <v>34.65</v>
      </c>
      <c r="D964" s="4">
        <v>2248.7600000000002</v>
      </c>
      <c r="E964">
        <v>142</v>
      </c>
      <c r="F964">
        <v>139</v>
      </c>
    </row>
    <row r="965" spans="1:6" x14ac:dyDescent="0.25">
      <c r="A965" t="s">
        <v>1091</v>
      </c>
      <c r="B965" s="4">
        <v>2280.4699999999998</v>
      </c>
      <c r="C965" s="4">
        <v>34.65</v>
      </c>
      <c r="D965" s="4">
        <v>2245.8200000000002</v>
      </c>
      <c r="E965">
        <v>113</v>
      </c>
      <c r="F965">
        <v>112</v>
      </c>
    </row>
    <row r="966" spans="1:6" x14ac:dyDescent="0.25">
      <c r="A966" t="s">
        <v>1092</v>
      </c>
      <c r="B966" s="4">
        <v>2279.09</v>
      </c>
      <c r="C966" s="4">
        <v>9.75</v>
      </c>
      <c r="D966" s="4">
        <v>2269.34</v>
      </c>
      <c r="E966">
        <v>113</v>
      </c>
      <c r="F966">
        <v>110</v>
      </c>
    </row>
    <row r="967" spans="1:6" x14ac:dyDescent="0.25">
      <c r="A967" t="s">
        <v>1093</v>
      </c>
      <c r="B967" s="4">
        <v>2276.61</v>
      </c>
      <c r="C967" s="4">
        <v>123.75</v>
      </c>
      <c r="D967" s="4">
        <v>2152.86</v>
      </c>
      <c r="E967">
        <v>141</v>
      </c>
      <c r="F967">
        <v>138</v>
      </c>
    </row>
    <row r="968" spans="1:6" x14ac:dyDescent="0.25">
      <c r="A968" t="s">
        <v>1094</v>
      </c>
      <c r="B968" s="4">
        <v>2266.16</v>
      </c>
      <c r="C968" s="4">
        <v>24.75</v>
      </c>
      <c r="D968" s="4">
        <v>2241.41</v>
      </c>
      <c r="E968">
        <v>156</v>
      </c>
      <c r="F968">
        <v>154</v>
      </c>
    </row>
    <row r="969" spans="1:6" x14ac:dyDescent="0.25">
      <c r="A969" t="s">
        <v>1095</v>
      </c>
      <c r="B969" s="4">
        <v>2261.6</v>
      </c>
      <c r="C969" s="4">
        <v>68.760000000000005</v>
      </c>
      <c r="D969" s="4">
        <v>2192.84</v>
      </c>
      <c r="E969">
        <v>444</v>
      </c>
      <c r="F969">
        <v>443</v>
      </c>
    </row>
    <row r="970" spans="1:6" x14ac:dyDescent="0.25">
      <c r="A970" t="s">
        <v>1096</v>
      </c>
      <c r="B970" s="4">
        <v>2256.1999999999998</v>
      </c>
      <c r="C970" s="4">
        <v>63.8</v>
      </c>
      <c r="D970" s="4">
        <v>2192.4</v>
      </c>
      <c r="E970">
        <v>185</v>
      </c>
      <c r="F970">
        <v>185</v>
      </c>
    </row>
    <row r="971" spans="1:6" x14ac:dyDescent="0.25">
      <c r="A971" t="s">
        <v>1097</v>
      </c>
      <c r="B971" s="4">
        <v>2251.77</v>
      </c>
      <c r="C971" s="4">
        <v>743.06</v>
      </c>
      <c r="D971" s="4">
        <v>1508.71</v>
      </c>
      <c r="E971">
        <v>87</v>
      </c>
      <c r="F971">
        <v>86</v>
      </c>
    </row>
    <row r="972" spans="1:6" x14ac:dyDescent="0.25">
      <c r="A972" t="s">
        <v>1098</v>
      </c>
      <c r="B972" s="4">
        <v>2247.9699999999998</v>
      </c>
      <c r="C972" s="4">
        <v>0</v>
      </c>
      <c r="D972" s="4">
        <v>2247.9699999999998</v>
      </c>
      <c r="E972">
        <v>277</v>
      </c>
      <c r="F972">
        <v>274</v>
      </c>
    </row>
    <row r="973" spans="1:6" x14ac:dyDescent="0.25">
      <c r="A973" t="s">
        <v>1099</v>
      </c>
      <c r="B973" s="4">
        <v>2244.2199999999998</v>
      </c>
      <c r="C973" s="4">
        <v>7.47</v>
      </c>
      <c r="D973" s="4">
        <v>2236.75</v>
      </c>
      <c r="E973">
        <v>144</v>
      </c>
      <c r="F973">
        <v>142</v>
      </c>
    </row>
    <row r="974" spans="1:6" x14ac:dyDescent="0.25">
      <c r="A974" t="s">
        <v>1100</v>
      </c>
      <c r="B974" s="4">
        <v>2243.35</v>
      </c>
      <c r="C974" s="4">
        <v>125.3</v>
      </c>
      <c r="D974" s="4">
        <v>2118.0500000000002</v>
      </c>
      <c r="E974">
        <v>109</v>
      </c>
      <c r="F974">
        <v>106</v>
      </c>
    </row>
    <row r="975" spans="1:6" x14ac:dyDescent="0.25">
      <c r="A975" t="s">
        <v>1101</v>
      </c>
      <c r="B975" s="4">
        <v>2237.71</v>
      </c>
      <c r="C975" s="4">
        <v>0</v>
      </c>
      <c r="D975" s="4">
        <v>2237.71</v>
      </c>
      <c r="E975">
        <v>77</v>
      </c>
      <c r="F975">
        <v>76</v>
      </c>
    </row>
    <row r="976" spans="1:6" x14ac:dyDescent="0.25">
      <c r="A976" t="s">
        <v>1102</v>
      </c>
      <c r="B976" s="4">
        <v>2235.65</v>
      </c>
      <c r="C976" s="4">
        <v>0</v>
      </c>
      <c r="D976" s="4">
        <v>2235.65</v>
      </c>
      <c r="E976">
        <v>342</v>
      </c>
      <c r="F976">
        <v>335</v>
      </c>
    </row>
    <row r="977" spans="1:6" x14ac:dyDescent="0.25">
      <c r="A977" t="s">
        <v>1103</v>
      </c>
      <c r="B977" s="4">
        <v>2228.09</v>
      </c>
      <c r="C977" s="4">
        <v>15</v>
      </c>
      <c r="D977" s="4">
        <v>2213.09</v>
      </c>
      <c r="E977">
        <v>165</v>
      </c>
      <c r="F977">
        <v>163</v>
      </c>
    </row>
    <row r="978" spans="1:6" x14ac:dyDescent="0.25">
      <c r="A978" t="s">
        <v>1104</v>
      </c>
      <c r="B978" s="4">
        <v>2227.42</v>
      </c>
      <c r="C978" s="4">
        <v>0</v>
      </c>
      <c r="D978" s="4">
        <v>2227.42</v>
      </c>
      <c r="E978">
        <v>111</v>
      </c>
      <c r="F978">
        <v>109</v>
      </c>
    </row>
    <row r="979" spans="1:6" x14ac:dyDescent="0.25">
      <c r="A979" t="s">
        <v>1105</v>
      </c>
      <c r="B979" s="4">
        <v>2222.38</v>
      </c>
      <c r="C979" s="4">
        <v>3.4</v>
      </c>
      <c r="D979" s="4">
        <v>2218.98</v>
      </c>
      <c r="E979">
        <v>204</v>
      </c>
      <c r="F979">
        <v>200</v>
      </c>
    </row>
    <row r="980" spans="1:6" x14ac:dyDescent="0.25">
      <c r="A980" t="s">
        <v>1106</v>
      </c>
      <c r="B980" s="4">
        <v>2220.37</v>
      </c>
      <c r="C980" s="4">
        <v>0</v>
      </c>
      <c r="D980" s="4">
        <v>2220.37</v>
      </c>
      <c r="E980">
        <v>116</v>
      </c>
      <c r="F980">
        <v>112</v>
      </c>
    </row>
    <row r="981" spans="1:6" x14ac:dyDescent="0.25">
      <c r="A981" t="s">
        <v>1107</v>
      </c>
      <c r="B981" s="4">
        <v>2218.12</v>
      </c>
      <c r="C981" s="4">
        <v>0</v>
      </c>
      <c r="D981" s="4">
        <v>2218.12</v>
      </c>
      <c r="E981">
        <v>141</v>
      </c>
      <c r="F981">
        <v>140</v>
      </c>
    </row>
    <row r="982" spans="1:6" x14ac:dyDescent="0.25">
      <c r="A982" t="s">
        <v>1108</v>
      </c>
      <c r="B982" s="4">
        <v>2214.08</v>
      </c>
      <c r="C982" s="4">
        <v>67.05</v>
      </c>
      <c r="D982" s="4">
        <v>2147.0300000000002</v>
      </c>
      <c r="E982">
        <v>194</v>
      </c>
      <c r="F982">
        <v>187</v>
      </c>
    </row>
    <row r="983" spans="1:6" x14ac:dyDescent="0.25">
      <c r="A983" t="s">
        <v>1109</v>
      </c>
      <c r="B983" s="4">
        <v>2213.42</v>
      </c>
      <c r="C983" s="4">
        <v>11.85</v>
      </c>
      <c r="D983" s="4">
        <v>2201.5700000000002</v>
      </c>
      <c r="E983">
        <v>106</v>
      </c>
      <c r="F983">
        <v>106</v>
      </c>
    </row>
    <row r="984" spans="1:6" x14ac:dyDescent="0.25">
      <c r="A984" t="s">
        <v>1110</v>
      </c>
      <c r="B984" s="4">
        <v>2211.6</v>
      </c>
      <c r="C984" s="4">
        <v>0</v>
      </c>
      <c r="D984" s="4">
        <v>2211.6</v>
      </c>
      <c r="E984">
        <v>61</v>
      </c>
      <c r="F984">
        <v>61</v>
      </c>
    </row>
    <row r="985" spans="1:6" x14ac:dyDescent="0.25">
      <c r="A985" t="s">
        <v>1111</v>
      </c>
      <c r="B985" s="4">
        <v>2207.86</v>
      </c>
      <c r="C985" s="4">
        <v>11.25</v>
      </c>
      <c r="D985" s="4">
        <v>2196.61</v>
      </c>
      <c r="E985">
        <v>136</v>
      </c>
      <c r="F985">
        <v>134</v>
      </c>
    </row>
    <row r="986" spans="1:6" x14ac:dyDescent="0.25">
      <c r="A986" t="s">
        <v>1112</v>
      </c>
      <c r="B986" s="4">
        <v>2207.39</v>
      </c>
      <c r="C986" s="4">
        <v>1.25</v>
      </c>
      <c r="D986" s="4">
        <v>2206.14</v>
      </c>
      <c r="E986">
        <v>179</v>
      </c>
      <c r="F986">
        <v>175</v>
      </c>
    </row>
    <row r="987" spans="1:6" x14ac:dyDescent="0.25">
      <c r="A987" t="s">
        <v>1113</v>
      </c>
      <c r="B987" s="4">
        <v>2205.4699999999998</v>
      </c>
      <c r="C987" s="4">
        <v>34.4</v>
      </c>
      <c r="D987" s="4">
        <v>2171.0700000000002</v>
      </c>
      <c r="E987">
        <v>135</v>
      </c>
      <c r="F987">
        <v>131</v>
      </c>
    </row>
    <row r="988" spans="1:6" x14ac:dyDescent="0.25">
      <c r="A988" t="s">
        <v>1114</v>
      </c>
      <c r="B988" s="4">
        <v>2202.14</v>
      </c>
      <c r="C988" s="4">
        <v>138.24</v>
      </c>
      <c r="D988" s="4">
        <v>2063.9</v>
      </c>
      <c r="E988">
        <v>225</v>
      </c>
      <c r="F988">
        <v>222</v>
      </c>
    </row>
    <row r="989" spans="1:6" x14ac:dyDescent="0.25">
      <c r="A989" t="s">
        <v>1115</v>
      </c>
      <c r="B989" s="4">
        <v>2201.0700000000002</v>
      </c>
      <c r="C989" s="4">
        <v>3.25</v>
      </c>
      <c r="D989" s="4">
        <v>2197.8200000000002</v>
      </c>
      <c r="E989">
        <v>377</v>
      </c>
      <c r="F989">
        <v>372</v>
      </c>
    </row>
    <row r="990" spans="1:6" x14ac:dyDescent="0.25">
      <c r="A990" t="s">
        <v>1116</v>
      </c>
      <c r="B990" s="4">
        <v>2194.62</v>
      </c>
      <c r="C990" s="4">
        <v>54.24</v>
      </c>
      <c r="D990" s="4">
        <v>2140.38</v>
      </c>
      <c r="E990">
        <v>236</v>
      </c>
      <c r="F990">
        <v>230</v>
      </c>
    </row>
    <row r="991" spans="1:6" x14ac:dyDescent="0.25">
      <c r="A991" t="s">
        <v>1117</v>
      </c>
      <c r="B991" s="4">
        <v>2191.84</v>
      </c>
      <c r="C991" s="4">
        <v>73.650000000000006</v>
      </c>
      <c r="D991" s="4">
        <v>2118.19</v>
      </c>
      <c r="E991">
        <v>76</v>
      </c>
      <c r="F991">
        <v>76</v>
      </c>
    </row>
    <row r="992" spans="1:6" x14ac:dyDescent="0.25">
      <c r="A992" t="s">
        <v>1118</v>
      </c>
      <c r="B992" s="4">
        <v>2191.4299999999998</v>
      </c>
      <c r="C992" s="4">
        <v>80.17</v>
      </c>
      <c r="D992" s="4">
        <v>2111.2600000000002</v>
      </c>
      <c r="E992">
        <v>263</v>
      </c>
      <c r="F992">
        <v>254</v>
      </c>
    </row>
    <row r="993" spans="1:6" x14ac:dyDescent="0.25">
      <c r="A993" t="s">
        <v>1119</v>
      </c>
      <c r="B993" s="4">
        <v>2186.27</v>
      </c>
      <c r="C993" s="4">
        <v>49.75</v>
      </c>
      <c r="D993" s="4">
        <v>2136.52</v>
      </c>
      <c r="E993">
        <v>109</v>
      </c>
      <c r="F993">
        <v>108</v>
      </c>
    </row>
    <row r="994" spans="1:6" x14ac:dyDescent="0.25">
      <c r="A994" t="s">
        <v>1120</v>
      </c>
      <c r="B994" s="4">
        <v>2182</v>
      </c>
      <c r="C994" s="4">
        <v>33</v>
      </c>
      <c r="D994" s="4">
        <v>2149</v>
      </c>
      <c r="E994">
        <v>157</v>
      </c>
      <c r="F994">
        <v>155</v>
      </c>
    </row>
    <row r="995" spans="1:6" x14ac:dyDescent="0.25">
      <c r="A995" t="s">
        <v>1121</v>
      </c>
      <c r="B995" s="4">
        <v>2179.66</v>
      </c>
      <c r="C995" s="4">
        <v>0</v>
      </c>
      <c r="D995" s="4">
        <v>2179.66</v>
      </c>
      <c r="E995">
        <v>149</v>
      </c>
      <c r="F995">
        <v>142</v>
      </c>
    </row>
    <row r="996" spans="1:6" x14ac:dyDescent="0.25">
      <c r="A996" t="s">
        <v>1122</v>
      </c>
      <c r="B996" s="4">
        <v>2177.84</v>
      </c>
      <c r="C996" s="4">
        <v>16.600000000000001</v>
      </c>
      <c r="D996" s="4">
        <v>2161.2399999999998</v>
      </c>
      <c r="E996">
        <v>103</v>
      </c>
      <c r="F996">
        <v>101</v>
      </c>
    </row>
    <row r="997" spans="1:6" x14ac:dyDescent="0.25">
      <c r="A997" t="s">
        <v>1123</v>
      </c>
      <c r="B997" s="4">
        <v>2175.04</v>
      </c>
      <c r="C997" s="4">
        <v>76.5</v>
      </c>
      <c r="D997" s="4">
        <v>2098.54</v>
      </c>
      <c r="E997">
        <v>180</v>
      </c>
      <c r="F997">
        <v>180</v>
      </c>
    </row>
    <row r="998" spans="1:6" x14ac:dyDescent="0.25">
      <c r="A998" t="s">
        <v>1124</v>
      </c>
      <c r="B998" s="4">
        <v>2173.0500000000002</v>
      </c>
      <c r="C998" s="4">
        <v>11.05</v>
      </c>
      <c r="D998" s="4">
        <v>2162</v>
      </c>
      <c r="E998">
        <v>229</v>
      </c>
      <c r="F998">
        <v>224</v>
      </c>
    </row>
    <row r="999" spans="1:6" x14ac:dyDescent="0.25">
      <c r="A999" t="s">
        <v>1125</v>
      </c>
      <c r="B999" s="4">
        <v>2171.5300000000002</v>
      </c>
      <c r="C999" s="4">
        <v>18.45</v>
      </c>
      <c r="D999" s="4">
        <v>2153.08</v>
      </c>
      <c r="E999">
        <v>207</v>
      </c>
      <c r="F999">
        <v>207</v>
      </c>
    </row>
    <row r="1000" spans="1:6" x14ac:dyDescent="0.25">
      <c r="A1000" t="s">
        <v>1126</v>
      </c>
      <c r="B1000" s="4">
        <v>2168.7600000000002</v>
      </c>
      <c r="C1000" s="4">
        <v>21</v>
      </c>
      <c r="D1000" s="4">
        <v>2147.7600000000002</v>
      </c>
      <c r="E1000">
        <v>175</v>
      </c>
      <c r="F1000">
        <v>174</v>
      </c>
    </row>
    <row r="1001" spans="1:6" x14ac:dyDescent="0.25">
      <c r="A1001" t="s">
        <v>1127</v>
      </c>
      <c r="B1001" s="4">
        <v>2165.65</v>
      </c>
      <c r="C1001" s="4">
        <v>5.95</v>
      </c>
      <c r="D1001" s="4">
        <v>2159.6999999999998</v>
      </c>
      <c r="E1001">
        <v>135</v>
      </c>
      <c r="F1001">
        <v>133</v>
      </c>
    </row>
    <row r="1002" spans="1:6" x14ac:dyDescent="0.25">
      <c r="A1002" t="s">
        <v>1128</v>
      </c>
      <c r="B1002" s="4">
        <v>2164.46</v>
      </c>
      <c r="C1002" s="4">
        <v>0</v>
      </c>
      <c r="D1002" s="4">
        <v>2164.46</v>
      </c>
      <c r="E1002">
        <v>231</v>
      </c>
      <c r="F1002">
        <v>216</v>
      </c>
    </row>
    <row r="1003" spans="1:6" x14ac:dyDescent="0.25">
      <c r="A1003" t="s">
        <v>1129</v>
      </c>
      <c r="B1003" s="4">
        <v>2162.75</v>
      </c>
      <c r="C1003" s="4">
        <v>0</v>
      </c>
      <c r="D1003" s="4">
        <v>2162.75</v>
      </c>
      <c r="E1003">
        <v>190</v>
      </c>
      <c r="F1003">
        <v>188</v>
      </c>
    </row>
    <row r="1004" spans="1:6" x14ac:dyDescent="0.25">
      <c r="A1004" t="s">
        <v>1130</v>
      </c>
      <c r="B1004" s="4">
        <v>2160</v>
      </c>
      <c r="C1004" s="4">
        <v>0</v>
      </c>
      <c r="D1004" s="4">
        <v>2160</v>
      </c>
      <c r="E1004">
        <v>119</v>
      </c>
      <c r="F1004">
        <v>119</v>
      </c>
    </row>
    <row r="1005" spans="1:6" x14ac:dyDescent="0.25">
      <c r="A1005" t="s">
        <v>1131</v>
      </c>
      <c r="B1005" s="4">
        <v>2158.06</v>
      </c>
      <c r="C1005" s="4">
        <v>76.25</v>
      </c>
      <c r="D1005" s="4">
        <v>2081.81</v>
      </c>
      <c r="E1005">
        <v>184</v>
      </c>
      <c r="F1005">
        <v>179</v>
      </c>
    </row>
    <row r="1006" spans="1:6" x14ac:dyDescent="0.25">
      <c r="A1006" t="s">
        <v>1132</v>
      </c>
      <c r="B1006" s="4">
        <v>2157.85</v>
      </c>
      <c r="C1006" s="4">
        <v>1.25</v>
      </c>
      <c r="D1006" s="4">
        <v>2156.6</v>
      </c>
      <c r="E1006">
        <v>158</v>
      </c>
      <c r="F1006">
        <v>151</v>
      </c>
    </row>
    <row r="1007" spans="1:6" x14ac:dyDescent="0.25">
      <c r="A1007" t="s">
        <v>1133</v>
      </c>
      <c r="B1007" s="4">
        <v>2155.94</v>
      </c>
      <c r="C1007" s="4">
        <v>841.05</v>
      </c>
      <c r="D1007" s="4">
        <v>1314.89</v>
      </c>
      <c r="E1007">
        <v>248</v>
      </c>
      <c r="F1007">
        <v>242</v>
      </c>
    </row>
    <row r="1008" spans="1:6" x14ac:dyDescent="0.25">
      <c r="A1008" t="s">
        <v>1134</v>
      </c>
      <c r="B1008" s="4">
        <v>2155.89</v>
      </c>
      <c r="C1008" s="4">
        <v>11.16</v>
      </c>
      <c r="D1008" s="4">
        <v>2144.73</v>
      </c>
      <c r="E1008">
        <v>406</v>
      </c>
      <c r="F1008">
        <v>405</v>
      </c>
    </row>
    <row r="1009" spans="1:6" x14ac:dyDescent="0.25">
      <c r="A1009" t="s">
        <v>1135</v>
      </c>
      <c r="B1009" s="4">
        <v>2149.31</v>
      </c>
      <c r="C1009" s="4">
        <v>411.87</v>
      </c>
      <c r="D1009" s="4">
        <v>1737.44</v>
      </c>
      <c r="E1009">
        <v>178</v>
      </c>
      <c r="F1009">
        <v>175</v>
      </c>
    </row>
    <row r="1010" spans="1:6" x14ac:dyDescent="0.25">
      <c r="A1010" t="s">
        <v>1136</v>
      </c>
      <c r="B1010" s="4">
        <v>2147.5500000000002</v>
      </c>
      <c r="C1010" s="4">
        <v>0.42</v>
      </c>
      <c r="D1010" s="4">
        <v>2147.13</v>
      </c>
      <c r="E1010">
        <v>248</v>
      </c>
      <c r="F1010">
        <v>241</v>
      </c>
    </row>
    <row r="1011" spans="1:6" x14ac:dyDescent="0.25">
      <c r="A1011" t="s">
        <v>1137</v>
      </c>
      <c r="B1011" s="4">
        <v>2145.91</v>
      </c>
      <c r="C1011" s="4">
        <v>36.299999999999997</v>
      </c>
      <c r="D1011" s="4">
        <v>2109.61</v>
      </c>
      <c r="E1011">
        <v>146</v>
      </c>
      <c r="F1011">
        <v>144</v>
      </c>
    </row>
    <row r="1012" spans="1:6" x14ac:dyDescent="0.25">
      <c r="A1012" t="s">
        <v>1138</v>
      </c>
      <c r="B1012" s="4">
        <v>2145.3000000000002</v>
      </c>
      <c r="C1012" s="4">
        <v>15</v>
      </c>
      <c r="D1012" s="4">
        <v>2130.3000000000002</v>
      </c>
      <c r="E1012">
        <v>98</v>
      </c>
      <c r="F1012">
        <v>98</v>
      </c>
    </row>
    <row r="1013" spans="1:6" x14ac:dyDescent="0.25">
      <c r="A1013" t="s">
        <v>1139</v>
      </c>
      <c r="B1013" s="4">
        <v>2139.67</v>
      </c>
      <c r="C1013" s="4">
        <v>15</v>
      </c>
      <c r="D1013" s="4">
        <v>2124.67</v>
      </c>
      <c r="E1013">
        <v>156</v>
      </c>
      <c r="F1013">
        <v>152</v>
      </c>
    </row>
    <row r="1014" spans="1:6" x14ac:dyDescent="0.25">
      <c r="A1014" t="s">
        <v>1140</v>
      </c>
      <c r="B1014" s="4">
        <v>2137.81</v>
      </c>
      <c r="C1014" s="4">
        <v>8.25</v>
      </c>
      <c r="D1014" s="4">
        <v>2129.56</v>
      </c>
      <c r="E1014">
        <v>85</v>
      </c>
      <c r="F1014">
        <v>85</v>
      </c>
    </row>
    <row r="1015" spans="1:6" x14ac:dyDescent="0.25">
      <c r="A1015" t="s">
        <v>1141</v>
      </c>
      <c r="B1015" s="4">
        <v>2136.34</v>
      </c>
      <c r="C1015" s="4">
        <v>0</v>
      </c>
      <c r="D1015" s="4">
        <v>2136.34</v>
      </c>
      <c r="E1015">
        <v>97</v>
      </c>
      <c r="F1015">
        <v>97</v>
      </c>
    </row>
    <row r="1016" spans="1:6" x14ac:dyDescent="0.25">
      <c r="A1016" t="s">
        <v>1142</v>
      </c>
      <c r="B1016" s="4">
        <v>2132.44</v>
      </c>
      <c r="C1016" s="4">
        <v>239.2</v>
      </c>
      <c r="D1016" s="4">
        <v>1893.24</v>
      </c>
      <c r="E1016">
        <v>88</v>
      </c>
      <c r="F1016">
        <v>86</v>
      </c>
    </row>
    <row r="1017" spans="1:6" x14ac:dyDescent="0.25">
      <c r="A1017" t="s">
        <v>1143</v>
      </c>
      <c r="B1017" s="4">
        <v>2127.5300000000002</v>
      </c>
      <c r="C1017" s="4">
        <v>70</v>
      </c>
      <c r="D1017" s="4">
        <v>2057.5300000000002</v>
      </c>
      <c r="E1017">
        <v>76</v>
      </c>
      <c r="F1017">
        <v>76</v>
      </c>
    </row>
    <row r="1018" spans="1:6" x14ac:dyDescent="0.25">
      <c r="A1018" t="s">
        <v>1144</v>
      </c>
      <c r="B1018" s="4">
        <v>2126.39</v>
      </c>
      <c r="C1018" s="4">
        <v>96.2</v>
      </c>
      <c r="D1018" s="4">
        <v>2030.19</v>
      </c>
      <c r="E1018">
        <v>139</v>
      </c>
      <c r="F1018">
        <v>134</v>
      </c>
    </row>
    <row r="1019" spans="1:6" x14ac:dyDescent="0.25">
      <c r="A1019" t="s">
        <v>1145</v>
      </c>
      <c r="B1019" s="4">
        <v>2125.1799999999998</v>
      </c>
      <c r="C1019" s="4">
        <v>127.5</v>
      </c>
      <c r="D1019" s="4">
        <v>1997.68</v>
      </c>
      <c r="E1019">
        <v>172</v>
      </c>
      <c r="F1019">
        <v>168</v>
      </c>
    </row>
    <row r="1020" spans="1:6" x14ac:dyDescent="0.25">
      <c r="A1020" t="s">
        <v>1146</v>
      </c>
      <c r="B1020" s="4">
        <v>2124.15</v>
      </c>
      <c r="C1020" s="4">
        <v>0</v>
      </c>
      <c r="D1020" s="4">
        <v>2124.15</v>
      </c>
      <c r="E1020">
        <v>82</v>
      </c>
      <c r="F1020">
        <v>82</v>
      </c>
    </row>
    <row r="1021" spans="1:6" x14ac:dyDescent="0.25">
      <c r="A1021" t="s">
        <v>1147</v>
      </c>
      <c r="B1021" s="4">
        <v>2121.9899999999998</v>
      </c>
      <c r="C1021" s="4">
        <v>0</v>
      </c>
      <c r="D1021" s="4">
        <v>2121.9899999999998</v>
      </c>
      <c r="E1021">
        <v>151</v>
      </c>
      <c r="F1021">
        <v>150</v>
      </c>
    </row>
    <row r="1022" spans="1:6" x14ac:dyDescent="0.25">
      <c r="A1022" t="s">
        <v>1148</v>
      </c>
      <c r="B1022" s="4">
        <v>2121.7600000000002</v>
      </c>
      <c r="C1022" s="4">
        <v>38.28</v>
      </c>
      <c r="D1022" s="4">
        <v>2083.48</v>
      </c>
      <c r="E1022">
        <v>300</v>
      </c>
      <c r="F1022">
        <v>297</v>
      </c>
    </row>
    <row r="1023" spans="1:6" x14ac:dyDescent="0.25">
      <c r="A1023" t="s">
        <v>1149</v>
      </c>
      <c r="B1023" s="4">
        <v>2114.83</v>
      </c>
      <c r="C1023" s="4">
        <v>88.21</v>
      </c>
      <c r="D1023" s="4">
        <v>2026.62</v>
      </c>
      <c r="E1023">
        <v>263</v>
      </c>
      <c r="F1023">
        <v>256</v>
      </c>
    </row>
    <row r="1024" spans="1:6" x14ac:dyDescent="0.25">
      <c r="A1024" t="s">
        <v>1150</v>
      </c>
      <c r="B1024" s="4">
        <v>2114.64</v>
      </c>
      <c r="C1024" s="4">
        <v>1.25</v>
      </c>
      <c r="D1024" s="4">
        <v>2113.39</v>
      </c>
      <c r="E1024">
        <v>231</v>
      </c>
      <c r="F1024">
        <v>229</v>
      </c>
    </row>
    <row r="1025" spans="1:6" x14ac:dyDescent="0.25">
      <c r="A1025" t="s">
        <v>1151</v>
      </c>
      <c r="B1025" s="4">
        <v>2111.4899999999998</v>
      </c>
      <c r="C1025" s="4">
        <v>0</v>
      </c>
      <c r="D1025" s="4">
        <v>2111.4899999999998</v>
      </c>
      <c r="E1025">
        <v>36</v>
      </c>
      <c r="F1025">
        <v>36</v>
      </c>
    </row>
    <row r="1026" spans="1:6" x14ac:dyDescent="0.25">
      <c r="A1026" t="s">
        <v>1152</v>
      </c>
      <c r="B1026" s="4">
        <v>2108.7199999999998</v>
      </c>
      <c r="C1026" s="4">
        <v>2.1</v>
      </c>
      <c r="D1026" s="4">
        <v>2106.62</v>
      </c>
      <c r="E1026">
        <v>224</v>
      </c>
      <c r="F1026">
        <v>198</v>
      </c>
    </row>
    <row r="1027" spans="1:6" x14ac:dyDescent="0.25">
      <c r="A1027" t="s">
        <v>1153</v>
      </c>
      <c r="B1027" s="4">
        <v>2107</v>
      </c>
      <c r="C1027" s="4">
        <v>72.5</v>
      </c>
      <c r="D1027" s="4">
        <v>2034.5</v>
      </c>
      <c r="E1027">
        <v>121</v>
      </c>
      <c r="F1027">
        <v>120</v>
      </c>
    </row>
    <row r="1028" spans="1:6" x14ac:dyDescent="0.25">
      <c r="A1028" t="s">
        <v>1154</v>
      </c>
      <c r="B1028" s="4">
        <v>2105.5</v>
      </c>
      <c r="C1028" s="4">
        <v>10.5</v>
      </c>
      <c r="D1028" s="4">
        <v>2095</v>
      </c>
      <c r="E1028">
        <v>159</v>
      </c>
      <c r="F1028">
        <v>158</v>
      </c>
    </row>
    <row r="1029" spans="1:6" x14ac:dyDescent="0.25">
      <c r="A1029" t="s">
        <v>1155</v>
      </c>
      <c r="B1029" s="4">
        <v>2101.0100000000002</v>
      </c>
      <c r="C1029" s="4">
        <v>5.04</v>
      </c>
      <c r="D1029" s="4">
        <v>2095.9699999999998</v>
      </c>
      <c r="E1029">
        <v>326</v>
      </c>
      <c r="F1029">
        <v>323</v>
      </c>
    </row>
    <row r="1030" spans="1:6" x14ac:dyDescent="0.25">
      <c r="A1030" t="s">
        <v>1156</v>
      </c>
      <c r="B1030" s="4">
        <v>2099.9699999999998</v>
      </c>
      <c r="C1030" s="4">
        <v>10.92</v>
      </c>
      <c r="D1030" s="4">
        <v>2089.0500000000002</v>
      </c>
      <c r="E1030">
        <v>418</v>
      </c>
      <c r="F1030">
        <v>408</v>
      </c>
    </row>
    <row r="1031" spans="1:6" x14ac:dyDescent="0.25">
      <c r="A1031" t="s">
        <v>1157</v>
      </c>
      <c r="B1031" s="4">
        <v>2095.65</v>
      </c>
      <c r="C1031" s="4">
        <v>26.25</v>
      </c>
      <c r="D1031" s="4">
        <v>2069.4</v>
      </c>
      <c r="E1031">
        <v>162</v>
      </c>
      <c r="F1031">
        <v>159</v>
      </c>
    </row>
    <row r="1032" spans="1:6" x14ac:dyDescent="0.25">
      <c r="A1032" t="s">
        <v>1158</v>
      </c>
      <c r="B1032" s="4">
        <v>2095.08</v>
      </c>
      <c r="C1032" s="4">
        <v>0</v>
      </c>
      <c r="D1032" s="4">
        <v>2095.08</v>
      </c>
      <c r="E1032">
        <v>201</v>
      </c>
      <c r="F1032">
        <v>197</v>
      </c>
    </row>
    <row r="1033" spans="1:6" x14ac:dyDescent="0.25">
      <c r="A1033" t="s">
        <v>1159</v>
      </c>
      <c r="B1033" s="4">
        <v>2094.2399999999998</v>
      </c>
      <c r="C1033" s="4">
        <v>35.76</v>
      </c>
      <c r="D1033" s="4">
        <v>2058.48</v>
      </c>
      <c r="E1033">
        <v>184</v>
      </c>
      <c r="F1033">
        <v>173</v>
      </c>
    </row>
    <row r="1034" spans="1:6" x14ac:dyDescent="0.25">
      <c r="A1034" t="s">
        <v>1160</v>
      </c>
      <c r="B1034" s="4">
        <v>2094.2399999999998</v>
      </c>
      <c r="C1034" s="4">
        <v>97.8</v>
      </c>
      <c r="D1034" s="4">
        <v>1996.44</v>
      </c>
      <c r="E1034">
        <v>86</v>
      </c>
      <c r="F1034">
        <v>86</v>
      </c>
    </row>
    <row r="1035" spans="1:6" x14ac:dyDescent="0.25">
      <c r="A1035" t="s">
        <v>1161</v>
      </c>
      <c r="B1035" s="4">
        <v>2091.54</v>
      </c>
      <c r="C1035" s="4">
        <v>23.6</v>
      </c>
      <c r="D1035" s="4">
        <v>2067.94</v>
      </c>
      <c r="E1035">
        <v>176</v>
      </c>
      <c r="F1035">
        <v>172</v>
      </c>
    </row>
    <row r="1036" spans="1:6" x14ac:dyDescent="0.25">
      <c r="A1036" t="s">
        <v>1162</v>
      </c>
      <c r="B1036" s="4">
        <v>2089.64</v>
      </c>
      <c r="C1036" s="4">
        <v>0</v>
      </c>
      <c r="D1036" s="4">
        <v>2089.64</v>
      </c>
      <c r="E1036">
        <v>78</v>
      </c>
      <c r="F1036">
        <v>76</v>
      </c>
    </row>
    <row r="1037" spans="1:6" x14ac:dyDescent="0.25">
      <c r="A1037" t="s">
        <v>1163</v>
      </c>
      <c r="B1037" s="4">
        <v>2087.34</v>
      </c>
      <c r="C1037" s="4">
        <v>103.68</v>
      </c>
      <c r="D1037" s="4">
        <v>1983.66</v>
      </c>
      <c r="E1037">
        <v>202</v>
      </c>
      <c r="F1037">
        <v>198</v>
      </c>
    </row>
    <row r="1038" spans="1:6" x14ac:dyDescent="0.25">
      <c r="A1038" t="s">
        <v>1164</v>
      </c>
      <c r="B1038" s="4">
        <v>2087.15</v>
      </c>
      <c r="C1038" s="4">
        <v>12.6</v>
      </c>
      <c r="D1038" s="4">
        <v>2074.5500000000002</v>
      </c>
      <c r="E1038">
        <v>232</v>
      </c>
      <c r="F1038">
        <v>227</v>
      </c>
    </row>
    <row r="1039" spans="1:6" x14ac:dyDescent="0.25">
      <c r="A1039" t="s">
        <v>1165</v>
      </c>
      <c r="B1039" s="4">
        <v>2086.4899999999998</v>
      </c>
      <c r="C1039" s="4">
        <v>37.75</v>
      </c>
      <c r="D1039" s="4">
        <v>2048.7399999999998</v>
      </c>
      <c r="E1039">
        <v>226</v>
      </c>
      <c r="F1039">
        <v>220</v>
      </c>
    </row>
    <row r="1040" spans="1:6" x14ac:dyDescent="0.25">
      <c r="A1040" t="s">
        <v>1166</v>
      </c>
      <c r="B1040" s="4">
        <v>2076.63</v>
      </c>
      <c r="C1040" s="4">
        <v>38.35</v>
      </c>
      <c r="D1040" s="4">
        <v>2038.28</v>
      </c>
      <c r="E1040">
        <v>112</v>
      </c>
      <c r="F1040">
        <v>110</v>
      </c>
    </row>
    <row r="1041" spans="1:6" x14ac:dyDescent="0.25">
      <c r="A1041" t="s">
        <v>1167</v>
      </c>
      <c r="B1041" s="4">
        <v>2070.9</v>
      </c>
      <c r="C1041" s="4">
        <v>0</v>
      </c>
      <c r="D1041" s="4">
        <v>2070.9</v>
      </c>
      <c r="E1041">
        <v>123</v>
      </c>
      <c r="F1041">
        <v>121</v>
      </c>
    </row>
    <row r="1042" spans="1:6" x14ac:dyDescent="0.25">
      <c r="A1042" t="s">
        <v>1168</v>
      </c>
      <c r="B1042" s="4">
        <v>2070.15</v>
      </c>
      <c r="C1042" s="4">
        <v>0</v>
      </c>
      <c r="D1042" s="4">
        <v>2070.15</v>
      </c>
      <c r="E1042">
        <v>139</v>
      </c>
      <c r="F1042">
        <v>134</v>
      </c>
    </row>
    <row r="1043" spans="1:6" x14ac:dyDescent="0.25">
      <c r="A1043" t="s">
        <v>1169</v>
      </c>
      <c r="B1043" s="4">
        <v>2070.06</v>
      </c>
      <c r="C1043" s="4">
        <v>7.5</v>
      </c>
      <c r="D1043" s="4">
        <v>2062.56</v>
      </c>
      <c r="E1043">
        <v>117</v>
      </c>
      <c r="F1043">
        <v>117</v>
      </c>
    </row>
    <row r="1044" spans="1:6" x14ac:dyDescent="0.25">
      <c r="A1044" t="s">
        <v>1170</v>
      </c>
      <c r="B1044" s="4">
        <v>2066.8200000000002</v>
      </c>
      <c r="C1044" s="4">
        <v>198</v>
      </c>
      <c r="D1044" s="4">
        <v>1868.82</v>
      </c>
      <c r="E1044">
        <v>65</v>
      </c>
      <c r="F1044">
        <v>65</v>
      </c>
    </row>
    <row r="1045" spans="1:6" x14ac:dyDescent="0.25">
      <c r="A1045" t="s">
        <v>1171</v>
      </c>
      <c r="B1045" s="4">
        <v>2060.2800000000002</v>
      </c>
      <c r="C1045" s="4">
        <v>12.5</v>
      </c>
      <c r="D1045" s="4">
        <v>2047.78</v>
      </c>
      <c r="E1045">
        <v>197</v>
      </c>
      <c r="F1045">
        <v>195</v>
      </c>
    </row>
    <row r="1046" spans="1:6" x14ac:dyDescent="0.25">
      <c r="A1046" t="s">
        <v>1172</v>
      </c>
      <c r="B1046" s="4">
        <v>2055.27</v>
      </c>
      <c r="C1046" s="4">
        <v>11.25</v>
      </c>
      <c r="D1046" s="4">
        <v>2044.02</v>
      </c>
      <c r="E1046">
        <v>102</v>
      </c>
      <c r="F1046">
        <v>101</v>
      </c>
    </row>
    <row r="1047" spans="1:6" x14ac:dyDescent="0.25">
      <c r="A1047" t="s">
        <v>1173</v>
      </c>
      <c r="B1047" s="4">
        <v>2053.17</v>
      </c>
      <c r="C1047" s="4">
        <v>126.36</v>
      </c>
      <c r="D1047" s="4">
        <v>1926.81</v>
      </c>
      <c r="E1047">
        <v>69</v>
      </c>
      <c r="F1047">
        <v>69</v>
      </c>
    </row>
    <row r="1048" spans="1:6" x14ac:dyDescent="0.25">
      <c r="A1048" t="s">
        <v>1174</v>
      </c>
      <c r="B1048" s="4">
        <v>2049.4499999999998</v>
      </c>
      <c r="C1048" s="4">
        <v>9.48</v>
      </c>
      <c r="D1048" s="4">
        <v>2039.97</v>
      </c>
      <c r="E1048">
        <v>217</v>
      </c>
      <c r="F1048">
        <v>212</v>
      </c>
    </row>
    <row r="1049" spans="1:6" x14ac:dyDescent="0.25">
      <c r="A1049" t="s">
        <v>1175</v>
      </c>
      <c r="B1049" s="4">
        <v>2044.58</v>
      </c>
      <c r="C1049" s="4">
        <v>0</v>
      </c>
      <c r="D1049" s="4">
        <v>2044.58</v>
      </c>
      <c r="E1049">
        <v>107</v>
      </c>
      <c r="F1049">
        <v>98</v>
      </c>
    </row>
    <row r="1050" spans="1:6" x14ac:dyDescent="0.25">
      <c r="A1050" t="s">
        <v>1176</v>
      </c>
      <c r="B1050" s="4">
        <v>2043.79</v>
      </c>
      <c r="C1050" s="4">
        <v>42</v>
      </c>
      <c r="D1050" s="4">
        <v>2001.79</v>
      </c>
      <c r="E1050">
        <v>187</v>
      </c>
      <c r="F1050">
        <v>184</v>
      </c>
    </row>
    <row r="1051" spans="1:6" x14ac:dyDescent="0.25">
      <c r="A1051" t="s">
        <v>1177</v>
      </c>
      <c r="B1051" s="4">
        <v>2038.39</v>
      </c>
      <c r="C1051" s="4">
        <v>16.2</v>
      </c>
      <c r="D1051" s="4">
        <v>2022.19</v>
      </c>
      <c r="E1051">
        <v>95</v>
      </c>
      <c r="F1051">
        <v>95</v>
      </c>
    </row>
    <row r="1052" spans="1:6" x14ac:dyDescent="0.25">
      <c r="A1052" t="s">
        <v>1178</v>
      </c>
      <c r="B1052" s="4">
        <v>2038.09</v>
      </c>
      <c r="C1052" s="4">
        <v>0</v>
      </c>
      <c r="D1052" s="4">
        <v>2038.09</v>
      </c>
      <c r="E1052">
        <v>31</v>
      </c>
      <c r="F1052">
        <v>31</v>
      </c>
    </row>
    <row r="1053" spans="1:6" x14ac:dyDescent="0.25">
      <c r="A1053" t="s">
        <v>1179</v>
      </c>
      <c r="B1053" s="4">
        <v>2032.48</v>
      </c>
      <c r="C1053" s="4">
        <v>7.5</v>
      </c>
      <c r="D1053" s="4">
        <v>2024.98</v>
      </c>
      <c r="E1053">
        <v>208</v>
      </c>
      <c r="F1053">
        <v>205</v>
      </c>
    </row>
    <row r="1054" spans="1:6" x14ac:dyDescent="0.25">
      <c r="A1054" t="s">
        <v>1180</v>
      </c>
      <c r="B1054" s="4">
        <v>2028.23</v>
      </c>
      <c r="C1054" s="4">
        <v>16.5</v>
      </c>
      <c r="D1054" s="4">
        <v>2011.73</v>
      </c>
      <c r="E1054">
        <v>160</v>
      </c>
      <c r="F1054">
        <v>155</v>
      </c>
    </row>
    <row r="1055" spans="1:6" x14ac:dyDescent="0.25">
      <c r="A1055" t="s">
        <v>1181</v>
      </c>
      <c r="B1055" s="4">
        <v>2027.74</v>
      </c>
      <c r="C1055" s="4">
        <v>55.1</v>
      </c>
      <c r="D1055" s="4">
        <v>1972.64</v>
      </c>
      <c r="E1055">
        <v>79</v>
      </c>
      <c r="F1055">
        <v>76</v>
      </c>
    </row>
    <row r="1056" spans="1:6" x14ac:dyDescent="0.25">
      <c r="A1056" t="s">
        <v>1182</v>
      </c>
      <c r="B1056" s="4">
        <v>2025.96</v>
      </c>
      <c r="C1056" s="4">
        <v>56.8</v>
      </c>
      <c r="D1056" s="4">
        <v>1969.16</v>
      </c>
      <c r="E1056">
        <v>60</v>
      </c>
      <c r="F1056">
        <v>60</v>
      </c>
    </row>
    <row r="1057" spans="1:6" x14ac:dyDescent="0.25">
      <c r="A1057" t="s">
        <v>1183</v>
      </c>
      <c r="B1057" s="4">
        <v>2025.57</v>
      </c>
      <c r="C1057" s="4">
        <v>34</v>
      </c>
      <c r="D1057" s="4">
        <v>1991.57</v>
      </c>
      <c r="E1057">
        <v>281</v>
      </c>
      <c r="F1057">
        <v>273</v>
      </c>
    </row>
    <row r="1058" spans="1:6" x14ac:dyDescent="0.25">
      <c r="A1058" t="s">
        <v>1184</v>
      </c>
      <c r="B1058" s="4">
        <v>2020.91</v>
      </c>
      <c r="C1058" s="4">
        <v>0</v>
      </c>
      <c r="D1058" s="4">
        <v>2020.91</v>
      </c>
      <c r="E1058">
        <v>230</v>
      </c>
      <c r="F1058">
        <v>228</v>
      </c>
    </row>
    <row r="1059" spans="1:6" x14ac:dyDescent="0.25">
      <c r="A1059" t="s">
        <v>1185</v>
      </c>
      <c r="B1059" s="4">
        <v>2019.59</v>
      </c>
      <c r="C1059" s="4">
        <v>17.399999999999999</v>
      </c>
      <c r="D1059" s="4">
        <v>2002.19</v>
      </c>
      <c r="E1059">
        <v>90</v>
      </c>
      <c r="F1059">
        <v>89</v>
      </c>
    </row>
    <row r="1060" spans="1:6" x14ac:dyDescent="0.25">
      <c r="A1060" t="s">
        <v>1186</v>
      </c>
      <c r="B1060" s="4">
        <v>2018.78</v>
      </c>
      <c r="C1060" s="4">
        <v>61.2</v>
      </c>
      <c r="D1060" s="4">
        <v>1957.58</v>
      </c>
      <c r="E1060">
        <v>243</v>
      </c>
      <c r="F1060">
        <v>239</v>
      </c>
    </row>
    <row r="1061" spans="1:6" x14ac:dyDescent="0.25">
      <c r="A1061" t="s">
        <v>1187</v>
      </c>
      <c r="B1061" s="4">
        <v>2016</v>
      </c>
      <c r="C1061" s="4">
        <v>60.9</v>
      </c>
      <c r="D1061" s="4">
        <v>1955.1</v>
      </c>
      <c r="E1061">
        <v>213</v>
      </c>
      <c r="F1061">
        <v>211</v>
      </c>
    </row>
    <row r="1062" spans="1:6" x14ac:dyDescent="0.25">
      <c r="A1062" t="s">
        <v>1188</v>
      </c>
      <c r="B1062" s="4">
        <v>2014.42</v>
      </c>
      <c r="C1062" s="4">
        <v>126</v>
      </c>
      <c r="D1062" s="4">
        <v>1888.42</v>
      </c>
      <c r="E1062">
        <v>142</v>
      </c>
      <c r="F1062">
        <v>142</v>
      </c>
    </row>
    <row r="1063" spans="1:6" x14ac:dyDescent="0.25">
      <c r="A1063" t="s">
        <v>1189</v>
      </c>
      <c r="B1063" s="4">
        <v>2013.7</v>
      </c>
      <c r="C1063" s="4">
        <v>15</v>
      </c>
      <c r="D1063" s="4">
        <v>1998.7</v>
      </c>
      <c r="E1063">
        <v>192</v>
      </c>
      <c r="F1063">
        <v>191</v>
      </c>
    </row>
    <row r="1064" spans="1:6" x14ac:dyDescent="0.25">
      <c r="A1064" t="s">
        <v>1190</v>
      </c>
      <c r="B1064" s="4">
        <v>2012.97</v>
      </c>
      <c r="C1064" s="4">
        <v>52.8</v>
      </c>
      <c r="D1064" s="4">
        <v>1960.17</v>
      </c>
      <c r="E1064">
        <v>161</v>
      </c>
      <c r="F1064">
        <v>158</v>
      </c>
    </row>
    <row r="1065" spans="1:6" x14ac:dyDescent="0.25">
      <c r="A1065" t="s">
        <v>1191</v>
      </c>
      <c r="B1065" s="4">
        <v>2012.34</v>
      </c>
      <c r="C1065" s="4">
        <v>89.1</v>
      </c>
      <c r="D1065" s="4">
        <v>1923.24</v>
      </c>
      <c r="E1065">
        <v>106</v>
      </c>
      <c r="F1065">
        <v>104</v>
      </c>
    </row>
    <row r="1066" spans="1:6" x14ac:dyDescent="0.25">
      <c r="A1066" t="s">
        <v>1192</v>
      </c>
      <c r="B1066" s="4">
        <v>2012.13</v>
      </c>
      <c r="C1066" s="4">
        <v>125.94</v>
      </c>
      <c r="D1066" s="4">
        <v>1886.19</v>
      </c>
      <c r="E1066">
        <v>90</v>
      </c>
      <c r="F1066">
        <v>89</v>
      </c>
    </row>
    <row r="1067" spans="1:6" x14ac:dyDescent="0.25">
      <c r="A1067" t="s">
        <v>1193</v>
      </c>
      <c r="B1067" s="4">
        <v>2011.99</v>
      </c>
      <c r="C1067" s="4">
        <v>0</v>
      </c>
      <c r="D1067" s="4">
        <v>2011.99</v>
      </c>
      <c r="E1067">
        <v>37</v>
      </c>
      <c r="F1067">
        <v>37</v>
      </c>
    </row>
    <row r="1068" spans="1:6" x14ac:dyDescent="0.25">
      <c r="A1068" t="s">
        <v>1194</v>
      </c>
      <c r="B1068" s="4">
        <v>2010.17</v>
      </c>
      <c r="C1068" s="4">
        <v>182.45</v>
      </c>
      <c r="D1068" s="4">
        <v>1827.72</v>
      </c>
      <c r="E1068">
        <v>168</v>
      </c>
      <c r="F1068">
        <v>164</v>
      </c>
    </row>
    <row r="1069" spans="1:6" x14ac:dyDescent="0.25">
      <c r="A1069" t="s">
        <v>1195</v>
      </c>
      <c r="B1069" s="4">
        <v>2010.12</v>
      </c>
      <c r="C1069" s="4">
        <v>461.85</v>
      </c>
      <c r="D1069" s="4">
        <v>1548.27</v>
      </c>
      <c r="E1069">
        <v>34</v>
      </c>
      <c r="F1069">
        <v>34</v>
      </c>
    </row>
    <row r="1070" spans="1:6" x14ac:dyDescent="0.25">
      <c r="A1070" t="s">
        <v>1196</v>
      </c>
      <c r="B1070" s="4">
        <v>2009.95</v>
      </c>
      <c r="C1070" s="4">
        <v>4.95</v>
      </c>
      <c r="D1070" s="4">
        <v>2005</v>
      </c>
      <c r="E1070">
        <v>123</v>
      </c>
      <c r="F1070">
        <v>119</v>
      </c>
    </row>
    <row r="1071" spans="1:6" x14ac:dyDescent="0.25">
      <c r="A1071" t="s">
        <v>1197</v>
      </c>
      <c r="B1071" s="4">
        <v>2007.94</v>
      </c>
      <c r="C1071" s="4">
        <v>17.5</v>
      </c>
      <c r="D1071" s="4">
        <v>1990.44</v>
      </c>
      <c r="E1071">
        <v>275</v>
      </c>
      <c r="F1071">
        <v>258</v>
      </c>
    </row>
    <row r="1072" spans="1:6" x14ac:dyDescent="0.25">
      <c r="A1072" t="s">
        <v>1198</v>
      </c>
      <c r="B1072" s="4">
        <v>2001.14</v>
      </c>
      <c r="C1072" s="4">
        <v>67.5</v>
      </c>
      <c r="D1072" s="4">
        <v>1933.64</v>
      </c>
      <c r="E1072">
        <v>157</v>
      </c>
      <c r="F1072">
        <v>146</v>
      </c>
    </row>
    <row r="1073" spans="1:6" x14ac:dyDescent="0.25">
      <c r="A1073" t="s">
        <v>1199</v>
      </c>
      <c r="B1073" s="4">
        <v>2000.88</v>
      </c>
      <c r="C1073" s="4">
        <v>262.8</v>
      </c>
      <c r="D1073" s="4">
        <v>1738.08</v>
      </c>
      <c r="E1073">
        <v>72</v>
      </c>
      <c r="F1073">
        <v>72</v>
      </c>
    </row>
    <row r="1074" spans="1:6" x14ac:dyDescent="0.25">
      <c r="A1074" t="s">
        <v>1200</v>
      </c>
      <c r="B1074" s="4">
        <v>1997.48</v>
      </c>
      <c r="C1074" s="4">
        <v>132.15</v>
      </c>
      <c r="D1074" s="4">
        <v>1865.33</v>
      </c>
      <c r="E1074">
        <v>150</v>
      </c>
      <c r="F1074">
        <v>149</v>
      </c>
    </row>
    <row r="1075" spans="1:6" x14ac:dyDescent="0.25">
      <c r="A1075" t="s">
        <v>1201</v>
      </c>
      <c r="B1075" s="4">
        <v>1993.75</v>
      </c>
      <c r="C1075" s="4">
        <v>35.700000000000003</v>
      </c>
      <c r="D1075" s="4">
        <v>1958.05</v>
      </c>
      <c r="E1075">
        <v>115</v>
      </c>
      <c r="F1075">
        <v>115</v>
      </c>
    </row>
    <row r="1076" spans="1:6" x14ac:dyDescent="0.25">
      <c r="A1076" t="s">
        <v>1202</v>
      </c>
      <c r="B1076" s="4">
        <v>1993.6</v>
      </c>
      <c r="C1076" s="4">
        <v>0</v>
      </c>
      <c r="D1076" s="4">
        <v>1993.6</v>
      </c>
      <c r="E1076">
        <v>105</v>
      </c>
      <c r="F1076">
        <v>102</v>
      </c>
    </row>
    <row r="1077" spans="1:6" x14ac:dyDescent="0.25">
      <c r="A1077" t="s">
        <v>1203</v>
      </c>
      <c r="B1077" s="4">
        <v>1993.48</v>
      </c>
      <c r="C1077" s="4">
        <v>662.24</v>
      </c>
      <c r="D1077" s="4">
        <v>1331.24</v>
      </c>
      <c r="E1077">
        <v>82</v>
      </c>
      <c r="F1077">
        <v>82</v>
      </c>
    </row>
    <row r="1078" spans="1:6" x14ac:dyDescent="0.25">
      <c r="A1078" t="s">
        <v>1204</v>
      </c>
      <c r="B1078" s="4">
        <v>1988.89</v>
      </c>
      <c r="C1078" s="4">
        <v>81.599999999999994</v>
      </c>
      <c r="D1078" s="4">
        <v>1907.29</v>
      </c>
      <c r="E1078">
        <v>350</v>
      </c>
      <c r="F1078">
        <v>338</v>
      </c>
    </row>
    <row r="1079" spans="1:6" x14ac:dyDescent="0.25">
      <c r="A1079" t="s">
        <v>1205</v>
      </c>
      <c r="B1079" s="4">
        <v>1986.24</v>
      </c>
      <c r="C1079" s="4">
        <v>88.85</v>
      </c>
      <c r="D1079" s="4">
        <v>1897.39</v>
      </c>
      <c r="E1079">
        <v>194</v>
      </c>
      <c r="F1079">
        <v>183</v>
      </c>
    </row>
    <row r="1080" spans="1:6" x14ac:dyDescent="0.25">
      <c r="A1080" t="s">
        <v>1206</v>
      </c>
      <c r="B1080" s="4">
        <v>1981.05</v>
      </c>
      <c r="C1080" s="4">
        <v>141.1</v>
      </c>
      <c r="D1080" s="4">
        <v>1839.95</v>
      </c>
      <c r="E1080">
        <v>83</v>
      </c>
      <c r="F1080">
        <v>80</v>
      </c>
    </row>
    <row r="1081" spans="1:6" x14ac:dyDescent="0.25">
      <c r="A1081" t="s">
        <v>1207</v>
      </c>
      <c r="B1081" s="4">
        <v>1980.4</v>
      </c>
      <c r="C1081" s="4">
        <v>1.25</v>
      </c>
      <c r="D1081" s="4">
        <v>1979.15</v>
      </c>
      <c r="E1081">
        <v>128</v>
      </c>
      <c r="F1081">
        <v>127</v>
      </c>
    </row>
    <row r="1082" spans="1:6" x14ac:dyDescent="0.25">
      <c r="A1082" t="s">
        <v>1208</v>
      </c>
      <c r="B1082" s="4">
        <v>1979.49</v>
      </c>
      <c r="C1082" s="4">
        <v>22.1</v>
      </c>
      <c r="D1082" s="4">
        <v>1957.39</v>
      </c>
      <c r="E1082">
        <v>146</v>
      </c>
      <c r="F1082">
        <v>145</v>
      </c>
    </row>
    <row r="1083" spans="1:6" x14ac:dyDescent="0.25">
      <c r="A1083" t="s">
        <v>1209</v>
      </c>
      <c r="B1083" s="4">
        <v>1979.48</v>
      </c>
      <c r="C1083" s="4">
        <v>10.45</v>
      </c>
      <c r="D1083" s="4">
        <v>1969.03</v>
      </c>
      <c r="E1083">
        <v>170</v>
      </c>
      <c r="F1083">
        <v>169</v>
      </c>
    </row>
    <row r="1084" spans="1:6" x14ac:dyDescent="0.25">
      <c r="A1084" t="s">
        <v>1210</v>
      </c>
      <c r="B1084" s="4">
        <v>1976.89</v>
      </c>
      <c r="C1084" s="4">
        <v>0</v>
      </c>
      <c r="D1084" s="4">
        <v>1976.89</v>
      </c>
      <c r="E1084">
        <v>139</v>
      </c>
      <c r="F1084">
        <v>136</v>
      </c>
    </row>
    <row r="1085" spans="1:6" x14ac:dyDescent="0.25">
      <c r="A1085" t="s">
        <v>1211</v>
      </c>
      <c r="B1085" s="4">
        <v>1973.91</v>
      </c>
      <c r="C1085" s="4">
        <v>10.08</v>
      </c>
      <c r="D1085" s="4">
        <v>1963.83</v>
      </c>
      <c r="E1085">
        <v>366</v>
      </c>
      <c r="F1085">
        <v>359</v>
      </c>
    </row>
    <row r="1086" spans="1:6" x14ac:dyDescent="0.25">
      <c r="A1086" t="s">
        <v>1212</v>
      </c>
      <c r="B1086" s="4">
        <v>1968.4</v>
      </c>
      <c r="C1086" s="4">
        <v>0</v>
      </c>
      <c r="D1086" s="4">
        <v>1968.4</v>
      </c>
      <c r="E1086">
        <v>132</v>
      </c>
      <c r="F1086">
        <v>129</v>
      </c>
    </row>
    <row r="1087" spans="1:6" x14ac:dyDescent="0.25">
      <c r="A1087" t="s">
        <v>1213</v>
      </c>
      <c r="B1087" s="4">
        <v>1965.81</v>
      </c>
      <c r="C1087" s="4">
        <v>0</v>
      </c>
      <c r="D1087" s="4">
        <v>1965.81</v>
      </c>
      <c r="E1087">
        <v>294</v>
      </c>
      <c r="F1087">
        <v>277</v>
      </c>
    </row>
    <row r="1088" spans="1:6" x14ac:dyDescent="0.25">
      <c r="A1088" t="s">
        <v>1214</v>
      </c>
      <c r="B1088" s="4">
        <v>1962.83</v>
      </c>
      <c r="C1088" s="4">
        <v>13.12</v>
      </c>
      <c r="D1088" s="4">
        <v>1949.71</v>
      </c>
      <c r="E1088">
        <v>131</v>
      </c>
      <c r="F1088">
        <v>131</v>
      </c>
    </row>
    <row r="1089" spans="1:6" x14ac:dyDescent="0.25">
      <c r="A1089" t="s">
        <v>1215</v>
      </c>
      <c r="B1089" s="4">
        <v>1962.29</v>
      </c>
      <c r="C1089" s="4">
        <v>76.7</v>
      </c>
      <c r="D1089" s="4">
        <v>1885.59</v>
      </c>
      <c r="E1089">
        <v>137</v>
      </c>
      <c r="F1089">
        <v>131</v>
      </c>
    </row>
    <row r="1090" spans="1:6" x14ac:dyDescent="0.25">
      <c r="A1090" t="s">
        <v>1216</v>
      </c>
      <c r="B1090" s="4">
        <v>1961.16</v>
      </c>
      <c r="C1090" s="4">
        <v>39</v>
      </c>
      <c r="D1090" s="4">
        <v>1922.16</v>
      </c>
      <c r="E1090">
        <v>166</v>
      </c>
      <c r="F1090">
        <v>165</v>
      </c>
    </row>
    <row r="1091" spans="1:6" x14ac:dyDescent="0.25">
      <c r="A1091" t="s">
        <v>1217</v>
      </c>
      <c r="B1091" s="4">
        <v>1960</v>
      </c>
      <c r="C1091" s="4">
        <v>149.76</v>
      </c>
      <c r="D1091" s="4">
        <v>1810.24</v>
      </c>
      <c r="E1091">
        <v>126</v>
      </c>
      <c r="F1091">
        <v>125</v>
      </c>
    </row>
    <row r="1092" spans="1:6" x14ac:dyDescent="0.25">
      <c r="A1092" t="s">
        <v>1218</v>
      </c>
      <c r="B1092" s="4">
        <v>1957.69</v>
      </c>
      <c r="C1092" s="4">
        <v>40.46</v>
      </c>
      <c r="D1092" s="4">
        <v>1917.23</v>
      </c>
      <c r="E1092">
        <v>108</v>
      </c>
      <c r="F1092">
        <v>105</v>
      </c>
    </row>
    <row r="1093" spans="1:6" x14ac:dyDescent="0.25">
      <c r="A1093" t="s">
        <v>1219</v>
      </c>
      <c r="B1093" s="4">
        <v>1952.48</v>
      </c>
      <c r="C1093" s="4">
        <v>0</v>
      </c>
      <c r="D1093" s="4">
        <v>1952.48</v>
      </c>
      <c r="E1093">
        <v>67</v>
      </c>
      <c r="F1093">
        <v>67</v>
      </c>
    </row>
    <row r="1094" spans="1:6" x14ac:dyDescent="0.25">
      <c r="A1094" t="s">
        <v>1220</v>
      </c>
      <c r="B1094" s="4">
        <v>1952</v>
      </c>
      <c r="C1094" s="4">
        <v>6.72</v>
      </c>
      <c r="D1094" s="4">
        <v>1945.28</v>
      </c>
      <c r="E1094">
        <v>451</v>
      </c>
      <c r="F1094">
        <v>435</v>
      </c>
    </row>
    <row r="1095" spans="1:6" x14ac:dyDescent="0.25">
      <c r="A1095" t="s">
        <v>1221</v>
      </c>
      <c r="B1095" s="4">
        <v>1946.62</v>
      </c>
      <c r="C1095" s="4">
        <v>34.799999999999997</v>
      </c>
      <c r="D1095" s="4">
        <v>1911.82</v>
      </c>
      <c r="E1095">
        <v>127</v>
      </c>
      <c r="F1095">
        <v>120</v>
      </c>
    </row>
    <row r="1096" spans="1:6" x14ac:dyDescent="0.25">
      <c r="A1096" t="s">
        <v>1222</v>
      </c>
      <c r="B1096" s="4">
        <v>1938.25</v>
      </c>
      <c r="C1096" s="4">
        <v>35.950000000000003</v>
      </c>
      <c r="D1096" s="4">
        <v>1902.3</v>
      </c>
      <c r="E1096">
        <v>43</v>
      </c>
      <c r="F1096">
        <v>43</v>
      </c>
    </row>
    <row r="1097" spans="1:6" x14ac:dyDescent="0.25">
      <c r="A1097" t="s">
        <v>1223</v>
      </c>
      <c r="B1097" s="4">
        <v>1938.15</v>
      </c>
      <c r="C1097" s="4">
        <v>4.2</v>
      </c>
      <c r="D1097" s="4">
        <v>1933.95</v>
      </c>
      <c r="E1097">
        <v>151</v>
      </c>
      <c r="F1097">
        <v>147</v>
      </c>
    </row>
    <row r="1098" spans="1:6" x14ac:dyDescent="0.25">
      <c r="A1098" t="s">
        <v>1224</v>
      </c>
      <c r="B1098" s="4">
        <v>1937.71</v>
      </c>
      <c r="C1098" s="4">
        <v>0</v>
      </c>
      <c r="D1098" s="4">
        <v>1937.71</v>
      </c>
      <c r="E1098">
        <v>152</v>
      </c>
      <c r="F1098">
        <v>148</v>
      </c>
    </row>
    <row r="1099" spans="1:6" x14ac:dyDescent="0.25">
      <c r="A1099" t="s">
        <v>1225</v>
      </c>
      <c r="B1099" s="4">
        <v>1927.84</v>
      </c>
      <c r="C1099" s="4">
        <v>34</v>
      </c>
      <c r="D1099" s="4">
        <v>1893.84</v>
      </c>
      <c r="E1099">
        <v>168</v>
      </c>
      <c r="F1099">
        <v>167</v>
      </c>
    </row>
    <row r="1100" spans="1:6" x14ac:dyDescent="0.25">
      <c r="A1100" t="s">
        <v>1226</v>
      </c>
      <c r="B1100" s="4">
        <v>1924.94</v>
      </c>
      <c r="C1100" s="4">
        <v>0</v>
      </c>
      <c r="D1100" s="4">
        <v>1924.94</v>
      </c>
      <c r="E1100">
        <v>92</v>
      </c>
      <c r="F1100">
        <v>88</v>
      </c>
    </row>
    <row r="1101" spans="1:6" x14ac:dyDescent="0.25">
      <c r="A1101" t="s">
        <v>1227</v>
      </c>
      <c r="B1101" s="4">
        <v>1924.92</v>
      </c>
      <c r="C1101" s="4">
        <v>25</v>
      </c>
      <c r="D1101" s="4">
        <v>1899.92</v>
      </c>
      <c r="E1101">
        <v>79</v>
      </c>
      <c r="F1101">
        <v>79</v>
      </c>
    </row>
    <row r="1102" spans="1:6" x14ac:dyDescent="0.25">
      <c r="A1102" t="s">
        <v>1228</v>
      </c>
      <c r="B1102" s="4">
        <v>1916.01</v>
      </c>
      <c r="C1102" s="4">
        <v>8.9499999999999993</v>
      </c>
      <c r="D1102" s="4">
        <v>1907.06</v>
      </c>
      <c r="E1102">
        <v>129</v>
      </c>
      <c r="F1102">
        <v>129</v>
      </c>
    </row>
    <row r="1103" spans="1:6" x14ac:dyDescent="0.25">
      <c r="A1103" t="s">
        <v>1229</v>
      </c>
      <c r="B1103" s="4">
        <v>1914.73</v>
      </c>
      <c r="C1103" s="4">
        <v>129.71</v>
      </c>
      <c r="D1103" s="4">
        <v>1785.02</v>
      </c>
      <c r="E1103">
        <v>137</v>
      </c>
      <c r="F1103">
        <v>135</v>
      </c>
    </row>
    <row r="1104" spans="1:6" x14ac:dyDescent="0.25">
      <c r="A1104" t="s">
        <v>1230</v>
      </c>
      <c r="B1104" s="4">
        <v>1913.67</v>
      </c>
      <c r="C1104" s="4">
        <v>0</v>
      </c>
      <c r="D1104" s="4">
        <v>1913.67</v>
      </c>
      <c r="E1104">
        <v>233</v>
      </c>
      <c r="F1104">
        <v>229</v>
      </c>
    </row>
    <row r="1105" spans="1:6" x14ac:dyDescent="0.25">
      <c r="A1105" t="s">
        <v>1231</v>
      </c>
      <c r="B1105" s="4">
        <v>1908.88</v>
      </c>
      <c r="C1105" s="4">
        <v>64.349999999999994</v>
      </c>
      <c r="D1105" s="4">
        <v>1844.53</v>
      </c>
      <c r="E1105">
        <v>162</v>
      </c>
      <c r="F1105">
        <v>155</v>
      </c>
    </row>
    <row r="1106" spans="1:6" x14ac:dyDescent="0.25">
      <c r="A1106" t="s">
        <v>1232</v>
      </c>
      <c r="B1106" s="4">
        <v>1905.77</v>
      </c>
      <c r="C1106" s="4">
        <v>0.85</v>
      </c>
      <c r="D1106" s="4">
        <v>1904.92</v>
      </c>
      <c r="E1106">
        <v>197</v>
      </c>
      <c r="F1106">
        <v>196</v>
      </c>
    </row>
    <row r="1107" spans="1:6" x14ac:dyDescent="0.25">
      <c r="A1107" t="s">
        <v>1233</v>
      </c>
      <c r="B1107" s="4">
        <v>1905.68</v>
      </c>
      <c r="C1107" s="4">
        <v>0</v>
      </c>
      <c r="D1107" s="4">
        <v>1905.68</v>
      </c>
      <c r="E1107">
        <v>65</v>
      </c>
      <c r="F1107">
        <v>65</v>
      </c>
    </row>
    <row r="1108" spans="1:6" x14ac:dyDescent="0.25">
      <c r="A1108" t="s">
        <v>1234</v>
      </c>
      <c r="B1108" s="4">
        <v>1897.76</v>
      </c>
      <c r="C1108" s="4">
        <v>8.25</v>
      </c>
      <c r="D1108" s="4">
        <v>1889.51</v>
      </c>
      <c r="E1108">
        <v>79</v>
      </c>
      <c r="F1108">
        <v>78</v>
      </c>
    </row>
    <row r="1109" spans="1:6" x14ac:dyDescent="0.25">
      <c r="A1109" t="s">
        <v>1235</v>
      </c>
      <c r="B1109" s="4">
        <v>1897.45</v>
      </c>
      <c r="C1109" s="4">
        <v>5.95</v>
      </c>
      <c r="D1109" s="4">
        <v>1891.5</v>
      </c>
      <c r="E1109">
        <v>175</v>
      </c>
      <c r="F1109">
        <v>162</v>
      </c>
    </row>
    <row r="1110" spans="1:6" x14ac:dyDescent="0.25">
      <c r="A1110" t="s">
        <v>1236</v>
      </c>
      <c r="B1110" s="4">
        <v>1892.46</v>
      </c>
      <c r="C1110" s="4">
        <v>52.5</v>
      </c>
      <c r="D1110" s="4">
        <v>1839.96</v>
      </c>
      <c r="E1110">
        <v>150</v>
      </c>
      <c r="F1110">
        <v>149</v>
      </c>
    </row>
    <row r="1111" spans="1:6" x14ac:dyDescent="0.25">
      <c r="A1111" t="s">
        <v>1237</v>
      </c>
      <c r="B1111" s="4">
        <v>1892.07</v>
      </c>
      <c r="C1111" s="4">
        <v>7.9</v>
      </c>
      <c r="D1111" s="4">
        <v>1884.17</v>
      </c>
      <c r="E1111">
        <v>201</v>
      </c>
      <c r="F1111">
        <v>199</v>
      </c>
    </row>
    <row r="1112" spans="1:6" x14ac:dyDescent="0.25">
      <c r="A1112" t="s">
        <v>1238</v>
      </c>
      <c r="B1112" s="4">
        <v>1890.33</v>
      </c>
      <c r="C1112" s="4">
        <v>45.66</v>
      </c>
      <c r="D1112" s="4">
        <v>1844.67</v>
      </c>
      <c r="E1112">
        <v>199</v>
      </c>
      <c r="F1112">
        <v>198</v>
      </c>
    </row>
    <row r="1113" spans="1:6" x14ac:dyDescent="0.25">
      <c r="A1113" t="s">
        <v>1239</v>
      </c>
      <c r="B1113" s="4">
        <v>1888.9</v>
      </c>
      <c r="C1113" s="4">
        <v>0</v>
      </c>
      <c r="D1113" s="4">
        <v>1888.9</v>
      </c>
      <c r="E1113">
        <v>155</v>
      </c>
      <c r="F1113">
        <v>150</v>
      </c>
    </row>
    <row r="1114" spans="1:6" x14ac:dyDescent="0.25">
      <c r="A1114" t="s">
        <v>1240</v>
      </c>
      <c r="B1114" s="4">
        <v>1888.1</v>
      </c>
      <c r="C1114" s="4">
        <v>170.6</v>
      </c>
      <c r="D1114" s="4">
        <v>1717.5</v>
      </c>
      <c r="E1114">
        <v>39</v>
      </c>
      <c r="F1114">
        <v>39</v>
      </c>
    </row>
    <row r="1115" spans="1:6" x14ac:dyDescent="0.25">
      <c r="A1115" t="s">
        <v>1241</v>
      </c>
      <c r="B1115" s="4">
        <v>1885.27</v>
      </c>
      <c r="C1115" s="4">
        <v>37.35</v>
      </c>
      <c r="D1115" s="4">
        <v>1847.92</v>
      </c>
      <c r="E1115">
        <v>97</v>
      </c>
      <c r="F1115">
        <v>97</v>
      </c>
    </row>
    <row r="1116" spans="1:6" x14ac:dyDescent="0.25">
      <c r="A1116" t="s">
        <v>1242</v>
      </c>
      <c r="B1116" s="4">
        <v>1884.92</v>
      </c>
      <c r="C1116" s="4">
        <v>3.4</v>
      </c>
      <c r="D1116" s="4">
        <v>1881.52</v>
      </c>
      <c r="E1116">
        <v>263</v>
      </c>
      <c r="F1116">
        <v>256</v>
      </c>
    </row>
    <row r="1117" spans="1:6" x14ac:dyDescent="0.25">
      <c r="A1117" t="s">
        <v>1243</v>
      </c>
      <c r="B1117" s="4">
        <v>1883.79</v>
      </c>
      <c r="C1117" s="4">
        <v>61.92</v>
      </c>
      <c r="D1117" s="4">
        <v>1821.87</v>
      </c>
      <c r="E1117">
        <v>366</v>
      </c>
      <c r="F1117">
        <v>362</v>
      </c>
    </row>
    <row r="1118" spans="1:6" x14ac:dyDescent="0.25">
      <c r="A1118" t="s">
        <v>1244</v>
      </c>
      <c r="B1118" s="4">
        <v>1872.31</v>
      </c>
      <c r="C1118" s="4">
        <v>0</v>
      </c>
      <c r="D1118" s="4">
        <v>1872.31</v>
      </c>
      <c r="E1118">
        <v>80</v>
      </c>
      <c r="F1118">
        <v>79</v>
      </c>
    </row>
    <row r="1119" spans="1:6" x14ac:dyDescent="0.25">
      <c r="A1119" t="s">
        <v>1245</v>
      </c>
      <c r="B1119" s="4">
        <v>1871.12</v>
      </c>
      <c r="C1119" s="4">
        <v>0.84</v>
      </c>
      <c r="D1119" s="4">
        <v>1870.28</v>
      </c>
      <c r="E1119">
        <v>266</v>
      </c>
      <c r="F1119">
        <v>261</v>
      </c>
    </row>
    <row r="1120" spans="1:6" x14ac:dyDescent="0.25">
      <c r="A1120" t="s">
        <v>1246</v>
      </c>
      <c r="B1120" s="4">
        <v>1870.91</v>
      </c>
      <c r="C1120" s="4">
        <v>69.349999999999994</v>
      </c>
      <c r="D1120" s="4">
        <v>1801.56</v>
      </c>
      <c r="E1120">
        <v>86</v>
      </c>
      <c r="F1120">
        <v>86</v>
      </c>
    </row>
    <row r="1121" spans="1:6" x14ac:dyDescent="0.25">
      <c r="A1121" t="s">
        <v>1247</v>
      </c>
      <c r="B1121" s="4">
        <v>1870.86</v>
      </c>
      <c r="C1121" s="4">
        <v>7.47</v>
      </c>
      <c r="D1121" s="4">
        <v>1863.39</v>
      </c>
      <c r="E1121">
        <v>153</v>
      </c>
      <c r="F1121">
        <v>149</v>
      </c>
    </row>
    <row r="1122" spans="1:6" x14ac:dyDescent="0.25">
      <c r="A1122" t="s">
        <v>1248</v>
      </c>
      <c r="B1122" s="4">
        <v>1867.57</v>
      </c>
      <c r="C1122" s="4">
        <v>22.5</v>
      </c>
      <c r="D1122" s="4">
        <v>1845.07</v>
      </c>
      <c r="E1122">
        <v>54</v>
      </c>
      <c r="F1122">
        <v>53</v>
      </c>
    </row>
    <row r="1123" spans="1:6" x14ac:dyDescent="0.25">
      <c r="A1123" t="s">
        <v>1249</v>
      </c>
      <c r="B1123" s="4">
        <v>1865.73</v>
      </c>
      <c r="C1123" s="4">
        <v>16.5</v>
      </c>
      <c r="D1123" s="4">
        <v>1849.23</v>
      </c>
      <c r="E1123">
        <v>139</v>
      </c>
      <c r="F1123">
        <v>136</v>
      </c>
    </row>
    <row r="1124" spans="1:6" x14ac:dyDescent="0.25">
      <c r="A1124" t="s">
        <v>1250</v>
      </c>
      <c r="B1124" s="4">
        <v>1865.63</v>
      </c>
      <c r="C1124" s="4">
        <v>0</v>
      </c>
      <c r="D1124" s="4">
        <v>1865.63</v>
      </c>
      <c r="E1124">
        <v>123</v>
      </c>
      <c r="F1124">
        <v>120</v>
      </c>
    </row>
    <row r="1125" spans="1:6" x14ac:dyDescent="0.25">
      <c r="A1125" t="s">
        <v>1251</v>
      </c>
      <c r="B1125" s="4">
        <v>1862.75</v>
      </c>
      <c r="C1125" s="4">
        <v>0</v>
      </c>
      <c r="D1125" s="4">
        <v>1862.75</v>
      </c>
      <c r="E1125">
        <v>195</v>
      </c>
      <c r="F1125">
        <v>193</v>
      </c>
    </row>
    <row r="1126" spans="1:6" x14ac:dyDescent="0.25">
      <c r="A1126" t="s">
        <v>1252</v>
      </c>
      <c r="B1126" s="4">
        <v>1861.46</v>
      </c>
      <c r="C1126" s="4">
        <v>32.5</v>
      </c>
      <c r="D1126" s="4">
        <v>1828.96</v>
      </c>
      <c r="E1126">
        <v>167</v>
      </c>
      <c r="F1126">
        <v>163</v>
      </c>
    </row>
    <row r="1127" spans="1:6" x14ac:dyDescent="0.25">
      <c r="A1127" t="s">
        <v>1253</v>
      </c>
      <c r="B1127" s="4">
        <v>1859.2</v>
      </c>
      <c r="C1127" s="4">
        <v>201.5</v>
      </c>
      <c r="D1127" s="4">
        <v>1657.7</v>
      </c>
      <c r="E1127">
        <v>87</v>
      </c>
      <c r="F1127">
        <v>86</v>
      </c>
    </row>
    <row r="1128" spans="1:6" x14ac:dyDescent="0.25">
      <c r="A1128" t="s">
        <v>1254</v>
      </c>
      <c r="B1128" s="4">
        <v>1854.76</v>
      </c>
      <c r="C1128" s="4">
        <v>20.85</v>
      </c>
      <c r="D1128" s="4">
        <v>1833.91</v>
      </c>
      <c r="E1128">
        <v>114</v>
      </c>
      <c r="F1128">
        <v>114</v>
      </c>
    </row>
    <row r="1129" spans="1:6" x14ac:dyDescent="0.25">
      <c r="A1129" t="s">
        <v>1255</v>
      </c>
      <c r="B1129" s="4">
        <v>1849.82</v>
      </c>
      <c r="C1129" s="4">
        <v>38.25</v>
      </c>
      <c r="D1129" s="4">
        <v>1811.57</v>
      </c>
      <c r="E1129">
        <v>109</v>
      </c>
      <c r="F1129">
        <v>107</v>
      </c>
    </row>
    <row r="1130" spans="1:6" x14ac:dyDescent="0.25">
      <c r="A1130" t="s">
        <v>1256</v>
      </c>
      <c r="B1130" s="4">
        <v>1843.64</v>
      </c>
      <c r="C1130" s="4">
        <v>5.93</v>
      </c>
      <c r="D1130" s="4">
        <v>1837.71</v>
      </c>
      <c r="E1130">
        <v>114</v>
      </c>
      <c r="F1130">
        <v>111</v>
      </c>
    </row>
    <row r="1131" spans="1:6" x14ac:dyDescent="0.25">
      <c r="A1131" t="s">
        <v>1257</v>
      </c>
      <c r="B1131" s="4">
        <v>1843.61</v>
      </c>
      <c r="C1131" s="4">
        <v>0</v>
      </c>
      <c r="D1131" s="4">
        <v>1843.61</v>
      </c>
      <c r="E1131">
        <v>163</v>
      </c>
      <c r="F1131">
        <v>162</v>
      </c>
    </row>
    <row r="1132" spans="1:6" x14ac:dyDescent="0.25">
      <c r="A1132" t="s">
        <v>1258</v>
      </c>
      <c r="B1132" s="4">
        <v>1842.42</v>
      </c>
      <c r="C1132" s="4">
        <v>0</v>
      </c>
      <c r="D1132" s="4">
        <v>1842.42</v>
      </c>
      <c r="E1132">
        <v>188</v>
      </c>
      <c r="F1132">
        <v>176</v>
      </c>
    </row>
    <row r="1133" spans="1:6" x14ac:dyDescent="0.25">
      <c r="A1133" t="s">
        <v>1259</v>
      </c>
      <c r="B1133" s="4">
        <v>1842.36</v>
      </c>
      <c r="C1133" s="4">
        <v>10.5</v>
      </c>
      <c r="D1133" s="4">
        <v>1831.86</v>
      </c>
      <c r="E1133">
        <v>316</v>
      </c>
      <c r="F1133">
        <v>312</v>
      </c>
    </row>
    <row r="1134" spans="1:6" x14ac:dyDescent="0.25">
      <c r="A1134" t="s">
        <v>1260</v>
      </c>
      <c r="B1134" s="4">
        <v>1842.05</v>
      </c>
      <c r="C1134" s="4">
        <v>19.95</v>
      </c>
      <c r="D1134" s="4">
        <v>1822.1</v>
      </c>
      <c r="E1134">
        <v>964</v>
      </c>
      <c r="F1134">
        <v>871</v>
      </c>
    </row>
    <row r="1135" spans="1:6" x14ac:dyDescent="0.25">
      <c r="A1135" t="s">
        <v>1261</v>
      </c>
      <c r="B1135" s="4">
        <v>1838.05</v>
      </c>
      <c r="C1135" s="4">
        <v>100.07</v>
      </c>
      <c r="D1135" s="4">
        <v>1737.98</v>
      </c>
      <c r="E1135">
        <v>119</v>
      </c>
      <c r="F1135">
        <v>116</v>
      </c>
    </row>
    <row r="1136" spans="1:6" x14ac:dyDescent="0.25">
      <c r="A1136" t="s">
        <v>1262</v>
      </c>
      <c r="B1136" s="4">
        <v>1837.47</v>
      </c>
      <c r="C1136" s="4">
        <v>0</v>
      </c>
      <c r="D1136" s="4">
        <v>1837.47</v>
      </c>
      <c r="E1136">
        <v>170</v>
      </c>
      <c r="F1136">
        <v>170</v>
      </c>
    </row>
    <row r="1137" spans="1:6" x14ac:dyDescent="0.25">
      <c r="A1137" t="s">
        <v>1263</v>
      </c>
      <c r="B1137" s="4">
        <v>1836.64</v>
      </c>
      <c r="C1137" s="4">
        <v>32.35</v>
      </c>
      <c r="D1137" s="4">
        <v>1804.29</v>
      </c>
      <c r="E1137">
        <v>162</v>
      </c>
      <c r="F1137">
        <v>157</v>
      </c>
    </row>
    <row r="1138" spans="1:6" x14ac:dyDescent="0.25">
      <c r="A1138" t="s">
        <v>1264</v>
      </c>
      <c r="B1138" s="4">
        <v>1831.62</v>
      </c>
      <c r="C1138" s="4">
        <v>8.0500000000000007</v>
      </c>
      <c r="D1138" s="4">
        <v>1823.57</v>
      </c>
      <c r="E1138">
        <v>123</v>
      </c>
      <c r="F1138">
        <v>123</v>
      </c>
    </row>
    <row r="1139" spans="1:6" x14ac:dyDescent="0.25">
      <c r="A1139" t="s">
        <v>1265</v>
      </c>
      <c r="B1139" s="4">
        <v>1831.11</v>
      </c>
      <c r="C1139" s="4">
        <v>2.95</v>
      </c>
      <c r="D1139" s="4">
        <v>1828.16</v>
      </c>
      <c r="E1139">
        <v>147</v>
      </c>
      <c r="F1139">
        <v>144</v>
      </c>
    </row>
    <row r="1140" spans="1:6" x14ac:dyDescent="0.25">
      <c r="A1140" t="s">
        <v>1266</v>
      </c>
      <c r="B1140" s="4">
        <v>1830.71</v>
      </c>
      <c r="C1140" s="4">
        <v>12.75</v>
      </c>
      <c r="D1140" s="4">
        <v>1817.96</v>
      </c>
      <c r="E1140">
        <v>114</v>
      </c>
      <c r="F1140">
        <v>110</v>
      </c>
    </row>
    <row r="1141" spans="1:6" x14ac:dyDescent="0.25">
      <c r="A1141" t="s">
        <v>1267</v>
      </c>
      <c r="B1141" s="4">
        <v>1822.71</v>
      </c>
      <c r="C1141" s="4">
        <v>5.5</v>
      </c>
      <c r="D1141" s="4">
        <v>1817.21</v>
      </c>
      <c r="E1141">
        <v>85</v>
      </c>
      <c r="F1141">
        <v>84</v>
      </c>
    </row>
    <row r="1142" spans="1:6" x14ac:dyDescent="0.25">
      <c r="A1142" t="s">
        <v>1268</v>
      </c>
      <c r="B1142" s="4">
        <v>1821.61</v>
      </c>
      <c r="C1142" s="4">
        <v>0</v>
      </c>
      <c r="D1142" s="4">
        <v>1821.61</v>
      </c>
      <c r="E1142">
        <v>79</v>
      </c>
      <c r="F1142">
        <v>78</v>
      </c>
    </row>
    <row r="1143" spans="1:6" x14ac:dyDescent="0.25">
      <c r="A1143" t="s">
        <v>1269</v>
      </c>
      <c r="B1143" s="4">
        <v>1820.46</v>
      </c>
      <c r="C1143" s="4">
        <v>10.79</v>
      </c>
      <c r="D1143" s="4">
        <v>1809.67</v>
      </c>
      <c r="E1143">
        <v>257</v>
      </c>
      <c r="F1143">
        <v>247</v>
      </c>
    </row>
    <row r="1144" spans="1:6" x14ac:dyDescent="0.25">
      <c r="A1144" t="s">
        <v>1270</v>
      </c>
      <c r="B1144" s="4">
        <v>1809.48</v>
      </c>
      <c r="C1144" s="4">
        <v>15</v>
      </c>
      <c r="D1144" s="4">
        <v>1794.48</v>
      </c>
      <c r="E1144">
        <v>141</v>
      </c>
      <c r="F1144">
        <v>140</v>
      </c>
    </row>
    <row r="1145" spans="1:6" x14ac:dyDescent="0.25">
      <c r="A1145" t="s">
        <v>1271</v>
      </c>
      <c r="B1145" s="4">
        <v>1809.48</v>
      </c>
      <c r="C1145" s="4">
        <v>7.5</v>
      </c>
      <c r="D1145" s="4">
        <v>1801.98</v>
      </c>
      <c r="E1145">
        <v>77</v>
      </c>
      <c r="F1145">
        <v>76</v>
      </c>
    </row>
    <row r="1146" spans="1:6" x14ac:dyDescent="0.25">
      <c r="A1146" t="s">
        <v>1272</v>
      </c>
      <c r="B1146" s="4">
        <v>1809.33</v>
      </c>
      <c r="C1146" s="4">
        <v>12.5</v>
      </c>
      <c r="D1146" s="4">
        <v>1796.83</v>
      </c>
      <c r="E1146">
        <v>143</v>
      </c>
      <c r="F1146">
        <v>138</v>
      </c>
    </row>
    <row r="1147" spans="1:6" x14ac:dyDescent="0.25">
      <c r="A1147" t="s">
        <v>1273</v>
      </c>
      <c r="B1147" s="4">
        <v>1807.55</v>
      </c>
      <c r="C1147" s="4">
        <v>3.75</v>
      </c>
      <c r="D1147" s="4">
        <v>1803.8</v>
      </c>
      <c r="E1147">
        <v>131</v>
      </c>
      <c r="F1147">
        <v>131</v>
      </c>
    </row>
    <row r="1148" spans="1:6" x14ac:dyDescent="0.25">
      <c r="A1148" t="s">
        <v>1274</v>
      </c>
      <c r="B1148" s="4">
        <v>1805.21</v>
      </c>
      <c r="C1148" s="4">
        <v>47.82</v>
      </c>
      <c r="D1148" s="4">
        <v>1757.39</v>
      </c>
      <c r="E1148">
        <v>160</v>
      </c>
      <c r="F1148">
        <v>156</v>
      </c>
    </row>
    <row r="1149" spans="1:6" x14ac:dyDescent="0.25">
      <c r="A1149" t="s">
        <v>1275</v>
      </c>
      <c r="B1149" s="4">
        <v>1805</v>
      </c>
      <c r="C1149" s="4">
        <v>73</v>
      </c>
      <c r="D1149" s="4">
        <v>1732</v>
      </c>
      <c r="E1149">
        <v>169</v>
      </c>
      <c r="F1149">
        <v>158</v>
      </c>
    </row>
    <row r="1150" spans="1:6" x14ac:dyDescent="0.25">
      <c r="A1150" t="s">
        <v>1276</v>
      </c>
      <c r="B1150" s="4">
        <v>1800</v>
      </c>
      <c r="C1150" s="4">
        <v>41.25</v>
      </c>
      <c r="D1150" s="4">
        <v>1758.75</v>
      </c>
      <c r="E1150">
        <v>205</v>
      </c>
      <c r="F1150">
        <v>198</v>
      </c>
    </row>
    <row r="1151" spans="1:6" x14ac:dyDescent="0.25">
      <c r="A1151" t="s">
        <v>1277</v>
      </c>
      <c r="B1151" s="4">
        <v>1792.27</v>
      </c>
      <c r="C1151" s="4">
        <v>0</v>
      </c>
      <c r="D1151" s="4">
        <v>1792.27</v>
      </c>
      <c r="E1151">
        <v>131</v>
      </c>
      <c r="F1151">
        <v>128</v>
      </c>
    </row>
    <row r="1152" spans="1:6" x14ac:dyDescent="0.25">
      <c r="A1152" t="s">
        <v>1278</v>
      </c>
      <c r="B1152" s="4">
        <v>1787.41</v>
      </c>
      <c r="C1152" s="4">
        <v>0</v>
      </c>
      <c r="D1152" s="4">
        <v>1787.41</v>
      </c>
      <c r="E1152">
        <v>83</v>
      </c>
      <c r="F1152">
        <v>82</v>
      </c>
    </row>
    <row r="1153" spans="1:6" x14ac:dyDescent="0.25">
      <c r="A1153" t="s">
        <v>1279</v>
      </c>
      <c r="B1153" s="4">
        <v>1783.52</v>
      </c>
      <c r="C1153" s="4">
        <v>636.15</v>
      </c>
      <c r="D1153" s="4">
        <v>1147.3699999999999</v>
      </c>
      <c r="E1153">
        <v>48</v>
      </c>
      <c r="F1153">
        <v>45</v>
      </c>
    </row>
    <row r="1154" spans="1:6" x14ac:dyDescent="0.25">
      <c r="A1154" t="s">
        <v>1280</v>
      </c>
      <c r="B1154" s="4">
        <v>1782.54</v>
      </c>
      <c r="C1154" s="4">
        <v>53.7</v>
      </c>
      <c r="D1154" s="4">
        <v>1728.84</v>
      </c>
      <c r="E1154">
        <v>107</v>
      </c>
      <c r="F1154">
        <v>105</v>
      </c>
    </row>
    <row r="1155" spans="1:6" x14ac:dyDescent="0.25">
      <c r="A1155" t="s">
        <v>1281</v>
      </c>
      <c r="B1155" s="4">
        <v>1781.82</v>
      </c>
      <c r="C1155" s="4">
        <v>75.25</v>
      </c>
      <c r="D1155" s="4">
        <v>1706.57</v>
      </c>
      <c r="E1155">
        <v>76</v>
      </c>
      <c r="F1155">
        <v>76</v>
      </c>
    </row>
    <row r="1156" spans="1:6" x14ac:dyDescent="0.25">
      <c r="A1156" t="s">
        <v>1282</v>
      </c>
      <c r="B1156" s="4">
        <v>1779.41</v>
      </c>
      <c r="C1156" s="4">
        <v>0</v>
      </c>
      <c r="D1156" s="4">
        <v>1779.41</v>
      </c>
      <c r="E1156">
        <v>137</v>
      </c>
      <c r="F1156">
        <v>130</v>
      </c>
    </row>
    <row r="1157" spans="1:6" x14ac:dyDescent="0.25">
      <c r="A1157" t="s">
        <v>1283</v>
      </c>
      <c r="B1157" s="4">
        <v>1774.42</v>
      </c>
      <c r="C1157" s="4">
        <v>21</v>
      </c>
      <c r="D1157" s="4">
        <v>1753.42</v>
      </c>
      <c r="E1157">
        <v>104</v>
      </c>
      <c r="F1157">
        <v>104</v>
      </c>
    </row>
    <row r="1158" spans="1:6" x14ac:dyDescent="0.25">
      <c r="A1158" t="s">
        <v>1284</v>
      </c>
      <c r="B1158" s="4">
        <v>1773.37</v>
      </c>
      <c r="C1158" s="4">
        <v>0</v>
      </c>
      <c r="D1158" s="4">
        <v>1773.37</v>
      </c>
      <c r="E1158">
        <v>217</v>
      </c>
      <c r="F1158">
        <v>211</v>
      </c>
    </row>
    <row r="1159" spans="1:6" x14ac:dyDescent="0.25">
      <c r="A1159" t="s">
        <v>1285</v>
      </c>
      <c r="B1159" s="4">
        <v>1767.15</v>
      </c>
      <c r="C1159" s="4">
        <v>432.48</v>
      </c>
      <c r="D1159" s="4">
        <v>1334.67</v>
      </c>
      <c r="E1159">
        <v>131</v>
      </c>
      <c r="F1159">
        <v>130</v>
      </c>
    </row>
    <row r="1160" spans="1:6" x14ac:dyDescent="0.25">
      <c r="A1160" t="s">
        <v>1286</v>
      </c>
      <c r="B1160" s="4">
        <v>1766.57</v>
      </c>
      <c r="C1160" s="4">
        <v>6.95</v>
      </c>
      <c r="D1160" s="4">
        <v>1759.62</v>
      </c>
      <c r="E1160">
        <v>113</v>
      </c>
      <c r="F1160">
        <v>106</v>
      </c>
    </row>
    <row r="1161" spans="1:6" x14ac:dyDescent="0.25">
      <c r="A1161" t="s">
        <v>1287</v>
      </c>
      <c r="B1161" s="4">
        <v>1765.4</v>
      </c>
      <c r="C1161" s="4">
        <v>17.899999999999999</v>
      </c>
      <c r="D1161" s="4">
        <v>1747.5</v>
      </c>
      <c r="E1161">
        <v>72</v>
      </c>
      <c r="F1161">
        <v>72</v>
      </c>
    </row>
    <row r="1162" spans="1:6" x14ac:dyDescent="0.25">
      <c r="A1162" t="s">
        <v>1288</v>
      </c>
      <c r="B1162" s="4">
        <v>1762.07</v>
      </c>
      <c r="C1162" s="4">
        <v>5.9</v>
      </c>
      <c r="D1162" s="4">
        <v>1756.17</v>
      </c>
      <c r="E1162">
        <v>136</v>
      </c>
      <c r="F1162">
        <v>133</v>
      </c>
    </row>
    <row r="1163" spans="1:6" x14ac:dyDescent="0.25">
      <c r="A1163" t="s">
        <v>1289</v>
      </c>
      <c r="B1163" s="4">
        <v>1761.22</v>
      </c>
      <c r="C1163" s="4">
        <v>27.95</v>
      </c>
      <c r="D1163" s="4">
        <v>1733.27</v>
      </c>
      <c r="E1163">
        <v>284</v>
      </c>
      <c r="F1163">
        <v>278</v>
      </c>
    </row>
    <row r="1164" spans="1:6" x14ac:dyDescent="0.25">
      <c r="A1164" t="s">
        <v>1290</v>
      </c>
      <c r="B1164" s="4">
        <v>1759.79</v>
      </c>
      <c r="C1164" s="4">
        <v>0</v>
      </c>
      <c r="D1164" s="4">
        <v>1759.79</v>
      </c>
      <c r="E1164">
        <v>148</v>
      </c>
      <c r="F1164">
        <v>146</v>
      </c>
    </row>
    <row r="1165" spans="1:6" x14ac:dyDescent="0.25">
      <c r="A1165" t="s">
        <v>1291</v>
      </c>
      <c r="B1165" s="4">
        <v>1757.88</v>
      </c>
      <c r="C1165" s="4">
        <v>21.25</v>
      </c>
      <c r="D1165" s="4">
        <v>1736.63</v>
      </c>
      <c r="E1165">
        <v>125</v>
      </c>
      <c r="F1165">
        <v>125</v>
      </c>
    </row>
    <row r="1166" spans="1:6" x14ac:dyDescent="0.25">
      <c r="A1166" t="s">
        <v>1292</v>
      </c>
      <c r="B1166" s="4">
        <v>1754.9</v>
      </c>
      <c r="C1166" s="4">
        <v>1.65</v>
      </c>
      <c r="D1166" s="4">
        <v>1753.25</v>
      </c>
      <c r="E1166">
        <v>159</v>
      </c>
      <c r="F1166">
        <v>146</v>
      </c>
    </row>
    <row r="1167" spans="1:6" x14ac:dyDescent="0.25">
      <c r="A1167" t="s">
        <v>1293</v>
      </c>
      <c r="B1167" s="4">
        <v>1752.79</v>
      </c>
      <c r="C1167" s="4">
        <v>20</v>
      </c>
      <c r="D1167" s="4">
        <v>1732.79</v>
      </c>
      <c r="E1167">
        <v>153</v>
      </c>
      <c r="F1167">
        <v>147</v>
      </c>
    </row>
    <row r="1168" spans="1:6" x14ac:dyDescent="0.25">
      <c r="A1168" t="s">
        <v>1294</v>
      </c>
      <c r="B1168" s="4">
        <v>1752.35</v>
      </c>
      <c r="C1168" s="4">
        <v>0</v>
      </c>
      <c r="D1168" s="4">
        <v>1752.35</v>
      </c>
      <c r="E1168">
        <v>240</v>
      </c>
      <c r="F1168">
        <v>225</v>
      </c>
    </row>
    <row r="1169" spans="1:6" x14ac:dyDescent="0.25">
      <c r="A1169" t="s">
        <v>1295</v>
      </c>
      <c r="B1169" s="4">
        <v>1751.22</v>
      </c>
      <c r="C1169" s="4">
        <v>69.3</v>
      </c>
      <c r="D1169" s="4">
        <v>1681.92</v>
      </c>
      <c r="E1169">
        <v>101</v>
      </c>
      <c r="F1169">
        <v>100</v>
      </c>
    </row>
    <row r="1170" spans="1:6" x14ac:dyDescent="0.25">
      <c r="A1170" t="s">
        <v>1296</v>
      </c>
      <c r="B1170" s="4">
        <v>1749.18</v>
      </c>
      <c r="C1170" s="4">
        <v>62.5</v>
      </c>
      <c r="D1170" s="4">
        <v>1686.68</v>
      </c>
      <c r="E1170">
        <v>231</v>
      </c>
      <c r="F1170">
        <v>228</v>
      </c>
    </row>
    <row r="1171" spans="1:6" x14ac:dyDescent="0.25">
      <c r="A1171" t="s">
        <v>1297</v>
      </c>
      <c r="B1171" s="4">
        <v>1744.61</v>
      </c>
      <c r="C1171" s="4">
        <v>0</v>
      </c>
      <c r="D1171" s="4">
        <v>1744.61</v>
      </c>
      <c r="E1171">
        <v>219</v>
      </c>
      <c r="F1171">
        <v>213</v>
      </c>
    </row>
    <row r="1172" spans="1:6" x14ac:dyDescent="0.25">
      <c r="A1172" t="s">
        <v>1298</v>
      </c>
      <c r="B1172" s="4">
        <v>1742.27</v>
      </c>
      <c r="C1172" s="4">
        <v>16.149999999999999</v>
      </c>
      <c r="D1172" s="4">
        <v>1726.12</v>
      </c>
      <c r="E1172">
        <v>252</v>
      </c>
      <c r="F1172">
        <v>249</v>
      </c>
    </row>
    <row r="1173" spans="1:6" x14ac:dyDescent="0.25">
      <c r="A1173" t="s">
        <v>1299</v>
      </c>
      <c r="B1173" s="4">
        <v>1733.98</v>
      </c>
      <c r="C1173" s="4">
        <v>16.95</v>
      </c>
      <c r="D1173" s="4">
        <v>1717.03</v>
      </c>
      <c r="E1173">
        <v>112</v>
      </c>
      <c r="F1173">
        <v>112</v>
      </c>
    </row>
    <row r="1174" spans="1:6" x14ac:dyDescent="0.25">
      <c r="A1174" t="s">
        <v>1300</v>
      </c>
      <c r="B1174" s="4">
        <v>1733.57</v>
      </c>
      <c r="C1174" s="4">
        <v>33</v>
      </c>
      <c r="D1174" s="4">
        <v>1700.57</v>
      </c>
      <c r="E1174">
        <v>82</v>
      </c>
      <c r="F1174">
        <v>82</v>
      </c>
    </row>
    <row r="1175" spans="1:6" x14ac:dyDescent="0.25">
      <c r="A1175" t="s">
        <v>1301</v>
      </c>
      <c r="B1175" s="4">
        <v>1728.64</v>
      </c>
      <c r="C1175" s="4">
        <v>0</v>
      </c>
      <c r="D1175" s="4">
        <v>1728.64</v>
      </c>
      <c r="E1175">
        <v>291</v>
      </c>
      <c r="F1175">
        <v>287</v>
      </c>
    </row>
    <row r="1176" spans="1:6" x14ac:dyDescent="0.25">
      <c r="A1176" t="s">
        <v>1302</v>
      </c>
      <c r="B1176" s="4">
        <v>1727.75</v>
      </c>
      <c r="C1176" s="4">
        <v>2.4900000000000002</v>
      </c>
      <c r="D1176" s="4">
        <v>1725.26</v>
      </c>
      <c r="E1176">
        <v>138</v>
      </c>
      <c r="F1176">
        <v>133</v>
      </c>
    </row>
    <row r="1177" spans="1:6" x14ac:dyDescent="0.25">
      <c r="A1177" t="s">
        <v>1303</v>
      </c>
      <c r="B1177" s="4">
        <v>1727.23</v>
      </c>
      <c r="C1177" s="4">
        <v>0</v>
      </c>
      <c r="D1177" s="4">
        <v>1727.23</v>
      </c>
      <c r="E1177">
        <v>31</v>
      </c>
      <c r="F1177">
        <v>31</v>
      </c>
    </row>
    <row r="1178" spans="1:6" x14ac:dyDescent="0.25">
      <c r="A1178" t="s">
        <v>1304</v>
      </c>
      <c r="B1178" s="4">
        <v>1721.85</v>
      </c>
      <c r="C1178" s="4">
        <v>33.15</v>
      </c>
      <c r="D1178" s="4">
        <v>1688.7</v>
      </c>
      <c r="E1178">
        <v>67</v>
      </c>
      <c r="F1178">
        <v>67</v>
      </c>
    </row>
    <row r="1179" spans="1:6" x14ac:dyDescent="0.25">
      <c r="A1179" t="s">
        <v>1305</v>
      </c>
      <c r="B1179" s="4">
        <v>1721.09</v>
      </c>
      <c r="C1179" s="4">
        <v>75.64</v>
      </c>
      <c r="D1179" s="4">
        <v>1645.45</v>
      </c>
      <c r="E1179">
        <v>83</v>
      </c>
      <c r="F1179">
        <v>82</v>
      </c>
    </row>
    <row r="1180" spans="1:6" x14ac:dyDescent="0.25">
      <c r="A1180" t="s">
        <v>1306</v>
      </c>
      <c r="B1180" s="4">
        <v>1720.26</v>
      </c>
      <c r="C1180" s="4">
        <v>76.5</v>
      </c>
      <c r="D1180" s="4">
        <v>1643.76</v>
      </c>
      <c r="E1180">
        <v>79</v>
      </c>
      <c r="F1180">
        <v>79</v>
      </c>
    </row>
    <row r="1181" spans="1:6" x14ac:dyDescent="0.25">
      <c r="A1181" t="s">
        <v>1307</v>
      </c>
      <c r="B1181" s="4">
        <v>1719.84</v>
      </c>
      <c r="C1181" s="4">
        <v>0</v>
      </c>
      <c r="D1181" s="4">
        <v>1719.84</v>
      </c>
      <c r="E1181">
        <v>145</v>
      </c>
      <c r="F1181">
        <v>143</v>
      </c>
    </row>
    <row r="1182" spans="1:6" x14ac:dyDescent="0.25">
      <c r="A1182" t="s">
        <v>1308</v>
      </c>
      <c r="B1182" s="4">
        <v>1719</v>
      </c>
      <c r="C1182" s="4">
        <v>12.5</v>
      </c>
      <c r="D1182" s="4">
        <v>1706.5</v>
      </c>
      <c r="E1182">
        <v>62</v>
      </c>
      <c r="F1182">
        <v>61</v>
      </c>
    </row>
    <row r="1183" spans="1:6" x14ac:dyDescent="0.25">
      <c r="A1183" t="s">
        <v>1309</v>
      </c>
      <c r="B1183" s="4">
        <v>1716.18</v>
      </c>
      <c r="C1183" s="4">
        <v>18.059999999999999</v>
      </c>
      <c r="D1183" s="4">
        <v>1698.12</v>
      </c>
      <c r="E1183">
        <v>179</v>
      </c>
      <c r="F1183">
        <v>175</v>
      </c>
    </row>
    <row r="1184" spans="1:6" x14ac:dyDescent="0.25">
      <c r="A1184" t="s">
        <v>1310</v>
      </c>
      <c r="B1184" s="4">
        <v>1715.48</v>
      </c>
      <c r="C1184" s="4">
        <v>0</v>
      </c>
      <c r="D1184" s="4">
        <v>1715.48</v>
      </c>
      <c r="E1184">
        <v>359</v>
      </c>
      <c r="F1184">
        <v>354</v>
      </c>
    </row>
    <row r="1185" spans="1:6" x14ac:dyDescent="0.25">
      <c r="A1185" t="s">
        <v>1311</v>
      </c>
      <c r="B1185" s="4">
        <v>1712.1</v>
      </c>
      <c r="C1185" s="4">
        <v>10.5</v>
      </c>
      <c r="D1185" s="4">
        <v>1701.6</v>
      </c>
      <c r="E1185">
        <v>155</v>
      </c>
      <c r="F1185">
        <v>155</v>
      </c>
    </row>
    <row r="1186" spans="1:6" x14ac:dyDescent="0.25">
      <c r="A1186" t="s">
        <v>1312</v>
      </c>
      <c r="B1186" s="4">
        <v>1708.07</v>
      </c>
      <c r="C1186" s="4">
        <v>1.3</v>
      </c>
      <c r="D1186" s="4">
        <v>1706.77</v>
      </c>
      <c r="E1186">
        <v>301</v>
      </c>
      <c r="F1186">
        <v>289</v>
      </c>
    </row>
    <row r="1187" spans="1:6" x14ac:dyDescent="0.25">
      <c r="A1187" t="s">
        <v>1313</v>
      </c>
      <c r="B1187" s="4">
        <v>1707.47</v>
      </c>
      <c r="C1187" s="4">
        <v>8.85</v>
      </c>
      <c r="D1187" s="4">
        <v>1698.62</v>
      </c>
      <c r="E1187">
        <v>78</v>
      </c>
      <c r="F1187">
        <v>78</v>
      </c>
    </row>
    <row r="1188" spans="1:6" x14ac:dyDescent="0.25">
      <c r="A1188" t="s">
        <v>1314</v>
      </c>
      <c r="B1188" s="4">
        <v>1706.88</v>
      </c>
      <c r="C1188" s="4">
        <v>0</v>
      </c>
      <c r="D1188" s="4">
        <v>1706.88</v>
      </c>
      <c r="E1188">
        <v>271</v>
      </c>
      <c r="F1188">
        <v>266</v>
      </c>
    </row>
    <row r="1189" spans="1:6" x14ac:dyDescent="0.25">
      <c r="A1189" t="s">
        <v>1315</v>
      </c>
      <c r="B1189" s="4">
        <v>1705.44</v>
      </c>
      <c r="C1189" s="4">
        <v>0</v>
      </c>
      <c r="D1189" s="4">
        <v>1705.44</v>
      </c>
      <c r="E1189">
        <v>109</v>
      </c>
      <c r="F1189">
        <v>103</v>
      </c>
    </row>
    <row r="1190" spans="1:6" x14ac:dyDescent="0.25">
      <c r="A1190" t="s">
        <v>1316</v>
      </c>
      <c r="B1190" s="4">
        <v>1704.03</v>
      </c>
      <c r="C1190" s="4">
        <v>5.46</v>
      </c>
      <c r="D1190" s="4">
        <v>1698.57</v>
      </c>
      <c r="E1190">
        <v>228</v>
      </c>
      <c r="F1190">
        <v>225</v>
      </c>
    </row>
    <row r="1191" spans="1:6" x14ac:dyDescent="0.25">
      <c r="A1191" t="s">
        <v>1317</v>
      </c>
      <c r="B1191" s="4">
        <v>1697.72</v>
      </c>
      <c r="C1191" s="4">
        <v>16.25</v>
      </c>
      <c r="D1191" s="4">
        <v>1681.47</v>
      </c>
      <c r="E1191">
        <v>191</v>
      </c>
      <c r="F1191">
        <v>187</v>
      </c>
    </row>
    <row r="1192" spans="1:6" x14ac:dyDescent="0.25">
      <c r="A1192" t="s">
        <v>1318</v>
      </c>
      <c r="B1192" s="4">
        <v>1695.86</v>
      </c>
      <c r="C1192" s="4">
        <v>1.17</v>
      </c>
      <c r="D1192" s="4">
        <v>1694.69</v>
      </c>
      <c r="E1192">
        <v>136</v>
      </c>
      <c r="F1192">
        <v>135</v>
      </c>
    </row>
    <row r="1193" spans="1:6" x14ac:dyDescent="0.25">
      <c r="A1193" t="s">
        <v>1319</v>
      </c>
      <c r="B1193" s="4">
        <v>1690.55</v>
      </c>
      <c r="C1193" s="4">
        <v>6.9</v>
      </c>
      <c r="D1193" s="4">
        <v>1683.65</v>
      </c>
      <c r="E1193">
        <v>22</v>
      </c>
      <c r="F1193">
        <v>22</v>
      </c>
    </row>
    <row r="1194" spans="1:6" x14ac:dyDescent="0.25">
      <c r="A1194" t="s">
        <v>1320</v>
      </c>
      <c r="B1194" s="4">
        <v>1690.23</v>
      </c>
      <c r="C1194" s="4">
        <v>0</v>
      </c>
      <c r="D1194" s="4">
        <v>1690.23</v>
      </c>
      <c r="E1194">
        <v>176</v>
      </c>
      <c r="F1194">
        <v>174</v>
      </c>
    </row>
    <row r="1195" spans="1:6" x14ac:dyDescent="0.25">
      <c r="A1195" t="s">
        <v>1321</v>
      </c>
      <c r="B1195" s="4">
        <v>1688.22</v>
      </c>
      <c r="C1195" s="4">
        <v>1.95</v>
      </c>
      <c r="D1195" s="4">
        <v>1686.27</v>
      </c>
      <c r="E1195">
        <v>143</v>
      </c>
      <c r="F1195">
        <v>138</v>
      </c>
    </row>
    <row r="1196" spans="1:6" x14ac:dyDescent="0.25">
      <c r="A1196" t="s">
        <v>1322</v>
      </c>
      <c r="B1196" s="4">
        <v>1687.5</v>
      </c>
      <c r="C1196" s="4">
        <v>10.5</v>
      </c>
      <c r="D1196" s="4">
        <v>1677</v>
      </c>
      <c r="E1196">
        <v>134</v>
      </c>
      <c r="F1196">
        <v>134</v>
      </c>
    </row>
    <row r="1197" spans="1:6" x14ac:dyDescent="0.25">
      <c r="A1197" t="s">
        <v>1323</v>
      </c>
      <c r="B1197" s="4">
        <v>1686.5</v>
      </c>
      <c r="C1197" s="4">
        <v>0</v>
      </c>
      <c r="D1197" s="4">
        <v>1686.5</v>
      </c>
      <c r="E1197">
        <v>134</v>
      </c>
      <c r="F1197">
        <v>132</v>
      </c>
    </row>
    <row r="1198" spans="1:6" x14ac:dyDescent="0.25">
      <c r="A1198" t="s">
        <v>1324</v>
      </c>
      <c r="B1198" s="4">
        <v>1681.5</v>
      </c>
      <c r="C1198" s="4">
        <v>3.9</v>
      </c>
      <c r="D1198" s="4">
        <v>1677.6</v>
      </c>
      <c r="E1198">
        <v>239</v>
      </c>
      <c r="F1198">
        <v>232</v>
      </c>
    </row>
    <row r="1199" spans="1:6" x14ac:dyDescent="0.25">
      <c r="A1199" t="s">
        <v>1325</v>
      </c>
      <c r="B1199" s="4">
        <v>1679.65</v>
      </c>
      <c r="C1199" s="4">
        <v>39.6</v>
      </c>
      <c r="D1199" s="4">
        <v>1640.05</v>
      </c>
      <c r="E1199">
        <v>150</v>
      </c>
      <c r="F1199">
        <v>148</v>
      </c>
    </row>
    <row r="1200" spans="1:6" x14ac:dyDescent="0.25">
      <c r="A1200" t="s">
        <v>1326</v>
      </c>
      <c r="B1200" s="4">
        <v>1676.88</v>
      </c>
      <c r="C1200" s="4">
        <v>2.52</v>
      </c>
      <c r="D1200" s="4">
        <v>1674.36</v>
      </c>
      <c r="E1200">
        <v>281</v>
      </c>
      <c r="F1200">
        <v>272</v>
      </c>
    </row>
    <row r="1201" spans="1:6" x14ac:dyDescent="0.25">
      <c r="A1201" t="s">
        <v>1327</v>
      </c>
      <c r="B1201" s="4">
        <v>1673.15</v>
      </c>
      <c r="C1201" s="4">
        <v>19.8</v>
      </c>
      <c r="D1201" s="4">
        <v>1653.35</v>
      </c>
      <c r="E1201">
        <v>112</v>
      </c>
      <c r="F1201">
        <v>112</v>
      </c>
    </row>
    <row r="1202" spans="1:6" x14ac:dyDescent="0.25">
      <c r="A1202" t="s">
        <v>1328</v>
      </c>
      <c r="B1202" s="4">
        <v>1672.79</v>
      </c>
      <c r="C1202" s="4">
        <v>0</v>
      </c>
      <c r="D1202" s="4">
        <v>1672.79</v>
      </c>
      <c r="E1202">
        <v>235</v>
      </c>
      <c r="F1202">
        <v>225</v>
      </c>
    </row>
    <row r="1203" spans="1:6" x14ac:dyDescent="0.25">
      <c r="A1203" t="s">
        <v>1329</v>
      </c>
      <c r="B1203" s="4">
        <v>1670.55</v>
      </c>
      <c r="C1203" s="4">
        <v>0</v>
      </c>
      <c r="D1203" s="4">
        <v>1670.55</v>
      </c>
      <c r="E1203">
        <v>199</v>
      </c>
      <c r="F1203">
        <v>195</v>
      </c>
    </row>
    <row r="1204" spans="1:6" x14ac:dyDescent="0.25">
      <c r="A1204" t="s">
        <v>1330</v>
      </c>
      <c r="B1204" s="4">
        <v>1669.53</v>
      </c>
      <c r="C1204" s="4">
        <v>0</v>
      </c>
      <c r="D1204" s="4">
        <v>1669.53</v>
      </c>
      <c r="E1204">
        <v>227</v>
      </c>
      <c r="F1204">
        <v>225</v>
      </c>
    </row>
    <row r="1205" spans="1:6" x14ac:dyDescent="0.25">
      <c r="A1205" t="s">
        <v>1331</v>
      </c>
      <c r="B1205" s="4">
        <v>1668.49</v>
      </c>
      <c r="C1205" s="4">
        <v>37.35</v>
      </c>
      <c r="D1205" s="4">
        <v>1631.14</v>
      </c>
      <c r="E1205">
        <v>89</v>
      </c>
      <c r="F1205">
        <v>89</v>
      </c>
    </row>
    <row r="1206" spans="1:6" x14ac:dyDescent="0.25">
      <c r="A1206" t="s">
        <v>1332</v>
      </c>
      <c r="B1206" s="4">
        <v>1664.9</v>
      </c>
      <c r="C1206" s="4">
        <v>15.75</v>
      </c>
      <c r="D1206" s="4">
        <v>1649.15</v>
      </c>
      <c r="E1206">
        <v>175</v>
      </c>
      <c r="F1206">
        <v>175</v>
      </c>
    </row>
    <row r="1207" spans="1:6" x14ac:dyDescent="0.25">
      <c r="A1207" t="s">
        <v>1333</v>
      </c>
      <c r="B1207" s="4">
        <v>1664.51</v>
      </c>
      <c r="C1207" s="4">
        <v>4.5</v>
      </c>
      <c r="D1207" s="4">
        <v>1660.01</v>
      </c>
      <c r="E1207">
        <v>129</v>
      </c>
      <c r="F1207">
        <v>127</v>
      </c>
    </row>
    <row r="1208" spans="1:6" x14ac:dyDescent="0.25">
      <c r="A1208" t="s">
        <v>1334</v>
      </c>
      <c r="B1208" s="4">
        <v>1661.47</v>
      </c>
      <c r="C1208" s="4">
        <v>12.75</v>
      </c>
      <c r="D1208" s="4">
        <v>1648.72</v>
      </c>
      <c r="E1208">
        <v>55</v>
      </c>
      <c r="F1208">
        <v>55</v>
      </c>
    </row>
    <row r="1209" spans="1:6" x14ac:dyDescent="0.25">
      <c r="A1209" t="s">
        <v>1335</v>
      </c>
      <c r="B1209" s="4">
        <v>1660.04</v>
      </c>
      <c r="C1209" s="4">
        <v>0</v>
      </c>
      <c r="D1209" s="4">
        <v>1660.04</v>
      </c>
      <c r="E1209">
        <v>122</v>
      </c>
      <c r="F1209">
        <v>115</v>
      </c>
    </row>
    <row r="1210" spans="1:6" x14ac:dyDescent="0.25">
      <c r="A1210" t="s">
        <v>1336</v>
      </c>
      <c r="B1210" s="4">
        <v>1659.37</v>
      </c>
      <c r="C1210" s="4">
        <v>8.6999999999999993</v>
      </c>
      <c r="D1210" s="4">
        <v>1650.67</v>
      </c>
      <c r="E1210">
        <v>132</v>
      </c>
      <c r="F1210">
        <v>125</v>
      </c>
    </row>
    <row r="1211" spans="1:6" x14ac:dyDescent="0.25">
      <c r="A1211" t="s">
        <v>1337</v>
      </c>
      <c r="B1211" s="4">
        <v>1658.57</v>
      </c>
      <c r="C1211" s="4">
        <v>0</v>
      </c>
      <c r="D1211" s="4">
        <v>1658.57</v>
      </c>
      <c r="E1211">
        <v>98</v>
      </c>
      <c r="F1211">
        <v>98</v>
      </c>
    </row>
    <row r="1212" spans="1:6" x14ac:dyDescent="0.25">
      <c r="A1212" t="s">
        <v>1338</v>
      </c>
      <c r="B1212" s="4">
        <v>1655.96</v>
      </c>
      <c r="C1212" s="4">
        <v>19.5</v>
      </c>
      <c r="D1212" s="4">
        <v>1636.46</v>
      </c>
      <c r="E1212">
        <v>116</v>
      </c>
      <c r="F1212">
        <v>116</v>
      </c>
    </row>
    <row r="1213" spans="1:6" x14ac:dyDescent="0.25">
      <c r="A1213" t="s">
        <v>1339</v>
      </c>
      <c r="B1213" s="4">
        <v>1655.36</v>
      </c>
      <c r="C1213" s="4">
        <v>2.73</v>
      </c>
      <c r="D1213" s="4">
        <v>1652.63</v>
      </c>
      <c r="E1213">
        <v>276</v>
      </c>
      <c r="F1213">
        <v>271</v>
      </c>
    </row>
    <row r="1214" spans="1:6" x14ac:dyDescent="0.25">
      <c r="A1214" t="s">
        <v>1340</v>
      </c>
      <c r="B1214" s="4">
        <v>1652.27</v>
      </c>
      <c r="C1214" s="4">
        <v>0</v>
      </c>
      <c r="D1214" s="4">
        <v>1652.27</v>
      </c>
      <c r="E1214">
        <v>96</v>
      </c>
      <c r="F1214">
        <v>94</v>
      </c>
    </row>
    <row r="1215" spans="1:6" x14ac:dyDescent="0.25">
      <c r="A1215" t="s">
        <v>1341</v>
      </c>
      <c r="B1215" s="4">
        <v>1651.36</v>
      </c>
      <c r="C1215" s="4">
        <v>26.24</v>
      </c>
      <c r="D1215" s="4">
        <v>1625.12</v>
      </c>
      <c r="E1215">
        <v>76</v>
      </c>
      <c r="F1215">
        <v>73</v>
      </c>
    </row>
    <row r="1216" spans="1:6" x14ac:dyDescent="0.25">
      <c r="A1216" t="s">
        <v>1342</v>
      </c>
      <c r="B1216" s="4">
        <v>1651.15</v>
      </c>
      <c r="C1216" s="4">
        <v>0</v>
      </c>
      <c r="D1216" s="4">
        <v>1651.15</v>
      </c>
      <c r="E1216">
        <v>102</v>
      </c>
      <c r="F1216">
        <v>102</v>
      </c>
    </row>
    <row r="1217" spans="1:6" x14ac:dyDescent="0.25">
      <c r="A1217" t="s">
        <v>1343</v>
      </c>
      <c r="B1217" s="4">
        <v>1649.05</v>
      </c>
      <c r="C1217" s="4">
        <v>6.6</v>
      </c>
      <c r="D1217" s="4">
        <v>1642.45</v>
      </c>
      <c r="E1217">
        <v>113</v>
      </c>
      <c r="F1217">
        <v>112</v>
      </c>
    </row>
    <row r="1218" spans="1:6" x14ac:dyDescent="0.25">
      <c r="A1218" t="s">
        <v>1344</v>
      </c>
      <c r="B1218" s="4">
        <v>1647.16</v>
      </c>
      <c r="C1218" s="4">
        <v>4.5599999999999996</v>
      </c>
      <c r="D1218" s="4">
        <v>1642.6</v>
      </c>
      <c r="E1218">
        <v>362</v>
      </c>
      <c r="F1218">
        <v>340</v>
      </c>
    </row>
    <row r="1219" spans="1:6" x14ac:dyDescent="0.25">
      <c r="A1219" t="s">
        <v>1345</v>
      </c>
      <c r="B1219" s="4">
        <v>1642.13</v>
      </c>
      <c r="C1219" s="4">
        <v>47.26</v>
      </c>
      <c r="D1219" s="4">
        <v>1594.87</v>
      </c>
      <c r="E1219">
        <v>173</v>
      </c>
      <c r="F1219">
        <v>168</v>
      </c>
    </row>
    <row r="1220" spans="1:6" x14ac:dyDescent="0.25">
      <c r="A1220" t="s">
        <v>1346</v>
      </c>
      <c r="B1220" s="4">
        <v>1641.62</v>
      </c>
      <c r="C1220" s="4">
        <v>21.45</v>
      </c>
      <c r="D1220" s="4">
        <v>1620.17</v>
      </c>
      <c r="E1220">
        <v>136</v>
      </c>
      <c r="F1220">
        <v>131</v>
      </c>
    </row>
    <row r="1221" spans="1:6" x14ac:dyDescent="0.25">
      <c r="A1221" t="s">
        <v>1347</v>
      </c>
      <c r="B1221" s="4">
        <v>1639.29</v>
      </c>
      <c r="C1221" s="4">
        <v>0</v>
      </c>
      <c r="D1221" s="4">
        <v>1639.29</v>
      </c>
      <c r="E1221">
        <v>170</v>
      </c>
      <c r="F1221">
        <v>167</v>
      </c>
    </row>
    <row r="1222" spans="1:6" x14ac:dyDescent="0.25">
      <c r="A1222" t="s">
        <v>1348</v>
      </c>
      <c r="B1222" s="4">
        <v>1638.35</v>
      </c>
      <c r="C1222" s="4">
        <v>2.94</v>
      </c>
      <c r="D1222" s="4">
        <v>1635.41</v>
      </c>
      <c r="E1222">
        <v>169</v>
      </c>
      <c r="F1222">
        <v>162</v>
      </c>
    </row>
    <row r="1223" spans="1:6" x14ac:dyDescent="0.25">
      <c r="A1223" t="s">
        <v>1349</v>
      </c>
      <c r="B1223" s="4">
        <v>1636.57</v>
      </c>
      <c r="C1223" s="4">
        <v>1.25</v>
      </c>
      <c r="D1223" s="4">
        <v>1635.32</v>
      </c>
      <c r="E1223">
        <v>246</v>
      </c>
      <c r="F1223">
        <v>239</v>
      </c>
    </row>
    <row r="1224" spans="1:6" x14ac:dyDescent="0.25">
      <c r="A1224" t="s">
        <v>1350</v>
      </c>
      <c r="B1224" s="4">
        <v>1636.27</v>
      </c>
      <c r="C1224" s="4">
        <v>136</v>
      </c>
      <c r="D1224" s="4">
        <v>1500.27</v>
      </c>
      <c r="E1224">
        <v>132</v>
      </c>
      <c r="F1224">
        <v>132</v>
      </c>
    </row>
    <row r="1225" spans="1:6" x14ac:dyDescent="0.25">
      <c r="A1225" t="s">
        <v>1351</v>
      </c>
      <c r="B1225" s="4">
        <v>1634.92</v>
      </c>
      <c r="C1225" s="4">
        <v>30</v>
      </c>
      <c r="D1225" s="4">
        <v>1604.92</v>
      </c>
      <c r="E1225">
        <v>135</v>
      </c>
      <c r="F1225">
        <v>131</v>
      </c>
    </row>
    <row r="1226" spans="1:6" x14ac:dyDescent="0.25">
      <c r="A1226" t="s">
        <v>1352</v>
      </c>
      <c r="B1226" s="4">
        <v>1633.78</v>
      </c>
      <c r="C1226" s="4">
        <v>0</v>
      </c>
      <c r="D1226" s="4">
        <v>1633.78</v>
      </c>
      <c r="E1226">
        <v>124</v>
      </c>
      <c r="F1226">
        <v>120</v>
      </c>
    </row>
    <row r="1227" spans="1:6" x14ac:dyDescent="0.25">
      <c r="A1227" t="s">
        <v>1353</v>
      </c>
      <c r="B1227" s="4">
        <v>1632.32</v>
      </c>
      <c r="C1227" s="4">
        <v>0</v>
      </c>
      <c r="D1227" s="4">
        <v>1632.32</v>
      </c>
      <c r="E1227">
        <v>89</v>
      </c>
      <c r="F1227">
        <v>87</v>
      </c>
    </row>
    <row r="1228" spans="1:6" x14ac:dyDescent="0.25">
      <c r="A1228" t="s">
        <v>1354</v>
      </c>
      <c r="B1228" s="4">
        <v>1631.58</v>
      </c>
      <c r="C1228" s="4">
        <v>0</v>
      </c>
      <c r="D1228" s="4">
        <v>1631.58</v>
      </c>
      <c r="E1228">
        <v>90</v>
      </c>
      <c r="F1228">
        <v>89</v>
      </c>
    </row>
    <row r="1229" spans="1:6" x14ac:dyDescent="0.25">
      <c r="A1229" t="s">
        <v>1355</v>
      </c>
      <c r="B1229" s="4">
        <v>1624.76</v>
      </c>
      <c r="C1229" s="4">
        <v>0</v>
      </c>
      <c r="D1229" s="4">
        <v>1624.76</v>
      </c>
      <c r="E1229">
        <v>137</v>
      </c>
      <c r="F1229">
        <v>130</v>
      </c>
    </row>
    <row r="1230" spans="1:6" x14ac:dyDescent="0.25">
      <c r="A1230" t="s">
        <v>1356</v>
      </c>
      <c r="B1230" s="4">
        <v>1624.63</v>
      </c>
      <c r="C1230" s="4">
        <v>1.25</v>
      </c>
      <c r="D1230" s="4">
        <v>1623.38</v>
      </c>
      <c r="E1230">
        <v>188</v>
      </c>
      <c r="F1230">
        <v>186</v>
      </c>
    </row>
    <row r="1231" spans="1:6" x14ac:dyDescent="0.25">
      <c r="A1231" t="s">
        <v>1357</v>
      </c>
      <c r="B1231" s="4">
        <v>1623.04</v>
      </c>
      <c r="C1231" s="4">
        <v>0</v>
      </c>
      <c r="D1231" s="4">
        <v>1623.04</v>
      </c>
      <c r="E1231">
        <v>112</v>
      </c>
      <c r="F1231">
        <v>112</v>
      </c>
    </row>
    <row r="1232" spans="1:6" x14ac:dyDescent="0.25">
      <c r="A1232" t="s">
        <v>1358</v>
      </c>
      <c r="B1232" s="4">
        <v>1622.24</v>
      </c>
      <c r="C1232" s="4">
        <v>183.75</v>
      </c>
      <c r="D1232" s="4">
        <v>1438.49</v>
      </c>
      <c r="E1232">
        <v>92</v>
      </c>
      <c r="F1232">
        <v>92</v>
      </c>
    </row>
    <row r="1233" spans="1:6" x14ac:dyDescent="0.25">
      <c r="A1233" t="s">
        <v>1359</v>
      </c>
      <c r="B1233" s="4">
        <v>1621.76</v>
      </c>
      <c r="C1233" s="4">
        <v>0</v>
      </c>
      <c r="D1233" s="4">
        <v>1621.76</v>
      </c>
      <c r="E1233">
        <v>121</v>
      </c>
      <c r="F1233">
        <v>120</v>
      </c>
    </row>
    <row r="1234" spans="1:6" x14ac:dyDescent="0.25">
      <c r="A1234" t="s">
        <v>1360</v>
      </c>
      <c r="B1234" s="4">
        <v>1614.99</v>
      </c>
      <c r="C1234" s="4">
        <v>1.66</v>
      </c>
      <c r="D1234" s="4">
        <v>1613.33</v>
      </c>
      <c r="E1234">
        <v>159</v>
      </c>
      <c r="F1234">
        <v>157</v>
      </c>
    </row>
    <row r="1235" spans="1:6" x14ac:dyDescent="0.25">
      <c r="A1235" t="s">
        <v>1361</v>
      </c>
      <c r="B1235" s="4">
        <v>1614.4</v>
      </c>
      <c r="C1235" s="4">
        <v>23.85</v>
      </c>
      <c r="D1235" s="4">
        <v>1590.55</v>
      </c>
      <c r="E1235">
        <v>87</v>
      </c>
      <c r="F1235">
        <v>87</v>
      </c>
    </row>
    <row r="1236" spans="1:6" x14ac:dyDescent="0.25">
      <c r="A1236" t="s">
        <v>1362</v>
      </c>
      <c r="B1236" s="4">
        <v>1613.82</v>
      </c>
      <c r="C1236" s="4">
        <v>0</v>
      </c>
      <c r="D1236" s="4">
        <v>1613.82</v>
      </c>
      <c r="E1236">
        <v>99</v>
      </c>
      <c r="F1236">
        <v>97</v>
      </c>
    </row>
    <row r="1237" spans="1:6" x14ac:dyDescent="0.25">
      <c r="A1237" t="s">
        <v>1363</v>
      </c>
      <c r="B1237" s="4">
        <v>1613.59</v>
      </c>
      <c r="C1237" s="4">
        <v>43.35</v>
      </c>
      <c r="D1237" s="4">
        <v>1570.24</v>
      </c>
      <c r="E1237">
        <v>202</v>
      </c>
      <c r="F1237">
        <v>198</v>
      </c>
    </row>
    <row r="1238" spans="1:6" x14ac:dyDescent="0.25">
      <c r="A1238" t="s">
        <v>1364</v>
      </c>
      <c r="B1238" s="4">
        <v>1610.92</v>
      </c>
      <c r="C1238" s="4">
        <v>3.3</v>
      </c>
      <c r="D1238" s="4">
        <v>1607.62</v>
      </c>
      <c r="E1238">
        <v>111</v>
      </c>
      <c r="F1238">
        <v>109</v>
      </c>
    </row>
    <row r="1239" spans="1:6" x14ac:dyDescent="0.25">
      <c r="A1239" t="s">
        <v>1365</v>
      </c>
      <c r="B1239" s="4">
        <v>1610.62</v>
      </c>
      <c r="C1239" s="4">
        <v>28.05</v>
      </c>
      <c r="D1239" s="4">
        <v>1582.57</v>
      </c>
      <c r="E1239">
        <v>171</v>
      </c>
      <c r="F1239">
        <v>164</v>
      </c>
    </row>
    <row r="1240" spans="1:6" x14ac:dyDescent="0.25">
      <c r="A1240" t="s">
        <v>1366</v>
      </c>
      <c r="B1240" s="4">
        <v>1610.41</v>
      </c>
      <c r="C1240" s="4">
        <v>11.06</v>
      </c>
      <c r="D1240" s="4">
        <v>1599.35</v>
      </c>
      <c r="E1240">
        <v>155</v>
      </c>
      <c r="F1240">
        <v>143</v>
      </c>
    </row>
    <row r="1241" spans="1:6" x14ac:dyDescent="0.25">
      <c r="A1241" t="s">
        <v>1367</v>
      </c>
      <c r="B1241" s="4">
        <v>1610.35</v>
      </c>
      <c r="C1241" s="4">
        <v>1.45</v>
      </c>
      <c r="D1241" s="4">
        <v>1608.9</v>
      </c>
      <c r="E1241">
        <v>145</v>
      </c>
      <c r="F1241">
        <v>144</v>
      </c>
    </row>
    <row r="1242" spans="1:6" x14ac:dyDescent="0.25">
      <c r="A1242" t="s">
        <v>1368</v>
      </c>
      <c r="B1242" s="4">
        <v>1608.86</v>
      </c>
      <c r="C1242" s="4">
        <v>0</v>
      </c>
      <c r="D1242" s="4">
        <v>1608.86</v>
      </c>
      <c r="E1242">
        <v>119</v>
      </c>
      <c r="F1242">
        <v>112</v>
      </c>
    </row>
    <row r="1243" spans="1:6" x14ac:dyDescent="0.25">
      <c r="A1243" t="s">
        <v>1369</v>
      </c>
      <c r="B1243" s="4">
        <v>1607.04</v>
      </c>
      <c r="C1243" s="4">
        <v>350.1</v>
      </c>
      <c r="D1243" s="4">
        <v>1256.94</v>
      </c>
      <c r="E1243">
        <v>46</v>
      </c>
      <c r="F1243">
        <v>46</v>
      </c>
    </row>
    <row r="1244" spans="1:6" x14ac:dyDescent="0.25">
      <c r="A1244" t="s">
        <v>1370</v>
      </c>
      <c r="B1244" s="4">
        <v>1605.67</v>
      </c>
      <c r="C1244" s="4">
        <v>0</v>
      </c>
      <c r="D1244" s="4">
        <v>1605.67</v>
      </c>
      <c r="E1244">
        <v>141</v>
      </c>
      <c r="F1244">
        <v>138</v>
      </c>
    </row>
    <row r="1245" spans="1:6" x14ac:dyDescent="0.25">
      <c r="A1245" t="s">
        <v>1371</v>
      </c>
      <c r="B1245" s="4">
        <v>1604.99</v>
      </c>
      <c r="C1245" s="4">
        <v>10.199999999999999</v>
      </c>
      <c r="D1245" s="4">
        <v>1594.79</v>
      </c>
      <c r="E1245">
        <v>144</v>
      </c>
      <c r="F1245">
        <v>136</v>
      </c>
    </row>
    <row r="1246" spans="1:6" x14ac:dyDescent="0.25">
      <c r="A1246" t="s">
        <v>1372</v>
      </c>
      <c r="B1246" s="4">
        <v>1604.58</v>
      </c>
      <c r="C1246" s="4">
        <v>2.5499999999999998</v>
      </c>
      <c r="D1246" s="4">
        <v>1602.03</v>
      </c>
      <c r="E1246">
        <v>51</v>
      </c>
      <c r="F1246">
        <v>51</v>
      </c>
    </row>
    <row r="1247" spans="1:6" x14ac:dyDescent="0.25">
      <c r="A1247" t="s">
        <v>1373</v>
      </c>
      <c r="B1247" s="4">
        <v>1603.77</v>
      </c>
      <c r="C1247" s="4">
        <v>8.58</v>
      </c>
      <c r="D1247" s="4">
        <v>1595.19</v>
      </c>
      <c r="E1247">
        <v>131</v>
      </c>
      <c r="F1247">
        <v>131</v>
      </c>
    </row>
    <row r="1248" spans="1:6" x14ac:dyDescent="0.25">
      <c r="A1248" t="s">
        <v>1374</v>
      </c>
      <c r="B1248" s="4">
        <v>1601.21</v>
      </c>
      <c r="C1248" s="4">
        <v>571.79999999999995</v>
      </c>
      <c r="D1248" s="4">
        <v>1029.4100000000001</v>
      </c>
      <c r="E1248">
        <v>73</v>
      </c>
      <c r="F1248">
        <v>69</v>
      </c>
    </row>
    <row r="1249" spans="1:6" x14ac:dyDescent="0.25">
      <c r="A1249" t="s">
        <v>1375</v>
      </c>
      <c r="B1249" s="4">
        <v>1596.67</v>
      </c>
      <c r="C1249" s="4">
        <v>60</v>
      </c>
      <c r="D1249" s="4">
        <v>1536.67</v>
      </c>
      <c r="E1249">
        <v>99</v>
      </c>
      <c r="F1249">
        <v>98</v>
      </c>
    </row>
    <row r="1250" spans="1:6" x14ac:dyDescent="0.25">
      <c r="A1250" t="s">
        <v>1376</v>
      </c>
      <c r="B1250" s="4">
        <v>1589.51</v>
      </c>
      <c r="C1250" s="4">
        <v>105</v>
      </c>
      <c r="D1250" s="4">
        <v>1484.51</v>
      </c>
      <c r="E1250">
        <v>253</v>
      </c>
      <c r="F1250">
        <v>248</v>
      </c>
    </row>
    <row r="1251" spans="1:6" x14ac:dyDescent="0.25">
      <c r="A1251" t="s">
        <v>1377</v>
      </c>
      <c r="B1251" s="4">
        <v>1587.3</v>
      </c>
      <c r="C1251" s="4">
        <v>20.100000000000001</v>
      </c>
      <c r="D1251" s="4">
        <v>1567.2</v>
      </c>
      <c r="E1251">
        <v>145</v>
      </c>
      <c r="F1251">
        <v>143</v>
      </c>
    </row>
    <row r="1252" spans="1:6" x14ac:dyDescent="0.25">
      <c r="A1252" t="s">
        <v>1378</v>
      </c>
      <c r="B1252" s="4">
        <v>1586.75</v>
      </c>
      <c r="C1252" s="4">
        <v>42.9</v>
      </c>
      <c r="D1252" s="4">
        <v>1543.85</v>
      </c>
      <c r="E1252">
        <v>101</v>
      </c>
      <c r="F1252">
        <v>99</v>
      </c>
    </row>
    <row r="1253" spans="1:6" x14ac:dyDescent="0.25">
      <c r="A1253" t="s">
        <v>1379</v>
      </c>
      <c r="B1253" s="4">
        <v>1585.28</v>
      </c>
      <c r="C1253" s="4">
        <v>0</v>
      </c>
      <c r="D1253" s="4">
        <v>1585.28</v>
      </c>
      <c r="E1253">
        <v>84</v>
      </c>
      <c r="F1253">
        <v>84</v>
      </c>
    </row>
    <row r="1254" spans="1:6" x14ac:dyDescent="0.25">
      <c r="A1254" t="s">
        <v>1380</v>
      </c>
      <c r="B1254" s="4">
        <v>1583.41</v>
      </c>
      <c r="C1254" s="4">
        <v>0</v>
      </c>
      <c r="D1254" s="4">
        <v>1583.41</v>
      </c>
      <c r="E1254">
        <v>239</v>
      </c>
      <c r="F1254">
        <v>232</v>
      </c>
    </row>
    <row r="1255" spans="1:6" x14ac:dyDescent="0.25">
      <c r="A1255" t="s">
        <v>1381</v>
      </c>
      <c r="B1255" s="4">
        <v>1582.55</v>
      </c>
      <c r="C1255" s="4">
        <v>1.55</v>
      </c>
      <c r="D1255" s="4">
        <v>1581</v>
      </c>
      <c r="E1255">
        <v>138</v>
      </c>
      <c r="F1255">
        <v>137</v>
      </c>
    </row>
    <row r="1256" spans="1:6" x14ac:dyDescent="0.25">
      <c r="A1256" t="s">
        <v>1382</v>
      </c>
      <c r="B1256" s="4">
        <v>1581.06</v>
      </c>
      <c r="C1256" s="4">
        <v>0</v>
      </c>
      <c r="D1256" s="4">
        <v>1581.06</v>
      </c>
      <c r="E1256">
        <v>129</v>
      </c>
      <c r="F1256">
        <v>126</v>
      </c>
    </row>
    <row r="1257" spans="1:6" x14ac:dyDescent="0.25">
      <c r="A1257" t="s">
        <v>1383</v>
      </c>
      <c r="B1257" s="4">
        <v>1580.89</v>
      </c>
      <c r="C1257" s="4">
        <v>13.75</v>
      </c>
      <c r="D1257" s="4">
        <v>1567.14</v>
      </c>
      <c r="E1257">
        <v>202</v>
      </c>
      <c r="F1257">
        <v>199</v>
      </c>
    </row>
    <row r="1258" spans="1:6" x14ac:dyDescent="0.25">
      <c r="A1258" t="s">
        <v>1384</v>
      </c>
      <c r="B1258" s="4">
        <v>1580.16</v>
      </c>
      <c r="C1258" s="4">
        <v>35.1</v>
      </c>
      <c r="D1258" s="4">
        <v>1545.06</v>
      </c>
      <c r="E1258">
        <v>128</v>
      </c>
      <c r="F1258">
        <v>124</v>
      </c>
    </row>
    <row r="1259" spans="1:6" x14ac:dyDescent="0.25">
      <c r="A1259" t="s">
        <v>1385</v>
      </c>
      <c r="B1259" s="4">
        <v>1578.42</v>
      </c>
      <c r="C1259" s="4">
        <v>93.3</v>
      </c>
      <c r="D1259" s="4">
        <v>1485.12</v>
      </c>
      <c r="E1259">
        <v>114</v>
      </c>
      <c r="F1259">
        <v>111</v>
      </c>
    </row>
    <row r="1260" spans="1:6" x14ac:dyDescent="0.25">
      <c r="A1260" t="s">
        <v>1386</v>
      </c>
      <c r="B1260" s="4">
        <v>1576.96</v>
      </c>
      <c r="C1260" s="4">
        <v>60</v>
      </c>
      <c r="D1260" s="4">
        <v>1516.96</v>
      </c>
      <c r="E1260">
        <v>130</v>
      </c>
      <c r="F1260">
        <v>126</v>
      </c>
    </row>
    <row r="1261" spans="1:6" x14ac:dyDescent="0.25">
      <c r="A1261" t="s">
        <v>1387</v>
      </c>
      <c r="B1261" s="4">
        <v>1576.47</v>
      </c>
      <c r="C1261" s="4">
        <v>11.61</v>
      </c>
      <c r="D1261" s="4">
        <v>1564.86</v>
      </c>
      <c r="E1261">
        <v>291</v>
      </c>
      <c r="F1261">
        <v>280</v>
      </c>
    </row>
    <row r="1262" spans="1:6" x14ac:dyDescent="0.25">
      <c r="A1262" t="s">
        <v>1388</v>
      </c>
      <c r="B1262" s="4">
        <v>1573.52</v>
      </c>
      <c r="C1262" s="4">
        <v>50</v>
      </c>
      <c r="D1262" s="4">
        <v>1523.52</v>
      </c>
      <c r="E1262">
        <v>246</v>
      </c>
      <c r="F1262">
        <v>245</v>
      </c>
    </row>
    <row r="1263" spans="1:6" x14ac:dyDescent="0.25">
      <c r="A1263" t="s">
        <v>1389</v>
      </c>
      <c r="B1263" s="4">
        <v>1572.95</v>
      </c>
      <c r="C1263" s="4">
        <v>5.0999999999999996</v>
      </c>
      <c r="D1263" s="4">
        <v>1567.85</v>
      </c>
      <c r="E1263">
        <v>113</v>
      </c>
      <c r="F1263">
        <v>111</v>
      </c>
    </row>
    <row r="1264" spans="1:6" x14ac:dyDescent="0.25">
      <c r="A1264" t="s">
        <v>1390</v>
      </c>
      <c r="B1264" s="4">
        <v>1572.28</v>
      </c>
      <c r="C1264" s="4">
        <v>0</v>
      </c>
      <c r="D1264" s="4">
        <v>1572.28</v>
      </c>
      <c r="E1264">
        <v>274</v>
      </c>
      <c r="F1264">
        <v>274</v>
      </c>
    </row>
    <row r="1265" spans="1:6" x14ac:dyDescent="0.25">
      <c r="A1265" t="s">
        <v>1391</v>
      </c>
      <c r="B1265" s="4">
        <v>1572.23</v>
      </c>
      <c r="C1265" s="4">
        <v>0</v>
      </c>
      <c r="D1265" s="4">
        <v>1572.23</v>
      </c>
      <c r="E1265">
        <v>117</v>
      </c>
      <c r="F1265">
        <v>114</v>
      </c>
    </row>
    <row r="1266" spans="1:6" x14ac:dyDescent="0.25">
      <c r="A1266" t="s">
        <v>1392</v>
      </c>
      <c r="B1266" s="4">
        <v>1566.99</v>
      </c>
      <c r="C1266" s="4">
        <v>0</v>
      </c>
      <c r="D1266" s="4">
        <v>1566.99</v>
      </c>
      <c r="E1266">
        <v>98</v>
      </c>
      <c r="F1266">
        <v>97</v>
      </c>
    </row>
    <row r="1267" spans="1:6" x14ac:dyDescent="0.25">
      <c r="A1267" t="s">
        <v>1393</v>
      </c>
      <c r="B1267" s="4">
        <v>1565.83</v>
      </c>
      <c r="C1267" s="4">
        <v>11.25</v>
      </c>
      <c r="D1267" s="4">
        <v>1554.58</v>
      </c>
      <c r="E1267">
        <v>148</v>
      </c>
      <c r="F1267">
        <v>148</v>
      </c>
    </row>
    <row r="1268" spans="1:6" x14ac:dyDescent="0.25">
      <c r="A1268" t="s">
        <v>1394</v>
      </c>
      <c r="B1268" s="4">
        <v>1565.67</v>
      </c>
      <c r="C1268" s="4">
        <v>3.9</v>
      </c>
      <c r="D1268" s="4">
        <v>1561.77</v>
      </c>
      <c r="E1268">
        <v>111</v>
      </c>
      <c r="F1268">
        <v>110</v>
      </c>
    </row>
    <row r="1269" spans="1:6" x14ac:dyDescent="0.25">
      <c r="A1269" t="s">
        <v>1395</v>
      </c>
      <c r="B1269" s="4">
        <v>1564.83</v>
      </c>
      <c r="C1269" s="4">
        <v>637.5</v>
      </c>
      <c r="D1269" s="4">
        <v>927.33</v>
      </c>
      <c r="E1269">
        <v>67</v>
      </c>
      <c r="F1269">
        <v>65</v>
      </c>
    </row>
    <row r="1270" spans="1:6" x14ac:dyDescent="0.25">
      <c r="A1270" t="s">
        <v>1396</v>
      </c>
      <c r="B1270" s="4">
        <v>1563.55</v>
      </c>
      <c r="C1270" s="4">
        <v>0</v>
      </c>
      <c r="D1270" s="4">
        <v>1563.55</v>
      </c>
      <c r="E1270">
        <v>131</v>
      </c>
      <c r="F1270">
        <v>127</v>
      </c>
    </row>
    <row r="1271" spans="1:6" x14ac:dyDescent="0.25">
      <c r="A1271" t="s">
        <v>1397</v>
      </c>
      <c r="B1271" s="4">
        <v>1561.7</v>
      </c>
      <c r="C1271" s="4">
        <v>0.85</v>
      </c>
      <c r="D1271" s="4">
        <v>1560.85</v>
      </c>
      <c r="E1271">
        <v>175</v>
      </c>
      <c r="F1271">
        <v>172</v>
      </c>
    </row>
    <row r="1272" spans="1:6" x14ac:dyDescent="0.25">
      <c r="A1272" t="s">
        <v>1398</v>
      </c>
      <c r="B1272" s="4">
        <v>1560.48</v>
      </c>
      <c r="C1272" s="4">
        <v>40.32</v>
      </c>
      <c r="D1272" s="4">
        <v>1520.16</v>
      </c>
      <c r="E1272">
        <v>246</v>
      </c>
      <c r="F1272">
        <v>244</v>
      </c>
    </row>
    <row r="1273" spans="1:6" x14ac:dyDescent="0.25">
      <c r="A1273" t="s">
        <v>1399</v>
      </c>
      <c r="B1273" s="4">
        <v>1558.91</v>
      </c>
      <c r="C1273" s="4">
        <v>33.75</v>
      </c>
      <c r="D1273" s="4">
        <v>1525.16</v>
      </c>
      <c r="E1273">
        <v>169</v>
      </c>
      <c r="F1273">
        <v>164</v>
      </c>
    </row>
    <row r="1274" spans="1:6" x14ac:dyDescent="0.25">
      <c r="A1274" t="s">
        <v>1400</v>
      </c>
      <c r="B1274" s="4">
        <v>1557.63</v>
      </c>
      <c r="C1274" s="4">
        <v>22.5</v>
      </c>
      <c r="D1274" s="4">
        <v>1535.13</v>
      </c>
      <c r="E1274">
        <v>63</v>
      </c>
      <c r="F1274">
        <v>63</v>
      </c>
    </row>
    <row r="1275" spans="1:6" x14ac:dyDescent="0.25">
      <c r="A1275" t="s">
        <v>1401</v>
      </c>
      <c r="B1275" s="4">
        <v>1546.27</v>
      </c>
      <c r="C1275" s="4">
        <v>0</v>
      </c>
      <c r="D1275" s="4">
        <v>1546.27</v>
      </c>
      <c r="E1275">
        <v>156</v>
      </c>
      <c r="F1275">
        <v>156</v>
      </c>
    </row>
    <row r="1276" spans="1:6" x14ac:dyDescent="0.25">
      <c r="A1276" t="s">
        <v>1402</v>
      </c>
      <c r="B1276" s="4">
        <v>1545.59</v>
      </c>
      <c r="C1276" s="4">
        <v>19.43</v>
      </c>
      <c r="D1276" s="4">
        <v>1526.16</v>
      </c>
      <c r="E1276">
        <v>140</v>
      </c>
      <c r="F1276">
        <v>131</v>
      </c>
    </row>
    <row r="1277" spans="1:6" x14ac:dyDescent="0.25">
      <c r="A1277" t="s">
        <v>1403</v>
      </c>
      <c r="B1277" s="4">
        <v>1545.02</v>
      </c>
      <c r="C1277" s="4">
        <v>30</v>
      </c>
      <c r="D1277" s="4">
        <v>1515.02</v>
      </c>
      <c r="E1277">
        <v>213</v>
      </c>
      <c r="F1277">
        <v>212</v>
      </c>
    </row>
    <row r="1278" spans="1:6" x14ac:dyDescent="0.25">
      <c r="A1278" t="s">
        <v>1404</v>
      </c>
      <c r="B1278" s="4">
        <v>1544.93</v>
      </c>
      <c r="C1278" s="4">
        <v>23.8</v>
      </c>
      <c r="D1278" s="4">
        <v>1521.13</v>
      </c>
      <c r="E1278">
        <v>197</v>
      </c>
      <c r="F1278">
        <v>193</v>
      </c>
    </row>
    <row r="1279" spans="1:6" x14ac:dyDescent="0.25">
      <c r="A1279" t="s">
        <v>1405</v>
      </c>
      <c r="B1279" s="4">
        <v>1544.22</v>
      </c>
      <c r="C1279" s="4">
        <v>4.2</v>
      </c>
      <c r="D1279" s="4">
        <v>1540.02</v>
      </c>
      <c r="E1279">
        <v>198</v>
      </c>
      <c r="F1279">
        <v>196</v>
      </c>
    </row>
    <row r="1280" spans="1:6" x14ac:dyDescent="0.25">
      <c r="A1280" t="s">
        <v>1406</v>
      </c>
      <c r="B1280" s="4">
        <v>1541.62</v>
      </c>
      <c r="C1280" s="4">
        <v>20.65</v>
      </c>
      <c r="D1280" s="4">
        <v>1520.97</v>
      </c>
      <c r="E1280">
        <v>143</v>
      </c>
      <c r="F1280">
        <v>142</v>
      </c>
    </row>
    <row r="1281" spans="1:6" x14ac:dyDescent="0.25">
      <c r="A1281" t="s">
        <v>1407</v>
      </c>
      <c r="B1281" s="4">
        <v>1541.36</v>
      </c>
      <c r="C1281" s="4">
        <v>30</v>
      </c>
      <c r="D1281" s="4">
        <v>1511.36</v>
      </c>
      <c r="E1281">
        <v>188</v>
      </c>
      <c r="F1281">
        <v>182</v>
      </c>
    </row>
    <row r="1282" spans="1:6" x14ac:dyDescent="0.25">
      <c r="A1282" t="s">
        <v>1408</v>
      </c>
      <c r="B1282" s="4">
        <v>1541.11</v>
      </c>
      <c r="C1282" s="4">
        <v>0</v>
      </c>
      <c r="D1282" s="4">
        <v>1541.11</v>
      </c>
      <c r="E1282">
        <v>25</v>
      </c>
      <c r="F1282">
        <v>25</v>
      </c>
    </row>
    <row r="1283" spans="1:6" x14ac:dyDescent="0.25">
      <c r="A1283" t="s">
        <v>1409</v>
      </c>
      <c r="B1283" s="4">
        <v>1539.83</v>
      </c>
      <c r="C1283" s="4">
        <v>5.9</v>
      </c>
      <c r="D1283" s="4">
        <v>1533.93</v>
      </c>
      <c r="E1283">
        <v>118</v>
      </c>
      <c r="F1283">
        <v>115</v>
      </c>
    </row>
    <row r="1284" spans="1:6" x14ac:dyDescent="0.25">
      <c r="A1284" t="s">
        <v>1410</v>
      </c>
      <c r="B1284" s="4">
        <v>1536.91</v>
      </c>
      <c r="C1284" s="4">
        <v>9.9</v>
      </c>
      <c r="D1284" s="4">
        <v>1527.01</v>
      </c>
      <c r="E1284">
        <v>109</v>
      </c>
      <c r="F1284">
        <v>107</v>
      </c>
    </row>
    <row r="1285" spans="1:6" x14ac:dyDescent="0.25">
      <c r="A1285" t="s">
        <v>1411</v>
      </c>
      <c r="B1285" s="4">
        <v>1536.24</v>
      </c>
      <c r="C1285" s="4">
        <v>17.5</v>
      </c>
      <c r="D1285" s="4">
        <v>1518.74</v>
      </c>
      <c r="E1285">
        <v>144</v>
      </c>
      <c r="F1285">
        <v>143</v>
      </c>
    </row>
    <row r="1286" spans="1:6" x14ac:dyDescent="0.25">
      <c r="A1286" t="s">
        <v>1412</v>
      </c>
      <c r="B1286" s="4">
        <v>1531.95</v>
      </c>
      <c r="C1286" s="4">
        <v>60</v>
      </c>
      <c r="D1286" s="4">
        <v>1471.95</v>
      </c>
      <c r="E1286">
        <v>111</v>
      </c>
      <c r="F1286">
        <v>108</v>
      </c>
    </row>
    <row r="1287" spans="1:6" x14ac:dyDescent="0.25">
      <c r="A1287" t="s">
        <v>1413</v>
      </c>
      <c r="B1287" s="4">
        <v>1531.14</v>
      </c>
      <c r="C1287" s="4">
        <v>0</v>
      </c>
      <c r="D1287" s="4">
        <v>1531.14</v>
      </c>
      <c r="E1287">
        <v>75</v>
      </c>
      <c r="F1287">
        <v>75</v>
      </c>
    </row>
    <row r="1288" spans="1:6" x14ac:dyDescent="0.25">
      <c r="A1288" t="s">
        <v>1414</v>
      </c>
      <c r="B1288" s="4">
        <v>1531.03</v>
      </c>
      <c r="C1288" s="4">
        <v>141.80000000000001</v>
      </c>
      <c r="D1288" s="4">
        <v>1389.23</v>
      </c>
      <c r="E1288">
        <v>110</v>
      </c>
      <c r="F1288">
        <v>110</v>
      </c>
    </row>
    <row r="1289" spans="1:6" x14ac:dyDescent="0.25">
      <c r="A1289" t="s">
        <v>1415</v>
      </c>
      <c r="B1289" s="4">
        <v>1530</v>
      </c>
      <c r="C1289" s="4">
        <v>0</v>
      </c>
      <c r="D1289" s="4">
        <v>1530</v>
      </c>
      <c r="E1289">
        <v>7</v>
      </c>
      <c r="F1289">
        <v>7</v>
      </c>
    </row>
    <row r="1290" spans="1:6" x14ac:dyDescent="0.25">
      <c r="A1290" t="s">
        <v>1416</v>
      </c>
      <c r="B1290" s="4">
        <v>1522.53</v>
      </c>
      <c r="C1290" s="4">
        <v>0</v>
      </c>
      <c r="D1290" s="4">
        <v>1522.53</v>
      </c>
      <c r="E1290">
        <v>44</v>
      </c>
      <c r="F1290">
        <v>44</v>
      </c>
    </row>
    <row r="1291" spans="1:6" x14ac:dyDescent="0.25">
      <c r="A1291" t="s">
        <v>1417</v>
      </c>
      <c r="B1291" s="4">
        <v>1518.19</v>
      </c>
      <c r="C1291" s="4">
        <v>0</v>
      </c>
      <c r="D1291" s="4">
        <v>1518.19</v>
      </c>
      <c r="E1291">
        <v>231</v>
      </c>
      <c r="F1291">
        <v>224</v>
      </c>
    </row>
    <row r="1292" spans="1:6" x14ac:dyDescent="0.25">
      <c r="A1292" t="s">
        <v>1418</v>
      </c>
      <c r="B1292" s="4">
        <v>1517.72</v>
      </c>
      <c r="C1292" s="4">
        <v>10.08</v>
      </c>
      <c r="D1292" s="4">
        <v>1507.64</v>
      </c>
      <c r="E1292">
        <v>238</v>
      </c>
      <c r="F1292">
        <v>233</v>
      </c>
    </row>
    <row r="1293" spans="1:6" x14ac:dyDescent="0.25">
      <c r="A1293" t="s">
        <v>1419</v>
      </c>
      <c r="B1293" s="4">
        <v>1515.68</v>
      </c>
      <c r="C1293" s="4">
        <v>59.8</v>
      </c>
      <c r="D1293" s="4">
        <v>1455.88</v>
      </c>
      <c r="E1293">
        <v>62</v>
      </c>
      <c r="F1293">
        <v>62</v>
      </c>
    </row>
    <row r="1294" spans="1:6" x14ac:dyDescent="0.25">
      <c r="A1294" t="s">
        <v>1420</v>
      </c>
      <c r="B1294" s="4">
        <v>1512.92</v>
      </c>
      <c r="C1294" s="4">
        <v>0</v>
      </c>
      <c r="D1294" s="4">
        <v>1512.92</v>
      </c>
      <c r="E1294">
        <v>222</v>
      </c>
      <c r="F1294">
        <v>215</v>
      </c>
    </row>
    <row r="1295" spans="1:6" x14ac:dyDescent="0.25">
      <c r="A1295" t="s">
        <v>1421</v>
      </c>
      <c r="B1295" s="4">
        <v>1511.26</v>
      </c>
      <c r="C1295" s="4">
        <v>60.75</v>
      </c>
      <c r="D1295" s="4">
        <v>1450.51</v>
      </c>
      <c r="E1295">
        <v>77</v>
      </c>
      <c r="F1295">
        <v>77</v>
      </c>
    </row>
    <row r="1296" spans="1:6" x14ac:dyDescent="0.25">
      <c r="A1296" t="s">
        <v>1422</v>
      </c>
      <c r="B1296" s="4">
        <v>1509.41</v>
      </c>
      <c r="C1296" s="4">
        <v>156.05000000000001</v>
      </c>
      <c r="D1296" s="4">
        <v>1353.36</v>
      </c>
      <c r="E1296">
        <v>86</v>
      </c>
      <c r="F1296">
        <v>86</v>
      </c>
    </row>
    <row r="1297" spans="1:6" x14ac:dyDescent="0.25">
      <c r="A1297" t="s">
        <v>1423</v>
      </c>
      <c r="B1297" s="4">
        <v>1506.97</v>
      </c>
      <c r="C1297" s="4">
        <v>1.95</v>
      </c>
      <c r="D1297" s="4">
        <v>1505.02</v>
      </c>
      <c r="E1297">
        <v>106</v>
      </c>
      <c r="F1297">
        <v>105</v>
      </c>
    </row>
    <row r="1298" spans="1:6" x14ac:dyDescent="0.25">
      <c r="A1298" t="s">
        <v>1424</v>
      </c>
      <c r="B1298" s="4">
        <v>1505.96</v>
      </c>
      <c r="C1298" s="4">
        <v>51</v>
      </c>
      <c r="D1298" s="4">
        <v>1454.96</v>
      </c>
      <c r="E1298">
        <v>69</v>
      </c>
      <c r="F1298">
        <v>69</v>
      </c>
    </row>
    <row r="1299" spans="1:6" x14ac:dyDescent="0.25">
      <c r="A1299" t="s">
        <v>1425</v>
      </c>
      <c r="B1299" s="4">
        <v>1505.24</v>
      </c>
      <c r="C1299" s="4">
        <v>0</v>
      </c>
      <c r="D1299" s="4">
        <v>1505.24</v>
      </c>
      <c r="E1299">
        <v>112</v>
      </c>
      <c r="F1299">
        <v>110</v>
      </c>
    </row>
    <row r="1300" spans="1:6" x14ac:dyDescent="0.25">
      <c r="A1300" t="s">
        <v>1426</v>
      </c>
      <c r="B1300" s="4">
        <v>1504.49</v>
      </c>
      <c r="C1300" s="4">
        <v>0</v>
      </c>
      <c r="D1300" s="4">
        <v>1504.49</v>
      </c>
      <c r="E1300">
        <v>50</v>
      </c>
      <c r="F1300">
        <v>50</v>
      </c>
    </row>
    <row r="1301" spans="1:6" x14ac:dyDescent="0.25">
      <c r="A1301" t="s">
        <v>1427</v>
      </c>
      <c r="B1301" s="4">
        <v>1500.44</v>
      </c>
      <c r="C1301" s="4">
        <v>0</v>
      </c>
      <c r="D1301" s="4">
        <v>1500.44</v>
      </c>
      <c r="E1301">
        <v>99</v>
      </c>
      <c r="F1301">
        <v>99</v>
      </c>
    </row>
    <row r="1302" spans="1:6" x14ac:dyDescent="0.25">
      <c r="A1302" t="s">
        <v>1428</v>
      </c>
      <c r="B1302" s="4">
        <v>1499.38</v>
      </c>
      <c r="C1302" s="4">
        <v>0</v>
      </c>
      <c r="D1302" s="4">
        <v>1499.38</v>
      </c>
      <c r="E1302">
        <v>107</v>
      </c>
      <c r="F1302">
        <v>104</v>
      </c>
    </row>
    <row r="1303" spans="1:6" x14ac:dyDescent="0.25">
      <c r="A1303" t="s">
        <v>1429</v>
      </c>
      <c r="B1303" s="4">
        <v>1497.72</v>
      </c>
      <c r="C1303" s="4">
        <v>57.95</v>
      </c>
      <c r="D1303" s="4">
        <v>1439.77</v>
      </c>
      <c r="E1303">
        <v>76</v>
      </c>
      <c r="F1303">
        <v>76</v>
      </c>
    </row>
    <row r="1304" spans="1:6" x14ac:dyDescent="0.25">
      <c r="A1304" t="s">
        <v>1430</v>
      </c>
      <c r="B1304" s="4">
        <v>1494.9</v>
      </c>
      <c r="C1304" s="4">
        <v>0</v>
      </c>
      <c r="D1304" s="4">
        <v>1494.9</v>
      </c>
      <c r="E1304">
        <v>124</v>
      </c>
      <c r="F1304">
        <v>120</v>
      </c>
    </row>
    <row r="1305" spans="1:6" x14ac:dyDescent="0.25">
      <c r="A1305" t="s">
        <v>1431</v>
      </c>
      <c r="B1305" s="4">
        <v>1494.69</v>
      </c>
      <c r="C1305" s="4">
        <v>0</v>
      </c>
      <c r="D1305" s="4">
        <v>1494.69</v>
      </c>
      <c r="E1305">
        <v>50</v>
      </c>
      <c r="F1305">
        <v>49</v>
      </c>
    </row>
    <row r="1306" spans="1:6" x14ac:dyDescent="0.25">
      <c r="A1306" t="s">
        <v>1432</v>
      </c>
      <c r="B1306" s="4">
        <v>1491.75</v>
      </c>
      <c r="C1306" s="4">
        <v>0</v>
      </c>
      <c r="D1306" s="4">
        <v>1491.75</v>
      </c>
      <c r="E1306">
        <v>136</v>
      </c>
      <c r="F1306">
        <v>130</v>
      </c>
    </row>
    <row r="1307" spans="1:6" x14ac:dyDescent="0.25">
      <c r="A1307" t="s">
        <v>1433</v>
      </c>
      <c r="B1307" s="4">
        <v>1490.89</v>
      </c>
      <c r="C1307" s="4">
        <v>0</v>
      </c>
      <c r="D1307" s="4">
        <v>1490.89</v>
      </c>
      <c r="E1307">
        <v>118</v>
      </c>
      <c r="F1307">
        <v>114</v>
      </c>
    </row>
    <row r="1308" spans="1:6" x14ac:dyDescent="0.25">
      <c r="A1308" t="s">
        <v>1434</v>
      </c>
      <c r="B1308" s="4">
        <v>1489.01</v>
      </c>
      <c r="C1308" s="4">
        <v>45.68</v>
      </c>
      <c r="D1308" s="4">
        <v>1443.33</v>
      </c>
      <c r="E1308">
        <v>110</v>
      </c>
      <c r="F1308">
        <v>109</v>
      </c>
    </row>
    <row r="1309" spans="1:6" x14ac:dyDescent="0.25">
      <c r="A1309" t="s">
        <v>1435</v>
      </c>
      <c r="B1309" s="4">
        <v>1488.65</v>
      </c>
      <c r="C1309" s="4">
        <v>0</v>
      </c>
      <c r="D1309" s="4">
        <v>1488.65</v>
      </c>
      <c r="E1309">
        <v>127</v>
      </c>
      <c r="F1309">
        <v>124</v>
      </c>
    </row>
    <row r="1310" spans="1:6" x14ac:dyDescent="0.25">
      <c r="A1310" t="s">
        <v>1436</v>
      </c>
      <c r="B1310" s="4">
        <v>1486.18</v>
      </c>
      <c r="C1310" s="4">
        <v>0</v>
      </c>
      <c r="D1310" s="4">
        <v>1486.18</v>
      </c>
      <c r="E1310">
        <v>168</v>
      </c>
      <c r="F1310">
        <v>165</v>
      </c>
    </row>
    <row r="1311" spans="1:6" x14ac:dyDescent="0.25">
      <c r="A1311" t="s">
        <v>1437</v>
      </c>
      <c r="B1311" s="4">
        <v>1485.43</v>
      </c>
      <c r="C1311" s="4">
        <v>49.92</v>
      </c>
      <c r="D1311" s="4">
        <v>1435.51</v>
      </c>
      <c r="E1311">
        <v>118</v>
      </c>
      <c r="F1311">
        <v>113</v>
      </c>
    </row>
    <row r="1312" spans="1:6" x14ac:dyDescent="0.25">
      <c r="A1312" t="s">
        <v>1438</v>
      </c>
      <c r="B1312" s="4">
        <v>1484.3</v>
      </c>
      <c r="C1312" s="4">
        <v>302.51</v>
      </c>
      <c r="D1312" s="4">
        <v>1181.79</v>
      </c>
      <c r="E1312">
        <v>74</v>
      </c>
      <c r="F1312">
        <v>72</v>
      </c>
    </row>
    <row r="1313" spans="1:6" x14ac:dyDescent="0.25">
      <c r="A1313" t="s">
        <v>1439</v>
      </c>
      <c r="B1313" s="4">
        <v>1484.13</v>
      </c>
      <c r="C1313" s="4">
        <v>0</v>
      </c>
      <c r="D1313" s="4">
        <v>1484.13</v>
      </c>
      <c r="E1313">
        <v>256</v>
      </c>
      <c r="F1313">
        <v>252</v>
      </c>
    </row>
    <row r="1314" spans="1:6" x14ac:dyDescent="0.25">
      <c r="A1314" t="s">
        <v>1440</v>
      </c>
      <c r="B1314" s="4">
        <v>1483.42</v>
      </c>
      <c r="C1314" s="4">
        <v>22.68</v>
      </c>
      <c r="D1314" s="4">
        <v>1460.74</v>
      </c>
      <c r="E1314">
        <v>181</v>
      </c>
      <c r="F1314">
        <v>177</v>
      </c>
    </row>
    <row r="1315" spans="1:6" x14ac:dyDescent="0.25">
      <c r="A1315" t="s">
        <v>1441</v>
      </c>
      <c r="B1315" s="4">
        <v>1483.13</v>
      </c>
      <c r="C1315" s="4">
        <v>7.5</v>
      </c>
      <c r="D1315" s="4">
        <v>1475.63</v>
      </c>
      <c r="E1315">
        <v>145</v>
      </c>
      <c r="F1315">
        <v>145</v>
      </c>
    </row>
    <row r="1316" spans="1:6" x14ac:dyDescent="0.25">
      <c r="A1316" t="s">
        <v>1442</v>
      </c>
      <c r="B1316" s="4">
        <v>1481.4</v>
      </c>
      <c r="C1316" s="4">
        <v>0</v>
      </c>
      <c r="D1316" s="4">
        <v>1481.4</v>
      </c>
      <c r="E1316">
        <v>168</v>
      </c>
      <c r="F1316">
        <v>164</v>
      </c>
    </row>
    <row r="1317" spans="1:6" x14ac:dyDescent="0.25">
      <c r="A1317" t="s">
        <v>1443</v>
      </c>
      <c r="B1317" s="4">
        <v>1478.1</v>
      </c>
      <c r="C1317" s="4">
        <v>1.25</v>
      </c>
      <c r="D1317" s="4">
        <v>1476.85</v>
      </c>
      <c r="E1317">
        <v>149</v>
      </c>
      <c r="F1317">
        <v>148</v>
      </c>
    </row>
    <row r="1318" spans="1:6" x14ac:dyDescent="0.25">
      <c r="A1318" t="s">
        <v>1444</v>
      </c>
      <c r="B1318" s="4">
        <v>1477.82</v>
      </c>
      <c r="C1318" s="4">
        <v>18.75</v>
      </c>
      <c r="D1318" s="4">
        <v>1459.07</v>
      </c>
      <c r="E1318">
        <v>141</v>
      </c>
      <c r="F1318">
        <v>140</v>
      </c>
    </row>
    <row r="1319" spans="1:6" x14ac:dyDescent="0.25">
      <c r="A1319" t="s">
        <v>1445</v>
      </c>
      <c r="B1319" s="4">
        <v>1472.85</v>
      </c>
      <c r="C1319" s="4">
        <v>25.2</v>
      </c>
      <c r="D1319" s="4">
        <v>1447.65</v>
      </c>
      <c r="E1319">
        <v>162</v>
      </c>
      <c r="F1319">
        <v>162</v>
      </c>
    </row>
    <row r="1320" spans="1:6" x14ac:dyDescent="0.25">
      <c r="A1320" t="s">
        <v>1446</v>
      </c>
      <c r="B1320" s="4">
        <v>1466.07</v>
      </c>
      <c r="C1320" s="4">
        <v>8.6999999999999993</v>
      </c>
      <c r="D1320" s="4">
        <v>1457.37</v>
      </c>
      <c r="E1320">
        <v>92</v>
      </c>
      <c r="F1320">
        <v>88</v>
      </c>
    </row>
    <row r="1321" spans="1:6" x14ac:dyDescent="0.25">
      <c r="A1321" t="s">
        <v>1447</v>
      </c>
      <c r="B1321" s="4">
        <v>1464.38</v>
      </c>
      <c r="C1321" s="4">
        <v>0</v>
      </c>
      <c r="D1321" s="4">
        <v>1464.38</v>
      </c>
      <c r="E1321">
        <v>175</v>
      </c>
      <c r="F1321">
        <v>169</v>
      </c>
    </row>
    <row r="1322" spans="1:6" x14ac:dyDescent="0.25">
      <c r="A1322" t="s">
        <v>1448</v>
      </c>
      <c r="B1322" s="4">
        <v>1462.56</v>
      </c>
      <c r="C1322" s="4">
        <v>3.36</v>
      </c>
      <c r="D1322" s="4">
        <v>1459.2</v>
      </c>
      <c r="E1322">
        <v>223</v>
      </c>
      <c r="F1322">
        <v>217</v>
      </c>
    </row>
    <row r="1323" spans="1:6" x14ac:dyDescent="0.25">
      <c r="A1323" t="s">
        <v>1449</v>
      </c>
      <c r="B1323" s="4">
        <v>1462.17</v>
      </c>
      <c r="C1323" s="4">
        <v>31.6</v>
      </c>
      <c r="D1323" s="4">
        <v>1430.57</v>
      </c>
      <c r="E1323">
        <v>143</v>
      </c>
      <c r="F1323">
        <v>141</v>
      </c>
    </row>
    <row r="1324" spans="1:6" x14ac:dyDescent="0.25">
      <c r="A1324" t="s">
        <v>1450</v>
      </c>
      <c r="B1324" s="4">
        <v>1461.6</v>
      </c>
      <c r="C1324" s="4">
        <v>101.45</v>
      </c>
      <c r="D1324" s="4">
        <v>1360.15</v>
      </c>
      <c r="E1324">
        <v>100</v>
      </c>
      <c r="F1324">
        <v>99</v>
      </c>
    </row>
    <row r="1325" spans="1:6" x14ac:dyDescent="0.25">
      <c r="A1325" t="s">
        <v>1451</v>
      </c>
      <c r="B1325" s="4">
        <v>1460.5</v>
      </c>
      <c r="C1325" s="4">
        <v>70.7</v>
      </c>
      <c r="D1325" s="4">
        <v>1389.8</v>
      </c>
      <c r="E1325">
        <v>84</v>
      </c>
      <c r="F1325">
        <v>84</v>
      </c>
    </row>
    <row r="1326" spans="1:6" x14ac:dyDescent="0.25">
      <c r="A1326" t="s">
        <v>1452</v>
      </c>
      <c r="B1326" s="4">
        <v>1459.98</v>
      </c>
      <c r="C1326" s="4">
        <v>17.72</v>
      </c>
      <c r="D1326" s="4">
        <v>1442.26</v>
      </c>
      <c r="E1326">
        <v>147</v>
      </c>
      <c r="F1326">
        <v>142</v>
      </c>
    </row>
    <row r="1327" spans="1:6" x14ac:dyDescent="0.25">
      <c r="A1327" t="s">
        <v>1453</v>
      </c>
      <c r="B1327" s="4">
        <v>1456.72</v>
      </c>
      <c r="C1327" s="4">
        <v>2.95</v>
      </c>
      <c r="D1327" s="4">
        <v>1453.77</v>
      </c>
      <c r="E1327">
        <v>103</v>
      </c>
      <c r="F1327">
        <v>102</v>
      </c>
    </row>
    <row r="1328" spans="1:6" x14ac:dyDescent="0.25">
      <c r="A1328" t="s">
        <v>1454</v>
      </c>
      <c r="B1328" s="4">
        <v>1456.45</v>
      </c>
      <c r="C1328" s="4">
        <v>0</v>
      </c>
      <c r="D1328" s="4">
        <v>1456.45</v>
      </c>
      <c r="E1328">
        <v>158</v>
      </c>
      <c r="F1328">
        <v>151</v>
      </c>
    </row>
    <row r="1329" spans="1:6" x14ac:dyDescent="0.25">
      <c r="A1329" t="s">
        <v>1455</v>
      </c>
      <c r="B1329" s="4">
        <v>1455.18</v>
      </c>
      <c r="C1329" s="4">
        <v>20</v>
      </c>
      <c r="D1329" s="4">
        <v>1435.18</v>
      </c>
      <c r="E1329">
        <v>48</v>
      </c>
      <c r="F1329">
        <v>47</v>
      </c>
    </row>
    <row r="1330" spans="1:6" x14ac:dyDescent="0.25">
      <c r="A1330" t="s">
        <v>1456</v>
      </c>
      <c r="B1330" s="4">
        <v>1453.58</v>
      </c>
      <c r="C1330" s="4">
        <v>173.45</v>
      </c>
      <c r="D1330" s="4">
        <v>1280.1300000000001</v>
      </c>
      <c r="E1330">
        <v>53</v>
      </c>
      <c r="F1330">
        <v>53</v>
      </c>
    </row>
    <row r="1331" spans="1:6" x14ac:dyDescent="0.25">
      <c r="A1331" t="s">
        <v>1457</v>
      </c>
      <c r="B1331" s="4">
        <v>1451.99</v>
      </c>
      <c r="C1331" s="4">
        <v>0</v>
      </c>
      <c r="D1331" s="4">
        <v>1451.99</v>
      </c>
      <c r="E1331">
        <v>172</v>
      </c>
      <c r="F1331">
        <v>165</v>
      </c>
    </row>
    <row r="1332" spans="1:6" x14ac:dyDescent="0.25">
      <c r="A1332" t="s">
        <v>1458</v>
      </c>
      <c r="B1332" s="4">
        <v>1451.82</v>
      </c>
      <c r="C1332" s="4">
        <v>0</v>
      </c>
      <c r="D1332" s="4">
        <v>1451.82</v>
      </c>
      <c r="E1332">
        <v>95</v>
      </c>
      <c r="F1332">
        <v>95</v>
      </c>
    </row>
    <row r="1333" spans="1:6" x14ac:dyDescent="0.25">
      <c r="A1333" t="s">
        <v>1459</v>
      </c>
      <c r="B1333" s="4">
        <v>1445.9</v>
      </c>
      <c r="C1333" s="4">
        <v>87.71</v>
      </c>
      <c r="D1333" s="4">
        <v>1358.19</v>
      </c>
      <c r="E1333">
        <v>82</v>
      </c>
      <c r="F1333">
        <v>81</v>
      </c>
    </row>
    <row r="1334" spans="1:6" x14ac:dyDescent="0.25">
      <c r="A1334" t="s">
        <v>1460</v>
      </c>
      <c r="B1334" s="4">
        <v>1440.37</v>
      </c>
      <c r="C1334" s="4">
        <v>40.950000000000003</v>
      </c>
      <c r="D1334" s="4">
        <v>1399.42</v>
      </c>
      <c r="E1334">
        <v>146</v>
      </c>
      <c r="F1334">
        <v>143</v>
      </c>
    </row>
    <row r="1335" spans="1:6" x14ac:dyDescent="0.25">
      <c r="A1335" t="s">
        <v>1461</v>
      </c>
      <c r="B1335" s="4">
        <v>1436.53</v>
      </c>
      <c r="C1335" s="4">
        <v>8.4</v>
      </c>
      <c r="D1335" s="4">
        <v>1428.13</v>
      </c>
      <c r="E1335">
        <v>118</v>
      </c>
      <c r="F1335">
        <v>115</v>
      </c>
    </row>
    <row r="1336" spans="1:6" x14ac:dyDescent="0.25">
      <c r="A1336" t="s">
        <v>1462</v>
      </c>
      <c r="B1336" s="4">
        <v>1434.95</v>
      </c>
      <c r="C1336" s="4">
        <v>20.3</v>
      </c>
      <c r="D1336" s="4">
        <v>1414.65</v>
      </c>
      <c r="E1336">
        <v>106</v>
      </c>
      <c r="F1336">
        <v>105</v>
      </c>
    </row>
    <row r="1337" spans="1:6" x14ac:dyDescent="0.25">
      <c r="A1337" t="s">
        <v>1463</v>
      </c>
      <c r="B1337" s="4">
        <v>1432.31</v>
      </c>
      <c r="C1337" s="4">
        <v>26.25</v>
      </c>
      <c r="D1337" s="4">
        <v>1406.06</v>
      </c>
      <c r="E1337">
        <v>49</v>
      </c>
      <c r="F1337">
        <v>48</v>
      </c>
    </row>
    <row r="1338" spans="1:6" x14ac:dyDescent="0.25">
      <c r="A1338" t="s">
        <v>1464</v>
      </c>
      <c r="B1338" s="4">
        <v>1430.48</v>
      </c>
      <c r="C1338" s="4">
        <v>14.85</v>
      </c>
      <c r="D1338" s="4">
        <v>1415.63</v>
      </c>
      <c r="E1338">
        <v>124</v>
      </c>
      <c r="F1338">
        <v>122</v>
      </c>
    </row>
    <row r="1339" spans="1:6" x14ac:dyDescent="0.25">
      <c r="A1339" t="s">
        <v>1465</v>
      </c>
      <c r="B1339" s="4">
        <v>1429.82</v>
      </c>
      <c r="C1339" s="4">
        <v>0</v>
      </c>
      <c r="D1339" s="4">
        <v>1429.82</v>
      </c>
      <c r="E1339">
        <v>72</v>
      </c>
      <c r="F1339">
        <v>72</v>
      </c>
    </row>
    <row r="1340" spans="1:6" x14ac:dyDescent="0.25">
      <c r="A1340" t="s">
        <v>1466</v>
      </c>
      <c r="B1340" s="4">
        <v>1428.57</v>
      </c>
      <c r="C1340" s="4">
        <v>28.7</v>
      </c>
      <c r="D1340" s="4">
        <v>1399.87</v>
      </c>
      <c r="E1340">
        <v>115</v>
      </c>
      <c r="F1340">
        <v>111</v>
      </c>
    </row>
    <row r="1341" spans="1:6" x14ac:dyDescent="0.25">
      <c r="A1341" t="s">
        <v>1467</v>
      </c>
      <c r="B1341" s="4">
        <v>1425.28</v>
      </c>
      <c r="C1341" s="4">
        <v>10.08</v>
      </c>
      <c r="D1341" s="4">
        <v>1415.2</v>
      </c>
      <c r="E1341">
        <v>263</v>
      </c>
      <c r="F1341">
        <v>262</v>
      </c>
    </row>
    <row r="1342" spans="1:6" x14ac:dyDescent="0.25">
      <c r="A1342" t="s">
        <v>1468</v>
      </c>
      <c r="B1342" s="4">
        <v>1422.9</v>
      </c>
      <c r="C1342" s="4">
        <v>183.3</v>
      </c>
      <c r="D1342" s="4">
        <v>1239.5999999999999</v>
      </c>
      <c r="E1342">
        <v>102</v>
      </c>
      <c r="F1342">
        <v>102</v>
      </c>
    </row>
    <row r="1343" spans="1:6" x14ac:dyDescent="0.25">
      <c r="A1343" t="s">
        <v>1469</v>
      </c>
      <c r="B1343" s="4">
        <v>1421.83</v>
      </c>
      <c r="C1343" s="4">
        <v>0</v>
      </c>
      <c r="D1343" s="4">
        <v>1421.83</v>
      </c>
      <c r="E1343">
        <v>23</v>
      </c>
      <c r="F1343">
        <v>23</v>
      </c>
    </row>
    <row r="1344" spans="1:6" x14ac:dyDescent="0.25">
      <c r="A1344" t="s">
        <v>1470</v>
      </c>
      <c r="B1344" s="4">
        <v>1421.11</v>
      </c>
      <c r="C1344" s="4">
        <v>4.25</v>
      </c>
      <c r="D1344" s="4">
        <v>1416.86</v>
      </c>
      <c r="E1344">
        <v>138</v>
      </c>
      <c r="F1344">
        <v>138</v>
      </c>
    </row>
    <row r="1345" spans="1:6" x14ac:dyDescent="0.25">
      <c r="A1345" t="s">
        <v>1471</v>
      </c>
      <c r="B1345" s="4">
        <v>1420.26</v>
      </c>
      <c r="C1345" s="4">
        <v>46.25</v>
      </c>
      <c r="D1345" s="4">
        <v>1374.01</v>
      </c>
      <c r="E1345">
        <v>147</v>
      </c>
      <c r="F1345">
        <v>143</v>
      </c>
    </row>
    <row r="1346" spans="1:6" x14ac:dyDescent="0.25">
      <c r="A1346" t="s">
        <v>1472</v>
      </c>
      <c r="B1346" s="4">
        <v>1415.73</v>
      </c>
      <c r="C1346" s="4">
        <v>5.04</v>
      </c>
      <c r="D1346" s="4">
        <v>1410.69</v>
      </c>
      <c r="E1346">
        <v>225</v>
      </c>
      <c r="F1346">
        <v>225</v>
      </c>
    </row>
    <row r="1347" spans="1:6" x14ac:dyDescent="0.25">
      <c r="A1347" t="s">
        <v>1473</v>
      </c>
      <c r="B1347" s="4">
        <v>1415.31</v>
      </c>
      <c r="C1347" s="4">
        <v>5.0999999999999996</v>
      </c>
      <c r="D1347" s="4">
        <v>1410.21</v>
      </c>
      <c r="E1347">
        <v>178</v>
      </c>
      <c r="F1347">
        <v>173</v>
      </c>
    </row>
    <row r="1348" spans="1:6" x14ac:dyDescent="0.25">
      <c r="A1348" t="s">
        <v>1474</v>
      </c>
      <c r="B1348" s="4">
        <v>1415.09</v>
      </c>
      <c r="C1348" s="4">
        <v>80.34</v>
      </c>
      <c r="D1348" s="4">
        <v>1334.75</v>
      </c>
      <c r="E1348">
        <v>177</v>
      </c>
      <c r="F1348">
        <v>174</v>
      </c>
    </row>
    <row r="1349" spans="1:6" x14ac:dyDescent="0.25">
      <c r="A1349" t="s">
        <v>1475</v>
      </c>
      <c r="B1349" s="4">
        <v>1413.84</v>
      </c>
      <c r="C1349" s="4">
        <v>69.3</v>
      </c>
      <c r="D1349" s="4">
        <v>1344.54</v>
      </c>
      <c r="E1349">
        <v>130</v>
      </c>
      <c r="F1349">
        <v>125</v>
      </c>
    </row>
    <row r="1350" spans="1:6" x14ac:dyDescent="0.25">
      <c r="A1350" t="s">
        <v>1476</v>
      </c>
      <c r="B1350" s="4">
        <v>1413.25</v>
      </c>
      <c r="C1350" s="4">
        <v>0</v>
      </c>
      <c r="D1350" s="4">
        <v>1413.25</v>
      </c>
      <c r="E1350">
        <v>203</v>
      </c>
      <c r="F1350">
        <v>200</v>
      </c>
    </row>
    <row r="1351" spans="1:6" x14ac:dyDescent="0.25">
      <c r="A1351" t="s">
        <v>1477</v>
      </c>
      <c r="B1351" s="4">
        <v>1412.27</v>
      </c>
      <c r="C1351" s="4">
        <v>0</v>
      </c>
      <c r="D1351" s="4">
        <v>1412.27</v>
      </c>
      <c r="E1351">
        <v>293</v>
      </c>
      <c r="F1351">
        <v>291</v>
      </c>
    </row>
    <row r="1352" spans="1:6" x14ac:dyDescent="0.25">
      <c r="A1352" t="s">
        <v>1478</v>
      </c>
      <c r="B1352" s="4">
        <v>1412.16</v>
      </c>
      <c r="C1352" s="4">
        <v>13</v>
      </c>
      <c r="D1352" s="4">
        <v>1399.16</v>
      </c>
      <c r="E1352">
        <v>169</v>
      </c>
      <c r="F1352">
        <v>163</v>
      </c>
    </row>
    <row r="1353" spans="1:6" x14ac:dyDescent="0.25">
      <c r="A1353" t="s">
        <v>1479</v>
      </c>
      <c r="B1353" s="4">
        <v>1409.9</v>
      </c>
      <c r="C1353" s="4">
        <v>13.44</v>
      </c>
      <c r="D1353" s="4">
        <v>1396.46</v>
      </c>
      <c r="E1353">
        <v>345</v>
      </c>
      <c r="F1353">
        <v>341</v>
      </c>
    </row>
    <row r="1354" spans="1:6" x14ac:dyDescent="0.25">
      <c r="A1354" t="s">
        <v>1480</v>
      </c>
      <c r="B1354" s="4">
        <v>1406.42</v>
      </c>
      <c r="C1354" s="4">
        <v>37.799999999999997</v>
      </c>
      <c r="D1354" s="4">
        <v>1368.62</v>
      </c>
      <c r="E1354">
        <v>185</v>
      </c>
      <c r="F1354">
        <v>184</v>
      </c>
    </row>
    <row r="1355" spans="1:6" x14ac:dyDescent="0.25">
      <c r="A1355" t="s">
        <v>1481</v>
      </c>
      <c r="B1355" s="4">
        <v>1405.42</v>
      </c>
      <c r="C1355" s="4">
        <v>0</v>
      </c>
      <c r="D1355" s="4">
        <v>1405.42</v>
      </c>
      <c r="E1355">
        <v>46</v>
      </c>
      <c r="F1355">
        <v>46</v>
      </c>
    </row>
    <row r="1356" spans="1:6" x14ac:dyDescent="0.25">
      <c r="A1356" t="s">
        <v>1482</v>
      </c>
      <c r="B1356" s="4">
        <v>1402.32</v>
      </c>
      <c r="C1356" s="4">
        <v>22.32</v>
      </c>
      <c r="D1356" s="4">
        <v>1380</v>
      </c>
      <c r="E1356">
        <v>152</v>
      </c>
      <c r="F1356">
        <v>151</v>
      </c>
    </row>
    <row r="1357" spans="1:6" x14ac:dyDescent="0.25">
      <c r="A1357" t="s">
        <v>1483</v>
      </c>
      <c r="B1357" s="4">
        <v>1401.43</v>
      </c>
      <c r="C1357" s="4">
        <v>690.72</v>
      </c>
      <c r="D1357" s="4">
        <v>710.71</v>
      </c>
      <c r="E1357">
        <v>41</v>
      </c>
      <c r="F1357">
        <v>38</v>
      </c>
    </row>
    <row r="1358" spans="1:6" x14ac:dyDescent="0.25">
      <c r="A1358" t="s">
        <v>1484</v>
      </c>
      <c r="B1358" s="4">
        <v>1401.02</v>
      </c>
      <c r="C1358" s="4">
        <v>14.75</v>
      </c>
      <c r="D1358" s="4">
        <v>1386.27</v>
      </c>
      <c r="E1358">
        <v>70</v>
      </c>
      <c r="F1358">
        <v>70</v>
      </c>
    </row>
    <row r="1359" spans="1:6" x14ac:dyDescent="0.25">
      <c r="A1359" t="s">
        <v>1485</v>
      </c>
      <c r="B1359" s="4">
        <v>1399.69</v>
      </c>
      <c r="C1359" s="4">
        <v>15.9</v>
      </c>
      <c r="D1359" s="4">
        <v>1383.79</v>
      </c>
      <c r="E1359">
        <v>91</v>
      </c>
      <c r="F1359">
        <v>90</v>
      </c>
    </row>
    <row r="1360" spans="1:6" x14ac:dyDescent="0.25">
      <c r="A1360" t="s">
        <v>1486</v>
      </c>
      <c r="B1360" s="4">
        <v>1394.5</v>
      </c>
      <c r="C1360" s="4">
        <v>10.5</v>
      </c>
      <c r="D1360" s="4">
        <v>1384</v>
      </c>
      <c r="E1360">
        <v>108</v>
      </c>
      <c r="F1360">
        <v>106</v>
      </c>
    </row>
    <row r="1361" spans="1:6" x14ac:dyDescent="0.25">
      <c r="A1361" t="s">
        <v>1487</v>
      </c>
      <c r="B1361" s="4">
        <v>1394.03</v>
      </c>
      <c r="C1361" s="4">
        <v>0</v>
      </c>
      <c r="D1361" s="4">
        <v>1394.03</v>
      </c>
      <c r="E1361">
        <v>43</v>
      </c>
      <c r="F1361">
        <v>41</v>
      </c>
    </row>
    <row r="1362" spans="1:6" x14ac:dyDescent="0.25">
      <c r="A1362" t="s">
        <v>1488</v>
      </c>
      <c r="B1362" s="4">
        <v>1393.79</v>
      </c>
      <c r="C1362" s="4">
        <v>3.95</v>
      </c>
      <c r="D1362" s="4">
        <v>1389.84</v>
      </c>
      <c r="E1362">
        <v>38</v>
      </c>
      <c r="F1362">
        <v>38</v>
      </c>
    </row>
    <row r="1363" spans="1:6" x14ac:dyDescent="0.25">
      <c r="A1363" t="s">
        <v>1489</v>
      </c>
      <c r="B1363" s="4">
        <v>1392.21</v>
      </c>
      <c r="C1363" s="4">
        <v>208.75</v>
      </c>
      <c r="D1363" s="4">
        <v>1183.46</v>
      </c>
      <c r="E1363">
        <v>62</v>
      </c>
      <c r="F1363">
        <v>61</v>
      </c>
    </row>
    <row r="1364" spans="1:6" x14ac:dyDescent="0.25">
      <c r="A1364" t="s">
        <v>1490</v>
      </c>
      <c r="B1364" s="4">
        <v>1390.64</v>
      </c>
      <c r="C1364" s="4">
        <v>0</v>
      </c>
      <c r="D1364" s="4">
        <v>1390.64</v>
      </c>
      <c r="E1364">
        <v>48</v>
      </c>
      <c r="F1364">
        <v>48</v>
      </c>
    </row>
    <row r="1365" spans="1:6" x14ac:dyDescent="0.25">
      <c r="A1365" t="s">
        <v>1491</v>
      </c>
      <c r="B1365" s="4">
        <v>1389.59</v>
      </c>
      <c r="C1365" s="4">
        <v>9.36</v>
      </c>
      <c r="D1365" s="4">
        <v>1380.23</v>
      </c>
      <c r="E1365">
        <v>160</v>
      </c>
      <c r="F1365">
        <v>155</v>
      </c>
    </row>
    <row r="1366" spans="1:6" x14ac:dyDescent="0.25">
      <c r="A1366" t="s">
        <v>1492</v>
      </c>
      <c r="B1366" s="4">
        <v>1389.22</v>
      </c>
      <c r="C1366" s="4">
        <v>15.12</v>
      </c>
      <c r="D1366" s="4">
        <v>1374.1</v>
      </c>
      <c r="E1366">
        <v>246</v>
      </c>
      <c r="F1366">
        <v>246</v>
      </c>
    </row>
    <row r="1367" spans="1:6" x14ac:dyDescent="0.25">
      <c r="A1367" t="s">
        <v>1493</v>
      </c>
      <c r="B1367" s="4">
        <v>1389.08</v>
      </c>
      <c r="C1367" s="4">
        <v>6</v>
      </c>
      <c r="D1367" s="4">
        <v>1383.08</v>
      </c>
      <c r="E1367">
        <v>131</v>
      </c>
      <c r="F1367">
        <v>128</v>
      </c>
    </row>
    <row r="1368" spans="1:6" x14ac:dyDescent="0.25">
      <c r="A1368" t="s">
        <v>1494</v>
      </c>
      <c r="B1368" s="4">
        <v>1389.07</v>
      </c>
      <c r="C1368" s="4">
        <v>13.75</v>
      </c>
      <c r="D1368" s="4">
        <v>1375.32</v>
      </c>
      <c r="E1368">
        <v>189</v>
      </c>
      <c r="F1368">
        <v>188</v>
      </c>
    </row>
    <row r="1369" spans="1:6" x14ac:dyDescent="0.25">
      <c r="A1369" t="s">
        <v>1495</v>
      </c>
      <c r="B1369" s="4">
        <v>1388.1</v>
      </c>
      <c r="C1369" s="4">
        <v>17.7</v>
      </c>
      <c r="D1369" s="4">
        <v>1370.4</v>
      </c>
      <c r="E1369">
        <v>128</v>
      </c>
      <c r="F1369">
        <v>120</v>
      </c>
    </row>
    <row r="1370" spans="1:6" x14ac:dyDescent="0.25">
      <c r="A1370" t="s">
        <v>1496</v>
      </c>
      <c r="B1370" s="4">
        <v>1388.05</v>
      </c>
      <c r="C1370" s="4">
        <v>180.5</v>
      </c>
      <c r="D1370" s="4">
        <v>1207.55</v>
      </c>
      <c r="E1370">
        <v>89</v>
      </c>
      <c r="F1370">
        <v>86</v>
      </c>
    </row>
    <row r="1371" spans="1:6" x14ac:dyDescent="0.25">
      <c r="A1371" t="s">
        <v>1497</v>
      </c>
      <c r="B1371" s="4">
        <v>1387.46</v>
      </c>
      <c r="C1371" s="4">
        <v>0</v>
      </c>
      <c r="D1371" s="4">
        <v>1387.46</v>
      </c>
      <c r="E1371">
        <v>141</v>
      </c>
      <c r="F1371">
        <v>136</v>
      </c>
    </row>
    <row r="1372" spans="1:6" x14ac:dyDescent="0.25">
      <c r="A1372" t="s">
        <v>1498</v>
      </c>
      <c r="B1372" s="4">
        <v>1386.97</v>
      </c>
      <c r="C1372" s="4">
        <v>65</v>
      </c>
      <c r="D1372" s="4">
        <v>1321.97</v>
      </c>
      <c r="E1372">
        <v>80</v>
      </c>
      <c r="F1372">
        <v>80</v>
      </c>
    </row>
    <row r="1373" spans="1:6" x14ac:dyDescent="0.25">
      <c r="A1373" t="s">
        <v>1499</v>
      </c>
      <c r="B1373" s="4">
        <v>1385.28</v>
      </c>
      <c r="C1373" s="4">
        <v>6.36</v>
      </c>
      <c r="D1373" s="4">
        <v>1378.92</v>
      </c>
      <c r="E1373">
        <v>180</v>
      </c>
      <c r="F1373">
        <v>177</v>
      </c>
    </row>
    <row r="1374" spans="1:6" x14ac:dyDescent="0.25">
      <c r="A1374" t="s">
        <v>1500</v>
      </c>
      <c r="B1374" s="4">
        <v>1383.75</v>
      </c>
      <c r="C1374" s="4">
        <v>335.5</v>
      </c>
      <c r="D1374" s="4">
        <v>1048.25</v>
      </c>
      <c r="E1374">
        <v>84</v>
      </c>
      <c r="F1374">
        <v>81</v>
      </c>
    </row>
    <row r="1375" spans="1:6" x14ac:dyDescent="0.25">
      <c r="A1375" t="s">
        <v>1501</v>
      </c>
      <c r="B1375" s="4">
        <v>1383.34</v>
      </c>
      <c r="C1375" s="4">
        <v>30</v>
      </c>
      <c r="D1375" s="4">
        <v>1353.34</v>
      </c>
      <c r="E1375">
        <v>159</v>
      </c>
      <c r="F1375">
        <v>154</v>
      </c>
    </row>
    <row r="1376" spans="1:6" x14ac:dyDescent="0.25">
      <c r="A1376" t="s">
        <v>1502</v>
      </c>
      <c r="B1376" s="4">
        <v>1381.78</v>
      </c>
      <c r="C1376" s="4">
        <v>6.84</v>
      </c>
      <c r="D1376" s="4">
        <v>1374.94</v>
      </c>
      <c r="E1376">
        <v>158</v>
      </c>
      <c r="F1376">
        <v>155</v>
      </c>
    </row>
    <row r="1377" spans="1:6" x14ac:dyDescent="0.25">
      <c r="A1377" t="s">
        <v>1503</v>
      </c>
      <c r="B1377" s="4">
        <v>1379.72</v>
      </c>
      <c r="C1377" s="4">
        <v>112.5</v>
      </c>
      <c r="D1377" s="4">
        <v>1267.22</v>
      </c>
      <c r="E1377">
        <v>95</v>
      </c>
      <c r="F1377">
        <v>90</v>
      </c>
    </row>
    <row r="1378" spans="1:6" x14ac:dyDescent="0.25">
      <c r="A1378" t="s">
        <v>1504</v>
      </c>
      <c r="B1378" s="4">
        <v>1378.75</v>
      </c>
      <c r="C1378" s="4">
        <v>39.799999999999997</v>
      </c>
      <c r="D1378" s="4">
        <v>1338.95</v>
      </c>
      <c r="E1378">
        <v>64</v>
      </c>
      <c r="F1378">
        <v>64</v>
      </c>
    </row>
    <row r="1379" spans="1:6" x14ac:dyDescent="0.25">
      <c r="A1379" t="s">
        <v>1505</v>
      </c>
      <c r="B1379" s="4">
        <v>1375.5</v>
      </c>
      <c r="C1379" s="4">
        <v>0</v>
      </c>
      <c r="D1379" s="4">
        <v>1375.5</v>
      </c>
      <c r="E1379">
        <v>121</v>
      </c>
      <c r="F1379">
        <v>120</v>
      </c>
    </row>
    <row r="1380" spans="1:6" x14ac:dyDescent="0.25">
      <c r="A1380" t="s">
        <v>1506</v>
      </c>
      <c r="B1380" s="4">
        <v>1369.12</v>
      </c>
      <c r="C1380" s="4">
        <v>16.38</v>
      </c>
      <c r="D1380" s="4">
        <v>1352.74</v>
      </c>
      <c r="E1380">
        <v>281</v>
      </c>
      <c r="F1380">
        <v>278</v>
      </c>
    </row>
    <row r="1381" spans="1:6" x14ac:dyDescent="0.25">
      <c r="A1381" t="s">
        <v>1507</v>
      </c>
      <c r="B1381" s="4">
        <v>1368.75</v>
      </c>
      <c r="C1381" s="4">
        <v>0</v>
      </c>
      <c r="D1381" s="4">
        <v>1368.75</v>
      </c>
      <c r="E1381">
        <v>237</v>
      </c>
      <c r="F1381">
        <v>223</v>
      </c>
    </row>
    <row r="1382" spans="1:6" x14ac:dyDescent="0.25">
      <c r="A1382" t="s">
        <v>1508</v>
      </c>
      <c r="B1382" s="4">
        <v>1368.18</v>
      </c>
      <c r="C1382" s="4">
        <v>0</v>
      </c>
      <c r="D1382" s="4">
        <v>1368.18</v>
      </c>
      <c r="E1382">
        <v>62</v>
      </c>
      <c r="F1382">
        <v>61</v>
      </c>
    </row>
    <row r="1383" spans="1:6" x14ac:dyDescent="0.25">
      <c r="A1383" t="s">
        <v>1509</v>
      </c>
      <c r="B1383" s="4">
        <v>1365.95</v>
      </c>
      <c r="C1383" s="4">
        <v>0</v>
      </c>
      <c r="D1383" s="4">
        <v>1365.95</v>
      </c>
      <c r="E1383">
        <v>289</v>
      </c>
      <c r="F1383">
        <v>288</v>
      </c>
    </row>
    <row r="1384" spans="1:6" x14ac:dyDescent="0.25">
      <c r="A1384" t="s">
        <v>1510</v>
      </c>
      <c r="B1384" s="4">
        <v>1363.87</v>
      </c>
      <c r="C1384" s="4">
        <v>48.14</v>
      </c>
      <c r="D1384" s="4">
        <v>1315.73</v>
      </c>
      <c r="E1384">
        <v>150</v>
      </c>
      <c r="F1384">
        <v>145</v>
      </c>
    </row>
    <row r="1385" spans="1:6" x14ac:dyDescent="0.25">
      <c r="A1385" t="s">
        <v>1511</v>
      </c>
      <c r="B1385" s="4">
        <v>1361.25</v>
      </c>
      <c r="C1385" s="4">
        <v>1258.05</v>
      </c>
      <c r="D1385" s="4">
        <v>103.2</v>
      </c>
      <c r="E1385">
        <v>14</v>
      </c>
      <c r="F1385">
        <v>13</v>
      </c>
    </row>
    <row r="1386" spans="1:6" x14ac:dyDescent="0.25">
      <c r="A1386" t="s">
        <v>1512</v>
      </c>
      <c r="B1386" s="4">
        <v>1361.04</v>
      </c>
      <c r="C1386" s="4">
        <v>17.7</v>
      </c>
      <c r="D1386" s="4">
        <v>1343.34</v>
      </c>
      <c r="E1386">
        <v>96</v>
      </c>
      <c r="F1386">
        <v>94</v>
      </c>
    </row>
    <row r="1387" spans="1:6" x14ac:dyDescent="0.25">
      <c r="A1387" t="s">
        <v>1513</v>
      </c>
      <c r="B1387" s="4">
        <v>1355.24</v>
      </c>
      <c r="C1387" s="4">
        <v>16.600000000000001</v>
      </c>
      <c r="D1387" s="4">
        <v>1338.64</v>
      </c>
      <c r="E1387">
        <v>72</v>
      </c>
      <c r="F1387">
        <v>72</v>
      </c>
    </row>
    <row r="1388" spans="1:6" x14ac:dyDescent="0.25">
      <c r="A1388" t="s">
        <v>1514</v>
      </c>
      <c r="B1388" s="4">
        <v>1355.18</v>
      </c>
      <c r="C1388" s="4">
        <v>3.75</v>
      </c>
      <c r="D1388" s="4">
        <v>1351.43</v>
      </c>
      <c r="E1388">
        <v>120</v>
      </c>
      <c r="F1388">
        <v>117</v>
      </c>
    </row>
    <row r="1389" spans="1:6" x14ac:dyDescent="0.25">
      <c r="A1389" t="s">
        <v>1515</v>
      </c>
      <c r="B1389" s="4">
        <v>1353.69</v>
      </c>
      <c r="C1389" s="4">
        <v>30.6</v>
      </c>
      <c r="D1389" s="4">
        <v>1323.09</v>
      </c>
      <c r="E1389">
        <v>90</v>
      </c>
      <c r="F1389">
        <v>90</v>
      </c>
    </row>
    <row r="1390" spans="1:6" x14ac:dyDescent="0.25">
      <c r="A1390" t="s">
        <v>1516</v>
      </c>
      <c r="B1390" s="4">
        <v>1352.17</v>
      </c>
      <c r="C1390" s="4">
        <v>0</v>
      </c>
      <c r="D1390" s="4">
        <v>1352.17</v>
      </c>
      <c r="E1390">
        <v>270</v>
      </c>
      <c r="F1390">
        <v>266</v>
      </c>
    </row>
    <row r="1391" spans="1:6" x14ac:dyDescent="0.25">
      <c r="A1391" t="s">
        <v>1517</v>
      </c>
      <c r="B1391" s="4">
        <v>1351.64</v>
      </c>
      <c r="C1391" s="4">
        <v>39.950000000000003</v>
      </c>
      <c r="D1391" s="4">
        <v>1311.69</v>
      </c>
      <c r="E1391">
        <v>20</v>
      </c>
      <c r="F1391">
        <v>20</v>
      </c>
    </row>
    <row r="1392" spans="1:6" x14ac:dyDescent="0.25">
      <c r="A1392" t="s">
        <v>1518</v>
      </c>
      <c r="B1392" s="4">
        <v>1349.17</v>
      </c>
      <c r="C1392" s="4">
        <v>0</v>
      </c>
      <c r="D1392" s="4">
        <v>1349.17</v>
      </c>
      <c r="E1392">
        <v>139</v>
      </c>
      <c r="F1392">
        <v>135</v>
      </c>
    </row>
    <row r="1393" spans="1:6" x14ac:dyDescent="0.25">
      <c r="A1393" t="s">
        <v>1519</v>
      </c>
      <c r="B1393" s="4">
        <v>1347.52</v>
      </c>
      <c r="C1393" s="4">
        <v>0.84</v>
      </c>
      <c r="D1393" s="4">
        <v>1346.68</v>
      </c>
      <c r="E1393">
        <v>216</v>
      </c>
      <c r="F1393">
        <v>213</v>
      </c>
    </row>
    <row r="1394" spans="1:6" x14ac:dyDescent="0.25">
      <c r="A1394" t="s">
        <v>1520</v>
      </c>
      <c r="B1394" s="4">
        <v>1347.08</v>
      </c>
      <c r="C1394" s="4">
        <v>30</v>
      </c>
      <c r="D1394" s="4">
        <v>1317.08</v>
      </c>
      <c r="E1394">
        <v>98</v>
      </c>
      <c r="F1394">
        <v>98</v>
      </c>
    </row>
    <row r="1395" spans="1:6" x14ac:dyDescent="0.25">
      <c r="A1395" t="s">
        <v>1521</v>
      </c>
      <c r="B1395" s="4">
        <v>1346.65</v>
      </c>
      <c r="C1395" s="4">
        <v>8.4499999999999993</v>
      </c>
      <c r="D1395" s="4">
        <v>1338.2</v>
      </c>
      <c r="E1395">
        <v>176</v>
      </c>
      <c r="F1395">
        <v>171</v>
      </c>
    </row>
    <row r="1396" spans="1:6" x14ac:dyDescent="0.25">
      <c r="A1396" t="s">
        <v>1522</v>
      </c>
      <c r="B1396" s="4">
        <v>1344.77</v>
      </c>
      <c r="C1396" s="4">
        <v>7.8</v>
      </c>
      <c r="D1396" s="4">
        <v>1336.97</v>
      </c>
      <c r="E1396">
        <v>248</v>
      </c>
      <c r="F1396">
        <v>240</v>
      </c>
    </row>
    <row r="1397" spans="1:6" x14ac:dyDescent="0.25">
      <c r="A1397" t="s">
        <v>1523</v>
      </c>
      <c r="B1397" s="4">
        <v>1343.64</v>
      </c>
      <c r="C1397" s="4">
        <v>45</v>
      </c>
      <c r="D1397" s="4">
        <v>1298.6400000000001</v>
      </c>
      <c r="E1397">
        <v>73</v>
      </c>
      <c r="F1397">
        <v>69</v>
      </c>
    </row>
    <row r="1398" spans="1:6" x14ac:dyDescent="0.25">
      <c r="A1398" t="s">
        <v>1524</v>
      </c>
      <c r="B1398" s="4">
        <v>1342.39</v>
      </c>
      <c r="C1398" s="4">
        <v>29.7</v>
      </c>
      <c r="D1398" s="4">
        <v>1312.69</v>
      </c>
      <c r="E1398">
        <v>101</v>
      </c>
      <c r="F1398">
        <v>100</v>
      </c>
    </row>
    <row r="1399" spans="1:6" x14ac:dyDescent="0.25">
      <c r="A1399" t="s">
        <v>1525</v>
      </c>
      <c r="B1399" s="4">
        <v>1341.67</v>
      </c>
      <c r="C1399" s="4">
        <v>0</v>
      </c>
      <c r="D1399" s="4">
        <v>1341.67</v>
      </c>
      <c r="E1399">
        <v>129</v>
      </c>
      <c r="F1399">
        <v>122</v>
      </c>
    </row>
    <row r="1400" spans="1:6" x14ac:dyDescent="0.25">
      <c r="A1400" t="s">
        <v>1526</v>
      </c>
      <c r="B1400" s="4">
        <v>1337.51</v>
      </c>
      <c r="C1400" s="4">
        <v>29.75</v>
      </c>
      <c r="D1400" s="4">
        <v>1307.76</v>
      </c>
      <c r="E1400">
        <v>98</v>
      </c>
      <c r="F1400">
        <v>95</v>
      </c>
    </row>
    <row r="1401" spans="1:6" x14ac:dyDescent="0.25">
      <c r="A1401" t="s">
        <v>1527</v>
      </c>
      <c r="B1401" s="4">
        <v>1336.78</v>
      </c>
      <c r="C1401" s="4">
        <v>9.9</v>
      </c>
      <c r="D1401" s="4">
        <v>1326.88</v>
      </c>
      <c r="E1401">
        <v>96</v>
      </c>
      <c r="F1401">
        <v>96</v>
      </c>
    </row>
    <row r="1402" spans="1:6" x14ac:dyDescent="0.25">
      <c r="A1402" t="s">
        <v>1528</v>
      </c>
      <c r="B1402" s="4">
        <v>1334.49</v>
      </c>
      <c r="C1402" s="4">
        <v>0</v>
      </c>
      <c r="D1402" s="4">
        <v>1334.49</v>
      </c>
      <c r="E1402">
        <v>33</v>
      </c>
      <c r="F1402">
        <v>32</v>
      </c>
    </row>
    <row r="1403" spans="1:6" x14ac:dyDescent="0.25">
      <c r="A1403" t="s">
        <v>1529</v>
      </c>
      <c r="B1403" s="4">
        <v>1334.16</v>
      </c>
      <c r="C1403" s="4">
        <v>16.12</v>
      </c>
      <c r="D1403" s="4">
        <v>1318.04</v>
      </c>
      <c r="E1403">
        <v>65</v>
      </c>
      <c r="F1403">
        <v>63</v>
      </c>
    </row>
    <row r="1404" spans="1:6" x14ac:dyDescent="0.25">
      <c r="A1404" t="s">
        <v>1530</v>
      </c>
      <c r="B1404" s="4">
        <v>1333.75</v>
      </c>
      <c r="C1404" s="4">
        <v>4.3499999999999996</v>
      </c>
      <c r="D1404" s="4">
        <v>1329.4</v>
      </c>
      <c r="E1404">
        <v>145</v>
      </c>
      <c r="F1404">
        <v>143</v>
      </c>
    </row>
    <row r="1405" spans="1:6" x14ac:dyDescent="0.25">
      <c r="A1405" t="s">
        <v>1531</v>
      </c>
      <c r="B1405" s="4">
        <v>1333.21</v>
      </c>
      <c r="C1405" s="4">
        <v>5.9</v>
      </c>
      <c r="D1405" s="4">
        <v>1327.31</v>
      </c>
      <c r="E1405">
        <v>104</v>
      </c>
      <c r="F1405">
        <v>101</v>
      </c>
    </row>
    <row r="1406" spans="1:6" x14ac:dyDescent="0.25">
      <c r="A1406" t="s">
        <v>1532</v>
      </c>
      <c r="B1406" s="4">
        <v>1329.44</v>
      </c>
      <c r="C1406" s="4">
        <v>97.35</v>
      </c>
      <c r="D1406" s="4">
        <v>1232.0899999999999</v>
      </c>
      <c r="E1406">
        <v>133</v>
      </c>
      <c r="F1406">
        <v>133</v>
      </c>
    </row>
    <row r="1407" spans="1:6" x14ac:dyDescent="0.25">
      <c r="A1407" t="s">
        <v>1533</v>
      </c>
      <c r="B1407" s="4">
        <v>1323.37</v>
      </c>
      <c r="C1407" s="4">
        <v>0</v>
      </c>
      <c r="D1407" s="4">
        <v>1323.37</v>
      </c>
      <c r="E1407">
        <v>119</v>
      </c>
      <c r="F1407">
        <v>118</v>
      </c>
    </row>
    <row r="1408" spans="1:6" x14ac:dyDescent="0.25">
      <c r="A1408" t="s">
        <v>1534</v>
      </c>
      <c r="B1408" s="4">
        <v>1322.5</v>
      </c>
      <c r="C1408" s="4">
        <v>0</v>
      </c>
      <c r="D1408" s="4">
        <v>1322.5</v>
      </c>
      <c r="E1408">
        <v>180</v>
      </c>
      <c r="F1408">
        <v>163</v>
      </c>
    </row>
    <row r="1409" spans="1:6" x14ac:dyDescent="0.25">
      <c r="A1409" t="s">
        <v>1535</v>
      </c>
      <c r="B1409" s="4">
        <v>1321.38</v>
      </c>
      <c r="C1409" s="4">
        <v>4.95</v>
      </c>
      <c r="D1409" s="4">
        <v>1316.43</v>
      </c>
      <c r="E1409">
        <v>73</v>
      </c>
      <c r="F1409">
        <v>70</v>
      </c>
    </row>
    <row r="1410" spans="1:6" x14ac:dyDescent="0.25">
      <c r="A1410" t="s">
        <v>1536</v>
      </c>
      <c r="B1410" s="4">
        <v>1316.16</v>
      </c>
      <c r="C1410" s="4">
        <v>7.8</v>
      </c>
      <c r="D1410" s="4">
        <v>1308.3599999999999</v>
      </c>
      <c r="E1410">
        <v>245</v>
      </c>
      <c r="F1410">
        <v>237</v>
      </c>
    </row>
    <row r="1411" spans="1:6" x14ac:dyDescent="0.25">
      <c r="A1411" t="s">
        <v>1537</v>
      </c>
      <c r="B1411" s="4">
        <v>1315.43</v>
      </c>
      <c r="C1411" s="4">
        <v>4.68</v>
      </c>
      <c r="D1411" s="4">
        <v>1310.75</v>
      </c>
      <c r="E1411">
        <v>274</v>
      </c>
      <c r="F1411">
        <v>266</v>
      </c>
    </row>
    <row r="1412" spans="1:6" x14ac:dyDescent="0.25">
      <c r="A1412" t="s">
        <v>1538</v>
      </c>
      <c r="B1412" s="4">
        <v>1313.39</v>
      </c>
      <c r="C1412" s="4">
        <v>0</v>
      </c>
      <c r="D1412" s="4">
        <v>1313.39</v>
      </c>
      <c r="E1412">
        <v>100</v>
      </c>
      <c r="F1412">
        <v>100</v>
      </c>
    </row>
    <row r="1413" spans="1:6" x14ac:dyDescent="0.25">
      <c r="A1413" t="s">
        <v>1539</v>
      </c>
      <c r="B1413" s="4">
        <v>1313.28</v>
      </c>
      <c r="C1413" s="4">
        <v>23.89</v>
      </c>
      <c r="D1413" s="4">
        <v>1289.3900000000001</v>
      </c>
      <c r="E1413">
        <v>115</v>
      </c>
      <c r="F1413">
        <v>115</v>
      </c>
    </row>
    <row r="1414" spans="1:6" x14ac:dyDescent="0.25">
      <c r="A1414" t="s">
        <v>1540</v>
      </c>
      <c r="B1414" s="4">
        <v>1311.36</v>
      </c>
      <c r="C1414" s="4">
        <v>0</v>
      </c>
      <c r="D1414" s="4">
        <v>1311.36</v>
      </c>
      <c r="E1414">
        <v>22</v>
      </c>
      <c r="F1414">
        <v>22</v>
      </c>
    </row>
    <row r="1415" spans="1:6" x14ac:dyDescent="0.25">
      <c r="A1415" t="s">
        <v>1541</v>
      </c>
      <c r="B1415" s="4">
        <v>1309.18</v>
      </c>
      <c r="C1415" s="4">
        <v>5.04</v>
      </c>
      <c r="D1415" s="4">
        <v>1304.1400000000001</v>
      </c>
      <c r="E1415">
        <v>264</v>
      </c>
      <c r="F1415">
        <v>262</v>
      </c>
    </row>
    <row r="1416" spans="1:6" x14ac:dyDescent="0.25">
      <c r="A1416" t="s">
        <v>1542</v>
      </c>
      <c r="B1416" s="4">
        <v>1308.56</v>
      </c>
      <c r="C1416" s="4">
        <v>0</v>
      </c>
      <c r="D1416" s="4">
        <v>1308.56</v>
      </c>
      <c r="E1416">
        <v>81</v>
      </c>
      <c r="F1416">
        <v>80</v>
      </c>
    </row>
    <row r="1417" spans="1:6" x14ac:dyDescent="0.25">
      <c r="A1417" t="s">
        <v>1543</v>
      </c>
      <c r="B1417" s="4">
        <v>1308.3800000000001</v>
      </c>
      <c r="C1417" s="4">
        <v>30</v>
      </c>
      <c r="D1417" s="4">
        <v>1278.3800000000001</v>
      </c>
      <c r="E1417">
        <v>158</v>
      </c>
      <c r="F1417">
        <v>158</v>
      </c>
    </row>
    <row r="1418" spans="1:6" x14ac:dyDescent="0.25">
      <c r="A1418" t="s">
        <v>1544</v>
      </c>
      <c r="B1418" s="4">
        <v>1305.25</v>
      </c>
      <c r="C1418" s="4">
        <v>10.08</v>
      </c>
      <c r="D1418" s="4">
        <v>1295.17</v>
      </c>
      <c r="E1418">
        <v>274</v>
      </c>
      <c r="F1418">
        <v>261</v>
      </c>
    </row>
    <row r="1419" spans="1:6" x14ac:dyDescent="0.25">
      <c r="A1419" t="s">
        <v>1545</v>
      </c>
      <c r="B1419" s="4">
        <v>1301.55</v>
      </c>
      <c r="C1419" s="4">
        <v>0</v>
      </c>
      <c r="D1419" s="4">
        <v>1301.55</v>
      </c>
      <c r="E1419">
        <v>107</v>
      </c>
      <c r="F1419">
        <v>101</v>
      </c>
    </row>
    <row r="1420" spans="1:6" x14ac:dyDescent="0.25">
      <c r="A1420" t="s">
        <v>1546</v>
      </c>
      <c r="B1420" s="4">
        <v>1299.83</v>
      </c>
      <c r="C1420" s="4">
        <v>0</v>
      </c>
      <c r="D1420" s="4">
        <v>1299.83</v>
      </c>
      <c r="E1420">
        <v>47</v>
      </c>
      <c r="F1420">
        <v>47</v>
      </c>
    </row>
    <row r="1421" spans="1:6" x14ac:dyDescent="0.25">
      <c r="A1421" t="s">
        <v>1547</v>
      </c>
      <c r="B1421" s="4">
        <v>1297.1199999999999</v>
      </c>
      <c r="C1421" s="4">
        <v>44.2</v>
      </c>
      <c r="D1421" s="4">
        <v>1252.92</v>
      </c>
      <c r="E1421">
        <v>204</v>
      </c>
      <c r="F1421">
        <v>197</v>
      </c>
    </row>
    <row r="1422" spans="1:6" x14ac:dyDescent="0.25">
      <c r="A1422" t="s">
        <v>1548</v>
      </c>
      <c r="B1422" s="4">
        <v>1296.6099999999999</v>
      </c>
      <c r="C1422" s="4">
        <v>0</v>
      </c>
      <c r="D1422" s="4">
        <v>1296.6099999999999</v>
      </c>
      <c r="E1422">
        <v>75</v>
      </c>
      <c r="F1422">
        <v>74</v>
      </c>
    </row>
    <row r="1423" spans="1:6" x14ac:dyDescent="0.25">
      <c r="A1423" t="s">
        <v>1549</v>
      </c>
      <c r="B1423" s="4">
        <v>1296.23</v>
      </c>
      <c r="C1423" s="4">
        <v>0</v>
      </c>
      <c r="D1423" s="4">
        <v>1296.23</v>
      </c>
      <c r="E1423">
        <v>111</v>
      </c>
      <c r="F1423">
        <v>109</v>
      </c>
    </row>
    <row r="1424" spans="1:6" x14ac:dyDescent="0.25">
      <c r="A1424" t="s">
        <v>1550</v>
      </c>
      <c r="B1424" s="4">
        <v>1296.1300000000001</v>
      </c>
      <c r="C1424" s="4">
        <v>0</v>
      </c>
      <c r="D1424" s="4">
        <v>1296.1300000000001</v>
      </c>
      <c r="E1424">
        <v>197</v>
      </c>
      <c r="F1424">
        <v>193</v>
      </c>
    </row>
    <row r="1425" spans="1:6" x14ac:dyDescent="0.25">
      <c r="A1425" t="s">
        <v>1551</v>
      </c>
      <c r="B1425" s="4">
        <v>1295.21</v>
      </c>
      <c r="C1425" s="4">
        <v>8.5</v>
      </c>
      <c r="D1425" s="4">
        <v>1286.71</v>
      </c>
      <c r="E1425">
        <v>120</v>
      </c>
      <c r="F1425">
        <v>117</v>
      </c>
    </row>
    <row r="1426" spans="1:6" x14ac:dyDescent="0.25">
      <c r="A1426" t="s">
        <v>1552</v>
      </c>
      <c r="B1426" s="4">
        <v>1295</v>
      </c>
      <c r="C1426" s="4">
        <v>3.4</v>
      </c>
      <c r="D1426" s="4">
        <v>1291.5999999999999</v>
      </c>
      <c r="E1426">
        <v>63</v>
      </c>
      <c r="F1426">
        <v>63</v>
      </c>
    </row>
    <row r="1427" spans="1:6" x14ac:dyDescent="0.25">
      <c r="A1427" t="s">
        <v>1553</v>
      </c>
      <c r="B1427" s="4">
        <v>1289.49</v>
      </c>
      <c r="C1427" s="4">
        <v>4.25</v>
      </c>
      <c r="D1427" s="4">
        <v>1285.24</v>
      </c>
      <c r="E1427">
        <v>148</v>
      </c>
      <c r="F1427">
        <v>147</v>
      </c>
    </row>
    <row r="1428" spans="1:6" x14ac:dyDescent="0.25">
      <c r="A1428" t="s">
        <v>1554</v>
      </c>
      <c r="B1428" s="4">
        <v>1288.3399999999999</v>
      </c>
      <c r="C1428" s="4">
        <v>0</v>
      </c>
      <c r="D1428" s="4">
        <v>1288.3399999999999</v>
      </c>
      <c r="E1428">
        <v>142</v>
      </c>
      <c r="F1428">
        <v>138</v>
      </c>
    </row>
    <row r="1429" spans="1:6" x14ac:dyDescent="0.25">
      <c r="A1429" t="s">
        <v>1555</v>
      </c>
      <c r="B1429" s="4">
        <v>1283.99</v>
      </c>
      <c r="C1429" s="4">
        <v>102</v>
      </c>
      <c r="D1429" s="4">
        <v>1181.99</v>
      </c>
      <c r="E1429">
        <v>116</v>
      </c>
      <c r="F1429">
        <v>115</v>
      </c>
    </row>
    <row r="1430" spans="1:6" x14ac:dyDescent="0.25">
      <c r="A1430" t="s">
        <v>1556</v>
      </c>
      <c r="B1430" s="4">
        <v>1280.49</v>
      </c>
      <c r="C1430" s="4">
        <v>5.85</v>
      </c>
      <c r="D1430" s="4">
        <v>1274.6400000000001</v>
      </c>
      <c r="E1430">
        <v>318</v>
      </c>
      <c r="F1430">
        <v>308</v>
      </c>
    </row>
    <row r="1431" spans="1:6" x14ac:dyDescent="0.25">
      <c r="A1431" t="s">
        <v>1557</v>
      </c>
      <c r="B1431" s="4">
        <v>1280.31</v>
      </c>
      <c r="C1431" s="4">
        <v>1.26</v>
      </c>
      <c r="D1431" s="4">
        <v>1279.05</v>
      </c>
      <c r="E1431">
        <v>230</v>
      </c>
      <c r="F1431">
        <v>222</v>
      </c>
    </row>
    <row r="1432" spans="1:6" x14ac:dyDescent="0.25">
      <c r="A1432" t="s">
        <v>1558</v>
      </c>
      <c r="B1432" s="4">
        <v>1278.5999999999999</v>
      </c>
      <c r="C1432" s="4">
        <v>7.8</v>
      </c>
      <c r="D1432" s="4">
        <v>1270.8</v>
      </c>
      <c r="E1432">
        <v>246</v>
      </c>
      <c r="F1432">
        <v>238</v>
      </c>
    </row>
    <row r="1433" spans="1:6" x14ac:dyDescent="0.25">
      <c r="A1433" t="s">
        <v>1559</v>
      </c>
      <c r="B1433" s="4">
        <v>1278.23</v>
      </c>
      <c r="C1433" s="4">
        <v>14.04</v>
      </c>
      <c r="D1433" s="4">
        <v>1264.19</v>
      </c>
      <c r="E1433">
        <v>220</v>
      </c>
      <c r="F1433">
        <v>217</v>
      </c>
    </row>
    <row r="1434" spans="1:6" x14ac:dyDescent="0.25">
      <c r="A1434" t="s">
        <v>1560</v>
      </c>
      <c r="B1434" s="4">
        <v>1277.47</v>
      </c>
      <c r="C1434" s="4">
        <v>0</v>
      </c>
      <c r="D1434" s="4">
        <v>1277.47</v>
      </c>
      <c r="E1434">
        <v>88</v>
      </c>
      <c r="F1434">
        <v>86</v>
      </c>
    </row>
    <row r="1435" spans="1:6" x14ac:dyDescent="0.25">
      <c r="A1435" t="s">
        <v>1561</v>
      </c>
      <c r="B1435" s="4">
        <v>1273.76</v>
      </c>
      <c r="C1435" s="4">
        <v>384</v>
      </c>
      <c r="D1435" s="4">
        <v>889.76</v>
      </c>
      <c r="E1435">
        <v>30</v>
      </c>
      <c r="F1435">
        <v>30</v>
      </c>
    </row>
    <row r="1436" spans="1:6" x14ac:dyDescent="0.25">
      <c r="A1436" t="s">
        <v>1562</v>
      </c>
      <c r="B1436" s="4">
        <v>1273.1099999999999</v>
      </c>
      <c r="C1436" s="4">
        <v>22.5</v>
      </c>
      <c r="D1436" s="4">
        <v>1250.6099999999999</v>
      </c>
      <c r="E1436">
        <v>129</v>
      </c>
      <c r="F1436">
        <v>128</v>
      </c>
    </row>
    <row r="1437" spans="1:6" x14ac:dyDescent="0.25">
      <c r="A1437" t="s">
        <v>1563</v>
      </c>
      <c r="B1437" s="4">
        <v>1271.52</v>
      </c>
      <c r="C1437" s="4">
        <v>0</v>
      </c>
      <c r="D1437" s="4">
        <v>1271.52</v>
      </c>
      <c r="E1437">
        <v>105</v>
      </c>
      <c r="F1437">
        <v>103</v>
      </c>
    </row>
    <row r="1438" spans="1:6" x14ac:dyDescent="0.25">
      <c r="A1438" t="s">
        <v>1564</v>
      </c>
      <c r="B1438" s="4">
        <v>1270.82</v>
      </c>
      <c r="C1438" s="4">
        <v>5.85</v>
      </c>
      <c r="D1438" s="4">
        <v>1264.97</v>
      </c>
      <c r="E1438">
        <v>216</v>
      </c>
      <c r="F1438">
        <v>210</v>
      </c>
    </row>
    <row r="1439" spans="1:6" x14ac:dyDescent="0.25">
      <c r="A1439" t="s">
        <v>1565</v>
      </c>
      <c r="B1439" s="4">
        <v>1268.19</v>
      </c>
      <c r="C1439" s="4">
        <v>0</v>
      </c>
      <c r="D1439" s="4">
        <v>1268.19</v>
      </c>
      <c r="E1439">
        <v>3</v>
      </c>
      <c r="F1439">
        <v>3</v>
      </c>
    </row>
    <row r="1440" spans="1:6" x14ac:dyDescent="0.25">
      <c r="A1440" t="s">
        <v>1566</v>
      </c>
      <c r="B1440" s="4">
        <v>1264.2</v>
      </c>
      <c r="C1440" s="4">
        <v>25.08</v>
      </c>
      <c r="D1440" s="4">
        <v>1239.1199999999999</v>
      </c>
      <c r="E1440">
        <v>170</v>
      </c>
      <c r="F1440">
        <v>163</v>
      </c>
    </row>
    <row r="1441" spans="1:6" x14ac:dyDescent="0.25">
      <c r="A1441" t="s">
        <v>1567</v>
      </c>
      <c r="B1441" s="4">
        <v>1256.17</v>
      </c>
      <c r="C1441" s="4">
        <v>10.4</v>
      </c>
      <c r="D1441" s="4">
        <v>1245.77</v>
      </c>
      <c r="E1441">
        <v>101</v>
      </c>
      <c r="F1441">
        <v>98</v>
      </c>
    </row>
    <row r="1442" spans="1:6" x14ac:dyDescent="0.25">
      <c r="A1442" t="s">
        <v>1568</v>
      </c>
      <c r="B1442" s="4">
        <v>1255.72</v>
      </c>
      <c r="C1442" s="4">
        <v>0</v>
      </c>
      <c r="D1442" s="4">
        <v>1255.72</v>
      </c>
      <c r="E1442">
        <v>186</v>
      </c>
      <c r="F1442">
        <v>179</v>
      </c>
    </row>
    <row r="1443" spans="1:6" x14ac:dyDescent="0.25">
      <c r="A1443" t="s">
        <v>1569</v>
      </c>
      <c r="B1443" s="4">
        <v>1255.0999999999999</v>
      </c>
      <c r="C1443" s="4">
        <v>434</v>
      </c>
      <c r="D1443" s="4">
        <v>821.1</v>
      </c>
      <c r="E1443">
        <v>24</v>
      </c>
      <c r="F1443">
        <v>19</v>
      </c>
    </row>
    <row r="1444" spans="1:6" x14ac:dyDescent="0.25">
      <c r="A1444" t="s">
        <v>1570</v>
      </c>
      <c r="B1444" s="4">
        <v>1253.8599999999999</v>
      </c>
      <c r="C1444" s="4">
        <v>1.25</v>
      </c>
      <c r="D1444" s="4">
        <v>1252.6099999999999</v>
      </c>
      <c r="E1444">
        <v>137</v>
      </c>
      <c r="F1444">
        <v>135</v>
      </c>
    </row>
    <row r="1445" spans="1:6" x14ac:dyDescent="0.25">
      <c r="A1445" t="s">
        <v>1571</v>
      </c>
      <c r="B1445" s="4">
        <v>1249.1099999999999</v>
      </c>
      <c r="C1445" s="4">
        <v>0</v>
      </c>
      <c r="D1445" s="4">
        <v>1249.1099999999999</v>
      </c>
      <c r="E1445">
        <v>85</v>
      </c>
      <c r="F1445">
        <v>78</v>
      </c>
    </row>
    <row r="1446" spans="1:6" x14ac:dyDescent="0.25">
      <c r="A1446" t="s">
        <v>1572</v>
      </c>
      <c r="B1446" s="4">
        <v>1247.78</v>
      </c>
      <c r="C1446" s="4">
        <v>28.9</v>
      </c>
      <c r="D1446" s="4">
        <v>1218.8800000000001</v>
      </c>
      <c r="E1446">
        <v>191</v>
      </c>
      <c r="F1446">
        <v>186</v>
      </c>
    </row>
    <row r="1447" spans="1:6" x14ac:dyDescent="0.25">
      <c r="A1447" t="s">
        <v>1573</v>
      </c>
      <c r="B1447" s="4">
        <v>1244.95</v>
      </c>
      <c r="C1447" s="4">
        <v>27.25</v>
      </c>
      <c r="D1447" s="4">
        <v>1217.7</v>
      </c>
      <c r="E1447">
        <v>49</v>
      </c>
      <c r="F1447">
        <v>47</v>
      </c>
    </row>
    <row r="1448" spans="1:6" x14ac:dyDescent="0.25">
      <c r="A1448" t="s">
        <v>1574</v>
      </c>
      <c r="B1448" s="4">
        <v>1242.06</v>
      </c>
      <c r="C1448" s="4">
        <v>56.75</v>
      </c>
      <c r="D1448" s="4">
        <v>1185.31</v>
      </c>
      <c r="E1448">
        <v>80</v>
      </c>
      <c r="F1448">
        <v>78</v>
      </c>
    </row>
    <row r="1449" spans="1:6" x14ac:dyDescent="0.25">
      <c r="A1449" t="s">
        <v>1575</v>
      </c>
      <c r="B1449" s="4">
        <v>1241.32</v>
      </c>
      <c r="C1449" s="4">
        <v>19.8</v>
      </c>
      <c r="D1449" s="4">
        <v>1221.52</v>
      </c>
      <c r="E1449">
        <v>201</v>
      </c>
      <c r="F1449">
        <v>199</v>
      </c>
    </row>
    <row r="1450" spans="1:6" x14ac:dyDescent="0.25">
      <c r="A1450" t="s">
        <v>1576</v>
      </c>
      <c r="B1450" s="4">
        <v>1241.3</v>
      </c>
      <c r="C1450" s="4">
        <v>87.45</v>
      </c>
      <c r="D1450" s="4">
        <v>1153.8499999999999</v>
      </c>
      <c r="E1450">
        <v>78</v>
      </c>
      <c r="F1450">
        <v>78</v>
      </c>
    </row>
    <row r="1451" spans="1:6" x14ac:dyDescent="0.25">
      <c r="A1451" t="s">
        <v>1577</v>
      </c>
      <c r="B1451" s="4">
        <v>1238.76</v>
      </c>
      <c r="C1451" s="4">
        <v>17.399999999999999</v>
      </c>
      <c r="D1451" s="4">
        <v>1221.3599999999999</v>
      </c>
      <c r="E1451">
        <v>87</v>
      </c>
      <c r="F1451">
        <v>82</v>
      </c>
    </row>
    <row r="1452" spans="1:6" x14ac:dyDescent="0.25">
      <c r="A1452" t="s">
        <v>1578</v>
      </c>
      <c r="B1452" s="4">
        <v>1237.08</v>
      </c>
      <c r="C1452" s="4">
        <v>11.05</v>
      </c>
      <c r="D1452" s="4">
        <v>1226.03</v>
      </c>
      <c r="E1452">
        <v>177</v>
      </c>
      <c r="F1452">
        <v>171</v>
      </c>
    </row>
    <row r="1453" spans="1:6" x14ac:dyDescent="0.25">
      <c r="A1453" t="s">
        <v>1579</v>
      </c>
      <c r="B1453" s="4">
        <v>1234.67</v>
      </c>
      <c r="C1453" s="4">
        <v>12.27</v>
      </c>
      <c r="D1453" s="4">
        <v>1222.4000000000001</v>
      </c>
      <c r="E1453">
        <v>187</v>
      </c>
      <c r="F1453">
        <v>180</v>
      </c>
    </row>
    <row r="1454" spans="1:6" x14ac:dyDescent="0.25">
      <c r="A1454" t="s">
        <v>1580</v>
      </c>
      <c r="B1454" s="4">
        <v>1232.27</v>
      </c>
      <c r="C1454" s="4">
        <v>30</v>
      </c>
      <c r="D1454" s="4">
        <v>1202.27</v>
      </c>
      <c r="E1454">
        <v>163</v>
      </c>
      <c r="F1454">
        <v>161</v>
      </c>
    </row>
    <row r="1455" spans="1:6" x14ac:dyDescent="0.25">
      <c r="A1455" t="s">
        <v>1581</v>
      </c>
      <c r="B1455" s="4">
        <v>1231.52</v>
      </c>
      <c r="C1455" s="4">
        <v>0</v>
      </c>
      <c r="D1455" s="4">
        <v>1231.52</v>
      </c>
      <c r="E1455">
        <v>101</v>
      </c>
      <c r="F1455">
        <v>100</v>
      </c>
    </row>
    <row r="1456" spans="1:6" x14ac:dyDescent="0.25">
      <c r="A1456" t="s">
        <v>1582</v>
      </c>
      <c r="B1456" s="4">
        <v>1227.95</v>
      </c>
      <c r="C1456" s="4">
        <v>0</v>
      </c>
      <c r="D1456" s="4">
        <v>1227.95</v>
      </c>
      <c r="E1456">
        <v>42</v>
      </c>
      <c r="F1456">
        <v>41</v>
      </c>
    </row>
    <row r="1457" spans="1:6" x14ac:dyDescent="0.25">
      <c r="A1457" t="s">
        <v>1583</v>
      </c>
      <c r="B1457" s="4">
        <v>1224.46</v>
      </c>
      <c r="C1457" s="4">
        <v>7.8</v>
      </c>
      <c r="D1457" s="4">
        <v>1216.6600000000001</v>
      </c>
      <c r="E1457">
        <v>247</v>
      </c>
      <c r="F1457">
        <v>240</v>
      </c>
    </row>
    <row r="1458" spans="1:6" x14ac:dyDescent="0.25">
      <c r="A1458" t="s">
        <v>1584</v>
      </c>
      <c r="B1458" s="4">
        <v>1222.6099999999999</v>
      </c>
      <c r="C1458" s="4">
        <v>8.5</v>
      </c>
      <c r="D1458" s="4">
        <v>1214.1099999999999</v>
      </c>
      <c r="E1458">
        <v>147</v>
      </c>
      <c r="F1458">
        <v>145</v>
      </c>
    </row>
    <row r="1459" spans="1:6" x14ac:dyDescent="0.25">
      <c r="A1459" t="s">
        <v>1585</v>
      </c>
      <c r="B1459" s="4">
        <v>1222.07</v>
      </c>
      <c r="C1459" s="4">
        <v>11.7</v>
      </c>
      <c r="D1459" s="4">
        <v>1210.3699999999999</v>
      </c>
      <c r="E1459">
        <v>93</v>
      </c>
      <c r="F1459">
        <v>90</v>
      </c>
    </row>
    <row r="1460" spans="1:6" x14ac:dyDescent="0.25">
      <c r="A1460" t="s">
        <v>1586</v>
      </c>
      <c r="B1460" s="4">
        <v>1221.43</v>
      </c>
      <c r="C1460" s="4">
        <v>0</v>
      </c>
      <c r="D1460" s="4">
        <v>1221.43</v>
      </c>
      <c r="E1460">
        <v>175</v>
      </c>
      <c r="F1460">
        <v>172</v>
      </c>
    </row>
    <row r="1461" spans="1:6" x14ac:dyDescent="0.25">
      <c r="A1461" t="s">
        <v>1587</v>
      </c>
      <c r="B1461" s="4">
        <v>1220.82</v>
      </c>
      <c r="C1461" s="4">
        <v>19.55</v>
      </c>
      <c r="D1461" s="4">
        <v>1201.27</v>
      </c>
      <c r="E1461">
        <v>40</v>
      </c>
      <c r="F1461">
        <v>40</v>
      </c>
    </row>
    <row r="1462" spans="1:6" x14ac:dyDescent="0.25">
      <c r="A1462" t="s">
        <v>1588</v>
      </c>
      <c r="B1462" s="4">
        <v>1218.95</v>
      </c>
      <c r="C1462" s="4">
        <v>6.6</v>
      </c>
      <c r="D1462" s="4">
        <v>1212.3499999999999</v>
      </c>
      <c r="E1462">
        <v>309</v>
      </c>
      <c r="F1462">
        <v>305</v>
      </c>
    </row>
    <row r="1463" spans="1:6" x14ac:dyDescent="0.25">
      <c r="A1463" t="s">
        <v>1589</v>
      </c>
      <c r="B1463" s="4">
        <v>1218.48</v>
      </c>
      <c r="C1463" s="4">
        <v>0</v>
      </c>
      <c r="D1463" s="4">
        <v>1218.48</v>
      </c>
      <c r="E1463">
        <v>48</v>
      </c>
      <c r="F1463">
        <v>47</v>
      </c>
    </row>
    <row r="1464" spans="1:6" x14ac:dyDescent="0.25">
      <c r="A1464" t="s">
        <v>1590</v>
      </c>
      <c r="B1464" s="4">
        <v>1217.73</v>
      </c>
      <c r="C1464" s="4">
        <v>0</v>
      </c>
      <c r="D1464" s="4">
        <v>1217.73</v>
      </c>
      <c r="E1464">
        <v>143</v>
      </c>
      <c r="F1464">
        <v>141</v>
      </c>
    </row>
    <row r="1465" spans="1:6" x14ac:dyDescent="0.25">
      <c r="A1465" t="s">
        <v>1591</v>
      </c>
      <c r="B1465" s="4">
        <v>1213.3399999999999</v>
      </c>
      <c r="C1465" s="4">
        <v>21</v>
      </c>
      <c r="D1465" s="4">
        <v>1192.3399999999999</v>
      </c>
      <c r="E1465">
        <v>104</v>
      </c>
      <c r="F1465">
        <v>103</v>
      </c>
    </row>
    <row r="1466" spans="1:6" x14ac:dyDescent="0.25">
      <c r="A1466" t="s">
        <v>1592</v>
      </c>
      <c r="B1466" s="4">
        <v>1213.29</v>
      </c>
      <c r="C1466" s="4">
        <v>0</v>
      </c>
      <c r="D1466" s="4">
        <v>1213.29</v>
      </c>
      <c r="E1466">
        <v>142</v>
      </c>
      <c r="F1466">
        <v>136</v>
      </c>
    </row>
    <row r="1467" spans="1:6" x14ac:dyDescent="0.25">
      <c r="A1467" t="s">
        <v>1593</v>
      </c>
      <c r="B1467" s="4">
        <v>1212.82</v>
      </c>
      <c r="C1467" s="4">
        <v>0</v>
      </c>
      <c r="D1467" s="4">
        <v>1212.82</v>
      </c>
      <c r="E1467">
        <v>81</v>
      </c>
      <c r="F1467">
        <v>79</v>
      </c>
    </row>
    <row r="1468" spans="1:6" x14ac:dyDescent="0.25">
      <c r="A1468" t="s">
        <v>1594</v>
      </c>
      <c r="B1468" s="4">
        <v>1210.82</v>
      </c>
      <c r="C1468" s="4">
        <v>8.6999999999999993</v>
      </c>
      <c r="D1468" s="4">
        <v>1202.1199999999999</v>
      </c>
      <c r="E1468">
        <v>76</v>
      </c>
      <c r="F1468">
        <v>76</v>
      </c>
    </row>
    <row r="1469" spans="1:6" x14ac:dyDescent="0.25">
      <c r="A1469" t="s">
        <v>1595</v>
      </c>
      <c r="B1469" s="4">
        <v>1206.97</v>
      </c>
      <c r="C1469" s="4">
        <v>59.4</v>
      </c>
      <c r="D1469" s="4">
        <v>1147.57</v>
      </c>
      <c r="E1469">
        <v>103</v>
      </c>
      <c r="F1469">
        <v>103</v>
      </c>
    </row>
    <row r="1470" spans="1:6" x14ac:dyDescent="0.25">
      <c r="A1470" t="s">
        <v>1596</v>
      </c>
      <c r="B1470" s="4">
        <v>1205.3</v>
      </c>
      <c r="C1470" s="4">
        <v>110.5</v>
      </c>
      <c r="D1470" s="4">
        <v>1094.8</v>
      </c>
      <c r="E1470">
        <v>76</v>
      </c>
      <c r="F1470">
        <v>76</v>
      </c>
    </row>
    <row r="1471" spans="1:6" x14ac:dyDescent="0.25">
      <c r="A1471" t="s">
        <v>1597</v>
      </c>
      <c r="B1471" s="4">
        <v>1201.9100000000001</v>
      </c>
      <c r="C1471" s="4">
        <v>3.95</v>
      </c>
      <c r="D1471" s="4">
        <v>1197.96</v>
      </c>
      <c r="E1471">
        <v>78</v>
      </c>
      <c r="F1471">
        <v>78</v>
      </c>
    </row>
    <row r="1472" spans="1:6" x14ac:dyDescent="0.25">
      <c r="A1472" t="s">
        <v>1598</v>
      </c>
      <c r="B1472" s="4">
        <v>1201.04</v>
      </c>
      <c r="C1472" s="4">
        <v>29.12</v>
      </c>
      <c r="D1472" s="4">
        <v>1171.92</v>
      </c>
      <c r="E1472">
        <v>65</v>
      </c>
      <c r="F1472">
        <v>62</v>
      </c>
    </row>
    <row r="1473" spans="1:6" x14ac:dyDescent="0.25">
      <c r="A1473" t="s">
        <v>1599</v>
      </c>
      <c r="B1473" s="4">
        <v>1200</v>
      </c>
      <c r="C1473" s="4">
        <v>15</v>
      </c>
      <c r="D1473" s="4">
        <v>1185</v>
      </c>
      <c r="E1473">
        <v>79</v>
      </c>
      <c r="F1473">
        <v>79</v>
      </c>
    </row>
    <row r="1474" spans="1:6" x14ac:dyDescent="0.25">
      <c r="A1474" t="s">
        <v>1600</v>
      </c>
      <c r="B1474" s="4">
        <v>1199.75</v>
      </c>
      <c r="C1474" s="4">
        <v>195</v>
      </c>
      <c r="D1474" s="4">
        <v>1004.75</v>
      </c>
      <c r="E1474">
        <v>13</v>
      </c>
      <c r="F1474">
        <v>13</v>
      </c>
    </row>
    <row r="1475" spans="1:6" x14ac:dyDescent="0.25">
      <c r="A1475" t="s">
        <v>1601</v>
      </c>
      <c r="B1475" s="4">
        <v>1197.73</v>
      </c>
      <c r="C1475" s="4">
        <v>0</v>
      </c>
      <c r="D1475" s="4">
        <v>1197.73</v>
      </c>
      <c r="E1475">
        <v>191</v>
      </c>
      <c r="F1475">
        <v>189</v>
      </c>
    </row>
    <row r="1476" spans="1:6" x14ac:dyDescent="0.25">
      <c r="A1476" t="s">
        <v>1602</v>
      </c>
      <c r="B1476" s="4">
        <v>1193</v>
      </c>
      <c r="C1476" s="4">
        <v>16.5</v>
      </c>
      <c r="D1476" s="4">
        <v>1176.5</v>
      </c>
      <c r="E1476">
        <v>140</v>
      </c>
      <c r="F1476">
        <v>138</v>
      </c>
    </row>
    <row r="1477" spans="1:6" x14ac:dyDescent="0.25">
      <c r="A1477" t="s">
        <v>1603</v>
      </c>
      <c r="B1477" s="4">
        <v>1191.69</v>
      </c>
      <c r="C1477" s="4">
        <v>2.95</v>
      </c>
      <c r="D1477" s="4">
        <v>1188.74</v>
      </c>
      <c r="E1477">
        <v>81</v>
      </c>
      <c r="F1477">
        <v>78</v>
      </c>
    </row>
    <row r="1478" spans="1:6" x14ac:dyDescent="0.25">
      <c r="A1478" t="s">
        <v>1604</v>
      </c>
      <c r="B1478" s="4">
        <v>1190.51</v>
      </c>
      <c r="C1478" s="4">
        <v>0</v>
      </c>
      <c r="D1478" s="4">
        <v>1190.51</v>
      </c>
      <c r="E1478">
        <v>256</v>
      </c>
      <c r="F1478">
        <v>251</v>
      </c>
    </row>
    <row r="1479" spans="1:6" x14ac:dyDescent="0.25">
      <c r="A1479" t="s">
        <v>1605</v>
      </c>
      <c r="B1479" s="4">
        <v>1186.23</v>
      </c>
      <c r="C1479" s="4">
        <v>0</v>
      </c>
      <c r="D1479" s="4">
        <v>1186.23</v>
      </c>
      <c r="E1479">
        <v>109</v>
      </c>
      <c r="F1479">
        <v>107</v>
      </c>
    </row>
    <row r="1480" spans="1:6" x14ac:dyDescent="0.25">
      <c r="A1480" t="s">
        <v>1606</v>
      </c>
      <c r="B1480" s="4">
        <v>1184.1199999999999</v>
      </c>
      <c r="C1480" s="4">
        <v>7.8</v>
      </c>
      <c r="D1480" s="4">
        <v>1176.32</v>
      </c>
      <c r="E1480">
        <v>215</v>
      </c>
      <c r="F1480">
        <v>209</v>
      </c>
    </row>
    <row r="1481" spans="1:6" x14ac:dyDescent="0.25">
      <c r="A1481" t="s">
        <v>1607</v>
      </c>
      <c r="B1481" s="4">
        <v>1178.48</v>
      </c>
      <c r="C1481" s="4">
        <v>99.6</v>
      </c>
      <c r="D1481" s="4">
        <v>1078.8800000000001</v>
      </c>
      <c r="E1481">
        <v>54</v>
      </c>
      <c r="F1481">
        <v>54</v>
      </c>
    </row>
    <row r="1482" spans="1:6" x14ac:dyDescent="0.25">
      <c r="A1482" t="s">
        <v>1608</v>
      </c>
      <c r="B1482" s="4">
        <v>1177</v>
      </c>
      <c r="C1482" s="4">
        <v>69.72</v>
      </c>
      <c r="D1482" s="4">
        <v>1107.28</v>
      </c>
      <c r="E1482">
        <v>89</v>
      </c>
      <c r="F1482">
        <v>88</v>
      </c>
    </row>
    <row r="1483" spans="1:6" x14ac:dyDescent="0.25">
      <c r="A1483" t="s">
        <v>1609</v>
      </c>
      <c r="B1483" s="4">
        <v>1176.5999999999999</v>
      </c>
      <c r="C1483" s="4">
        <v>29.9</v>
      </c>
      <c r="D1483" s="4">
        <v>1146.7</v>
      </c>
      <c r="E1483">
        <v>34</v>
      </c>
      <c r="F1483">
        <v>33</v>
      </c>
    </row>
    <row r="1484" spans="1:6" x14ac:dyDescent="0.25">
      <c r="A1484" t="s">
        <v>1610</v>
      </c>
      <c r="B1484" s="4">
        <v>1175.3800000000001</v>
      </c>
      <c r="C1484" s="4">
        <v>13.28</v>
      </c>
      <c r="D1484" s="4">
        <v>1162.0999999999999</v>
      </c>
      <c r="E1484">
        <v>77</v>
      </c>
      <c r="F1484">
        <v>72</v>
      </c>
    </row>
    <row r="1485" spans="1:6" x14ac:dyDescent="0.25">
      <c r="A1485" t="s">
        <v>1611</v>
      </c>
      <c r="B1485" s="4">
        <v>1174.6300000000001</v>
      </c>
      <c r="C1485" s="4">
        <v>0</v>
      </c>
      <c r="D1485" s="4">
        <v>1174.6300000000001</v>
      </c>
      <c r="E1485">
        <v>173</v>
      </c>
      <c r="F1485">
        <v>172</v>
      </c>
    </row>
    <row r="1486" spans="1:6" x14ac:dyDescent="0.25">
      <c r="A1486" t="s">
        <v>1612</v>
      </c>
      <c r="B1486" s="4">
        <v>1173.9000000000001</v>
      </c>
      <c r="C1486" s="4">
        <v>6.96</v>
      </c>
      <c r="D1486" s="4">
        <v>1166.94</v>
      </c>
      <c r="E1486">
        <v>179</v>
      </c>
      <c r="F1486">
        <v>170</v>
      </c>
    </row>
    <row r="1487" spans="1:6" x14ac:dyDescent="0.25">
      <c r="A1487" t="s">
        <v>1613</v>
      </c>
      <c r="B1487" s="4">
        <v>1173.81</v>
      </c>
      <c r="C1487" s="4">
        <v>22.5</v>
      </c>
      <c r="D1487" s="4">
        <v>1151.31</v>
      </c>
      <c r="E1487">
        <v>41</v>
      </c>
      <c r="F1487">
        <v>41</v>
      </c>
    </row>
    <row r="1488" spans="1:6" x14ac:dyDescent="0.25">
      <c r="A1488" t="s">
        <v>1614</v>
      </c>
      <c r="B1488" s="4">
        <v>1173.53</v>
      </c>
      <c r="C1488" s="4">
        <v>0</v>
      </c>
      <c r="D1488" s="4">
        <v>1173.53</v>
      </c>
      <c r="E1488">
        <v>94</v>
      </c>
      <c r="F1488">
        <v>91</v>
      </c>
    </row>
    <row r="1489" spans="1:6" x14ac:dyDescent="0.25">
      <c r="A1489" t="s">
        <v>1615</v>
      </c>
      <c r="B1489" s="4">
        <v>1172.48</v>
      </c>
      <c r="C1489" s="4">
        <v>0</v>
      </c>
      <c r="D1489" s="4">
        <v>1172.48</v>
      </c>
      <c r="E1489">
        <v>94</v>
      </c>
      <c r="F1489">
        <v>90</v>
      </c>
    </row>
    <row r="1490" spans="1:6" x14ac:dyDescent="0.25">
      <c r="A1490" t="s">
        <v>1616</v>
      </c>
      <c r="B1490" s="4">
        <v>1169.9000000000001</v>
      </c>
      <c r="C1490" s="4">
        <v>240.25</v>
      </c>
      <c r="D1490" s="4">
        <v>929.65</v>
      </c>
      <c r="E1490">
        <v>89</v>
      </c>
      <c r="F1490">
        <v>87</v>
      </c>
    </row>
    <row r="1491" spans="1:6" x14ac:dyDescent="0.25">
      <c r="A1491" t="s">
        <v>1617</v>
      </c>
      <c r="B1491" s="4">
        <v>1168.99</v>
      </c>
      <c r="C1491" s="4">
        <v>1.25</v>
      </c>
      <c r="D1491" s="4">
        <v>1167.74</v>
      </c>
      <c r="E1491">
        <v>164</v>
      </c>
      <c r="F1491">
        <v>163</v>
      </c>
    </row>
    <row r="1492" spans="1:6" x14ac:dyDescent="0.25">
      <c r="A1492" t="s">
        <v>1618</v>
      </c>
      <c r="B1492" s="4">
        <v>1168.08</v>
      </c>
      <c r="C1492" s="4">
        <v>0</v>
      </c>
      <c r="D1492" s="4">
        <v>1168.08</v>
      </c>
      <c r="E1492">
        <v>80</v>
      </c>
      <c r="F1492">
        <v>79</v>
      </c>
    </row>
    <row r="1493" spans="1:6" x14ac:dyDescent="0.25">
      <c r="A1493" t="s">
        <v>1619</v>
      </c>
      <c r="B1493" s="4">
        <v>1165.9100000000001</v>
      </c>
      <c r="C1493" s="4">
        <v>0</v>
      </c>
      <c r="D1493" s="4">
        <v>1165.9100000000001</v>
      </c>
      <c r="E1493">
        <v>43</v>
      </c>
      <c r="F1493">
        <v>43</v>
      </c>
    </row>
    <row r="1494" spans="1:6" x14ac:dyDescent="0.25">
      <c r="A1494" t="s">
        <v>1620</v>
      </c>
      <c r="B1494" s="4">
        <v>1165.1300000000001</v>
      </c>
      <c r="C1494" s="4">
        <v>0.84</v>
      </c>
      <c r="D1494" s="4">
        <v>1164.29</v>
      </c>
      <c r="E1494">
        <v>132</v>
      </c>
      <c r="F1494">
        <v>120</v>
      </c>
    </row>
    <row r="1495" spans="1:6" x14ac:dyDescent="0.25">
      <c r="A1495" t="s">
        <v>1621</v>
      </c>
      <c r="B1495" s="4">
        <v>1164.98</v>
      </c>
      <c r="C1495" s="4">
        <v>0</v>
      </c>
      <c r="D1495" s="4">
        <v>1164.98</v>
      </c>
      <c r="E1495">
        <v>72</v>
      </c>
      <c r="F1495">
        <v>71</v>
      </c>
    </row>
    <row r="1496" spans="1:6" x14ac:dyDescent="0.25">
      <c r="A1496" t="s">
        <v>1622</v>
      </c>
      <c r="B1496" s="4">
        <v>1163.1300000000001</v>
      </c>
      <c r="C1496" s="4">
        <v>0</v>
      </c>
      <c r="D1496" s="4">
        <v>1163.1300000000001</v>
      </c>
      <c r="E1496">
        <v>97</v>
      </c>
      <c r="F1496">
        <v>94</v>
      </c>
    </row>
    <row r="1497" spans="1:6" x14ac:dyDescent="0.25">
      <c r="A1497" t="s">
        <v>1623</v>
      </c>
      <c r="B1497" s="4">
        <v>1160.71</v>
      </c>
      <c r="C1497" s="4">
        <v>0</v>
      </c>
      <c r="D1497" s="4">
        <v>1160.71</v>
      </c>
      <c r="E1497">
        <v>102</v>
      </c>
      <c r="F1497">
        <v>101</v>
      </c>
    </row>
    <row r="1498" spans="1:6" x14ac:dyDescent="0.25">
      <c r="A1498" t="s">
        <v>1624</v>
      </c>
      <c r="B1498" s="4">
        <v>1160.29</v>
      </c>
      <c r="C1498" s="4">
        <v>37.5</v>
      </c>
      <c r="D1498" s="4">
        <v>1122.79</v>
      </c>
      <c r="E1498">
        <v>156</v>
      </c>
      <c r="F1498">
        <v>153</v>
      </c>
    </row>
    <row r="1499" spans="1:6" x14ac:dyDescent="0.25">
      <c r="A1499" t="s">
        <v>1625</v>
      </c>
      <c r="B1499" s="4">
        <v>1160</v>
      </c>
      <c r="C1499" s="4">
        <v>10.5</v>
      </c>
      <c r="D1499" s="4">
        <v>1149.5</v>
      </c>
      <c r="E1499">
        <v>100</v>
      </c>
      <c r="F1499">
        <v>100</v>
      </c>
    </row>
    <row r="1500" spans="1:6" x14ac:dyDescent="0.25">
      <c r="A1500" t="s">
        <v>1626</v>
      </c>
      <c r="B1500" s="4">
        <v>1159.43</v>
      </c>
      <c r="C1500" s="4">
        <v>5</v>
      </c>
      <c r="D1500" s="4">
        <v>1154.43</v>
      </c>
      <c r="E1500">
        <v>84</v>
      </c>
      <c r="F1500">
        <v>83</v>
      </c>
    </row>
    <row r="1501" spans="1:6" x14ac:dyDescent="0.25">
      <c r="A1501" t="s">
        <v>1627</v>
      </c>
      <c r="B1501" s="4">
        <v>1157.8</v>
      </c>
      <c r="C1501" s="4">
        <v>24</v>
      </c>
      <c r="D1501" s="4">
        <v>1133.8</v>
      </c>
      <c r="E1501">
        <v>82</v>
      </c>
      <c r="F1501">
        <v>81</v>
      </c>
    </row>
    <row r="1502" spans="1:6" x14ac:dyDescent="0.25">
      <c r="A1502" t="s">
        <v>1628</v>
      </c>
      <c r="B1502" s="4">
        <v>1156.51</v>
      </c>
      <c r="C1502" s="4">
        <v>0</v>
      </c>
      <c r="D1502" s="4">
        <v>1156.51</v>
      </c>
      <c r="E1502">
        <v>129</v>
      </c>
      <c r="F1502">
        <v>119</v>
      </c>
    </row>
    <row r="1503" spans="1:6" x14ac:dyDescent="0.25">
      <c r="A1503" t="s">
        <v>1629</v>
      </c>
      <c r="B1503" s="4">
        <v>1156.17</v>
      </c>
      <c r="C1503" s="4">
        <v>0</v>
      </c>
      <c r="D1503" s="4">
        <v>1156.17</v>
      </c>
      <c r="E1503">
        <v>75</v>
      </c>
      <c r="F1503">
        <v>75</v>
      </c>
    </row>
    <row r="1504" spans="1:6" x14ac:dyDescent="0.25">
      <c r="A1504" t="s">
        <v>1630</v>
      </c>
      <c r="B1504" s="4">
        <v>1154.17</v>
      </c>
      <c r="C1504" s="4">
        <v>0</v>
      </c>
      <c r="D1504" s="4">
        <v>1154.17</v>
      </c>
      <c r="E1504">
        <v>164</v>
      </c>
      <c r="F1504">
        <v>163</v>
      </c>
    </row>
    <row r="1505" spans="1:6" x14ac:dyDescent="0.25">
      <c r="A1505" t="s">
        <v>1631</v>
      </c>
      <c r="B1505" s="4">
        <v>1152.81</v>
      </c>
      <c r="C1505" s="4">
        <v>13.75</v>
      </c>
      <c r="D1505" s="4">
        <v>1139.06</v>
      </c>
      <c r="E1505">
        <v>161</v>
      </c>
      <c r="F1505">
        <v>160</v>
      </c>
    </row>
    <row r="1506" spans="1:6" x14ac:dyDescent="0.25">
      <c r="A1506" t="s">
        <v>1632</v>
      </c>
      <c r="B1506" s="4">
        <v>1152.4000000000001</v>
      </c>
      <c r="C1506" s="4">
        <v>1.25</v>
      </c>
      <c r="D1506" s="4">
        <v>1151.1500000000001</v>
      </c>
      <c r="E1506">
        <v>187</v>
      </c>
      <c r="F1506">
        <v>186</v>
      </c>
    </row>
    <row r="1507" spans="1:6" x14ac:dyDescent="0.25">
      <c r="A1507" t="s">
        <v>1633</v>
      </c>
      <c r="B1507" s="4">
        <v>1151.3</v>
      </c>
      <c r="C1507" s="4">
        <v>64.349999999999994</v>
      </c>
      <c r="D1507" s="4">
        <v>1086.95</v>
      </c>
      <c r="E1507">
        <v>94</v>
      </c>
      <c r="F1507">
        <v>93</v>
      </c>
    </row>
    <row r="1508" spans="1:6" x14ac:dyDescent="0.25">
      <c r="A1508" t="s">
        <v>1634</v>
      </c>
      <c r="B1508" s="4">
        <v>1151.03</v>
      </c>
      <c r="C1508" s="4">
        <v>0</v>
      </c>
      <c r="D1508" s="4">
        <v>1151.03</v>
      </c>
      <c r="E1508">
        <v>69</v>
      </c>
      <c r="F1508">
        <v>68</v>
      </c>
    </row>
    <row r="1509" spans="1:6" x14ac:dyDescent="0.25">
      <c r="A1509" t="s">
        <v>1635</v>
      </c>
      <c r="B1509" s="4">
        <v>1149.02</v>
      </c>
      <c r="C1509" s="4">
        <v>6.25</v>
      </c>
      <c r="D1509" s="4">
        <v>1142.77</v>
      </c>
      <c r="E1509">
        <v>103</v>
      </c>
      <c r="F1509">
        <v>101</v>
      </c>
    </row>
    <row r="1510" spans="1:6" x14ac:dyDescent="0.25">
      <c r="A1510" t="s">
        <v>1636</v>
      </c>
      <c r="B1510" s="4">
        <v>1147.4100000000001</v>
      </c>
      <c r="C1510" s="4">
        <v>0</v>
      </c>
      <c r="D1510" s="4">
        <v>1147.4100000000001</v>
      </c>
      <c r="E1510">
        <v>21</v>
      </c>
      <c r="F1510">
        <v>20</v>
      </c>
    </row>
    <row r="1511" spans="1:6" x14ac:dyDescent="0.25">
      <c r="A1511" t="s">
        <v>1637</v>
      </c>
      <c r="B1511" s="4">
        <v>1147.27</v>
      </c>
      <c r="C1511" s="4">
        <v>53.55</v>
      </c>
      <c r="D1511" s="4">
        <v>1093.72</v>
      </c>
      <c r="E1511">
        <v>73</v>
      </c>
      <c r="F1511">
        <v>73</v>
      </c>
    </row>
    <row r="1512" spans="1:6" x14ac:dyDescent="0.25">
      <c r="A1512" t="s">
        <v>1638</v>
      </c>
      <c r="B1512" s="4">
        <v>1145.1500000000001</v>
      </c>
      <c r="C1512" s="4">
        <v>0</v>
      </c>
      <c r="D1512" s="4">
        <v>1145.1500000000001</v>
      </c>
      <c r="E1512">
        <v>101</v>
      </c>
      <c r="F1512">
        <v>100</v>
      </c>
    </row>
    <row r="1513" spans="1:6" x14ac:dyDescent="0.25">
      <c r="A1513" t="s">
        <v>1639</v>
      </c>
      <c r="B1513" s="4">
        <v>1143.76</v>
      </c>
      <c r="C1513" s="4">
        <v>0</v>
      </c>
      <c r="D1513" s="4">
        <v>1143.76</v>
      </c>
      <c r="E1513">
        <v>91</v>
      </c>
      <c r="F1513">
        <v>90</v>
      </c>
    </row>
    <row r="1514" spans="1:6" x14ac:dyDescent="0.25">
      <c r="A1514" t="s">
        <v>1640</v>
      </c>
      <c r="B1514" s="4">
        <v>1143.31</v>
      </c>
      <c r="C1514" s="4">
        <v>0</v>
      </c>
      <c r="D1514" s="4">
        <v>1143.31</v>
      </c>
      <c r="E1514">
        <v>52</v>
      </c>
      <c r="F1514">
        <v>50</v>
      </c>
    </row>
    <row r="1515" spans="1:6" x14ac:dyDescent="0.25">
      <c r="A1515" t="s">
        <v>1641</v>
      </c>
      <c r="B1515" s="4">
        <v>1142.1500000000001</v>
      </c>
      <c r="C1515" s="4">
        <v>0</v>
      </c>
      <c r="D1515" s="4">
        <v>1142.1500000000001</v>
      </c>
      <c r="E1515">
        <v>159</v>
      </c>
      <c r="F1515">
        <v>152</v>
      </c>
    </row>
    <row r="1516" spans="1:6" x14ac:dyDescent="0.25">
      <c r="A1516" t="s">
        <v>1642</v>
      </c>
      <c r="B1516" s="4">
        <v>1141.7</v>
      </c>
      <c r="C1516" s="4">
        <v>0</v>
      </c>
      <c r="D1516" s="4">
        <v>1141.7</v>
      </c>
      <c r="E1516">
        <v>125</v>
      </c>
      <c r="F1516">
        <v>122</v>
      </c>
    </row>
    <row r="1517" spans="1:6" x14ac:dyDescent="0.25">
      <c r="A1517" t="s">
        <v>1643</v>
      </c>
      <c r="B1517" s="4">
        <v>1141.4000000000001</v>
      </c>
      <c r="C1517" s="4">
        <v>3.9</v>
      </c>
      <c r="D1517" s="4">
        <v>1137.5</v>
      </c>
      <c r="E1517">
        <v>91</v>
      </c>
      <c r="F1517">
        <v>90</v>
      </c>
    </row>
    <row r="1518" spans="1:6" x14ac:dyDescent="0.25">
      <c r="A1518" t="s">
        <v>1644</v>
      </c>
      <c r="B1518" s="4">
        <v>1140.97</v>
      </c>
      <c r="C1518" s="4">
        <v>134</v>
      </c>
      <c r="D1518" s="4">
        <v>1006.97</v>
      </c>
      <c r="E1518">
        <v>81</v>
      </c>
      <c r="F1518">
        <v>80</v>
      </c>
    </row>
    <row r="1519" spans="1:6" x14ac:dyDescent="0.25">
      <c r="A1519" t="s">
        <v>1645</v>
      </c>
      <c r="B1519" s="4">
        <v>1139.2</v>
      </c>
      <c r="C1519" s="4">
        <v>0</v>
      </c>
      <c r="D1519" s="4">
        <v>1139.2</v>
      </c>
      <c r="E1519">
        <v>156</v>
      </c>
      <c r="F1519">
        <v>146</v>
      </c>
    </row>
    <row r="1520" spans="1:6" x14ac:dyDescent="0.25">
      <c r="A1520" t="s">
        <v>1646</v>
      </c>
      <c r="B1520" s="4">
        <v>1138.98</v>
      </c>
      <c r="C1520" s="4">
        <v>1.7</v>
      </c>
      <c r="D1520" s="4">
        <v>1137.28</v>
      </c>
      <c r="E1520">
        <v>184</v>
      </c>
      <c r="F1520">
        <v>177</v>
      </c>
    </row>
    <row r="1521" spans="1:6" x14ac:dyDescent="0.25">
      <c r="A1521" t="s">
        <v>1647</v>
      </c>
      <c r="B1521" s="4">
        <v>1138.2</v>
      </c>
      <c r="C1521" s="4">
        <v>39.97</v>
      </c>
      <c r="D1521" s="4">
        <v>1098.23</v>
      </c>
      <c r="E1521">
        <v>209</v>
      </c>
      <c r="F1521">
        <v>200</v>
      </c>
    </row>
    <row r="1522" spans="1:6" x14ac:dyDescent="0.25">
      <c r="A1522" t="s">
        <v>1648</v>
      </c>
      <c r="B1522" s="4">
        <v>1136.5999999999999</v>
      </c>
      <c r="C1522" s="4">
        <v>0</v>
      </c>
      <c r="D1522" s="4">
        <v>1136.5999999999999</v>
      </c>
      <c r="E1522">
        <v>163</v>
      </c>
      <c r="F1522">
        <v>160</v>
      </c>
    </row>
    <row r="1523" spans="1:6" x14ac:dyDescent="0.25">
      <c r="A1523" t="s">
        <v>1649</v>
      </c>
      <c r="B1523" s="4">
        <v>1135.18</v>
      </c>
      <c r="C1523" s="4">
        <v>0</v>
      </c>
      <c r="D1523" s="4">
        <v>1135.18</v>
      </c>
      <c r="E1523">
        <v>136</v>
      </c>
      <c r="F1523">
        <v>133</v>
      </c>
    </row>
    <row r="1524" spans="1:6" x14ac:dyDescent="0.25">
      <c r="A1524" t="s">
        <v>1650</v>
      </c>
      <c r="B1524" s="4">
        <v>1134.5</v>
      </c>
      <c r="C1524" s="4">
        <v>86.54</v>
      </c>
      <c r="D1524" s="4">
        <v>1047.96</v>
      </c>
      <c r="E1524">
        <v>59</v>
      </c>
      <c r="F1524">
        <v>59</v>
      </c>
    </row>
    <row r="1525" spans="1:6" x14ac:dyDescent="0.25">
      <c r="A1525" t="s">
        <v>1651</v>
      </c>
      <c r="B1525" s="4">
        <v>1134.45</v>
      </c>
      <c r="C1525" s="4">
        <v>20.16</v>
      </c>
      <c r="D1525" s="4">
        <v>1114.29</v>
      </c>
      <c r="E1525">
        <v>151</v>
      </c>
      <c r="F1525">
        <v>142</v>
      </c>
    </row>
    <row r="1526" spans="1:6" x14ac:dyDescent="0.25">
      <c r="A1526" t="s">
        <v>1652</v>
      </c>
      <c r="B1526" s="4">
        <v>1134.25</v>
      </c>
      <c r="C1526" s="4">
        <v>29.4</v>
      </c>
      <c r="D1526" s="4">
        <v>1104.8499999999999</v>
      </c>
      <c r="E1526">
        <v>138</v>
      </c>
      <c r="F1526">
        <v>131</v>
      </c>
    </row>
    <row r="1527" spans="1:6" x14ac:dyDescent="0.25">
      <c r="A1527" t="s">
        <v>1653</v>
      </c>
      <c r="B1527" s="4">
        <v>1130.58</v>
      </c>
      <c r="C1527" s="4">
        <v>0</v>
      </c>
      <c r="D1527" s="4">
        <v>1130.58</v>
      </c>
      <c r="E1527">
        <v>141</v>
      </c>
      <c r="F1527">
        <v>136</v>
      </c>
    </row>
    <row r="1528" spans="1:6" x14ac:dyDescent="0.25">
      <c r="A1528" t="s">
        <v>1654</v>
      </c>
      <c r="B1528" s="4">
        <v>1129.99</v>
      </c>
      <c r="C1528" s="4">
        <v>2.95</v>
      </c>
      <c r="D1528" s="4">
        <v>1127.04</v>
      </c>
      <c r="E1528">
        <v>125</v>
      </c>
      <c r="F1528">
        <v>125</v>
      </c>
    </row>
    <row r="1529" spans="1:6" x14ac:dyDescent="0.25">
      <c r="A1529" t="s">
        <v>1655</v>
      </c>
      <c r="B1529" s="4">
        <v>1129.44</v>
      </c>
      <c r="C1529" s="4">
        <v>0</v>
      </c>
      <c r="D1529" s="4">
        <v>1129.44</v>
      </c>
      <c r="E1529">
        <v>83</v>
      </c>
      <c r="F1529">
        <v>83</v>
      </c>
    </row>
    <row r="1530" spans="1:6" x14ac:dyDescent="0.25">
      <c r="A1530" t="s">
        <v>1656</v>
      </c>
      <c r="B1530" s="4">
        <v>1127.23</v>
      </c>
      <c r="C1530" s="4">
        <v>20.16</v>
      </c>
      <c r="D1530" s="4">
        <v>1107.07</v>
      </c>
      <c r="E1530">
        <v>103</v>
      </c>
      <c r="F1530">
        <v>99</v>
      </c>
    </row>
    <row r="1531" spans="1:6" x14ac:dyDescent="0.25">
      <c r="A1531" t="s">
        <v>1657</v>
      </c>
      <c r="B1531" s="4">
        <v>1124.04</v>
      </c>
      <c r="C1531" s="4">
        <v>69.599999999999994</v>
      </c>
      <c r="D1531" s="4">
        <v>1054.44</v>
      </c>
      <c r="E1531">
        <v>202</v>
      </c>
      <c r="F1531">
        <v>196</v>
      </c>
    </row>
    <row r="1532" spans="1:6" x14ac:dyDescent="0.25">
      <c r="A1532" t="s">
        <v>1658</v>
      </c>
      <c r="B1532" s="4">
        <v>1123.8800000000001</v>
      </c>
      <c r="C1532" s="4">
        <v>0</v>
      </c>
      <c r="D1532" s="4">
        <v>1123.8800000000001</v>
      </c>
      <c r="E1532">
        <v>269</v>
      </c>
      <c r="F1532">
        <v>268</v>
      </c>
    </row>
    <row r="1533" spans="1:6" x14ac:dyDescent="0.25">
      <c r="A1533" t="s">
        <v>1659</v>
      </c>
      <c r="B1533" s="4">
        <v>1121.9100000000001</v>
      </c>
      <c r="C1533" s="4">
        <v>95.7</v>
      </c>
      <c r="D1533" s="4">
        <v>1026.21</v>
      </c>
      <c r="E1533">
        <v>85</v>
      </c>
      <c r="F1533">
        <v>83</v>
      </c>
    </row>
    <row r="1534" spans="1:6" x14ac:dyDescent="0.25">
      <c r="A1534" t="s">
        <v>1660</v>
      </c>
      <c r="B1534" s="4">
        <v>1121.82</v>
      </c>
      <c r="C1534" s="4">
        <v>30.6</v>
      </c>
      <c r="D1534" s="4">
        <v>1091.22</v>
      </c>
      <c r="E1534">
        <v>112</v>
      </c>
      <c r="F1534">
        <v>110</v>
      </c>
    </row>
    <row r="1535" spans="1:6" x14ac:dyDescent="0.25">
      <c r="A1535" t="s">
        <v>1661</v>
      </c>
      <c r="B1535" s="4">
        <v>1121.48</v>
      </c>
      <c r="C1535" s="4">
        <v>1.33</v>
      </c>
      <c r="D1535" s="4">
        <v>1120.1500000000001</v>
      </c>
      <c r="E1535">
        <v>145</v>
      </c>
      <c r="F1535">
        <v>144</v>
      </c>
    </row>
    <row r="1536" spans="1:6" x14ac:dyDescent="0.25">
      <c r="A1536" t="s">
        <v>1662</v>
      </c>
      <c r="B1536" s="4">
        <v>1119.56</v>
      </c>
      <c r="C1536" s="4">
        <v>0</v>
      </c>
      <c r="D1536" s="4">
        <v>1119.56</v>
      </c>
      <c r="E1536">
        <v>123</v>
      </c>
      <c r="F1536">
        <v>117</v>
      </c>
    </row>
    <row r="1537" spans="1:6" x14ac:dyDescent="0.25">
      <c r="A1537" t="s">
        <v>1663</v>
      </c>
      <c r="B1537" s="4">
        <v>1119.22</v>
      </c>
      <c r="C1537" s="4">
        <v>0</v>
      </c>
      <c r="D1537" s="4">
        <v>1119.22</v>
      </c>
      <c r="E1537">
        <v>126</v>
      </c>
      <c r="F1537">
        <v>120</v>
      </c>
    </row>
    <row r="1538" spans="1:6" x14ac:dyDescent="0.25">
      <c r="A1538" t="s">
        <v>1664</v>
      </c>
      <c r="B1538" s="4">
        <v>1118.95</v>
      </c>
      <c r="C1538" s="4">
        <v>87.2</v>
      </c>
      <c r="D1538" s="4">
        <v>1031.75</v>
      </c>
      <c r="E1538">
        <v>37</v>
      </c>
      <c r="F1538">
        <v>34</v>
      </c>
    </row>
    <row r="1539" spans="1:6" x14ac:dyDescent="0.25">
      <c r="A1539" t="s">
        <v>1665</v>
      </c>
      <c r="B1539" s="4">
        <v>1118.6099999999999</v>
      </c>
      <c r="C1539" s="4">
        <v>4.95</v>
      </c>
      <c r="D1539" s="4">
        <v>1113.6600000000001</v>
      </c>
      <c r="E1539">
        <v>57</v>
      </c>
      <c r="F1539">
        <v>56</v>
      </c>
    </row>
    <row r="1540" spans="1:6" x14ac:dyDescent="0.25">
      <c r="A1540" t="s">
        <v>1666</v>
      </c>
      <c r="B1540" s="4">
        <v>1116.95</v>
      </c>
      <c r="C1540" s="4">
        <v>17.399999999999999</v>
      </c>
      <c r="D1540" s="4">
        <v>1099.55</v>
      </c>
      <c r="E1540">
        <v>217</v>
      </c>
      <c r="F1540">
        <v>212</v>
      </c>
    </row>
    <row r="1541" spans="1:6" x14ac:dyDescent="0.25">
      <c r="A1541" t="s">
        <v>1667</v>
      </c>
      <c r="B1541" s="4">
        <v>1116.8900000000001</v>
      </c>
      <c r="C1541" s="4">
        <v>0</v>
      </c>
      <c r="D1541" s="4">
        <v>1116.8900000000001</v>
      </c>
      <c r="E1541">
        <v>112</v>
      </c>
      <c r="F1541">
        <v>112</v>
      </c>
    </row>
    <row r="1542" spans="1:6" x14ac:dyDescent="0.25">
      <c r="A1542" t="s">
        <v>1668</v>
      </c>
      <c r="B1542" s="4">
        <v>1115.93</v>
      </c>
      <c r="C1542" s="4">
        <v>32.76</v>
      </c>
      <c r="D1542" s="4">
        <v>1083.17</v>
      </c>
      <c r="E1542">
        <v>227</v>
      </c>
      <c r="F1542">
        <v>222</v>
      </c>
    </row>
    <row r="1543" spans="1:6" x14ac:dyDescent="0.25">
      <c r="A1543" t="s">
        <v>1669</v>
      </c>
      <c r="B1543" s="4">
        <v>1114.81</v>
      </c>
      <c r="C1543" s="4">
        <v>0</v>
      </c>
      <c r="D1543" s="4">
        <v>1114.81</v>
      </c>
      <c r="E1543">
        <v>290</v>
      </c>
      <c r="F1543">
        <v>290</v>
      </c>
    </row>
    <row r="1544" spans="1:6" x14ac:dyDescent="0.25">
      <c r="A1544" t="s">
        <v>1670</v>
      </c>
      <c r="B1544" s="4">
        <v>1114.26</v>
      </c>
      <c r="C1544" s="4">
        <v>12.48</v>
      </c>
      <c r="D1544" s="4">
        <v>1101.78</v>
      </c>
      <c r="E1544">
        <v>70</v>
      </c>
      <c r="F1544">
        <v>70</v>
      </c>
    </row>
    <row r="1545" spans="1:6" x14ac:dyDescent="0.25">
      <c r="A1545" t="s">
        <v>1671</v>
      </c>
      <c r="B1545" s="4">
        <v>1112.75</v>
      </c>
      <c r="C1545" s="4">
        <v>0</v>
      </c>
      <c r="D1545" s="4">
        <v>1112.75</v>
      </c>
      <c r="E1545">
        <v>181</v>
      </c>
      <c r="F1545">
        <v>178</v>
      </c>
    </row>
    <row r="1546" spans="1:6" x14ac:dyDescent="0.25">
      <c r="A1546" t="s">
        <v>1672</v>
      </c>
      <c r="B1546" s="4">
        <v>1111.58</v>
      </c>
      <c r="C1546" s="4">
        <v>40.200000000000003</v>
      </c>
      <c r="D1546" s="4">
        <v>1071.3800000000001</v>
      </c>
      <c r="E1546">
        <v>128</v>
      </c>
      <c r="F1546">
        <v>128</v>
      </c>
    </row>
    <row r="1547" spans="1:6" x14ac:dyDescent="0.25">
      <c r="A1547" t="s">
        <v>1673</v>
      </c>
      <c r="B1547" s="4">
        <v>1108.8900000000001</v>
      </c>
      <c r="C1547" s="4">
        <v>0.82</v>
      </c>
      <c r="D1547" s="4">
        <v>1108.07</v>
      </c>
      <c r="E1547">
        <v>104</v>
      </c>
      <c r="F1547">
        <v>103</v>
      </c>
    </row>
    <row r="1548" spans="1:6" x14ac:dyDescent="0.25">
      <c r="A1548" t="s">
        <v>1674</v>
      </c>
      <c r="B1548" s="4">
        <v>1108.58</v>
      </c>
      <c r="C1548" s="4">
        <v>39.01</v>
      </c>
      <c r="D1548" s="4">
        <v>1069.57</v>
      </c>
      <c r="E1548">
        <v>89</v>
      </c>
      <c r="F1548">
        <v>89</v>
      </c>
    </row>
    <row r="1549" spans="1:6" x14ac:dyDescent="0.25">
      <c r="A1549" t="s">
        <v>1675</v>
      </c>
      <c r="B1549" s="4">
        <v>1107.8699999999999</v>
      </c>
      <c r="C1549" s="4">
        <v>40</v>
      </c>
      <c r="D1549" s="4">
        <v>1067.8699999999999</v>
      </c>
      <c r="E1549">
        <v>58</v>
      </c>
      <c r="F1549">
        <v>57</v>
      </c>
    </row>
    <row r="1550" spans="1:6" x14ac:dyDescent="0.25">
      <c r="A1550" t="s">
        <v>1676</v>
      </c>
      <c r="B1550" s="4">
        <v>1106.8800000000001</v>
      </c>
      <c r="C1550" s="4">
        <v>63</v>
      </c>
      <c r="D1550" s="4">
        <v>1043.8800000000001</v>
      </c>
      <c r="E1550">
        <v>90</v>
      </c>
      <c r="F1550">
        <v>89</v>
      </c>
    </row>
    <row r="1551" spans="1:6" x14ac:dyDescent="0.25">
      <c r="A1551" t="s">
        <v>1677</v>
      </c>
      <c r="B1551" s="4">
        <v>1106.54</v>
      </c>
      <c r="C1551" s="4">
        <v>24.75</v>
      </c>
      <c r="D1551" s="4">
        <v>1081.79</v>
      </c>
      <c r="E1551">
        <v>52</v>
      </c>
      <c r="F1551">
        <v>51</v>
      </c>
    </row>
    <row r="1552" spans="1:6" x14ac:dyDescent="0.25">
      <c r="A1552" t="s">
        <v>1678</v>
      </c>
      <c r="B1552" s="4">
        <v>1106.17</v>
      </c>
      <c r="C1552" s="4">
        <v>0</v>
      </c>
      <c r="D1552" s="4">
        <v>1106.17</v>
      </c>
      <c r="E1552">
        <v>165</v>
      </c>
      <c r="F1552">
        <v>163</v>
      </c>
    </row>
    <row r="1553" spans="1:6" x14ac:dyDescent="0.25">
      <c r="A1553" t="s">
        <v>1679</v>
      </c>
      <c r="B1553" s="4">
        <v>1105.21</v>
      </c>
      <c r="C1553" s="4">
        <v>0</v>
      </c>
      <c r="D1553" s="4">
        <v>1105.21</v>
      </c>
      <c r="E1553">
        <v>56</v>
      </c>
      <c r="F1553">
        <v>56</v>
      </c>
    </row>
    <row r="1554" spans="1:6" x14ac:dyDescent="0.25">
      <c r="A1554" t="s">
        <v>1680</v>
      </c>
      <c r="B1554" s="4">
        <v>1104.8599999999999</v>
      </c>
      <c r="C1554" s="4">
        <v>232.25</v>
      </c>
      <c r="D1554" s="4">
        <v>872.61</v>
      </c>
      <c r="E1554">
        <v>92</v>
      </c>
      <c r="F1554">
        <v>84</v>
      </c>
    </row>
    <row r="1555" spans="1:6" x14ac:dyDescent="0.25">
      <c r="A1555" t="s">
        <v>1681</v>
      </c>
      <c r="B1555" s="4">
        <v>1104.81</v>
      </c>
      <c r="C1555" s="4">
        <v>0</v>
      </c>
      <c r="D1555" s="4">
        <v>1104.81</v>
      </c>
      <c r="E1555">
        <v>270</v>
      </c>
      <c r="F1555">
        <v>270</v>
      </c>
    </row>
    <row r="1556" spans="1:6" x14ac:dyDescent="0.25">
      <c r="A1556" t="s">
        <v>1682</v>
      </c>
      <c r="B1556" s="4">
        <v>1104.54</v>
      </c>
      <c r="C1556" s="4">
        <v>19.899999999999999</v>
      </c>
      <c r="D1556" s="4">
        <v>1084.6400000000001</v>
      </c>
      <c r="E1556">
        <v>51</v>
      </c>
      <c r="F1556">
        <v>51</v>
      </c>
    </row>
    <row r="1557" spans="1:6" x14ac:dyDescent="0.25">
      <c r="A1557" t="s">
        <v>1683</v>
      </c>
      <c r="B1557" s="4">
        <v>1102.81</v>
      </c>
      <c r="C1557" s="4">
        <v>34.799999999999997</v>
      </c>
      <c r="D1557" s="4">
        <v>1068.01</v>
      </c>
      <c r="E1557">
        <v>121</v>
      </c>
      <c r="F1557">
        <v>117</v>
      </c>
    </row>
    <row r="1558" spans="1:6" x14ac:dyDescent="0.25">
      <c r="A1558" t="s">
        <v>1684</v>
      </c>
      <c r="B1558" s="4">
        <v>1101.28</v>
      </c>
      <c r="C1558" s="4">
        <v>0</v>
      </c>
      <c r="D1558" s="4">
        <v>1101.28</v>
      </c>
      <c r="E1558">
        <v>57</v>
      </c>
      <c r="F1558">
        <v>57</v>
      </c>
    </row>
    <row r="1559" spans="1:6" x14ac:dyDescent="0.25">
      <c r="A1559" t="s">
        <v>1685</v>
      </c>
      <c r="B1559" s="4">
        <v>1093.5999999999999</v>
      </c>
      <c r="C1559" s="4">
        <v>0</v>
      </c>
      <c r="D1559" s="4">
        <v>1093.5999999999999</v>
      </c>
      <c r="E1559">
        <v>123</v>
      </c>
      <c r="F1559">
        <v>121</v>
      </c>
    </row>
    <row r="1560" spans="1:6" x14ac:dyDescent="0.25">
      <c r="A1560" t="s">
        <v>1686</v>
      </c>
      <c r="B1560" s="4">
        <v>1090.6600000000001</v>
      </c>
      <c r="C1560" s="4">
        <v>18.75</v>
      </c>
      <c r="D1560" s="4">
        <v>1071.9100000000001</v>
      </c>
      <c r="E1560">
        <v>69</v>
      </c>
      <c r="F1560">
        <v>69</v>
      </c>
    </row>
    <row r="1561" spans="1:6" x14ac:dyDescent="0.25">
      <c r="A1561" t="s">
        <v>1687</v>
      </c>
      <c r="B1561" s="4">
        <v>1090.02</v>
      </c>
      <c r="C1561" s="4">
        <v>0</v>
      </c>
      <c r="D1561" s="4">
        <v>1090.02</v>
      </c>
      <c r="E1561">
        <v>76</v>
      </c>
      <c r="F1561">
        <v>74</v>
      </c>
    </row>
    <row r="1562" spans="1:6" x14ac:dyDescent="0.25">
      <c r="A1562" t="s">
        <v>1688</v>
      </c>
      <c r="B1562" s="4">
        <v>1087.57</v>
      </c>
      <c r="C1562" s="4">
        <v>0</v>
      </c>
      <c r="D1562" s="4">
        <v>1087.57</v>
      </c>
      <c r="E1562">
        <v>74</v>
      </c>
      <c r="F1562">
        <v>74</v>
      </c>
    </row>
    <row r="1563" spans="1:6" x14ac:dyDescent="0.25">
      <c r="A1563" t="s">
        <v>1689</v>
      </c>
      <c r="B1563" s="4">
        <v>1086.8800000000001</v>
      </c>
      <c r="C1563" s="4">
        <v>0</v>
      </c>
      <c r="D1563" s="4">
        <v>1086.8800000000001</v>
      </c>
      <c r="E1563">
        <v>62</v>
      </c>
      <c r="F1563">
        <v>62</v>
      </c>
    </row>
    <row r="1564" spans="1:6" x14ac:dyDescent="0.25">
      <c r="A1564" t="s">
        <v>1690</v>
      </c>
      <c r="B1564" s="4">
        <v>1086.6500000000001</v>
      </c>
      <c r="C1564" s="4">
        <v>0</v>
      </c>
      <c r="D1564" s="4">
        <v>1086.6500000000001</v>
      </c>
      <c r="E1564">
        <v>162</v>
      </c>
      <c r="F1564">
        <v>157</v>
      </c>
    </row>
    <row r="1565" spans="1:6" x14ac:dyDescent="0.25">
      <c r="A1565" t="s">
        <v>1691</v>
      </c>
      <c r="B1565" s="4">
        <v>1085.32</v>
      </c>
      <c r="C1565" s="4">
        <v>7.5</v>
      </c>
      <c r="D1565" s="4">
        <v>1077.82</v>
      </c>
      <c r="E1565">
        <v>89</v>
      </c>
      <c r="F1565">
        <v>89</v>
      </c>
    </row>
    <row r="1566" spans="1:6" x14ac:dyDescent="0.25">
      <c r="A1566" t="s">
        <v>1692</v>
      </c>
      <c r="B1566" s="4">
        <v>1080.82</v>
      </c>
      <c r="C1566" s="4">
        <v>15</v>
      </c>
      <c r="D1566" s="4">
        <v>1065.82</v>
      </c>
      <c r="E1566">
        <v>212</v>
      </c>
      <c r="F1566">
        <v>211</v>
      </c>
    </row>
    <row r="1567" spans="1:6" x14ac:dyDescent="0.25">
      <c r="A1567" t="s">
        <v>1693</v>
      </c>
      <c r="B1567" s="4">
        <v>1080</v>
      </c>
      <c r="C1567" s="4">
        <v>15</v>
      </c>
      <c r="D1567" s="4">
        <v>1065</v>
      </c>
      <c r="E1567">
        <v>167</v>
      </c>
      <c r="F1567">
        <v>165</v>
      </c>
    </row>
    <row r="1568" spans="1:6" x14ac:dyDescent="0.25">
      <c r="A1568" t="s">
        <v>1694</v>
      </c>
      <c r="B1568" s="4">
        <v>1079.67</v>
      </c>
      <c r="C1568" s="4">
        <v>0</v>
      </c>
      <c r="D1568" s="4">
        <v>1079.67</v>
      </c>
      <c r="E1568">
        <v>92</v>
      </c>
      <c r="F1568">
        <v>91</v>
      </c>
    </row>
    <row r="1569" spans="1:6" x14ac:dyDescent="0.25">
      <c r="A1569" t="s">
        <v>1695</v>
      </c>
      <c r="B1569" s="4">
        <v>1079.3399999999999</v>
      </c>
      <c r="C1569" s="4">
        <v>65.88</v>
      </c>
      <c r="D1569" s="4">
        <v>1013.46</v>
      </c>
      <c r="E1569">
        <v>151</v>
      </c>
      <c r="F1569">
        <v>149</v>
      </c>
    </row>
    <row r="1570" spans="1:6" x14ac:dyDescent="0.25">
      <c r="A1570" t="s">
        <v>1696</v>
      </c>
      <c r="B1570" s="4">
        <v>1077.3</v>
      </c>
      <c r="C1570" s="4">
        <v>42.5</v>
      </c>
      <c r="D1570" s="4">
        <v>1034.8</v>
      </c>
      <c r="E1570">
        <v>98</v>
      </c>
      <c r="F1570">
        <v>97</v>
      </c>
    </row>
    <row r="1571" spans="1:6" x14ac:dyDescent="0.25">
      <c r="A1571" t="s">
        <v>1697</v>
      </c>
      <c r="B1571" s="4">
        <v>1077.03</v>
      </c>
      <c r="C1571" s="4">
        <v>0</v>
      </c>
      <c r="D1571" s="4">
        <v>1077.03</v>
      </c>
      <c r="E1571">
        <v>47</v>
      </c>
      <c r="F1571">
        <v>46</v>
      </c>
    </row>
    <row r="1572" spans="1:6" x14ac:dyDescent="0.25">
      <c r="A1572" t="s">
        <v>1698</v>
      </c>
      <c r="B1572" s="4">
        <v>1070.8499999999999</v>
      </c>
      <c r="C1572" s="4">
        <v>4.25</v>
      </c>
      <c r="D1572" s="4">
        <v>1066.5999999999999</v>
      </c>
      <c r="E1572">
        <v>100</v>
      </c>
      <c r="F1572">
        <v>98</v>
      </c>
    </row>
    <row r="1573" spans="1:6" x14ac:dyDescent="0.25">
      <c r="A1573" t="s">
        <v>1699</v>
      </c>
      <c r="B1573" s="4">
        <v>1070.26</v>
      </c>
      <c r="C1573" s="4">
        <v>61.2</v>
      </c>
      <c r="D1573" s="4">
        <v>1009.06</v>
      </c>
      <c r="E1573">
        <v>112</v>
      </c>
      <c r="F1573">
        <v>110</v>
      </c>
    </row>
    <row r="1574" spans="1:6" x14ac:dyDescent="0.25">
      <c r="A1574" t="s">
        <v>1700</v>
      </c>
      <c r="B1574" s="4">
        <v>1069.17</v>
      </c>
      <c r="C1574" s="4">
        <v>0</v>
      </c>
      <c r="D1574" s="4">
        <v>1069.17</v>
      </c>
      <c r="E1574">
        <v>124</v>
      </c>
      <c r="F1574">
        <v>122</v>
      </c>
    </row>
    <row r="1575" spans="1:6" x14ac:dyDescent="0.25">
      <c r="A1575" t="s">
        <v>1701</v>
      </c>
      <c r="B1575" s="4">
        <v>1068.32</v>
      </c>
      <c r="C1575" s="4">
        <v>20.75</v>
      </c>
      <c r="D1575" s="4">
        <v>1047.57</v>
      </c>
      <c r="E1575">
        <v>132</v>
      </c>
      <c r="F1575">
        <v>128</v>
      </c>
    </row>
    <row r="1576" spans="1:6" x14ac:dyDescent="0.25">
      <c r="A1576" t="s">
        <v>1702</v>
      </c>
      <c r="B1576" s="4">
        <v>1067.82</v>
      </c>
      <c r="C1576" s="4">
        <v>0</v>
      </c>
      <c r="D1576" s="4">
        <v>1067.82</v>
      </c>
      <c r="E1576">
        <v>135</v>
      </c>
      <c r="F1576">
        <v>124</v>
      </c>
    </row>
    <row r="1577" spans="1:6" x14ac:dyDescent="0.25">
      <c r="A1577" t="s">
        <v>1703</v>
      </c>
      <c r="B1577" s="4">
        <v>1067.5999999999999</v>
      </c>
      <c r="C1577" s="4">
        <v>0</v>
      </c>
      <c r="D1577" s="4">
        <v>1067.5999999999999</v>
      </c>
      <c r="E1577">
        <v>75</v>
      </c>
      <c r="F1577">
        <v>74</v>
      </c>
    </row>
    <row r="1578" spans="1:6" x14ac:dyDescent="0.25">
      <c r="A1578" t="s">
        <v>1704</v>
      </c>
      <c r="B1578" s="4">
        <v>1065.3900000000001</v>
      </c>
      <c r="C1578" s="4">
        <v>0</v>
      </c>
      <c r="D1578" s="4">
        <v>1065.3900000000001</v>
      </c>
      <c r="E1578">
        <v>118</v>
      </c>
      <c r="F1578">
        <v>115</v>
      </c>
    </row>
    <row r="1579" spans="1:6" x14ac:dyDescent="0.25">
      <c r="A1579" t="s">
        <v>1705</v>
      </c>
      <c r="B1579" s="4">
        <v>1064.44</v>
      </c>
      <c r="C1579" s="4">
        <v>6.3</v>
      </c>
      <c r="D1579" s="4">
        <v>1058.1400000000001</v>
      </c>
      <c r="E1579">
        <v>112</v>
      </c>
      <c r="F1579">
        <v>106</v>
      </c>
    </row>
    <row r="1580" spans="1:6" x14ac:dyDescent="0.25">
      <c r="A1580" t="s">
        <v>1706</v>
      </c>
      <c r="B1580" s="4">
        <v>1062.3499999999999</v>
      </c>
      <c r="C1580" s="4">
        <v>0</v>
      </c>
      <c r="D1580" s="4">
        <v>1062.3499999999999</v>
      </c>
      <c r="E1580">
        <v>45</v>
      </c>
      <c r="F1580">
        <v>42</v>
      </c>
    </row>
    <row r="1581" spans="1:6" x14ac:dyDescent="0.25">
      <c r="A1581" t="s">
        <v>1707</v>
      </c>
      <c r="B1581" s="4">
        <v>1062.28</v>
      </c>
      <c r="C1581" s="4">
        <v>0</v>
      </c>
      <c r="D1581" s="4">
        <v>1062.28</v>
      </c>
      <c r="E1581">
        <v>114</v>
      </c>
      <c r="F1581">
        <v>109</v>
      </c>
    </row>
    <row r="1582" spans="1:6" x14ac:dyDescent="0.25">
      <c r="A1582" t="s">
        <v>1708</v>
      </c>
      <c r="B1582" s="4">
        <v>1062</v>
      </c>
      <c r="C1582" s="4">
        <v>20.58</v>
      </c>
      <c r="D1582" s="4">
        <v>1041.42</v>
      </c>
      <c r="E1582">
        <v>270</v>
      </c>
      <c r="F1582">
        <v>266</v>
      </c>
    </row>
    <row r="1583" spans="1:6" x14ac:dyDescent="0.25">
      <c r="A1583" t="s">
        <v>1709</v>
      </c>
      <c r="B1583" s="4">
        <v>1060.9000000000001</v>
      </c>
      <c r="C1583" s="4">
        <v>45.05</v>
      </c>
      <c r="D1583" s="4">
        <v>1015.85</v>
      </c>
      <c r="E1583">
        <v>68</v>
      </c>
      <c r="F1583">
        <v>68</v>
      </c>
    </row>
    <row r="1584" spans="1:6" x14ac:dyDescent="0.25">
      <c r="A1584" t="s">
        <v>1710</v>
      </c>
      <c r="B1584" s="4">
        <v>1059.67</v>
      </c>
      <c r="C1584" s="4">
        <v>89.4</v>
      </c>
      <c r="D1584" s="4">
        <v>970.27</v>
      </c>
      <c r="E1584">
        <v>95</v>
      </c>
      <c r="F1584">
        <v>91</v>
      </c>
    </row>
    <row r="1585" spans="1:6" x14ac:dyDescent="0.25">
      <c r="A1585" t="s">
        <v>1711</v>
      </c>
      <c r="B1585" s="4">
        <v>1058.69</v>
      </c>
      <c r="C1585" s="4">
        <v>0</v>
      </c>
      <c r="D1585" s="4">
        <v>1058.69</v>
      </c>
      <c r="E1585">
        <v>104</v>
      </c>
      <c r="F1585">
        <v>98</v>
      </c>
    </row>
    <row r="1586" spans="1:6" x14ac:dyDescent="0.25">
      <c r="A1586" t="s">
        <v>1712</v>
      </c>
      <c r="B1586" s="4">
        <v>1058.3499999999999</v>
      </c>
      <c r="C1586" s="4">
        <v>0</v>
      </c>
      <c r="D1586" s="4">
        <v>1058.3499999999999</v>
      </c>
      <c r="E1586">
        <v>71</v>
      </c>
      <c r="F1586">
        <v>70</v>
      </c>
    </row>
    <row r="1587" spans="1:6" x14ac:dyDescent="0.25">
      <c r="A1587" t="s">
        <v>1713</v>
      </c>
      <c r="B1587" s="4">
        <v>1057.71</v>
      </c>
      <c r="C1587" s="4">
        <v>0</v>
      </c>
      <c r="D1587" s="4">
        <v>1057.71</v>
      </c>
      <c r="E1587">
        <v>117</v>
      </c>
      <c r="F1587">
        <v>116</v>
      </c>
    </row>
    <row r="1588" spans="1:6" x14ac:dyDescent="0.25">
      <c r="A1588" t="s">
        <v>1714</v>
      </c>
      <c r="B1588" s="4">
        <v>1055.25</v>
      </c>
      <c r="C1588" s="4">
        <v>38.25</v>
      </c>
      <c r="D1588" s="4">
        <v>1017</v>
      </c>
      <c r="E1588">
        <v>105</v>
      </c>
      <c r="F1588">
        <v>105</v>
      </c>
    </row>
    <row r="1589" spans="1:6" x14ac:dyDescent="0.25">
      <c r="A1589" t="s">
        <v>1715</v>
      </c>
      <c r="B1589" s="4">
        <v>1054.44</v>
      </c>
      <c r="C1589" s="4">
        <v>0</v>
      </c>
      <c r="D1589" s="4">
        <v>1054.44</v>
      </c>
      <c r="E1589">
        <v>145</v>
      </c>
      <c r="F1589">
        <v>144</v>
      </c>
    </row>
    <row r="1590" spans="1:6" x14ac:dyDescent="0.25">
      <c r="A1590" t="s">
        <v>1716</v>
      </c>
      <c r="B1590" s="4">
        <v>1053.5</v>
      </c>
      <c r="C1590" s="4">
        <v>1.68</v>
      </c>
      <c r="D1590" s="4">
        <v>1051.82</v>
      </c>
      <c r="E1590">
        <v>110</v>
      </c>
      <c r="F1590">
        <v>105</v>
      </c>
    </row>
    <row r="1591" spans="1:6" x14ac:dyDescent="0.25">
      <c r="A1591" t="s">
        <v>1717</v>
      </c>
      <c r="B1591" s="4">
        <v>1053.45</v>
      </c>
      <c r="C1591" s="4">
        <v>0</v>
      </c>
      <c r="D1591" s="4">
        <v>1053.45</v>
      </c>
      <c r="E1591">
        <v>65</v>
      </c>
      <c r="F1591">
        <v>65</v>
      </c>
    </row>
    <row r="1592" spans="1:6" x14ac:dyDescent="0.25">
      <c r="A1592" t="s">
        <v>1718</v>
      </c>
      <c r="B1592" s="4">
        <v>1051.1400000000001</v>
      </c>
      <c r="C1592" s="4">
        <v>4.72</v>
      </c>
      <c r="D1592" s="4">
        <v>1046.42</v>
      </c>
      <c r="E1592">
        <v>42</v>
      </c>
      <c r="F1592">
        <v>41</v>
      </c>
    </row>
    <row r="1593" spans="1:6" x14ac:dyDescent="0.25">
      <c r="A1593" t="s">
        <v>1719</v>
      </c>
      <c r="B1593" s="4">
        <v>1051.05</v>
      </c>
      <c r="C1593" s="4">
        <v>1.95</v>
      </c>
      <c r="D1593" s="4">
        <v>1049.0999999999999</v>
      </c>
      <c r="E1593">
        <v>144</v>
      </c>
      <c r="F1593">
        <v>135</v>
      </c>
    </row>
    <row r="1594" spans="1:6" x14ac:dyDescent="0.25">
      <c r="A1594" t="s">
        <v>1720</v>
      </c>
      <c r="B1594" s="4">
        <v>1048.56</v>
      </c>
      <c r="C1594" s="4">
        <v>12.6</v>
      </c>
      <c r="D1594" s="4">
        <v>1035.96</v>
      </c>
      <c r="E1594">
        <v>297</v>
      </c>
      <c r="F1594">
        <v>290</v>
      </c>
    </row>
    <row r="1595" spans="1:6" x14ac:dyDescent="0.25">
      <c r="A1595" t="s">
        <v>1721</v>
      </c>
      <c r="B1595" s="4">
        <v>1046.98</v>
      </c>
      <c r="C1595" s="4">
        <v>5.04</v>
      </c>
      <c r="D1595" s="4">
        <v>1041.94</v>
      </c>
      <c r="E1595">
        <v>214</v>
      </c>
      <c r="F1595">
        <v>213</v>
      </c>
    </row>
    <row r="1596" spans="1:6" x14ac:dyDescent="0.25">
      <c r="A1596" t="s">
        <v>1722</v>
      </c>
      <c r="B1596" s="4">
        <v>1045.8</v>
      </c>
      <c r="C1596" s="4">
        <v>2.08</v>
      </c>
      <c r="D1596" s="4">
        <v>1043.72</v>
      </c>
      <c r="E1596">
        <v>87</v>
      </c>
      <c r="F1596">
        <v>86</v>
      </c>
    </row>
    <row r="1597" spans="1:6" x14ac:dyDescent="0.25">
      <c r="A1597" t="s">
        <v>1723</v>
      </c>
      <c r="B1597" s="4">
        <v>1042.78</v>
      </c>
      <c r="C1597" s="4">
        <v>19.75</v>
      </c>
      <c r="D1597" s="4">
        <v>1023.03</v>
      </c>
      <c r="E1597">
        <v>124</v>
      </c>
      <c r="F1597">
        <v>122</v>
      </c>
    </row>
    <row r="1598" spans="1:6" x14ac:dyDescent="0.25">
      <c r="A1598" t="s">
        <v>1724</v>
      </c>
      <c r="B1598" s="4">
        <v>1042.6600000000001</v>
      </c>
      <c r="C1598" s="4">
        <v>27.9</v>
      </c>
      <c r="D1598" s="4">
        <v>1014.76</v>
      </c>
      <c r="E1598">
        <v>64</v>
      </c>
      <c r="F1598">
        <v>63</v>
      </c>
    </row>
    <row r="1599" spans="1:6" x14ac:dyDescent="0.25">
      <c r="A1599" t="s">
        <v>1725</v>
      </c>
      <c r="B1599" s="4">
        <v>1038.8699999999999</v>
      </c>
      <c r="C1599" s="4">
        <v>53.1</v>
      </c>
      <c r="D1599" s="4">
        <v>985.77</v>
      </c>
      <c r="E1599">
        <v>75</v>
      </c>
      <c r="F1599">
        <v>75</v>
      </c>
    </row>
    <row r="1600" spans="1:6" x14ac:dyDescent="0.25">
      <c r="A1600" t="s">
        <v>1726</v>
      </c>
      <c r="B1600" s="4">
        <v>1037.54</v>
      </c>
      <c r="C1600" s="4">
        <v>0</v>
      </c>
      <c r="D1600" s="4">
        <v>1037.54</v>
      </c>
      <c r="E1600">
        <v>63</v>
      </c>
      <c r="F1600">
        <v>62</v>
      </c>
    </row>
    <row r="1601" spans="1:6" x14ac:dyDescent="0.25">
      <c r="A1601" t="s">
        <v>1727</v>
      </c>
      <c r="B1601" s="4">
        <v>1037.05</v>
      </c>
      <c r="C1601" s="4">
        <v>45</v>
      </c>
      <c r="D1601" s="4">
        <v>992.05</v>
      </c>
      <c r="E1601">
        <v>63</v>
      </c>
      <c r="F1601">
        <v>62</v>
      </c>
    </row>
    <row r="1602" spans="1:6" x14ac:dyDescent="0.25">
      <c r="A1602" t="s">
        <v>1728</v>
      </c>
      <c r="B1602" s="4">
        <v>1035.58</v>
      </c>
      <c r="C1602" s="4">
        <v>15</v>
      </c>
      <c r="D1602" s="4">
        <v>1020.58</v>
      </c>
      <c r="E1602">
        <v>156</v>
      </c>
      <c r="F1602">
        <v>151</v>
      </c>
    </row>
    <row r="1603" spans="1:6" x14ac:dyDescent="0.25">
      <c r="A1603" t="s">
        <v>1729</v>
      </c>
      <c r="B1603" s="4">
        <v>1033.81</v>
      </c>
      <c r="C1603" s="4">
        <v>5.04</v>
      </c>
      <c r="D1603" s="4">
        <v>1028.77</v>
      </c>
      <c r="E1603">
        <v>215</v>
      </c>
      <c r="F1603">
        <v>213</v>
      </c>
    </row>
    <row r="1604" spans="1:6" x14ac:dyDescent="0.25">
      <c r="A1604" t="s">
        <v>1730</v>
      </c>
      <c r="B1604" s="4">
        <v>1033.28</v>
      </c>
      <c r="C1604" s="4">
        <v>0</v>
      </c>
      <c r="D1604" s="4">
        <v>1033.28</v>
      </c>
      <c r="E1604">
        <v>79</v>
      </c>
      <c r="F1604">
        <v>79</v>
      </c>
    </row>
    <row r="1605" spans="1:6" x14ac:dyDescent="0.25">
      <c r="A1605" t="s">
        <v>1731</v>
      </c>
      <c r="B1605" s="4">
        <v>1033.22</v>
      </c>
      <c r="C1605" s="4">
        <v>8.75</v>
      </c>
      <c r="D1605" s="4">
        <v>1024.47</v>
      </c>
      <c r="E1605">
        <v>172</v>
      </c>
      <c r="F1605">
        <v>167</v>
      </c>
    </row>
    <row r="1606" spans="1:6" x14ac:dyDescent="0.25">
      <c r="A1606" t="s">
        <v>1732</v>
      </c>
      <c r="B1606" s="4">
        <v>1032.6400000000001</v>
      </c>
      <c r="C1606" s="4">
        <v>18.5</v>
      </c>
      <c r="D1606" s="4">
        <v>1014.14</v>
      </c>
      <c r="E1606">
        <v>88</v>
      </c>
      <c r="F1606">
        <v>85</v>
      </c>
    </row>
    <row r="1607" spans="1:6" x14ac:dyDescent="0.25">
      <c r="A1607" t="s">
        <v>1733</v>
      </c>
      <c r="B1607" s="4">
        <v>1032.6199999999999</v>
      </c>
      <c r="C1607" s="4">
        <v>24.75</v>
      </c>
      <c r="D1607" s="4">
        <v>1007.87</v>
      </c>
      <c r="E1607">
        <v>111</v>
      </c>
      <c r="F1607">
        <v>107</v>
      </c>
    </row>
    <row r="1608" spans="1:6" x14ac:dyDescent="0.25">
      <c r="A1608" t="s">
        <v>1734</v>
      </c>
      <c r="B1608" s="4">
        <v>1031.69</v>
      </c>
      <c r="C1608" s="4">
        <v>0</v>
      </c>
      <c r="D1608" s="4">
        <v>1031.69</v>
      </c>
      <c r="E1608">
        <v>84</v>
      </c>
      <c r="F1608">
        <v>83</v>
      </c>
    </row>
    <row r="1609" spans="1:6" x14ac:dyDescent="0.25">
      <c r="A1609" t="s">
        <v>1735</v>
      </c>
      <c r="B1609" s="4">
        <v>1031.56</v>
      </c>
      <c r="C1609" s="4">
        <v>0</v>
      </c>
      <c r="D1609" s="4">
        <v>1031.56</v>
      </c>
      <c r="E1609">
        <v>200</v>
      </c>
      <c r="F1609">
        <v>198</v>
      </c>
    </row>
    <row r="1610" spans="1:6" x14ac:dyDescent="0.25">
      <c r="A1610" t="s">
        <v>1736</v>
      </c>
      <c r="B1610" s="4">
        <v>1029.76</v>
      </c>
      <c r="C1610" s="4">
        <v>95.05</v>
      </c>
      <c r="D1610" s="4">
        <v>934.71</v>
      </c>
      <c r="E1610">
        <v>149</v>
      </c>
      <c r="F1610">
        <v>144</v>
      </c>
    </row>
    <row r="1611" spans="1:6" x14ac:dyDescent="0.25">
      <c r="A1611" t="s">
        <v>1737</v>
      </c>
      <c r="B1611" s="4">
        <v>1028.58</v>
      </c>
      <c r="C1611" s="4">
        <v>0</v>
      </c>
      <c r="D1611" s="4">
        <v>1028.58</v>
      </c>
      <c r="E1611">
        <v>138</v>
      </c>
      <c r="F1611">
        <v>138</v>
      </c>
    </row>
    <row r="1612" spans="1:6" x14ac:dyDescent="0.25">
      <c r="A1612" t="s">
        <v>1738</v>
      </c>
      <c r="B1612" s="4">
        <v>1025.94</v>
      </c>
      <c r="C1612" s="4">
        <v>8.0500000000000007</v>
      </c>
      <c r="D1612" s="4">
        <v>1017.89</v>
      </c>
      <c r="E1612">
        <v>89</v>
      </c>
      <c r="F1612">
        <v>88</v>
      </c>
    </row>
    <row r="1613" spans="1:6" x14ac:dyDescent="0.25">
      <c r="A1613" t="s">
        <v>1739</v>
      </c>
      <c r="B1613" s="4">
        <v>1025.5999999999999</v>
      </c>
      <c r="C1613" s="4">
        <v>0</v>
      </c>
      <c r="D1613" s="4">
        <v>1025.5999999999999</v>
      </c>
      <c r="E1613">
        <v>85</v>
      </c>
      <c r="F1613">
        <v>84</v>
      </c>
    </row>
    <row r="1614" spans="1:6" x14ac:dyDescent="0.25">
      <c r="A1614" t="s">
        <v>1740</v>
      </c>
      <c r="B1614" s="4">
        <v>1024.9000000000001</v>
      </c>
      <c r="C1614" s="4">
        <v>14.43</v>
      </c>
      <c r="D1614" s="4">
        <v>1010.47</v>
      </c>
      <c r="E1614">
        <v>224</v>
      </c>
      <c r="F1614">
        <v>219</v>
      </c>
    </row>
    <row r="1615" spans="1:6" x14ac:dyDescent="0.25">
      <c r="A1615" t="s">
        <v>1741</v>
      </c>
      <c r="B1615" s="4">
        <v>1024.28</v>
      </c>
      <c r="C1615" s="4">
        <v>12.5</v>
      </c>
      <c r="D1615" s="4">
        <v>1011.78</v>
      </c>
      <c r="E1615">
        <v>153</v>
      </c>
      <c r="F1615">
        <v>152</v>
      </c>
    </row>
    <row r="1616" spans="1:6" x14ac:dyDescent="0.25">
      <c r="A1616" t="s">
        <v>1742</v>
      </c>
      <c r="B1616" s="4">
        <v>1022.8</v>
      </c>
      <c r="C1616" s="4">
        <v>0</v>
      </c>
      <c r="D1616" s="4">
        <v>1022.8</v>
      </c>
      <c r="E1616">
        <v>97</v>
      </c>
      <c r="F1616">
        <v>97</v>
      </c>
    </row>
    <row r="1617" spans="1:6" x14ac:dyDescent="0.25">
      <c r="A1617" t="s">
        <v>1743</v>
      </c>
      <c r="B1617" s="4">
        <v>1021.9</v>
      </c>
      <c r="C1617" s="4">
        <v>0</v>
      </c>
      <c r="D1617" s="4">
        <v>1021.9</v>
      </c>
      <c r="E1617">
        <v>51</v>
      </c>
      <c r="F1617">
        <v>50</v>
      </c>
    </row>
    <row r="1618" spans="1:6" x14ac:dyDescent="0.25">
      <c r="A1618" t="s">
        <v>1744</v>
      </c>
      <c r="B1618" s="4">
        <v>1021.76</v>
      </c>
      <c r="C1618" s="4">
        <v>1.95</v>
      </c>
      <c r="D1618" s="4">
        <v>1019.81</v>
      </c>
      <c r="E1618">
        <v>87</v>
      </c>
      <c r="F1618">
        <v>87</v>
      </c>
    </row>
    <row r="1619" spans="1:6" x14ac:dyDescent="0.25">
      <c r="A1619" t="s">
        <v>1745</v>
      </c>
      <c r="B1619" s="4">
        <v>1020.69</v>
      </c>
      <c r="C1619" s="4">
        <v>15</v>
      </c>
      <c r="D1619" s="4">
        <v>1005.69</v>
      </c>
      <c r="E1619">
        <v>90</v>
      </c>
      <c r="F1619">
        <v>90</v>
      </c>
    </row>
    <row r="1620" spans="1:6" x14ac:dyDescent="0.25">
      <c r="A1620" t="s">
        <v>1746</v>
      </c>
      <c r="B1620" s="4">
        <v>1019.83</v>
      </c>
      <c r="C1620" s="4">
        <v>15</v>
      </c>
      <c r="D1620" s="4">
        <v>1004.83</v>
      </c>
      <c r="E1620">
        <v>134</v>
      </c>
      <c r="F1620">
        <v>131</v>
      </c>
    </row>
    <row r="1621" spans="1:6" x14ac:dyDescent="0.25">
      <c r="A1621" t="s">
        <v>1747</v>
      </c>
      <c r="B1621" s="4">
        <v>1018.19</v>
      </c>
      <c r="C1621" s="4">
        <v>0</v>
      </c>
      <c r="D1621" s="4">
        <v>1018.19</v>
      </c>
      <c r="E1621">
        <v>25</v>
      </c>
      <c r="F1621">
        <v>25</v>
      </c>
    </row>
    <row r="1622" spans="1:6" x14ac:dyDescent="0.25">
      <c r="A1622" t="s">
        <v>1748</v>
      </c>
      <c r="B1622" s="4">
        <v>1015.78</v>
      </c>
      <c r="C1622" s="4">
        <v>8.25</v>
      </c>
      <c r="D1622" s="4">
        <v>1007.53</v>
      </c>
      <c r="E1622">
        <v>20</v>
      </c>
      <c r="F1622">
        <v>20</v>
      </c>
    </row>
    <row r="1623" spans="1:6" x14ac:dyDescent="0.25">
      <c r="A1623" t="s">
        <v>1749</v>
      </c>
      <c r="B1623" s="4">
        <v>1013.92</v>
      </c>
      <c r="C1623" s="4">
        <v>1.65</v>
      </c>
      <c r="D1623" s="4">
        <v>1012.27</v>
      </c>
      <c r="E1623">
        <v>164</v>
      </c>
      <c r="F1623">
        <v>162</v>
      </c>
    </row>
    <row r="1624" spans="1:6" x14ac:dyDescent="0.25">
      <c r="A1624" t="s">
        <v>1750</v>
      </c>
      <c r="B1624" s="4">
        <v>1013.01</v>
      </c>
      <c r="C1624" s="4">
        <v>0</v>
      </c>
      <c r="D1624" s="4">
        <v>1013.01</v>
      </c>
      <c r="E1624">
        <v>106</v>
      </c>
      <c r="F1624">
        <v>102</v>
      </c>
    </row>
    <row r="1625" spans="1:6" x14ac:dyDescent="0.25">
      <c r="A1625" t="s">
        <v>1751</v>
      </c>
      <c r="B1625" s="4">
        <v>1010.21</v>
      </c>
      <c r="C1625" s="4">
        <v>0</v>
      </c>
      <c r="D1625" s="4">
        <v>1010.21</v>
      </c>
      <c r="E1625">
        <v>97</v>
      </c>
      <c r="F1625">
        <v>95</v>
      </c>
    </row>
    <row r="1626" spans="1:6" x14ac:dyDescent="0.25">
      <c r="A1626" t="s">
        <v>1752</v>
      </c>
      <c r="B1626" s="4">
        <v>1009.51</v>
      </c>
      <c r="C1626" s="4">
        <v>0</v>
      </c>
      <c r="D1626" s="4">
        <v>1009.51</v>
      </c>
      <c r="E1626">
        <v>73</v>
      </c>
      <c r="F1626">
        <v>73</v>
      </c>
    </row>
    <row r="1627" spans="1:6" x14ac:dyDescent="0.25">
      <c r="A1627" t="s">
        <v>1753</v>
      </c>
      <c r="B1627" s="4">
        <v>1008.47</v>
      </c>
      <c r="C1627" s="4">
        <v>59.76</v>
      </c>
      <c r="D1627" s="4">
        <v>948.71</v>
      </c>
      <c r="E1627">
        <v>72</v>
      </c>
      <c r="F1627">
        <v>71</v>
      </c>
    </row>
    <row r="1628" spans="1:6" x14ac:dyDescent="0.25">
      <c r="A1628" t="s">
        <v>1754</v>
      </c>
      <c r="B1628" s="4">
        <v>1007.15</v>
      </c>
      <c r="C1628" s="4">
        <v>1.25</v>
      </c>
      <c r="D1628" s="4">
        <v>1005.9</v>
      </c>
      <c r="E1628">
        <v>133</v>
      </c>
      <c r="F1628">
        <v>128</v>
      </c>
    </row>
    <row r="1629" spans="1:6" x14ac:dyDescent="0.25">
      <c r="A1629" t="s">
        <v>1755</v>
      </c>
      <c r="B1629" s="4">
        <v>1007.08</v>
      </c>
      <c r="C1629" s="4">
        <v>49.75</v>
      </c>
      <c r="D1629" s="4">
        <v>957.33</v>
      </c>
      <c r="E1629">
        <v>43</v>
      </c>
      <c r="F1629">
        <v>43</v>
      </c>
    </row>
    <row r="1630" spans="1:6" x14ac:dyDescent="0.25">
      <c r="A1630" t="s">
        <v>1756</v>
      </c>
      <c r="B1630" s="4">
        <v>1006.27</v>
      </c>
      <c r="C1630" s="4">
        <v>30</v>
      </c>
      <c r="D1630" s="4">
        <v>976.27</v>
      </c>
      <c r="E1630">
        <v>70</v>
      </c>
      <c r="F1630">
        <v>69</v>
      </c>
    </row>
    <row r="1631" spans="1:6" x14ac:dyDescent="0.25">
      <c r="A1631" t="s">
        <v>1757</v>
      </c>
      <c r="B1631" s="4">
        <v>1004.39</v>
      </c>
      <c r="C1631" s="4">
        <v>7.5</v>
      </c>
      <c r="D1631" s="4">
        <v>996.89</v>
      </c>
      <c r="E1631">
        <v>104</v>
      </c>
      <c r="F1631">
        <v>104</v>
      </c>
    </row>
    <row r="1632" spans="1:6" x14ac:dyDescent="0.25">
      <c r="A1632" t="s">
        <v>1758</v>
      </c>
      <c r="B1632" s="4">
        <v>1003.19</v>
      </c>
      <c r="C1632" s="4">
        <v>30.11</v>
      </c>
      <c r="D1632" s="4">
        <v>973.08</v>
      </c>
      <c r="E1632">
        <v>180</v>
      </c>
      <c r="F1632">
        <v>172</v>
      </c>
    </row>
    <row r="1633" spans="1:6" x14ac:dyDescent="0.25">
      <c r="A1633" t="s">
        <v>1759</v>
      </c>
      <c r="B1633" s="4">
        <v>1002.54</v>
      </c>
      <c r="C1633" s="4">
        <v>0</v>
      </c>
      <c r="D1633" s="4">
        <v>1002.54</v>
      </c>
      <c r="E1633">
        <v>120</v>
      </c>
      <c r="F1633">
        <v>111</v>
      </c>
    </row>
    <row r="1634" spans="1:6" x14ac:dyDescent="0.25">
      <c r="A1634" t="s">
        <v>1760</v>
      </c>
      <c r="B1634" s="4">
        <v>1001.49</v>
      </c>
      <c r="C1634" s="4">
        <v>0</v>
      </c>
      <c r="D1634" s="4">
        <v>1001.49</v>
      </c>
      <c r="E1634">
        <v>125</v>
      </c>
      <c r="F1634">
        <v>123</v>
      </c>
    </row>
    <row r="1635" spans="1:6" x14ac:dyDescent="0.25">
      <c r="A1635" t="s">
        <v>1761</v>
      </c>
      <c r="B1635" s="4">
        <v>1000.82</v>
      </c>
      <c r="C1635" s="4">
        <v>0</v>
      </c>
      <c r="D1635" s="4">
        <v>1000.82</v>
      </c>
      <c r="E1635">
        <v>104</v>
      </c>
      <c r="F1635">
        <v>101</v>
      </c>
    </row>
    <row r="1636" spans="1:6" x14ac:dyDescent="0.25">
      <c r="A1636" t="s">
        <v>1762</v>
      </c>
      <c r="B1636" s="4">
        <v>998.83</v>
      </c>
      <c r="C1636" s="4">
        <v>0</v>
      </c>
      <c r="D1636" s="4">
        <v>998.83</v>
      </c>
      <c r="E1636">
        <v>127</v>
      </c>
      <c r="F1636">
        <v>120</v>
      </c>
    </row>
    <row r="1637" spans="1:6" x14ac:dyDescent="0.25">
      <c r="A1637" t="s">
        <v>1763</v>
      </c>
      <c r="B1637" s="4">
        <v>998.64</v>
      </c>
      <c r="C1637" s="4">
        <v>0</v>
      </c>
      <c r="D1637" s="4">
        <v>998.64</v>
      </c>
      <c r="E1637">
        <v>36</v>
      </c>
      <c r="F1637">
        <v>36</v>
      </c>
    </row>
    <row r="1638" spans="1:6" x14ac:dyDescent="0.25">
      <c r="A1638" t="s">
        <v>1764</v>
      </c>
      <c r="B1638" s="4">
        <v>997.47</v>
      </c>
      <c r="C1638" s="4">
        <v>14.85</v>
      </c>
      <c r="D1638" s="4">
        <v>982.62</v>
      </c>
      <c r="E1638">
        <v>70</v>
      </c>
      <c r="F1638">
        <v>69</v>
      </c>
    </row>
    <row r="1639" spans="1:6" x14ac:dyDescent="0.25">
      <c r="A1639" t="s">
        <v>1765</v>
      </c>
      <c r="B1639" s="4">
        <v>996.8</v>
      </c>
      <c r="C1639" s="4">
        <v>0</v>
      </c>
      <c r="D1639" s="4">
        <v>996.8</v>
      </c>
      <c r="E1639">
        <v>148</v>
      </c>
      <c r="F1639">
        <v>146</v>
      </c>
    </row>
    <row r="1640" spans="1:6" x14ac:dyDescent="0.25">
      <c r="A1640" t="s">
        <v>1766</v>
      </c>
      <c r="B1640" s="4">
        <v>996.38</v>
      </c>
      <c r="C1640" s="4">
        <v>0</v>
      </c>
      <c r="D1640" s="4">
        <v>996.38</v>
      </c>
      <c r="E1640">
        <v>63</v>
      </c>
      <c r="F1640">
        <v>63</v>
      </c>
    </row>
    <row r="1641" spans="1:6" x14ac:dyDescent="0.25">
      <c r="A1641" t="s">
        <v>1767</v>
      </c>
      <c r="B1641" s="4">
        <v>996.26</v>
      </c>
      <c r="C1641" s="4">
        <v>0</v>
      </c>
      <c r="D1641" s="4">
        <v>996.26</v>
      </c>
      <c r="E1641">
        <v>85</v>
      </c>
      <c r="F1641">
        <v>81</v>
      </c>
    </row>
    <row r="1642" spans="1:6" x14ac:dyDescent="0.25">
      <c r="A1642" t="s">
        <v>1768</v>
      </c>
      <c r="B1642" s="4">
        <v>994.84</v>
      </c>
      <c r="C1642" s="4">
        <v>0</v>
      </c>
      <c r="D1642" s="4">
        <v>994.84</v>
      </c>
      <c r="E1642">
        <v>94</v>
      </c>
      <c r="F1642">
        <v>91</v>
      </c>
    </row>
    <row r="1643" spans="1:6" x14ac:dyDescent="0.25">
      <c r="A1643" t="s">
        <v>1769</v>
      </c>
      <c r="B1643" s="4">
        <v>994.38</v>
      </c>
      <c r="C1643" s="4">
        <v>56.1</v>
      </c>
      <c r="D1643" s="4">
        <v>938.28</v>
      </c>
      <c r="E1643">
        <v>34</v>
      </c>
      <c r="F1643">
        <v>34</v>
      </c>
    </row>
    <row r="1644" spans="1:6" x14ac:dyDescent="0.25">
      <c r="A1644" t="s">
        <v>1770</v>
      </c>
      <c r="B1644" s="4">
        <v>992.79</v>
      </c>
      <c r="C1644" s="4">
        <v>1.25</v>
      </c>
      <c r="D1644" s="4">
        <v>991.54</v>
      </c>
      <c r="E1644">
        <v>68</v>
      </c>
      <c r="F1644">
        <v>66</v>
      </c>
    </row>
    <row r="1645" spans="1:6" x14ac:dyDescent="0.25">
      <c r="A1645" t="s">
        <v>1771</v>
      </c>
      <c r="B1645" s="4">
        <v>988.18</v>
      </c>
      <c r="C1645" s="4">
        <v>11.7</v>
      </c>
      <c r="D1645" s="4">
        <v>976.48</v>
      </c>
      <c r="E1645">
        <v>105</v>
      </c>
      <c r="F1645">
        <v>103</v>
      </c>
    </row>
    <row r="1646" spans="1:6" x14ac:dyDescent="0.25">
      <c r="A1646" t="s">
        <v>1772</v>
      </c>
      <c r="B1646" s="4">
        <v>985.84</v>
      </c>
      <c r="C1646" s="4">
        <v>19.8</v>
      </c>
      <c r="D1646" s="4">
        <v>966.04</v>
      </c>
      <c r="E1646">
        <v>59</v>
      </c>
      <c r="F1646">
        <v>58</v>
      </c>
    </row>
    <row r="1647" spans="1:6" x14ac:dyDescent="0.25">
      <c r="A1647" t="s">
        <v>1773</v>
      </c>
      <c r="B1647" s="4">
        <v>984.57</v>
      </c>
      <c r="C1647" s="4">
        <v>2.5</v>
      </c>
      <c r="D1647" s="4">
        <v>982.07</v>
      </c>
      <c r="E1647">
        <v>234</v>
      </c>
      <c r="F1647">
        <v>223</v>
      </c>
    </row>
    <row r="1648" spans="1:6" x14ac:dyDescent="0.25">
      <c r="A1648" t="s">
        <v>1774</v>
      </c>
      <c r="B1648" s="4">
        <v>984.47</v>
      </c>
      <c r="C1648" s="4">
        <v>20.07</v>
      </c>
      <c r="D1648" s="4">
        <v>964.4</v>
      </c>
      <c r="E1648">
        <v>63</v>
      </c>
      <c r="F1648">
        <v>63</v>
      </c>
    </row>
    <row r="1649" spans="1:6" x14ac:dyDescent="0.25">
      <c r="A1649" t="s">
        <v>1775</v>
      </c>
      <c r="B1649" s="4">
        <v>983.5</v>
      </c>
      <c r="C1649" s="4">
        <v>14.04</v>
      </c>
      <c r="D1649" s="4">
        <v>969.46</v>
      </c>
      <c r="E1649">
        <v>123</v>
      </c>
      <c r="F1649">
        <v>121</v>
      </c>
    </row>
    <row r="1650" spans="1:6" x14ac:dyDescent="0.25">
      <c r="A1650" t="s">
        <v>1776</v>
      </c>
      <c r="B1650" s="4">
        <v>983.3</v>
      </c>
      <c r="C1650" s="4">
        <v>17.34</v>
      </c>
      <c r="D1650" s="4">
        <v>965.96</v>
      </c>
      <c r="E1650">
        <v>45</v>
      </c>
      <c r="F1650">
        <v>44</v>
      </c>
    </row>
    <row r="1651" spans="1:6" x14ac:dyDescent="0.25">
      <c r="A1651" t="s">
        <v>1777</v>
      </c>
      <c r="B1651" s="4">
        <v>980.7</v>
      </c>
      <c r="C1651" s="4">
        <v>0</v>
      </c>
      <c r="D1651" s="4">
        <v>980.7</v>
      </c>
      <c r="E1651">
        <v>101</v>
      </c>
      <c r="F1651">
        <v>96</v>
      </c>
    </row>
    <row r="1652" spans="1:6" x14ac:dyDescent="0.25">
      <c r="A1652" t="s">
        <v>1778</v>
      </c>
      <c r="B1652" s="4">
        <v>979.48</v>
      </c>
      <c r="C1652" s="4">
        <v>0</v>
      </c>
      <c r="D1652" s="4">
        <v>979.48</v>
      </c>
      <c r="E1652">
        <v>156</v>
      </c>
      <c r="F1652">
        <v>153</v>
      </c>
    </row>
    <row r="1653" spans="1:6" x14ac:dyDescent="0.25">
      <c r="A1653" t="s">
        <v>1779</v>
      </c>
      <c r="B1653" s="4">
        <v>977.76</v>
      </c>
      <c r="C1653" s="4">
        <v>0</v>
      </c>
      <c r="D1653" s="4">
        <v>977.76</v>
      </c>
      <c r="E1653">
        <v>64</v>
      </c>
      <c r="F1653">
        <v>61</v>
      </c>
    </row>
    <row r="1654" spans="1:6" x14ac:dyDescent="0.25">
      <c r="A1654" t="s">
        <v>1780</v>
      </c>
      <c r="B1654" s="4">
        <v>977.39</v>
      </c>
      <c r="C1654" s="4">
        <v>12.48</v>
      </c>
      <c r="D1654" s="4">
        <v>964.91</v>
      </c>
      <c r="E1654">
        <v>74</v>
      </c>
      <c r="F1654">
        <v>74</v>
      </c>
    </row>
    <row r="1655" spans="1:6" x14ac:dyDescent="0.25">
      <c r="A1655" t="s">
        <v>1781</v>
      </c>
      <c r="B1655" s="4">
        <v>977.32</v>
      </c>
      <c r="C1655" s="4">
        <v>0</v>
      </c>
      <c r="D1655" s="4">
        <v>977.32</v>
      </c>
      <c r="E1655">
        <v>58</v>
      </c>
      <c r="F1655">
        <v>57</v>
      </c>
    </row>
    <row r="1656" spans="1:6" x14ac:dyDescent="0.25">
      <c r="A1656" t="s">
        <v>1782</v>
      </c>
      <c r="B1656" s="4">
        <v>976.25</v>
      </c>
      <c r="C1656" s="4">
        <v>9.3000000000000007</v>
      </c>
      <c r="D1656" s="4">
        <v>966.95</v>
      </c>
      <c r="E1656">
        <v>30</v>
      </c>
      <c r="F1656">
        <v>30</v>
      </c>
    </row>
    <row r="1657" spans="1:6" x14ac:dyDescent="0.25">
      <c r="A1657" t="s">
        <v>1783</v>
      </c>
      <c r="B1657" s="4">
        <v>973.15</v>
      </c>
      <c r="C1657" s="4">
        <v>14.81</v>
      </c>
      <c r="D1657" s="4">
        <v>958.34</v>
      </c>
      <c r="E1657">
        <v>128</v>
      </c>
      <c r="F1657">
        <v>126</v>
      </c>
    </row>
    <row r="1658" spans="1:6" x14ac:dyDescent="0.25">
      <c r="A1658" t="s">
        <v>1784</v>
      </c>
      <c r="B1658" s="4">
        <v>969.8</v>
      </c>
      <c r="C1658" s="4">
        <v>5.95</v>
      </c>
      <c r="D1658" s="4">
        <v>963.85</v>
      </c>
      <c r="E1658">
        <v>49</v>
      </c>
      <c r="F1658">
        <v>48</v>
      </c>
    </row>
    <row r="1659" spans="1:6" x14ac:dyDescent="0.25">
      <c r="A1659" t="s">
        <v>1785</v>
      </c>
      <c r="B1659" s="4">
        <v>969.64</v>
      </c>
      <c r="C1659" s="4">
        <v>45.9</v>
      </c>
      <c r="D1659" s="4">
        <v>923.74</v>
      </c>
      <c r="E1659">
        <v>75</v>
      </c>
      <c r="F1659">
        <v>74</v>
      </c>
    </row>
    <row r="1660" spans="1:6" x14ac:dyDescent="0.25">
      <c r="A1660" t="s">
        <v>1786</v>
      </c>
      <c r="B1660" s="4">
        <v>968.37</v>
      </c>
      <c r="C1660" s="4">
        <v>9.9600000000000009</v>
      </c>
      <c r="D1660" s="4">
        <v>958.41</v>
      </c>
      <c r="E1660">
        <v>178</v>
      </c>
      <c r="F1660">
        <v>173</v>
      </c>
    </row>
    <row r="1661" spans="1:6" x14ac:dyDescent="0.25">
      <c r="A1661" t="s">
        <v>1787</v>
      </c>
      <c r="B1661" s="4">
        <v>968.21</v>
      </c>
      <c r="C1661" s="4">
        <v>10.199999999999999</v>
      </c>
      <c r="D1661" s="4">
        <v>958.01</v>
      </c>
      <c r="E1661">
        <v>127</v>
      </c>
      <c r="F1661">
        <v>122</v>
      </c>
    </row>
    <row r="1662" spans="1:6" x14ac:dyDescent="0.25">
      <c r="A1662" t="s">
        <v>1788</v>
      </c>
      <c r="B1662" s="4">
        <v>967.76</v>
      </c>
      <c r="C1662" s="4">
        <v>20.399999999999999</v>
      </c>
      <c r="D1662" s="4">
        <v>947.36</v>
      </c>
      <c r="E1662">
        <v>124</v>
      </c>
      <c r="F1662">
        <v>123</v>
      </c>
    </row>
    <row r="1663" spans="1:6" x14ac:dyDescent="0.25">
      <c r="A1663" t="s">
        <v>1789</v>
      </c>
      <c r="B1663" s="4">
        <v>967.17</v>
      </c>
      <c r="C1663" s="4">
        <v>30</v>
      </c>
      <c r="D1663" s="4">
        <v>937.17</v>
      </c>
      <c r="E1663">
        <v>85</v>
      </c>
      <c r="F1663">
        <v>84</v>
      </c>
    </row>
    <row r="1664" spans="1:6" x14ac:dyDescent="0.25">
      <c r="A1664" t="s">
        <v>1790</v>
      </c>
      <c r="B1664" s="4">
        <v>966.78</v>
      </c>
      <c r="C1664" s="4">
        <v>0.85</v>
      </c>
      <c r="D1664" s="4">
        <v>965.93</v>
      </c>
      <c r="E1664">
        <v>136</v>
      </c>
      <c r="F1664">
        <v>128</v>
      </c>
    </row>
    <row r="1665" spans="1:6" x14ac:dyDescent="0.25">
      <c r="A1665" t="s">
        <v>1791</v>
      </c>
      <c r="B1665" s="4">
        <v>964.38</v>
      </c>
      <c r="C1665" s="4">
        <v>5</v>
      </c>
      <c r="D1665" s="4">
        <v>959.38</v>
      </c>
      <c r="E1665">
        <v>118</v>
      </c>
      <c r="F1665">
        <v>118</v>
      </c>
    </row>
    <row r="1666" spans="1:6" x14ac:dyDescent="0.25">
      <c r="A1666" t="s">
        <v>1792</v>
      </c>
      <c r="B1666" s="4">
        <v>962.96</v>
      </c>
      <c r="C1666" s="4">
        <v>19.8</v>
      </c>
      <c r="D1666" s="4">
        <v>943.16</v>
      </c>
      <c r="E1666">
        <v>112</v>
      </c>
      <c r="F1666">
        <v>107</v>
      </c>
    </row>
    <row r="1667" spans="1:6" x14ac:dyDescent="0.25">
      <c r="A1667" t="s">
        <v>1793</v>
      </c>
      <c r="B1667" s="4">
        <v>962.77</v>
      </c>
      <c r="C1667" s="4">
        <v>23.4</v>
      </c>
      <c r="D1667" s="4">
        <v>939.37</v>
      </c>
      <c r="E1667">
        <v>90</v>
      </c>
      <c r="F1667">
        <v>90</v>
      </c>
    </row>
    <row r="1668" spans="1:6" x14ac:dyDescent="0.25">
      <c r="A1668" t="s">
        <v>1794</v>
      </c>
      <c r="B1668" s="4">
        <v>960.86</v>
      </c>
      <c r="C1668" s="4">
        <v>0.42</v>
      </c>
      <c r="D1668" s="4">
        <v>960.44</v>
      </c>
      <c r="E1668">
        <v>92</v>
      </c>
      <c r="F1668">
        <v>91</v>
      </c>
    </row>
    <row r="1669" spans="1:6" x14ac:dyDescent="0.25">
      <c r="A1669" t="s">
        <v>1795</v>
      </c>
      <c r="B1669" s="4">
        <v>959.7</v>
      </c>
      <c r="C1669" s="4">
        <v>0</v>
      </c>
      <c r="D1669" s="4">
        <v>959.7</v>
      </c>
      <c r="E1669">
        <v>195</v>
      </c>
      <c r="F1669">
        <v>187</v>
      </c>
    </row>
    <row r="1670" spans="1:6" x14ac:dyDescent="0.25">
      <c r="A1670" t="s">
        <v>1796</v>
      </c>
      <c r="B1670" s="4">
        <v>958.57</v>
      </c>
      <c r="C1670" s="4">
        <v>0</v>
      </c>
      <c r="D1670" s="4">
        <v>958.57</v>
      </c>
      <c r="E1670">
        <v>90</v>
      </c>
      <c r="F1670">
        <v>88</v>
      </c>
    </row>
    <row r="1671" spans="1:6" x14ac:dyDescent="0.25">
      <c r="A1671" t="s">
        <v>1797</v>
      </c>
      <c r="B1671" s="4">
        <v>958.2</v>
      </c>
      <c r="C1671" s="4">
        <v>12.6</v>
      </c>
      <c r="D1671" s="4">
        <v>945.6</v>
      </c>
      <c r="E1671">
        <v>221</v>
      </c>
      <c r="F1671">
        <v>218</v>
      </c>
    </row>
    <row r="1672" spans="1:6" x14ac:dyDescent="0.25">
      <c r="A1672" t="s">
        <v>1798</v>
      </c>
      <c r="B1672" s="4">
        <v>958.06</v>
      </c>
      <c r="C1672" s="4">
        <v>216</v>
      </c>
      <c r="D1672" s="4">
        <v>742.06</v>
      </c>
      <c r="E1672">
        <v>208</v>
      </c>
      <c r="F1672">
        <v>205</v>
      </c>
    </row>
    <row r="1673" spans="1:6" x14ac:dyDescent="0.25">
      <c r="A1673" t="s">
        <v>1799</v>
      </c>
      <c r="B1673" s="4">
        <v>953.86</v>
      </c>
      <c r="C1673" s="4">
        <v>4.25</v>
      </c>
      <c r="D1673" s="4">
        <v>949.61</v>
      </c>
      <c r="E1673">
        <v>144</v>
      </c>
      <c r="F1673">
        <v>137</v>
      </c>
    </row>
    <row r="1674" spans="1:6" x14ac:dyDescent="0.25">
      <c r="A1674" t="s">
        <v>1800</v>
      </c>
      <c r="B1674" s="4">
        <v>952.83</v>
      </c>
      <c r="C1674" s="4">
        <v>0</v>
      </c>
      <c r="D1674" s="4">
        <v>952.83</v>
      </c>
      <c r="E1674">
        <v>124</v>
      </c>
      <c r="F1674">
        <v>124</v>
      </c>
    </row>
    <row r="1675" spans="1:6" x14ac:dyDescent="0.25">
      <c r="A1675" t="s">
        <v>1801</v>
      </c>
      <c r="B1675" s="4">
        <v>951.79</v>
      </c>
      <c r="C1675" s="4">
        <v>17</v>
      </c>
      <c r="D1675" s="4">
        <v>934.79</v>
      </c>
      <c r="E1675">
        <v>62</v>
      </c>
      <c r="F1675">
        <v>62</v>
      </c>
    </row>
    <row r="1676" spans="1:6" x14ac:dyDescent="0.25">
      <c r="A1676" t="s">
        <v>1802</v>
      </c>
      <c r="B1676" s="4">
        <v>950.49</v>
      </c>
      <c r="C1676" s="4">
        <v>0</v>
      </c>
      <c r="D1676" s="4">
        <v>950.49</v>
      </c>
      <c r="E1676">
        <v>66</v>
      </c>
      <c r="F1676">
        <v>66</v>
      </c>
    </row>
    <row r="1677" spans="1:6" x14ac:dyDescent="0.25">
      <c r="A1677" t="s">
        <v>1803</v>
      </c>
      <c r="B1677" s="4">
        <v>949.92</v>
      </c>
      <c r="C1677" s="4">
        <v>0</v>
      </c>
      <c r="D1677" s="4">
        <v>949.92</v>
      </c>
      <c r="E1677">
        <v>249</v>
      </c>
      <c r="F1677">
        <v>245</v>
      </c>
    </row>
    <row r="1678" spans="1:6" x14ac:dyDescent="0.25">
      <c r="A1678" t="s">
        <v>1804</v>
      </c>
      <c r="B1678" s="4">
        <v>948.7</v>
      </c>
      <c r="C1678" s="4">
        <v>0</v>
      </c>
      <c r="D1678" s="4">
        <v>948.7</v>
      </c>
      <c r="E1678">
        <v>58</v>
      </c>
      <c r="F1678">
        <v>58</v>
      </c>
    </row>
    <row r="1679" spans="1:6" x14ac:dyDescent="0.25">
      <c r="A1679" t="s">
        <v>1805</v>
      </c>
      <c r="B1679" s="4">
        <v>947.06</v>
      </c>
      <c r="C1679" s="4">
        <v>0</v>
      </c>
      <c r="D1679" s="4">
        <v>947.06</v>
      </c>
      <c r="E1679">
        <v>14</v>
      </c>
      <c r="F1679">
        <v>14</v>
      </c>
    </row>
    <row r="1680" spans="1:6" x14ac:dyDescent="0.25">
      <c r="A1680" t="s">
        <v>1806</v>
      </c>
      <c r="B1680" s="4">
        <v>946.93</v>
      </c>
      <c r="C1680" s="4">
        <v>0</v>
      </c>
      <c r="D1680" s="4">
        <v>946.93</v>
      </c>
      <c r="E1680">
        <v>41</v>
      </c>
      <c r="F1680">
        <v>41</v>
      </c>
    </row>
    <row r="1681" spans="1:6" x14ac:dyDescent="0.25">
      <c r="A1681" t="s">
        <v>1807</v>
      </c>
      <c r="B1681" s="4">
        <v>946.83</v>
      </c>
      <c r="C1681" s="4">
        <v>2.95</v>
      </c>
      <c r="D1681" s="4">
        <v>943.88</v>
      </c>
      <c r="E1681">
        <v>60</v>
      </c>
      <c r="F1681">
        <v>60</v>
      </c>
    </row>
    <row r="1682" spans="1:6" x14ac:dyDescent="0.25">
      <c r="A1682" t="s">
        <v>1808</v>
      </c>
      <c r="B1682" s="4">
        <v>946.13</v>
      </c>
      <c r="C1682" s="4">
        <v>0</v>
      </c>
      <c r="D1682" s="4">
        <v>946.13</v>
      </c>
      <c r="E1682">
        <v>247</v>
      </c>
      <c r="F1682">
        <v>245</v>
      </c>
    </row>
    <row r="1683" spans="1:6" x14ac:dyDescent="0.25">
      <c r="A1683" t="s">
        <v>1809</v>
      </c>
      <c r="B1683" s="4">
        <v>945.95</v>
      </c>
      <c r="C1683" s="4">
        <v>25.89</v>
      </c>
      <c r="D1683" s="4">
        <v>920.06</v>
      </c>
      <c r="E1683">
        <v>56</v>
      </c>
      <c r="F1683">
        <v>53</v>
      </c>
    </row>
    <row r="1684" spans="1:6" x14ac:dyDescent="0.25">
      <c r="A1684" t="s">
        <v>1810</v>
      </c>
      <c r="B1684" s="4">
        <v>943.92</v>
      </c>
      <c r="C1684" s="4">
        <v>14.45</v>
      </c>
      <c r="D1684" s="4">
        <v>929.47</v>
      </c>
      <c r="E1684">
        <v>70</v>
      </c>
      <c r="F1684">
        <v>68</v>
      </c>
    </row>
    <row r="1685" spans="1:6" x14ac:dyDescent="0.25">
      <c r="A1685" t="s">
        <v>1811</v>
      </c>
      <c r="B1685" s="4">
        <v>939.03</v>
      </c>
      <c r="C1685" s="4">
        <v>10.199999999999999</v>
      </c>
      <c r="D1685" s="4">
        <v>928.83</v>
      </c>
      <c r="E1685">
        <v>154</v>
      </c>
      <c r="F1685">
        <v>154</v>
      </c>
    </row>
    <row r="1686" spans="1:6" x14ac:dyDescent="0.25">
      <c r="A1686" t="s">
        <v>1812</v>
      </c>
      <c r="B1686" s="4">
        <v>937.25</v>
      </c>
      <c r="C1686" s="4">
        <v>0</v>
      </c>
      <c r="D1686" s="4">
        <v>937.25</v>
      </c>
      <c r="E1686">
        <v>96</v>
      </c>
      <c r="F1686">
        <v>94</v>
      </c>
    </row>
    <row r="1687" spans="1:6" x14ac:dyDescent="0.25">
      <c r="A1687" t="s">
        <v>1813</v>
      </c>
      <c r="B1687" s="4">
        <v>935.39</v>
      </c>
      <c r="C1687" s="4">
        <v>0</v>
      </c>
      <c r="D1687" s="4">
        <v>935.39</v>
      </c>
      <c r="E1687">
        <v>64</v>
      </c>
      <c r="F1687">
        <v>63</v>
      </c>
    </row>
    <row r="1688" spans="1:6" x14ac:dyDescent="0.25">
      <c r="A1688" t="s">
        <v>1814</v>
      </c>
      <c r="B1688" s="4">
        <v>935.15</v>
      </c>
      <c r="C1688" s="4">
        <v>4.2</v>
      </c>
      <c r="D1688" s="4">
        <v>930.95</v>
      </c>
      <c r="E1688">
        <v>150</v>
      </c>
      <c r="F1688">
        <v>148</v>
      </c>
    </row>
    <row r="1689" spans="1:6" x14ac:dyDescent="0.25">
      <c r="A1689" t="s">
        <v>1815</v>
      </c>
      <c r="B1689" s="4">
        <v>932.42</v>
      </c>
      <c r="C1689" s="4">
        <v>0</v>
      </c>
      <c r="D1689" s="4">
        <v>932.42</v>
      </c>
      <c r="E1689">
        <v>78</v>
      </c>
      <c r="F1689">
        <v>77</v>
      </c>
    </row>
    <row r="1690" spans="1:6" x14ac:dyDescent="0.25">
      <c r="A1690" t="s">
        <v>1816</v>
      </c>
      <c r="B1690" s="4">
        <v>932.4</v>
      </c>
      <c r="C1690" s="4">
        <v>0</v>
      </c>
      <c r="D1690" s="4">
        <v>932.4</v>
      </c>
      <c r="E1690">
        <v>73</v>
      </c>
      <c r="F1690">
        <v>73</v>
      </c>
    </row>
    <row r="1691" spans="1:6" x14ac:dyDescent="0.25">
      <c r="A1691" t="s">
        <v>1817</v>
      </c>
      <c r="B1691" s="4">
        <v>931.02</v>
      </c>
      <c r="C1691" s="4">
        <v>8.82</v>
      </c>
      <c r="D1691" s="4">
        <v>922.2</v>
      </c>
      <c r="E1691">
        <v>143</v>
      </c>
      <c r="F1691">
        <v>142</v>
      </c>
    </row>
    <row r="1692" spans="1:6" x14ac:dyDescent="0.25">
      <c r="A1692" t="s">
        <v>1818</v>
      </c>
      <c r="B1692" s="4">
        <v>930.96</v>
      </c>
      <c r="C1692" s="4">
        <v>14.85</v>
      </c>
      <c r="D1692" s="4">
        <v>916.11</v>
      </c>
      <c r="E1692">
        <v>55</v>
      </c>
      <c r="F1692">
        <v>55</v>
      </c>
    </row>
    <row r="1693" spans="1:6" x14ac:dyDescent="0.25">
      <c r="A1693" t="s">
        <v>1819</v>
      </c>
      <c r="B1693" s="4">
        <v>930.48</v>
      </c>
      <c r="C1693" s="4">
        <v>0</v>
      </c>
      <c r="D1693" s="4">
        <v>930.48</v>
      </c>
      <c r="E1693">
        <v>53</v>
      </c>
      <c r="F1693">
        <v>53</v>
      </c>
    </row>
    <row r="1694" spans="1:6" x14ac:dyDescent="0.25">
      <c r="A1694" t="s">
        <v>1820</v>
      </c>
      <c r="B1694" s="4">
        <v>929.11</v>
      </c>
      <c r="C1694" s="4">
        <v>49.8</v>
      </c>
      <c r="D1694" s="4">
        <v>879.31</v>
      </c>
      <c r="E1694">
        <v>60</v>
      </c>
      <c r="F1694">
        <v>58</v>
      </c>
    </row>
    <row r="1695" spans="1:6" x14ac:dyDescent="0.25">
      <c r="A1695" t="s">
        <v>1821</v>
      </c>
      <c r="B1695" s="4">
        <v>929</v>
      </c>
      <c r="C1695" s="4">
        <v>14.28</v>
      </c>
      <c r="D1695" s="4">
        <v>914.72</v>
      </c>
      <c r="E1695">
        <v>75</v>
      </c>
      <c r="F1695">
        <v>75</v>
      </c>
    </row>
    <row r="1696" spans="1:6" x14ac:dyDescent="0.25">
      <c r="A1696" t="s">
        <v>1822</v>
      </c>
      <c r="B1696" s="4">
        <v>928.04</v>
      </c>
      <c r="C1696" s="4">
        <v>201.66</v>
      </c>
      <c r="D1696" s="4">
        <v>726.38</v>
      </c>
      <c r="E1696">
        <v>28</v>
      </c>
      <c r="F1696">
        <v>26</v>
      </c>
    </row>
    <row r="1697" spans="1:6" x14ac:dyDescent="0.25">
      <c r="A1697" t="s">
        <v>1823</v>
      </c>
      <c r="B1697" s="4">
        <v>926.94</v>
      </c>
      <c r="C1697" s="4">
        <v>2.95</v>
      </c>
      <c r="D1697" s="4">
        <v>923.99</v>
      </c>
      <c r="E1697">
        <v>80</v>
      </c>
      <c r="F1697">
        <v>71</v>
      </c>
    </row>
    <row r="1698" spans="1:6" x14ac:dyDescent="0.25">
      <c r="A1698" t="s">
        <v>1824</v>
      </c>
      <c r="B1698" s="4">
        <v>925.35</v>
      </c>
      <c r="C1698" s="4">
        <v>53.2</v>
      </c>
      <c r="D1698" s="4">
        <v>872.15</v>
      </c>
      <c r="E1698">
        <v>59</v>
      </c>
      <c r="F1698">
        <v>58</v>
      </c>
    </row>
    <row r="1699" spans="1:6" x14ac:dyDescent="0.25">
      <c r="A1699" t="s">
        <v>1825</v>
      </c>
      <c r="B1699" s="4">
        <v>925.29</v>
      </c>
      <c r="C1699" s="4">
        <v>53.76</v>
      </c>
      <c r="D1699" s="4">
        <v>871.53</v>
      </c>
      <c r="E1699">
        <v>197</v>
      </c>
      <c r="F1699">
        <v>192</v>
      </c>
    </row>
    <row r="1700" spans="1:6" x14ac:dyDescent="0.25">
      <c r="A1700" t="s">
        <v>1826</v>
      </c>
      <c r="B1700" s="4">
        <v>924.29</v>
      </c>
      <c r="C1700" s="4">
        <v>220.15</v>
      </c>
      <c r="D1700" s="4">
        <v>704.14</v>
      </c>
      <c r="E1700">
        <v>28</v>
      </c>
      <c r="F1700">
        <v>28</v>
      </c>
    </row>
    <row r="1701" spans="1:6" x14ac:dyDescent="0.25">
      <c r="A1701" t="s">
        <v>1827</v>
      </c>
      <c r="B1701" s="4">
        <v>922.89</v>
      </c>
      <c r="C1701" s="4">
        <v>43</v>
      </c>
      <c r="D1701" s="4">
        <v>879.89</v>
      </c>
      <c r="E1701">
        <v>116</v>
      </c>
      <c r="F1701">
        <v>115</v>
      </c>
    </row>
    <row r="1702" spans="1:6" x14ac:dyDescent="0.25">
      <c r="A1702" t="s">
        <v>1828</v>
      </c>
      <c r="B1702" s="4">
        <v>920.67</v>
      </c>
      <c r="C1702" s="4">
        <v>0</v>
      </c>
      <c r="D1702" s="4">
        <v>920.67</v>
      </c>
      <c r="E1702">
        <v>99</v>
      </c>
      <c r="F1702">
        <v>95</v>
      </c>
    </row>
    <row r="1703" spans="1:6" x14ac:dyDescent="0.25">
      <c r="A1703" t="s">
        <v>1829</v>
      </c>
      <c r="B1703" s="4">
        <v>920.4</v>
      </c>
      <c r="C1703" s="4">
        <v>0.42</v>
      </c>
      <c r="D1703" s="4">
        <v>919.98</v>
      </c>
      <c r="E1703">
        <v>183</v>
      </c>
      <c r="F1703">
        <v>180</v>
      </c>
    </row>
    <row r="1704" spans="1:6" x14ac:dyDescent="0.25">
      <c r="A1704" t="s">
        <v>1830</v>
      </c>
      <c r="B1704" s="4">
        <v>920.22</v>
      </c>
      <c r="C1704" s="4">
        <v>0</v>
      </c>
      <c r="D1704" s="4">
        <v>920.22</v>
      </c>
      <c r="E1704">
        <v>78</v>
      </c>
      <c r="F1704">
        <v>75</v>
      </c>
    </row>
    <row r="1705" spans="1:6" x14ac:dyDescent="0.25">
      <c r="A1705" t="s">
        <v>1831</v>
      </c>
      <c r="B1705" s="4">
        <v>919.94</v>
      </c>
      <c r="C1705" s="4">
        <v>17.7</v>
      </c>
      <c r="D1705" s="4">
        <v>902.24</v>
      </c>
      <c r="E1705">
        <v>78</v>
      </c>
      <c r="F1705">
        <v>76</v>
      </c>
    </row>
    <row r="1706" spans="1:6" x14ac:dyDescent="0.25">
      <c r="A1706" t="s">
        <v>1832</v>
      </c>
      <c r="B1706" s="4">
        <v>918.25</v>
      </c>
      <c r="C1706" s="4">
        <v>9.24</v>
      </c>
      <c r="D1706" s="4">
        <v>909.01</v>
      </c>
      <c r="E1706">
        <v>234</v>
      </c>
      <c r="F1706">
        <v>226</v>
      </c>
    </row>
    <row r="1707" spans="1:6" x14ac:dyDescent="0.25">
      <c r="A1707" t="s">
        <v>1833</v>
      </c>
      <c r="B1707" s="4">
        <v>915.4</v>
      </c>
      <c r="C1707" s="4">
        <v>12.48</v>
      </c>
      <c r="D1707" s="4">
        <v>902.92</v>
      </c>
      <c r="E1707">
        <v>109</v>
      </c>
      <c r="F1707">
        <v>109</v>
      </c>
    </row>
    <row r="1708" spans="1:6" x14ac:dyDescent="0.25">
      <c r="A1708" t="s">
        <v>1834</v>
      </c>
      <c r="B1708" s="4">
        <v>915.15</v>
      </c>
      <c r="C1708" s="4">
        <v>20.75</v>
      </c>
      <c r="D1708" s="4">
        <v>894.4</v>
      </c>
      <c r="E1708">
        <v>83</v>
      </c>
      <c r="F1708">
        <v>74</v>
      </c>
    </row>
    <row r="1709" spans="1:6" x14ac:dyDescent="0.25">
      <c r="A1709" t="s">
        <v>1835</v>
      </c>
      <c r="B1709" s="4">
        <v>910.12</v>
      </c>
      <c r="C1709" s="4">
        <v>0</v>
      </c>
      <c r="D1709" s="4">
        <v>910.12</v>
      </c>
      <c r="E1709">
        <v>27</v>
      </c>
      <c r="F1709">
        <v>27</v>
      </c>
    </row>
    <row r="1710" spans="1:6" x14ac:dyDescent="0.25">
      <c r="A1710" t="s">
        <v>1836</v>
      </c>
      <c r="B1710" s="4">
        <v>909.37</v>
      </c>
      <c r="C1710" s="4">
        <v>0</v>
      </c>
      <c r="D1710" s="4">
        <v>909.37</v>
      </c>
      <c r="E1710">
        <v>34</v>
      </c>
      <c r="F1710">
        <v>33</v>
      </c>
    </row>
    <row r="1711" spans="1:6" x14ac:dyDescent="0.25">
      <c r="A1711" t="s">
        <v>1837</v>
      </c>
      <c r="B1711" s="4">
        <v>908.33</v>
      </c>
      <c r="C1711" s="4">
        <v>0</v>
      </c>
      <c r="D1711" s="4">
        <v>908.33</v>
      </c>
      <c r="E1711">
        <v>134</v>
      </c>
      <c r="F1711">
        <v>130</v>
      </c>
    </row>
    <row r="1712" spans="1:6" x14ac:dyDescent="0.25">
      <c r="A1712" t="s">
        <v>1838</v>
      </c>
      <c r="B1712" s="4">
        <v>906.94</v>
      </c>
      <c r="C1712" s="4">
        <v>77.28</v>
      </c>
      <c r="D1712" s="4">
        <v>829.66</v>
      </c>
      <c r="E1712">
        <v>227</v>
      </c>
      <c r="F1712">
        <v>221</v>
      </c>
    </row>
    <row r="1713" spans="1:6" x14ac:dyDescent="0.25">
      <c r="A1713" t="s">
        <v>1839</v>
      </c>
      <c r="B1713" s="4">
        <v>906.83</v>
      </c>
      <c r="C1713" s="4">
        <v>13.9</v>
      </c>
      <c r="D1713" s="4">
        <v>892.93</v>
      </c>
      <c r="E1713">
        <v>49</v>
      </c>
      <c r="F1713">
        <v>49</v>
      </c>
    </row>
    <row r="1714" spans="1:6" x14ac:dyDescent="0.25">
      <c r="A1714" t="s">
        <v>1840</v>
      </c>
      <c r="B1714" s="4">
        <v>906.75</v>
      </c>
      <c r="C1714" s="4">
        <v>0</v>
      </c>
      <c r="D1714" s="4">
        <v>906.75</v>
      </c>
      <c r="E1714">
        <v>88</v>
      </c>
      <c r="F1714">
        <v>88</v>
      </c>
    </row>
    <row r="1715" spans="1:6" x14ac:dyDescent="0.25">
      <c r="A1715" t="s">
        <v>1841</v>
      </c>
      <c r="B1715" s="4">
        <v>905.55</v>
      </c>
      <c r="C1715" s="4">
        <v>0</v>
      </c>
      <c r="D1715" s="4">
        <v>905.55</v>
      </c>
      <c r="E1715">
        <v>88</v>
      </c>
      <c r="F1715">
        <v>88</v>
      </c>
    </row>
    <row r="1716" spans="1:6" x14ac:dyDescent="0.25">
      <c r="A1716" t="s">
        <v>1842</v>
      </c>
      <c r="B1716" s="4">
        <v>904.14</v>
      </c>
      <c r="C1716" s="4">
        <v>3.3</v>
      </c>
      <c r="D1716" s="4">
        <v>900.84</v>
      </c>
      <c r="E1716">
        <v>78</v>
      </c>
      <c r="F1716">
        <v>77</v>
      </c>
    </row>
    <row r="1717" spans="1:6" x14ac:dyDescent="0.25">
      <c r="A1717" t="s">
        <v>1843</v>
      </c>
      <c r="B1717" s="4">
        <v>901.58</v>
      </c>
      <c r="C1717" s="4">
        <v>0</v>
      </c>
      <c r="D1717" s="4">
        <v>901.58</v>
      </c>
      <c r="E1717">
        <v>31</v>
      </c>
      <c r="F1717">
        <v>31</v>
      </c>
    </row>
    <row r="1718" spans="1:6" x14ac:dyDescent="0.25">
      <c r="A1718" t="s">
        <v>1844</v>
      </c>
      <c r="B1718" s="4">
        <v>901.48</v>
      </c>
      <c r="C1718" s="4">
        <v>11.27</v>
      </c>
      <c r="D1718" s="4">
        <v>890.21</v>
      </c>
      <c r="E1718">
        <v>119</v>
      </c>
      <c r="F1718">
        <v>119</v>
      </c>
    </row>
    <row r="1719" spans="1:6" x14ac:dyDescent="0.25">
      <c r="A1719" t="s">
        <v>1845</v>
      </c>
      <c r="B1719" s="4">
        <v>901.46</v>
      </c>
      <c r="C1719" s="4">
        <v>0</v>
      </c>
      <c r="D1719" s="4">
        <v>901.46</v>
      </c>
      <c r="E1719">
        <v>91</v>
      </c>
      <c r="F1719">
        <v>89</v>
      </c>
    </row>
    <row r="1720" spans="1:6" x14ac:dyDescent="0.25">
      <c r="A1720" t="s">
        <v>1846</v>
      </c>
      <c r="B1720" s="4">
        <v>898.38</v>
      </c>
      <c r="C1720" s="4">
        <v>156.75</v>
      </c>
      <c r="D1720" s="4">
        <v>741.63</v>
      </c>
      <c r="E1720">
        <v>47</v>
      </c>
      <c r="F1720">
        <v>47</v>
      </c>
    </row>
    <row r="1721" spans="1:6" x14ac:dyDescent="0.25">
      <c r="A1721" t="s">
        <v>1847</v>
      </c>
      <c r="B1721" s="4">
        <v>897.8</v>
      </c>
      <c r="C1721" s="4">
        <v>0</v>
      </c>
      <c r="D1721" s="4">
        <v>897.8</v>
      </c>
      <c r="E1721">
        <v>79</v>
      </c>
      <c r="F1721">
        <v>79</v>
      </c>
    </row>
    <row r="1722" spans="1:6" x14ac:dyDescent="0.25">
      <c r="A1722" t="s">
        <v>1848</v>
      </c>
      <c r="B1722" s="4">
        <v>897.74</v>
      </c>
      <c r="C1722" s="4">
        <v>0</v>
      </c>
      <c r="D1722" s="4">
        <v>897.74</v>
      </c>
      <c r="E1722">
        <v>100</v>
      </c>
      <c r="F1722">
        <v>100</v>
      </c>
    </row>
    <row r="1723" spans="1:6" x14ac:dyDescent="0.25">
      <c r="A1723" t="s">
        <v>1849</v>
      </c>
      <c r="B1723" s="4">
        <v>896.75</v>
      </c>
      <c r="C1723" s="4">
        <v>13.75</v>
      </c>
      <c r="D1723" s="4">
        <v>883</v>
      </c>
      <c r="E1723">
        <v>114</v>
      </c>
      <c r="F1723">
        <v>113</v>
      </c>
    </row>
    <row r="1724" spans="1:6" x14ac:dyDescent="0.25">
      <c r="A1724" t="s">
        <v>1850</v>
      </c>
      <c r="B1724" s="4">
        <v>896.41</v>
      </c>
      <c r="C1724" s="4">
        <v>0</v>
      </c>
      <c r="D1724" s="4">
        <v>896.41</v>
      </c>
      <c r="E1724">
        <v>95</v>
      </c>
      <c r="F1724">
        <v>94</v>
      </c>
    </row>
    <row r="1725" spans="1:6" x14ac:dyDescent="0.25">
      <c r="A1725" t="s">
        <v>1851</v>
      </c>
      <c r="B1725" s="4">
        <v>896.01</v>
      </c>
      <c r="C1725" s="4">
        <v>0</v>
      </c>
      <c r="D1725" s="4">
        <v>896.01</v>
      </c>
      <c r="E1725">
        <v>27</v>
      </c>
      <c r="F1725">
        <v>27</v>
      </c>
    </row>
    <row r="1726" spans="1:6" x14ac:dyDescent="0.25">
      <c r="A1726" t="s">
        <v>1852</v>
      </c>
      <c r="B1726" s="4">
        <v>895.97</v>
      </c>
      <c r="C1726" s="4">
        <v>198</v>
      </c>
      <c r="D1726" s="4">
        <v>697.97</v>
      </c>
      <c r="E1726">
        <v>52</v>
      </c>
      <c r="F1726">
        <v>50</v>
      </c>
    </row>
    <row r="1727" spans="1:6" x14ac:dyDescent="0.25">
      <c r="A1727" t="s">
        <v>1853</v>
      </c>
      <c r="B1727" s="4">
        <v>895.72</v>
      </c>
      <c r="C1727" s="4">
        <v>11.17</v>
      </c>
      <c r="D1727" s="4">
        <v>884.55</v>
      </c>
      <c r="E1727">
        <v>110</v>
      </c>
      <c r="F1727">
        <v>109</v>
      </c>
    </row>
    <row r="1728" spans="1:6" x14ac:dyDescent="0.25">
      <c r="A1728" t="s">
        <v>1854</v>
      </c>
      <c r="B1728" s="4">
        <v>895.46</v>
      </c>
      <c r="C1728" s="4">
        <v>12.75</v>
      </c>
      <c r="D1728" s="4">
        <v>882.71</v>
      </c>
      <c r="E1728">
        <v>42</v>
      </c>
      <c r="F1728">
        <v>42</v>
      </c>
    </row>
    <row r="1729" spans="1:6" x14ac:dyDescent="0.25">
      <c r="A1729" t="s">
        <v>1855</v>
      </c>
      <c r="B1729" s="4">
        <v>895.38</v>
      </c>
      <c r="C1729" s="4">
        <v>43.9</v>
      </c>
      <c r="D1729" s="4">
        <v>851.48</v>
      </c>
      <c r="E1729">
        <v>26</v>
      </c>
      <c r="F1729">
        <v>26</v>
      </c>
    </row>
    <row r="1730" spans="1:6" x14ac:dyDescent="0.25">
      <c r="A1730" t="s">
        <v>1856</v>
      </c>
      <c r="B1730" s="4">
        <v>893.51</v>
      </c>
      <c r="C1730" s="4">
        <v>0</v>
      </c>
      <c r="D1730" s="4">
        <v>893.51</v>
      </c>
      <c r="E1730">
        <v>236</v>
      </c>
      <c r="F1730">
        <v>235</v>
      </c>
    </row>
    <row r="1731" spans="1:6" x14ac:dyDescent="0.25">
      <c r="A1731" t="s">
        <v>1857</v>
      </c>
      <c r="B1731" s="4">
        <v>891.99</v>
      </c>
      <c r="C1731" s="4">
        <v>20</v>
      </c>
      <c r="D1731" s="4">
        <v>871.99</v>
      </c>
      <c r="E1731">
        <v>140</v>
      </c>
      <c r="F1731">
        <v>137</v>
      </c>
    </row>
    <row r="1732" spans="1:6" x14ac:dyDescent="0.25">
      <c r="A1732" t="s">
        <v>1858</v>
      </c>
      <c r="B1732" s="4">
        <v>890.6</v>
      </c>
      <c r="C1732" s="4">
        <v>26.55</v>
      </c>
      <c r="D1732" s="4">
        <v>864.05</v>
      </c>
      <c r="E1732">
        <v>50</v>
      </c>
      <c r="F1732">
        <v>49</v>
      </c>
    </row>
    <row r="1733" spans="1:6" x14ac:dyDescent="0.25">
      <c r="A1733" t="s">
        <v>1859</v>
      </c>
      <c r="B1733" s="4">
        <v>890.4</v>
      </c>
      <c r="C1733" s="4">
        <v>0</v>
      </c>
      <c r="D1733" s="4">
        <v>890.4</v>
      </c>
      <c r="E1733">
        <v>25</v>
      </c>
      <c r="F1733">
        <v>25</v>
      </c>
    </row>
    <row r="1734" spans="1:6" x14ac:dyDescent="0.25">
      <c r="A1734" t="s">
        <v>1860</v>
      </c>
      <c r="B1734" s="4">
        <v>888.67</v>
      </c>
      <c r="C1734" s="4">
        <v>0</v>
      </c>
      <c r="D1734" s="4">
        <v>888.67</v>
      </c>
      <c r="E1734">
        <v>73</v>
      </c>
      <c r="F1734">
        <v>72</v>
      </c>
    </row>
    <row r="1735" spans="1:6" x14ac:dyDescent="0.25">
      <c r="A1735" t="s">
        <v>1861</v>
      </c>
      <c r="B1735" s="4">
        <v>888.33</v>
      </c>
      <c r="C1735" s="4">
        <v>20.16</v>
      </c>
      <c r="D1735" s="4">
        <v>868.17</v>
      </c>
      <c r="E1735">
        <v>79</v>
      </c>
      <c r="F1735">
        <v>78</v>
      </c>
    </row>
    <row r="1736" spans="1:6" x14ac:dyDescent="0.25">
      <c r="A1736" t="s">
        <v>1862</v>
      </c>
      <c r="B1736" s="4">
        <v>888.14</v>
      </c>
      <c r="C1736" s="4">
        <v>20.16</v>
      </c>
      <c r="D1736" s="4">
        <v>867.98</v>
      </c>
      <c r="E1736">
        <v>179</v>
      </c>
      <c r="F1736">
        <v>178</v>
      </c>
    </row>
    <row r="1737" spans="1:6" x14ac:dyDescent="0.25">
      <c r="A1737" t="s">
        <v>1863</v>
      </c>
      <c r="B1737" s="4">
        <v>886.24</v>
      </c>
      <c r="C1737" s="4">
        <v>8.33</v>
      </c>
      <c r="D1737" s="4">
        <v>877.91</v>
      </c>
      <c r="E1737">
        <v>89</v>
      </c>
      <c r="F1737">
        <v>89</v>
      </c>
    </row>
    <row r="1738" spans="1:6" x14ac:dyDescent="0.25">
      <c r="A1738" t="s">
        <v>1864</v>
      </c>
      <c r="B1738" s="4">
        <v>883.2</v>
      </c>
      <c r="C1738" s="4">
        <v>0</v>
      </c>
      <c r="D1738" s="4">
        <v>883.2</v>
      </c>
      <c r="E1738">
        <v>82</v>
      </c>
      <c r="F1738">
        <v>81</v>
      </c>
    </row>
    <row r="1739" spans="1:6" x14ac:dyDescent="0.25">
      <c r="A1739" t="s">
        <v>1865</v>
      </c>
      <c r="B1739" s="4">
        <v>883.12</v>
      </c>
      <c r="C1739" s="4">
        <v>0</v>
      </c>
      <c r="D1739" s="4">
        <v>883.12</v>
      </c>
      <c r="E1739">
        <v>89</v>
      </c>
      <c r="F1739">
        <v>89</v>
      </c>
    </row>
    <row r="1740" spans="1:6" x14ac:dyDescent="0.25">
      <c r="A1740" t="s">
        <v>1866</v>
      </c>
      <c r="B1740" s="4">
        <v>882.62</v>
      </c>
      <c r="C1740" s="4">
        <v>0</v>
      </c>
      <c r="D1740" s="4">
        <v>882.62</v>
      </c>
      <c r="E1740">
        <v>90</v>
      </c>
      <c r="F1740">
        <v>89</v>
      </c>
    </row>
    <row r="1741" spans="1:6" x14ac:dyDescent="0.25">
      <c r="A1741" t="s">
        <v>1867</v>
      </c>
      <c r="B1741" s="4">
        <v>881.33</v>
      </c>
      <c r="C1741" s="4">
        <v>0.85</v>
      </c>
      <c r="D1741" s="4">
        <v>880.48</v>
      </c>
      <c r="E1741">
        <v>133</v>
      </c>
      <c r="F1741">
        <v>132</v>
      </c>
    </row>
    <row r="1742" spans="1:6" x14ac:dyDescent="0.25">
      <c r="A1742" t="s">
        <v>1868</v>
      </c>
      <c r="B1742" s="4">
        <v>880.47</v>
      </c>
      <c r="C1742" s="4">
        <v>0.85</v>
      </c>
      <c r="D1742" s="4">
        <v>879.62</v>
      </c>
      <c r="E1742">
        <v>172</v>
      </c>
      <c r="F1742">
        <v>172</v>
      </c>
    </row>
    <row r="1743" spans="1:6" x14ac:dyDescent="0.25">
      <c r="A1743" t="s">
        <v>1869</v>
      </c>
      <c r="B1743" s="4">
        <v>880.23</v>
      </c>
      <c r="C1743" s="4">
        <v>0</v>
      </c>
      <c r="D1743" s="4">
        <v>880.23</v>
      </c>
      <c r="E1743">
        <v>45</v>
      </c>
      <c r="F1743">
        <v>44</v>
      </c>
    </row>
    <row r="1744" spans="1:6" x14ac:dyDescent="0.25">
      <c r="A1744" t="s">
        <v>1870</v>
      </c>
      <c r="B1744" s="4">
        <v>878.74</v>
      </c>
      <c r="C1744" s="4">
        <v>0</v>
      </c>
      <c r="D1744" s="4">
        <v>878.74</v>
      </c>
      <c r="E1744">
        <v>65</v>
      </c>
      <c r="F1744">
        <v>65</v>
      </c>
    </row>
    <row r="1745" spans="1:6" x14ac:dyDescent="0.25">
      <c r="A1745" t="s">
        <v>1871</v>
      </c>
      <c r="B1745" s="4">
        <v>877.76</v>
      </c>
      <c r="C1745" s="4">
        <v>0</v>
      </c>
      <c r="D1745" s="4">
        <v>877.76</v>
      </c>
      <c r="E1745">
        <v>44</v>
      </c>
      <c r="F1745">
        <v>41</v>
      </c>
    </row>
    <row r="1746" spans="1:6" x14ac:dyDescent="0.25">
      <c r="A1746" t="s">
        <v>1872</v>
      </c>
      <c r="B1746" s="4">
        <v>877.38</v>
      </c>
      <c r="C1746" s="4">
        <v>0</v>
      </c>
      <c r="D1746" s="4">
        <v>877.38</v>
      </c>
      <c r="E1746">
        <v>105</v>
      </c>
      <c r="F1746">
        <v>105</v>
      </c>
    </row>
    <row r="1747" spans="1:6" x14ac:dyDescent="0.25">
      <c r="A1747" t="s">
        <v>1873</v>
      </c>
      <c r="B1747" s="4">
        <v>876.9</v>
      </c>
      <c r="C1747" s="4">
        <v>18.75</v>
      </c>
      <c r="D1747" s="4">
        <v>858.15</v>
      </c>
      <c r="E1747">
        <v>66</v>
      </c>
      <c r="F1747">
        <v>66</v>
      </c>
    </row>
    <row r="1748" spans="1:6" x14ac:dyDescent="0.25">
      <c r="A1748" t="s">
        <v>1874</v>
      </c>
      <c r="B1748" s="4">
        <v>875.38</v>
      </c>
      <c r="C1748" s="4">
        <v>0</v>
      </c>
      <c r="D1748" s="4">
        <v>875.38</v>
      </c>
      <c r="E1748">
        <v>42</v>
      </c>
      <c r="F1748">
        <v>41</v>
      </c>
    </row>
    <row r="1749" spans="1:6" x14ac:dyDescent="0.25">
      <c r="A1749" t="s">
        <v>1875</v>
      </c>
      <c r="B1749" s="4">
        <v>874.29</v>
      </c>
      <c r="C1749" s="4">
        <v>43.29</v>
      </c>
      <c r="D1749" s="4">
        <v>831</v>
      </c>
      <c r="E1749">
        <v>72</v>
      </c>
      <c r="F1749">
        <v>71</v>
      </c>
    </row>
    <row r="1750" spans="1:6" x14ac:dyDescent="0.25">
      <c r="A1750" t="s">
        <v>1876</v>
      </c>
      <c r="B1750" s="4">
        <v>873.9</v>
      </c>
      <c r="C1750" s="4">
        <v>15.3</v>
      </c>
      <c r="D1750" s="4">
        <v>858.6</v>
      </c>
      <c r="E1750">
        <v>95</v>
      </c>
      <c r="F1750">
        <v>94</v>
      </c>
    </row>
    <row r="1751" spans="1:6" x14ac:dyDescent="0.25">
      <c r="A1751" t="s">
        <v>1877</v>
      </c>
      <c r="B1751" s="4">
        <v>873.52</v>
      </c>
      <c r="C1751" s="4">
        <v>0</v>
      </c>
      <c r="D1751" s="4">
        <v>873.52</v>
      </c>
      <c r="E1751">
        <v>150</v>
      </c>
      <c r="F1751">
        <v>148</v>
      </c>
    </row>
    <row r="1752" spans="1:6" x14ac:dyDescent="0.25">
      <c r="A1752" t="s">
        <v>1878</v>
      </c>
      <c r="B1752" s="4">
        <v>871.49</v>
      </c>
      <c r="C1752" s="4">
        <v>15</v>
      </c>
      <c r="D1752" s="4">
        <v>856.49</v>
      </c>
      <c r="E1752">
        <v>120</v>
      </c>
      <c r="F1752">
        <v>119</v>
      </c>
    </row>
    <row r="1753" spans="1:6" x14ac:dyDescent="0.25">
      <c r="A1753" t="s">
        <v>1879</v>
      </c>
      <c r="B1753" s="4">
        <v>870.35</v>
      </c>
      <c r="C1753" s="4">
        <v>0</v>
      </c>
      <c r="D1753" s="4">
        <v>870.35</v>
      </c>
      <c r="E1753">
        <v>188</v>
      </c>
      <c r="F1753">
        <v>184</v>
      </c>
    </row>
    <row r="1754" spans="1:6" x14ac:dyDescent="0.25">
      <c r="A1754" t="s">
        <v>1880</v>
      </c>
      <c r="B1754" s="4">
        <v>869.98</v>
      </c>
      <c r="C1754" s="4">
        <v>9.9600000000000009</v>
      </c>
      <c r="D1754" s="4">
        <v>860.02</v>
      </c>
      <c r="E1754">
        <v>105</v>
      </c>
      <c r="F1754">
        <v>103</v>
      </c>
    </row>
    <row r="1755" spans="1:6" x14ac:dyDescent="0.25">
      <c r="A1755" t="s">
        <v>1881</v>
      </c>
      <c r="B1755" s="4">
        <v>868.44</v>
      </c>
      <c r="C1755" s="4">
        <v>0</v>
      </c>
      <c r="D1755" s="4">
        <v>868.44</v>
      </c>
      <c r="E1755">
        <v>85</v>
      </c>
      <c r="F1755">
        <v>85</v>
      </c>
    </row>
    <row r="1756" spans="1:6" x14ac:dyDescent="0.25">
      <c r="A1756" t="s">
        <v>1882</v>
      </c>
      <c r="B1756" s="4">
        <v>868.06</v>
      </c>
      <c r="C1756" s="4">
        <v>4.95</v>
      </c>
      <c r="D1756" s="4">
        <v>863.11</v>
      </c>
      <c r="E1756">
        <v>65</v>
      </c>
      <c r="F1756">
        <v>64</v>
      </c>
    </row>
    <row r="1757" spans="1:6" x14ac:dyDescent="0.25">
      <c r="A1757" t="s">
        <v>1883</v>
      </c>
      <c r="B1757" s="4">
        <v>863.38</v>
      </c>
      <c r="C1757" s="4">
        <v>21.45</v>
      </c>
      <c r="D1757" s="4">
        <v>841.93</v>
      </c>
      <c r="E1757">
        <v>147</v>
      </c>
      <c r="F1757">
        <v>143</v>
      </c>
    </row>
    <row r="1758" spans="1:6" x14ac:dyDescent="0.25">
      <c r="A1758" t="s">
        <v>1884</v>
      </c>
      <c r="B1758" s="4">
        <v>860.23</v>
      </c>
      <c r="C1758" s="4">
        <v>7.9</v>
      </c>
      <c r="D1758" s="4">
        <v>852.33</v>
      </c>
      <c r="E1758">
        <v>30</v>
      </c>
      <c r="F1758">
        <v>29</v>
      </c>
    </row>
    <row r="1759" spans="1:6" x14ac:dyDescent="0.25">
      <c r="A1759" t="s">
        <v>1885</v>
      </c>
      <c r="B1759" s="4">
        <v>859</v>
      </c>
      <c r="C1759" s="4">
        <v>37.18</v>
      </c>
      <c r="D1759" s="4">
        <v>821.82</v>
      </c>
      <c r="E1759">
        <v>115</v>
      </c>
      <c r="F1759">
        <v>114</v>
      </c>
    </row>
    <row r="1760" spans="1:6" x14ac:dyDescent="0.25">
      <c r="A1760" t="s">
        <v>1886</v>
      </c>
      <c r="B1760" s="4">
        <v>858.78</v>
      </c>
      <c r="C1760" s="4">
        <v>7.8</v>
      </c>
      <c r="D1760" s="4">
        <v>850.98</v>
      </c>
      <c r="E1760">
        <v>241</v>
      </c>
      <c r="F1760">
        <v>240</v>
      </c>
    </row>
    <row r="1761" spans="1:6" x14ac:dyDescent="0.25">
      <c r="A1761" t="s">
        <v>1887</v>
      </c>
      <c r="B1761" s="4">
        <v>856.38</v>
      </c>
      <c r="C1761" s="4">
        <v>7.95</v>
      </c>
      <c r="D1761" s="4">
        <v>848.43</v>
      </c>
      <c r="E1761">
        <v>68</v>
      </c>
      <c r="F1761">
        <v>67</v>
      </c>
    </row>
    <row r="1762" spans="1:6" x14ac:dyDescent="0.25">
      <c r="A1762" t="s">
        <v>1888</v>
      </c>
      <c r="B1762" s="4">
        <v>854.74</v>
      </c>
      <c r="C1762" s="4">
        <v>0</v>
      </c>
      <c r="D1762" s="4">
        <v>854.74</v>
      </c>
      <c r="E1762">
        <v>105</v>
      </c>
      <c r="F1762">
        <v>97</v>
      </c>
    </row>
    <row r="1763" spans="1:6" x14ac:dyDescent="0.25">
      <c r="A1763" t="s">
        <v>1889</v>
      </c>
      <c r="B1763" s="4">
        <v>852.04</v>
      </c>
      <c r="C1763" s="4">
        <v>2.5</v>
      </c>
      <c r="D1763" s="4">
        <v>849.54</v>
      </c>
      <c r="E1763">
        <v>88</v>
      </c>
      <c r="F1763">
        <v>86</v>
      </c>
    </row>
    <row r="1764" spans="1:6" x14ac:dyDescent="0.25">
      <c r="A1764" t="s">
        <v>1890</v>
      </c>
      <c r="B1764" s="4">
        <v>850.2</v>
      </c>
      <c r="C1764" s="4">
        <v>61.75</v>
      </c>
      <c r="D1764" s="4">
        <v>788.45</v>
      </c>
      <c r="E1764">
        <v>156</v>
      </c>
      <c r="F1764">
        <v>155</v>
      </c>
    </row>
    <row r="1765" spans="1:6" x14ac:dyDescent="0.25">
      <c r="A1765" t="s">
        <v>1891</v>
      </c>
      <c r="B1765" s="4">
        <v>849.55</v>
      </c>
      <c r="C1765" s="4">
        <v>0.85</v>
      </c>
      <c r="D1765" s="4">
        <v>848.7</v>
      </c>
      <c r="E1765">
        <v>106</v>
      </c>
      <c r="F1765">
        <v>105</v>
      </c>
    </row>
    <row r="1766" spans="1:6" x14ac:dyDescent="0.25">
      <c r="A1766" t="s">
        <v>1892</v>
      </c>
      <c r="B1766" s="4">
        <v>847.94</v>
      </c>
      <c r="C1766" s="4">
        <v>10.5</v>
      </c>
      <c r="D1766" s="4">
        <v>837.44</v>
      </c>
      <c r="E1766">
        <v>71</v>
      </c>
      <c r="F1766">
        <v>71</v>
      </c>
    </row>
    <row r="1767" spans="1:6" x14ac:dyDescent="0.25">
      <c r="A1767" t="s">
        <v>1893</v>
      </c>
      <c r="B1767" s="4">
        <v>847.82</v>
      </c>
      <c r="C1767" s="4">
        <v>228</v>
      </c>
      <c r="D1767" s="4">
        <v>619.82000000000005</v>
      </c>
      <c r="E1767">
        <v>33</v>
      </c>
      <c r="F1767">
        <v>33</v>
      </c>
    </row>
    <row r="1768" spans="1:6" x14ac:dyDescent="0.25">
      <c r="A1768" t="s">
        <v>1894</v>
      </c>
      <c r="B1768" s="4">
        <v>844.84</v>
      </c>
      <c r="C1768" s="4">
        <v>20.16</v>
      </c>
      <c r="D1768" s="4">
        <v>824.68</v>
      </c>
      <c r="E1768">
        <v>174</v>
      </c>
      <c r="F1768">
        <v>171</v>
      </c>
    </row>
    <row r="1769" spans="1:6" x14ac:dyDescent="0.25">
      <c r="A1769" t="s">
        <v>1895</v>
      </c>
      <c r="B1769" s="4">
        <v>843.95</v>
      </c>
      <c r="C1769" s="4">
        <v>0</v>
      </c>
      <c r="D1769" s="4">
        <v>843.95</v>
      </c>
      <c r="E1769">
        <v>69</v>
      </c>
      <c r="F1769">
        <v>66</v>
      </c>
    </row>
    <row r="1770" spans="1:6" x14ac:dyDescent="0.25">
      <c r="A1770" t="s">
        <v>1896</v>
      </c>
      <c r="B1770" s="4">
        <v>841.31</v>
      </c>
      <c r="C1770" s="4">
        <v>0</v>
      </c>
      <c r="D1770" s="4">
        <v>841.31</v>
      </c>
      <c r="E1770">
        <v>76</v>
      </c>
      <c r="F1770">
        <v>76</v>
      </c>
    </row>
    <row r="1771" spans="1:6" x14ac:dyDescent="0.25">
      <c r="A1771" t="s">
        <v>1897</v>
      </c>
      <c r="B1771" s="4">
        <v>841.24</v>
      </c>
      <c r="C1771" s="4">
        <v>32.450000000000003</v>
      </c>
      <c r="D1771" s="4">
        <v>808.79</v>
      </c>
      <c r="E1771">
        <v>92</v>
      </c>
      <c r="F1771">
        <v>91</v>
      </c>
    </row>
    <row r="1772" spans="1:6" x14ac:dyDescent="0.25">
      <c r="A1772" t="s">
        <v>1898</v>
      </c>
      <c r="B1772" s="4">
        <v>841.01</v>
      </c>
      <c r="C1772" s="4">
        <v>0</v>
      </c>
      <c r="D1772" s="4">
        <v>841.01</v>
      </c>
      <c r="E1772">
        <v>141</v>
      </c>
      <c r="F1772">
        <v>136</v>
      </c>
    </row>
    <row r="1773" spans="1:6" x14ac:dyDescent="0.25">
      <c r="A1773" t="s">
        <v>1899</v>
      </c>
      <c r="B1773" s="4">
        <v>840.47</v>
      </c>
      <c r="C1773" s="4">
        <v>1.56</v>
      </c>
      <c r="D1773" s="4">
        <v>838.91</v>
      </c>
      <c r="E1773">
        <v>84</v>
      </c>
      <c r="F1773">
        <v>81</v>
      </c>
    </row>
    <row r="1774" spans="1:6" x14ac:dyDescent="0.25">
      <c r="A1774" t="s">
        <v>1900</v>
      </c>
      <c r="B1774" s="4">
        <v>840.44</v>
      </c>
      <c r="C1774" s="4">
        <v>0</v>
      </c>
      <c r="D1774" s="4">
        <v>840.44</v>
      </c>
      <c r="E1774">
        <v>105</v>
      </c>
      <c r="F1774">
        <v>105</v>
      </c>
    </row>
    <row r="1775" spans="1:6" x14ac:dyDescent="0.25">
      <c r="A1775" t="s">
        <v>1901</v>
      </c>
      <c r="B1775" s="4">
        <v>840.33</v>
      </c>
      <c r="C1775" s="4">
        <v>0</v>
      </c>
      <c r="D1775" s="4">
        <v>840.33</v>
      </c>
      <c r="E1775">
        <v>24</v>
      </c>
      <c r="F1775">
        <v>24</v>
      </c>
    </row>
    <row r="1776" spans="1:6" x14ac:dyDescent="0.25">
      <c r="A1776" t="s">
        <v>1902</v>
      </c>
      <c r="B1776" s="4">
        <v>840.02</v>
      </c>
      <c r="C1776" s="4">
        <v>108.29</v>
      </c>
      <c r="D1776" s="4">
        <v>731.73</v>
      </c>
      <c r="E1776">
        <v>138</v>
      </c>
      <c r="F1776">
        <v>138</v>
      </c>
    </row>
    <row r="1777" spans="1:6" x14ac:dyDescent="0.25">
      <c r="A1777" t="s">
        <v>1903</v>
      </c>
      <c r="B1777" s="4">
        <v>838.86</v>
      </c>
      <c r="C1777" s="4">
        <v>17.850000000000001</v>
      </c>
      <c r="D1777" s="4">
        <v>821.01</v>
      </c>
      <c r="E1777">
        <v>85</v>
      </c>
      <c r="F1777">
        <v>85</v>
      </c>
    </row>
    <row r="1778" spans="1:6" x14ac:dyDescent="0.25">
      <c r="A1778" t="s">
        <v>1904</v>
      </c>
      <c r="B1778" s="4">
        <v>836.8</v>
      </c>
      <c r="C1778" s="4">
        <v>0</v>
      </c>
      <c r="D1778" s="4">
        <v>836.8</v>
      </c>
      <c r="E1778">
        <v>61</v>
      </c>
      <c r="F1778">
        <v>61</v>
      </c>
    </row>
    <row r="1779" spans="1:6" x14ac:dyDescent="0.25">
      <c r="A1779" t="s">
        <v>1905</v>
      </c>
      <c r="B1779" s="4">
        <v>834.73</v>
      </c>
      <c r="C1779" s="4">
        <v>2.5</v>
      </c>
      <c r="D1779" s="4">
        <v>832.23</v>
      </c>
      <c r="E1779">
        <v>107</v>
      </c>
      <c r="F1779">
        <v>103</v>
      </c>
    </row>
    <row r="1780" spans="1:6" x14ac:dyDescent="0.25">
      <c r="A1780" t="s">
        <v>1906</v>
      </c>
      <c r="B1780" s="4">
        <v>833.49</v>
      </c>
      <c r="C1780" s="4">
        <v>0</v>
      </c>
      <c r="D1780" s="4">
        <v>833.49</v>
      </c>
      <c r="E1780">
        <v>118</v>
      </c>
      <c r="F1780">
        <v>113</v>
      </c>
    </row>
    <row r="1781" spans="1:6" x14ac:dyDescent="0.25">
      <c r="A1781" t="s">
        <v>1907</v>
      </c>
      <c r="B1781" s="4">
        <v>833.07</v>
      </c>
      <c r="C1781" s="4">
        <v>0</v>
      </c>
      <c r="D1781" s="4">
        <v>833.07</v>
      </c>
      <c r="E1781">
        <v>165</v>
      </c>
      <c r="F1781">
        <v>161</v>
      </c>
    </row>
    <row r="1782" spans="1:6" x14ac:dyDescent="0.25">
      <c r="A1782" t="s">
        <v>1908</v>
      </c>
      <c r="B1782" s="4">
        <v>832.51</v>
      </c>
      <c r="C1782" s="4">
        <v>50</v>
      </c>
      <c r="D1782" s="4">
        <v>782.51</v>
      </c>
      <c r="E1782">
        <v>83</v>
      </c>
      <c r="F1782">
        <v>82</v>
      </c>
    </row>
    <row r="1783" spans="1:6" x14ac:dyDescent="0.25">
      <c r="A1783" t="s">
        <v>1909</v>
      </c>
      <c r="B1783" s="4">
        <v>831.84</v>
      </c>
      <c r="C1783" s="4">
        <v>280.8</v>
      </c>
      <c r="D1783" s="4">
        <v>551.04</v>
      </c>
      <c r="E1783">
        <v>31</v>
      </c>
      <c r="F1783">
        <v>31</v>
      </c>
    </row>
    <row r="1784" spans="1:6" x14ac:dyDescent="0.25">
      <c r="A1784" t="s">
        <v>1910</v>
      </c>
      <c r="B1784" s="4">
        <v>831.02</v>
      </c>
      <c r="C1784" s="4">
        <v>46.54</v>
      </c>
      <c r="D1784" s="4">
        <v>784.48</v>
      </c>
      <c r="E1784">
        <v>104</v>
      </c>
      <c r="F1784">
        <v>101</v>
      </c>
    </row>
    <row r="1785" spans="1:6" x14ac:dyDescent="0.25">
      <c r="A1785" t="s">
        <v>1911</v>
      </c>
      <c r="B1785" s="4">
        <v>830.03</v>
      </c>
      <c r="C1785" s="4">
        <v>0</v>
      </c>
      <c r="D1785" s="4">
        <v>830.03</v>
      </c>
      <c r="E1785">
        <v>66</v>
      </c>
      <c r="F1785">
        <v>65</v>
      </c>
    </row>
    <row r="1786" spans="1:6" x14ac:dyDescent="0.25">
      <c r="A1786" t="s">
        <v>1912</v>
      </c>
      <c r="B1786" s="4">
        <v>827.82</v>
      </c>
      <c r="C1786" s="4">
        <v>23.6</v>
      </c>
      <c r="D1786" s="4">
        <v>804.22</v>
      </c>
      <c r="E1786">
        <v>43</v>
      </c>
      <c r="F1786">
        <v>41</v>
      </c>
    </row>
    <row r="1787" spans="1:6" x14ac:dyDescent="0.25">
      <c r="A1787" t="s">
        <v>1913</v>
      </c>
      <c r="B1787" s="4">
        <v>827.63</v>
      </c>
      <c r="C1787" s="4">
        <v>0</v>
      </c>
      <c r="D1787" s="4">
        <v>827.63</v>
      </c>
      <c r="E1787">
        <v>78</v>
      </c>
      <c r="F1787">
        <v>78</v>
      </c>
    </row>
    <row r="1788" spans="1:6" x14ac:dyDescent="0.25">
      <c r="A1788" t="s">
        <v>1914</v>
      </c>
      <c r="B1788" s="4">
        <v>826.46</v>
      </c>
      <c r="C1788" s="4">
        <v>3.4</v>
      </c>
      <c r="D1788" s="4">
        <v>823.06</v>
      </c>
      <c r="E1788">
        <v>156</v>
      </c>
      <c r="F1788">
        <v>145</v>
      </c>
    </row>
    <row r="1789" spans="1:6" x14ac:dyDescent="0.25">
      <c r="A1789" t="s">
        <v>1915</v>
      </c>
      <c r="B1789" s="4">
        <v>826.28</v>
      </c>
      <c r="C1789" s="4">
        <v>12.5</v>
      </c>
      <c r="D1789" s="4">
        <v>813.78</v>
      </c>
      <c r="E1789">
        <v>22</v>
      </c>
      <c r="F1789">
        <v>22</v>
      </c>
    </row>
    <row r="1790" spans="1:6" x14ac:dyDescent="0.25">
      <c r="A1790" t="s">
        <v>1916</v>
      </c>
      <c r="B1790" s="4">
        <v>825.49</v>
      </c>
      <c r="C1790" s="4">
        <v>0</v>
      </c>
      <c r="D1790" s="4">
        <v>825.49</v>
      </c>
      <c r="E1790">
        <v>73</v>
      </c>
      <c r="F1790">
        <v>71</v>
      </c>
    </row>
    <row r="1791" spans="1:6" x14ac:dyDescent="0.25">
      <c r="A1791" t="s">
        <v>1917</v>
      </c>
      <c r="B1791" s="4">
        <v>824.08</v>
      </c>
      <c r="C1791" s="4">
        <v>15</v>
      </c>
      <c r="D1791" s="4">
        <v>809.08</v>
      </c>
      <c r="E1791">
        <v>167</v>
      </c>
      <c r="F1791">
        <v>160</v>
      </c>
    </row>
    <row r="1792" spans="1:6" x14ac:dyDescent="0.25">
      <c r="A1792" t="s">
        <v>1918</v>
      </c>
      <c r="B1792" s="4">
        <v>823.74</v>
      </c>
      <c r="C1792" s="4">
        <v>23.8</v>
      </c>
      <c r="D1792" s="4">
        <v>799.94</v>
      </c>
      <c r="E1792">
        <v>74</v>
      </c>
      <c r="F1792">
        <v>73</v>
      </c>
    </row>
    <row r="1793" spans="1:6" x14ac:dyDescent="0.25">
      <c r="A1793" t="s">
        <v>1919</v>
      </c>
      <c r="B1793" s="4">
        <v>823.71</v>
      </c>
      <c r="C1793" s="4">
        <v>0</v>
      </c>
      <c r="D1793" s="4">
        <v>823.71</v>
      </c>
      <c r="E1793">
        <v>161</v>
      </c>
      <c r="F1793">
        <v>160</v>
      </c>
    </row>
    <row r="1794" spans="1:6" x14ac:dyDescent="0.25">
      <c r="A1794" t="s">
        <v>1920</v>
      </c>
      <c r="B1794" s="4">
        <v>821.98</v>
      </c>
      <c r="C1794" s="4">
        <v>25.92</v>
      </c>
      <c r="D1794" s="4">
        <v>796.06</v>
      </c>
      <c r="E1794">
        <v>78</v>
      </c>
      <c r="F1794">
        <v>76</v>
      </c>
    </row>
    <row r="1795" spans="1:6" x14ac:dyDescent="0.25">
      <c r="A1795" t="s">
        <v>1921</v>
      </c>
      <c r="B1795" s="4">
        <v>819.64</v>
      </c>
      <c r="C1795" s="4">
        <v>0</v>
      </c>
      <c r="D1795" s="4">
        <v>819.64</v>
      </c>
      <c r="E1795">
        <v>52</v>
      </c>
      <c r="F1795">
        <v>52</v>
      </c>
    </row>
    <row r="1796" spans="1:6" x14ac:dyDescent="0.25">
      <c r="A1796" t="s">
        <v>1922</v>
      </c>
      <c r="B1796" s="4">
        <v>819.46</v>
      </c>
      <c r="C1796" s="4">
        <v>9.24</v>
      </c>
      <c r="D1796" s="4">
        <v>810.22</v>
      </c>
      <c r="E1796">
        <v>71</v>
      </c>
      <c r="F1796">
        <v>70</v>
      </c>
    </row>
    <row r="1797" spans="1:6" x14ac:dyDescent="0.25">
      <c r="A1797" t="s">
        <v>1923</v>
      </c>
      <c r="B1797" s="4">
        <v>816.04</v>
      </c>
      <c r="C1797" s="4">
        <v>67.510000000000005</v>
      </c>
      <c r="D1797" s="4">
        <v>748.53</v>
      </c>
      <c r="E1797">
        <v>44</v>
      </c>
      <c r="F1797">
        <v>44</v>
      </c>
    </row>
    <row r="1798" spans="1:6" x14ac:dyDescent="0.25">
      <c r="A1798" t="s">
        <v>1924</v>
      </c>
      <c r="B1798" s="4">
        <v>815.59</v>
      </c>
      <c r="C1798" s="4">
        <v>34.68</v>
      </c>
      <c r="D1798" s="4">
        <v>780.91</v>
      </c>
      <c r="E1798">
        <v>53</v>
      </c>
      <c r="F1798">
        <v>53</v>
      </c>
    </row>
    <row r="1799" spans="1:6" x14ac:dyDescent="0.25">
      <c r="A1799" t="s">
        <v>1925</v>
      </c>
      <c r="B1799" s="4">
        <v>813.02</v>
      </c>
      <c r="C1799" s="4">
        <v>15</v>
      </c>
      <c r="D1799" s="4">
        <v>798.02</v>
      </c>
      <c r="E1799">
        <v>89</v>
      </c>
      <c r="F1799">
        <v>88</v>
      </c>
    </row>
    <row r="1800" spans="1:6" x14ac:dyDescent="0.25">
      <c r="A1800" t="s">
        <v>1926</v>
      </c>
      <c r="B1800" s="4">
        <v>812.84</v>
      </c>
      <c r="C1800" s="4">
        <v>0</v>
      </c>
      <c r="D1800" s="4">
        <v>812.84</v>
      </c>
      <c r="E1800">
        <v>36</v>
      </c>
      <c r="F1800">
        <v>36</v>
      </c>
    </row>
    <row r="1801" spans="1:6" x14ac:dyDescent="0.25">
      <c r="A1801" t="s">
        <v>1927</v>
      </c>
      <c r="B1801" s="4">
        <v>812.53</v>
      </c>
      <c r="C1801" s="4">
        <v>134.30000000000001</v>
      </c>
      <c r="D1801" s="4">
        <v>678.23</v>
      </c>
      <c r="E1801">
        <v>65</v>
      </c>
      <c r="F1801">
        <v>65</v>
      </c>
    </row>
    <row r="1802" spans="1:6" x14ac:dyDescent="0.25">
      <c r="A1802" t="s">
        <v>1928</v>
      </c>
      <c r="B1802" s="4">
        <v>808.16</v>
      </c>
      <c r="C1802" s="4">
        <v>62.4</v>
      </c>
      <c r="D1802" s="4">
        <v>745.76</v>
      </c>
      <c r="E1802">
        <v>24</v>
      </c>
      <c r="F1802">
        <v>22</v>
      </c>
    </row>
    <row r="1803" spans="1:6" x14ac:dyDescent="0.25">
      <c r="A1803" t="s">
        <v>1929</v>
      </c>
      <c r="B1803" s="4">
        <v>806.2</v>
      </c>
      <c r="C1803" s="4">
        <v>17</v>
      </c>
      <c r="D1803" s="4">
        <v>789.2</v>
      </c>
      <c r="E1803">
        <v>96</v>
      </c>
      <c r="F1803">
        <v>92</v>
      </c>
    </row>
    <row r="1804" spans="1:6" x14ac:dyDescent="0.25">
      <c r="A1804" t="s">
        <v>1930</v>
      </c>
      <c r="B1804" s="4">
        <v>806.04</v>
      </c>
      <c r="C1804" s="4">
        <v>0</v>
      </c>
      <c r="D1804" s="4">
        <v>806.04</v>
      </c>
      <c r="E1804">
        <v>80</v>
      </c>
      <c r="F1804">
        <v>79</v>
      </c>
    </row>
    <row r="1805" spans="1:6" x14ac:dyDescent="0.25">
      <c r="A1805" t="s">
        <v>1931</v>
      </c>
      <c r="B1805" s="4">
        <v>804.65</v>
      </c>
      <c r="C1805" s="4">
        <v>11.25</v>
      </c>
      <c r="D1805" s="4">
        <v>793.4</v>
      </c>
      <c r="E1805">
        <v>164</v>
      </c>
      <c r="F1805">
        <v>153</v>
      </c>
    </row>
    <row r="1806" spans="1:6" x14ac:dyDescent="0.25">
      <c r="A1806" t="s">
        <v>1932</v>
      </c>
      <c r="B1806" s="4">
        <v>804.04</v>
      </c>
      <c r="C1806" s="4">
        <v>8.26</v>
      </c>
      <c r="D1806" s="4">
        <v>795.78</v>
      </c>
      <c r="E1806">
        <v>164</v>
      </c>
      <c r="F1806">
        <v>158</v>
      </c>
    </row>
    <row r="1807" spans="1:6" x14ac:dyDescent="0.25">
      <c r="A1807" t="s">
        <v>1933</v>
      </c>
      <c r="B1807" s="4">
        <v>802.13</v>
      </c>
      <c r="C1807" s="4">
        <v>16.8</v>
      </c>
      <c r="D1807" s="4">
        <v>785.33</v>
      </c>
      <c r="E1807">
        <v>55</v>
      </c>
      <c r="F1807">
        <v>49</v>
      </c>
    </row>
    <row r="1808" spans="1:6" x14ac:dyDescent="0.25">
      <c r="A1808" t="s">
        <v>1934</v>
      </c>
      <c r="B1808" s="4">
        <v>801.68</v>
      </c>
      <c r="C1808" s="4">
        <v>26.25</v>
      </c>
      <c r="D1808" s="4">
        <v>775.43</v>
      </c>
      <c r="E1808">
        <v>43</v>
      </c>
      <c r="F1808">
        <v>43</v>
      </c>
    </row>
    <row r="1809" spans="1:6" x14ac:dyDescent="0.25">
      <c r="A1809" t="s">
        <v>1935</v>
      </c>
      <c r="B1809" s="4">
        <v>801.36</v>
      </c>
      <c r="C1809" s="4">
        <v>10.5</v>
      </c>
      <c r="D1809" s="4">
        <v>790.86</v>
      </c>
      <c r="E1809">
        <v>78</v>
      </c>
      <c r="F1809">
        <v>77</v>
      </c>
    </row>
    <row r="1810" spans="1:6" x14ac:dyDescent="0.25">
      <c r="A1810" t="s">
        <v>1936</v>
      </c>
      <c r="B1810" s="4">
        <v>800.4</v>
      </c>
      <c r="C1810" s="4">
        <v>0.42</v>
      </c>
      <c r="D1810" s="4">
        <v>799.98</v>
      </c>
      <c r="E1810">
        <v>87</v>
      </c>
      <c r="F1810">
        <v>86</v>
      </c>
    </row>
    <row r="1811" spans="1:6" x14ac:dyDescent="0.25">
      <c r="A1811" t="s">
        <v>1937</v>
      </c>
      <c r="B1811" s="4">
        <v>796.99</v>
      </c>
      <c r="C1811" s="4">
        <v>8</v>
      </c>
      <c r="D1811" s="4">
        <v>788.99</v>
      </c>
      <c r="E1811">
        <v>100</v>
      </c>
      <c r="F1811">
        <v>100</v>
      </c>
    </row>
    <row r="1812" spans="1:6" x14ac:dyDescent="0.25">
      <c r="A1812" t="s">
        <v>1938</v>
      </c>
      <c r="B1812" s="4">
        <v>795.58</v>
      </c>
      <c r="C1812" s="4">
        <v>89.55</v>
      </c>
      <c r="D1812" s="4">
        <v>706.03</v>
      </c>
      <c r="E1812">
        <v>44</v>
      </c>
      <c r="F1812">
        <v>44</v>
      </c>
    </row>
    <row r="1813" spans="1:6" x14ac:dyDescent="0.25">
      <c r="A1813" t="s">
        <v>1939</v>
      </c>
      <c r="B1813" s="4">
        <v>795.05</v>
      </c>
      <c r="C1813" s="4">
        <v>25.5</v>
      </c>
      <c r="D1813" s="4">
        <v>769.55</v>
      </c>
      <c r="E1813">
        <v>87</v>
      </c>
      <c r="F1813">
        <v>81</v>
      </c>
    </row>
    <row r="1814" spans="1:6" x14ac:dyDescent="0.25">
      <c r="A1814" t="s">
        <v>1940</v>
      </c>
      <c r="B1814" s="4">
        <v>795.02</v>
      </c>
      <c r="C1814" s="4">
        <v>12.75</v>
      </c>
      <c r="D1814" s="4">
        <v>782.27</v>
      </c>
      <c r="E1814">
        <v>87</v>
      </c>
      <c r="F1814">
        <v>86</v>
      </c>
    </row>
    <row r="1815" spans="1:6" x14ac:dyDescent="0.25">
      <c r="A1815" t="s">
        <v>1941</v>
      </c>
      <c r="B1815" s="4">
        <v>794.88</v>
      </c>
      <c r="C1815" s="4">
        <v>0</v>
      </c>
      <c r="D1815" s="4">
        <v>794.88</v>
      </c>
      <c r="E1815">
        <v>156</v>
      </c>
      <c r="F1815">
        <v>150</v>
      </c>
    </row>
    <row r="1816" spans="1:6" x14ac:dyDescent="0.25">
      <c r="A1816" t="s">
        <v>1942</v>
      </c>
      <c r="B1816" s="4">
        <v>794.15</v>
      </c>
      <c r="C1816" s="4">
        <v>0</v>
      </c>
      <c r="D1816" s="4">
        <v>794.15</v>
      </c>
      <c r="E1816">
        <v>165</v>
      </c>
      <c r="F1816">
        <v>162</v>
      </c>
    </row>
    <row r="1817" spans="1:6" x14ac:dyDescent="0.25">
      <c r="A1817" t="s">
        <v>1943</v>
      </c>
      <c r="B1817" s="4">
        <v>793.37</v>
      </c>
      <c r="C1817" s="4">
        <v>0</v>
      </c>
      <c r="D1817" s="4">
        <v>793.37</v>
      </c>
      <c r="E1817">
        <v>44</v>
      </c>
      <c r="F1817">
        <v>44</v>
      </c>
    </row>
    <row r="1818" spans="1:6" x14ac:dyDescent="0.25">
      <c r="A1818" t="s">
        <v>1944</v>
      </c>
      <c r="B1818" s="4">
        <v>792.86</v>
      </c>
      <c r="C1818" s="4">
        <v>24.96</v>
      </c>
      <c r="D1818" s="4">
        <v>767.9</v>
      </c>
      <c r="E1818">
        <v>98</v>
      </c>
      <c r="F1818">
        <v>96</v>
      </c>
    </row>
    <row r="1819" spans="1:6" x14ac:dyDescent="0.25">
      <c r="A1819" t="s">
        <v>1945</v>
      </c>
      <c r="B1819" s="4">
        <v>792.31</v>
      </c>
      <c r="C1819" s="4">
        <v>0</v>
      </c>
      <c r="D1819" s="4">
        <v>792.31</v>
      </c>
      <c r="E1819">
        <v>24</v>
      </c>
      <c r="F1819">
        <v>24</v>
      </c>
    </row>
    <row r="1820" spans="1:6" x14ac:dyDescent="0.25">
      <c r="A1820" t="s">
        <v>1946</v>
      </c>
      <c r="B1820" s="4">
        <v>792.28</v>
      </c>
      <c r="C1820" s="4">
        <v>17.399999999999999</v>
      </c>
      <c r="D1820" s="4">
        <v>774.88</v>
      </c>
      <c r="E1820">
        <v>130</v>
      </c>
      <c r="F1820">
        <v>128</v>
      </c>
    </row>
    <row r="1821" spans="1:6" x14ac:dyDescent="0.25">
      <c r="A1821" t="s">
        <v>1947</v>
      </c>
      <c r="B1821" s="4">
        <v>788.97</v>
      </c>
      <c r="C1821" s="4">
        <v>0</v>
      </c>
      <c r="D1821" s="4">
        <v>788.97</v>
      </c>
      <c r="E1821">
        <v>116</v>
      </c>
      <c r="F1821">
        <v>115</v>
      </c>
    </row>
    <row r="1822" spans="1:6" x14ac:dyDescent="0.25">
      <c r="A1822" t="s">
        <v>1948</v>
      </c>
      <c r="B1822" s="4">
        <v>787.52</v>
      </c>
      <c r="C1822" s="4">
        <v>1.25</v>
      </c>
      <c r="D1822" s="4">
        <v>786.27</v>
      </c>
      <c r="E1822">
        <v>48</v>
      </c>
      <c r="F1822">
        <v>48</v>
      </c>
    </row>
    <row r="1823" spans="1:6" x14ac:dyDescent="0.25">
      <c r="A1823" t="s">
        <v>1949</v>
      </c>
      <c r="B1823" s="4">
        <v>786.31</v>
      </c>
      <c r="C1823" s="4">
        <v>0</v>
      </c>
      <c r="D1823" s="4">
        <v>786.31</v>
      </c>
      <c r="E1823">
        <v>103</v>
      </c>
      <c r="F1823">
        <v>103</v>
      </c>
    </row>
    <row r="1824" spans="1:6" x14ac:dyDescent="0.25">
      <c r="A1824" t="s">
        <v>1950</v>
      </c>
      <c r="B1824" s="4">
        <v>785.95</v>
      </c>
      <c r="C1824" s="4">
        <v>26.25</v>
      </c>
      <c r="D1824" s="4">
        <v>759.7</v>
      </c>
      <c r="E1824">
        <v>72</v>
      </c>
      <c r="F1824">
        <v>69</v>
      </c>
    </row>
    <row r="1825" spans="1:6" x14ac:dyDescent="0.25">
      <c r="A1825" t="s">
        <v>1951</v>
      </c>
      <c r="B1825" s="4">
        <v>785.17</v>
      </c>
      <c r="C1825" s="4">
        <v>0</v>
      </c>
      <c r="D1825" s="4">
        <v>785.17</v>
      </c>
      <c r="E1825">
        <v>47</v>
      </c>
      <c r="F1825">
        <v>45</v>
      </c>
    </row>
    <row r="1826" spans="1:6" x14ac:dyDescent="0.25">
      <c r="A1826" t="s">
        <v>1952</v>
      </c>
      <c r="B1826" s="4">
        <v>783.82</v>
      </c>
      <c r="C1826" s="4">
        <v>9.36</v>
      </c>
      <c r="D1826" s="4">
        <v>774.46</v>
      </c>
      <c r="E1826">
        <v>179</v>
      </c>
      <c r="F1826">
        <v>170</v>
      </c>
    </row>
    <row r="1827" spans="1:6" x14ac:dyDescent="0.25">
      <c r="A1827" t="s">
        <v>1953</v>
      </c>
      <c r="B1827" s="4">
        <v>783.82</v>
      </c>
      <c r="C1827" s="4">
        <v>2.5</v>
      </c>
      <c r="D1827" s="4">
        <v>781.32</v>
      </c>
      <c r="E1827">
        <v>109</v>
      </c>
      <c r="F1827">
        <v>103</v>
      </c>
    </row>
    <row r="1828" spans="1:6" x14ac:dyDescent="0.25">
      <c r="A1828" t="s">
        <v>1954</v>
      </c>
      <c r="B1828" s="4">
        <v>783.68</v>
      </c>
      <c r="C1828" s="4">
        <v>12.75</v>
      </c>
      <c r="D1828" s="4">
        <v>770.93</v>
      </c>
      <c r="E1828">
        <v>36</v>
      </c>
      <c r="F1828">
        <v>36</v>
      </c>
    </row>
    <row r="1829" spans="1:6" x14ac:dyDescent="0.25">
      <c r="A1829" t="s">
        <v>1955</v>
      </c>
      <c r="B1829" s="4">
        <v>783.54</v>
      </c>
      <c r="C1829" s="4">
        <v>0</v>
      </c>
      <c r="D1829" s="4">
        <v>783.54</v>
      </c>
      <c r="E1829">
        <v>81</v>
      </c>
      <c r="F1829">
        <v>81</v>
      </c>
    </row>
    <row r="1830" spans="1:6" x14ac:dyDescent="0.25">
      <c r="A1830" t="s">
        <v>1956</v>
      </c>
      <c r="B1830" s="4">
        <v>783.45</v>
      </c>
      <c r="C1830" s="4">
        <v>4.54</v>
      </c>
      <c r="D1830" s="4">
        <v>778.91</v>
      </c>
      <c r="E1830">
        <v>42</v>
      </c>
      <c r="F1830">
        <v>42</v>
      </c>
    </row>
    <row r="1831" spans="1:6" x14ac:dyDescent="0.25">
      <c r="A1831" t="s">
        <v>1957</v>
      </c>
      <c r="B1831" s="4">
        <v>783.35</v>
      </c>
      <c r="C1831" s="4">
        <v>82.4</v>
      </c>
      <c r="D1831" s="4">
        <v>700.95</v>
      </c>
      <c r="E1831">
        <v>47</v>
      </c>
      <c r="F1831">
        <v>47</v>
      </c>
    </row>
    <row r="1832" spans="1:6" x14ac:dyDescent="0.25">
      <c r="A1832" t="s">
        <v>1958</v>
      </c>
      <c r="B1832" s="4">
        <v>780.8</v>
      </c>
      <c r="C1832" s="4">
        <v>12.5</v>
      </c>
      <c r="D1832" s="4">
        <v>768.3</v>
      </c>
      <c r="E1832">
        <v>99</v>
      </c>
      <c r="F1832">
        <v>99</v>
      </c>
    </row>
    <row r="1833" spans="1:6" x14ac:dyDescent="0.25">
      <c r="A1833" t="s">
        <v>1959</v>
      </c>
      <c r="B1833" s="4">
        <v>779.15</v>
      </c>
      <c r="C1833" s="4">
        <v>0</v>
      </c>
      <c r="D1833" s="4">
        <v>779.15</v>
      </c>
      <c r="E1833">
        <v>52</v>
      </c>
      <c r="F1833">
        <v>51</v>
      </c>
    </row>
    <row r="1834" spans="1:6" x14ac:dyDescent="0.25">
      <c r="A1834" t="s">
        <v>1960</v>
      </c>
      <c r="B1834" s="4">
        <v>778.63</v>
      </c>
      <c r="C1834" s="4">
        <v>1.7</v>
      </c>
      <c r="D1834" s="4">
        <v>776.93</v>
      </c>
      <c r="E1834">
        <v>148</v>
      </c>
      <c r="F1834">
        <v>147</v>
      </c>
    </row>
    <row r="1835" spans="1:6" x14ac:dyDescent="0.25">
      <c r="A1835" t="s">
        <v>1961</v>
      </c>
      <c r="B1835" s="4">
        <v>777.67</v>
      </c>
      <c r="C1835" s="4">
        <v>6.96</v>
      </c>
      <c r="D1835" s="4">
        <v>770.71</v>
      </c>
      <c r="E1835">
        <v>155</v>
      </c>
      <c r="F1835">
        <v>155</v>
      </c>
    </row>
    <row r="1836" spans="1:6" x14ac:dyDescent="0.25">
      <c r="A1836" t="s">
        <v>1962</v>
      </c>
      <c r="B1836" s="4">
        <v>777.58</v>
      </c>
      <c r="C1836" s="4">
        <v>9.35</v>
      </c>
      <c r="D1836" s="4">
        <v>768.23</v>
      </c>
      <c r="E1836">
        <v>154</v>
      </c>
      <c r="F1836">
        <v>151</v>
      </c>
    </row>
    <row r="1837" spans="1:6" x14ac:dyDescent="0.25">
      <c r="A1837" t="s">
        <v>1963</v>
      </c>
      <c r="B1837" s="4">
        <v>777.14</v>
      </c>
      <c r="C1837" s="4">
        <v>0</v>
      </c>
      <c r="D1837" s="4">
        <v>777.14</v>
      </c>
      <c r="E1837">
        <v>136</v>
      </c>
      <c r="F1837">
        <v>135</v>
      </c>
    </row>
    <row r="1838" spans="1:6" x14ac:dyDescent="0.25">
      <c r="A1838" t="s">
        <v>1964</v>
      </c>
      <c r="B1838" s="4">
        <v>776.75</v>
      </c>
      <c r="C1838" s="4">
        <v>0</v>
      </c>
      <c r="D1838" s="4">
        <v>776.75</v>
      </c>
      <c r="E1838">
        <v>209</v>
      </c>
      <c r="F1838">
        <v>205</v>
      </c>
    </row>
    <row r="1839" spans="1:6" x14ac:dyDescent="0.25">
      <c r="A1839" t="s">
        <v>1965</v>
      </c>
      <c r="B1839" s="4">
        <v>775.84</v>
      </c>
      <c r="C1839" s="4">
        <v>0</v>
      </c>
      <c r="D1839" s="4">
        <v>775.84</v>
      </c>
      <c r="E1839">
        <v>68</v>
      </c>
      <c r="F1839">
        <v>68</v>
      </c>
    </row>
    <row r="1840" spans="1:6" x14ac:dyDescent="0.25">
      <c r="A1840" t="s">
        <v>1966</v>
      </c>
      <c r="B1840" s="4">
        <v>774.55</v>
      </c>
      <c r="C1840" s="4">
        <v>40.799999999999997</v>
      </c>
      <c r="D1840" s="4">
        <v>733.75</v>
      </c>
      <c r="E1840">
        <v>162</v>
      </c>
      <c r="F1840">
        <v>161</v>
      </c>
    </row>
    <row r="1841" spans="1:6" x14ac:dyDescent="0.25">
      <c r="A1841" t="s">
        <v>1967</v>
      </c>
      <c r="B1841" s="4">
        <v>774.55</v>
      </c>
      <c r="C1841" s="4">
        <v>0</v>
      </c>
      <c r="D1841" s="4">
        <v>774.55</v>
      </c>
      <c r="E1841">
        <v>128</v>
      </c>
      <c r="F1841">
        <v>126</v>
      </c>
    </row>
    <row r="1842" spans="1:6" x14ac:dyDescent="0.25">
      <c r="A1842" t="s">
        <v>1968</v>
      </c>
      <c r="B1842" s="4">
        <v>774.29</v>
      </c>
      <c r="C1842" s="4">
        <v>10.199999999999999</v>
      </c>
      <c r="D1842" s="4">
        <v>764.09</v>
      </c>
      <c r="E1842">
        <v>132</v>
      </c>
      <c r="F1842">
        <v>128</v>
      </c>
    </row>
    <row r="1843" spans="1:6" x14ac:dyDescent="0.25">
      <c r="A1843" t="s">
        <v>1969</v>
      </c>
      <c r="B1843" s="4">
        <v>773.14</v>
      </c>
      <c r="C1843" s="4">
        <v>4.5599999999999996</v>
      </c>
      <c r="D1843" s="4">
        <v>768.58</v>
      </c>
      <c r="E1843">
        <v>184</v>
      </c>
      <c r="F1843">
        <v>181</v>
      </c>
    </row>
    <row r="1844" spans="1:6" x14ac:dyDescent="0.25">
      <c r="A1844" t="s">
        <v>1970</v>
      </c>
      <c r="B1844" s="4">
        <v>771.15</v>
      </c>
      <c r="C1844" s="4">
        <v>48.75</v>
      </c>
      <c r="D1844" s="4">
        <v>722.4</v>
      </c>
      <c r="E1844">
        <v>100</v>
      </c>
      <c r="F1844">
        <v>99</v>
      </c>
    </row>
    <row r="1845" spans="1:6" x14ac:dyDescent="0.25">
      <c r="A1845" t="s">
        <v>1971</v>
      </c>
      <c r="B1845" s="4">
        <v>770.87</v>
      </c>
      <c r="C1845" s="4">
        <v>0</v>
      </c>
      <c r="D1845" s="4">
        <v>770.87</v>
      </c>
      <c r="E1845">
        <v>98</v>
      </c>
      <c r="F1845">
        <v>91</v>
      </c>
    </row>
    <row r="1846" spans="1:6" x14ac:dyDescent="0.25">
      <c r="A1846" t="s">
        <v>1972</v>
      </c>
      <c r="B1846" s="4">
        <v>770.73</v>
      </c>
      <c r="C1846" s="4">
        <v>0</v>
      </c>
      <c r="D1846" s="4">
        <v>770.73</v>
      </c>
      <c r="E1846">
        <v>133</v>
      </c>
      <c r="F1846">
        <v>133</v>
      </c>
    </row>
    <row r="1847" spans="1:6" x14ac:dyDescent="0.25">
      <c r="A1847" t="s">
        <v>1973</v>
      </c>
      <c r="B1847" s="4">
        <v>770.59</v>
      </c>
      <c r="C1847" s="4">
        <v>17</v>
      </c>
      <c r="D1847" s="4">
        <v>753.59</v>
      </c>
      <c r="E1847">
        <v>20</v>
      </c>
      <c r="F1847">
        <v>20</v>
      </c>
    </row>
    <row r="1848" spans="1:6" x14ac:dyDescent="0.25">
      <c r="A1848" t="s">
        <v>1974</v>
      </c>
      <c r="B1848" s="4">
        <v>770.32</v>
      </c>
      <c r="C1848" s="4">
        <v>7.5</v>
      </c>
      <c r="D1848" s="4">
        <v>762.82</v>
      </c>
      <c r="E1848">
        <v>71</v>
      </c>
      <c r="F1848">
        <v>67</v>
      </c>
    </row>
    <row r="1849" spans="1:6" x14ac:dyDescent="0.25">
      <c r="A1849" t="s">
        <v>1975</v>
      </c>
      <c r="B1849" s="4">
        <v>770.29</v>
      </c>
      <c r="C1849" s="4">
        <v>0</v>
      </c>
      <c r="D1849" s="4">
        <v>770.29</v>
      </c>
      <c r="E1849">
        <v>34</v>
      </c>
      <c r="F1849">
        <v>33</v>
      </c>
    </row>
    <row r="1850" spans="1:6" x14ac:dyDescent="0.25">
      <c r="A1850" t="s">
        <v>1976</v>
      </c>
      <c r="B1850" s="4">
        <v>769.57</v>
      </c>
      <c r="C1850" s="4">
        <v>48.19</v>
      </c>
      <c r="D1850" s="4">
        <v>721.38</v>
      </c>
      <c r="E1850">
        <v>105</v>
      </c>
      <c r="F1850">
        <v>104</v>
      </c>
    </row>
    <row r="1851" spans="1:6" x14ac:dyDescent="0.25">
      <c r="A1851" t="s">
        <v>1977</v>
      </c>
      <c r="B1851" s="4">
        <v>766.1</v>
      </c>
      <c r="C1851" s="4">
        <v>49.8</v>
      </c>
      <c r="D1851" s="4">
        <v>716.3</v>
      </c>
      <c r="E1851">
        <v>52</v>
      </c>
      <c r="F1851">
        <v>52</v>
      </c>
    </row>
    <row r="1852" spans="1:6" x14ac:dyDescent="0.25">
      <c r="A1852" t="s">
        <v>1978</v>
      </c>
      <c r="B1852" s="4">
        <v>766.09</v>
      </c>
      <c r="C1852" s="4">
        <v>5.04</v>
      </c>
      <c r="D1852" s="4">
        <v>761.05</v>
      </c>
      <c r="E1852">
        <v>132</v>
      </c>
      <c r="F1852">
        <v>130</v>
      </c>
    </row>
    <row r="1853" spans="1:6" x14ac:dyDescent="0.25">
      <c r="A1853" t="s">
        <v>1979</v>
      </c>
      <c r="B1853" s="4">
        <v>765.27</v>
      </c>
      <c r="C1853" s="4">
        <v>32.76</v>
      </c>
      <c r="D1853" s="4">
        <v>732.51</v>
      </c>
      <c r="E1853">
        <v>174</v>
      </c>
      <c r="F1853">
        <v>173</v>
      </c>
    </row>
    <row r="1854" spans="1:6" x14ac:dyDescent="0.25">
      <c r="A1854" t="s">
        <v>1980</v>
      </c>
      <c r="B1854" s="4">
        <v>764.63</v>
      </c>
      <c r="C1854" s="4">
        <v>0</v>
      </c>
      <c r="D1854" s="4">
        <v>764.63</v>
      </c>
      <c r="E1854">
        <v>47</v>
      </c>
      <c r="F1854">
        <v>47</v>
      </c>
    </row>
    <row r="1855" spans="1:6" x14ac:dyDescent="0.25">
      <c r="A1855" t="s">
        <v>1981</v>
      </c>
      <c r="B1855" s="4">
        <v>763.66</v>
      </c>
      <c r="C1855" s="4">
        <v>0</v>
      </c>
      <c r="D1855" s="4">
        <v>763.66</v>
      </c>
      <c r="E1855">
        <v>74</v>
      </c>
      <c r="F1855">
        <v>74</v>
      </c>
    </row>
    <row r="1856" spans="1:6" x14ac:dyDescent="0.25">
      <c r="A1856" t="s">
        <v>1982</v>
      </c>
      <c r="B1856" s="4">
        <v>763.1</v>
      </c>
      <c r="C1856" s="4">
        <v>0</v>
      </c>
      <c r="D1856" s="4">
        <v>763.1</v>
      </c>
      <c r="E1856">
        <v>64</v>
      </c>
      <c r="F1856">
        <v>64</v>
      </c>
    </row>
    <row r="1857" spans="1:6" x14ac:dyDescent="0.25">
      <c r="A1857" t="s">
        <v>1983</v>
      </c>
      <c r="B1857" s="4">
        <v>762.45</v>
      </c>
      <c r="C1857" s="4">
        <v>74.75</v>
      </c>
      <c r="D1857" s="4">
        <v>687.7</v>
      </c>
      <c r="E1857">
        <v>30</v>
      </c>
      <c r="F1857">
        <v>30</v>
      </c>
    </row>
    <row r="1858" spans="1:6" x14ac:dyDescent="0.25">
      <c r="A1858" t="s">
        <v>1984</v>
      </c>
      <c r="B1858" s="4">
        <v>761.4</v>
      </c>
      <c r="C1858" s="4">
        <v>0</v>
      </c>
      <c r="D1858" s="4">
        <v>761.4</v>
      </c>
      <c r="E1858">
        <v>82</v>
      </c>
      <c r="F1858">
        <v>79</v>
      </c>
    </row>
    <row r="1859" spans="1:6" x14ac:dyDescent="0.25">
      <c r="A1859" t="s">
        <v>1985</v>
      </c>
      <c r="B1859" s="4">
        <v>760.8</v>
      </c>
      <c r="C1859" s="4">
        <v>12.48</v>
      </c>
      <c r="D1859" s="4">
        <v>748.32</v>
      </c>
      <c r="E1859">
        <v>54</v>
      </c>
      <c r="F1859">
        <v>54</v>
      </c>
    </row>
    <row r="1860" spans="1:6" x14ac:dyDescent="0.25">
      <c r="A1860" t="s">
        <v>1986</v>
      </c>
      <c r="B1860" s="4">
        <v>760.43</v>
      </c>
      <c r="C1860" s="4">
        <v>0</v>
      </c>
      <c r="D1860" s="4">
        <v>760.43</v>
      </c>
      <c r="E1860">
        <v>62</v>
      </c>
      <c r="F1860">
        <v>62</v>
      </c>
    </row>
    <row r="1861" spans="1:6" x14ac:dyDescent="0.25">
      <c r="A1861" t="s">
        <v>1987</v>
      </c>
      <c r="B1861" s="4">
        <v>760.4</v>
      </c>
      <c r="C1861" s="4">
        <v>4.9800000000000004</v>
      </c>
      <c r="D1861" s="4">
        <v>755.42</v>
      </c>
      <c r="E1861">
        <v>96</v>
      </c>
      <c r="F1861">
        <v>95</v>
      </c>
    </row>
    <row r="1862" spans="1:6" x14ac:dyDescent="0.25">
      <c r="A1862" t="s">
        <v>1988</v>
      </c>
      <c r="B1862" s="4">
        <v>760.32</v>
      </c>
      <c r="C1862" s="4">
        <v>0</v>
      </c>
      <c r="D1862" s="4">
        <v>760.32</v>
      </c>
      <c r="E1862">
        <v>27</v>
      </c>
      <c r="F1862">
        <v>27</v>
      </c>
    </row>
    <row r="1863" spans="1:6" x14ac:dyDescent="0.25">
      <c r="A1863" t="s">
        <v>1989</v>
      </c>
      <c r="B1863" s="4">
        <v>760.15</v>
      </c>
      <c r="C1863" s="4">
        <v>0</v>
      </c>
      <c r="D1863" s="4">
        <v>760.15</v>
      </c>
      <c r="E1863">
        <v>55</v>
      </c>
      <c r="F1863">
        <v>55</v>
      </c>
    </row>
    <row r="1864" spans="1:6" x14ac:dyDescent="0.25">
      <c r="A1864" t="s">
        <v>1990</v>
      </c>
      <c r="B1864" s="4">
        <v>759.89</v>
      </c>
      <c r="C1864" s="4">
        <v>0</v>
      </c>
      <c r="D1864" s="4">
        <v>759.89</v>
      </c>
      <c r="E1864">
        <v>71</v>
      </c>
      <c r="F1864">
        <v>71</v>
      </c>
    </row>
    <row r="1865" spans="1:6" x14ac:dyDescent="0.25">
      <c r="A1865" t="s">
        <v>1991</v>
      </c>
      <c r="B1865" s="4">
        <v>759.44</v>
      </c>
      <c r="C1865" s="4">
        <v>4.6900000000000004</v>
      </c>
      <c r="D1865" s="4">
        <v>754.75</v>
      </c>
      <c r="E1865">
        <v>106</v>
      </c>
      <c r="F1865">
        <v>97</v>
      </c>
    </row>
    <row r="1866" spans="1:6" x14ac:dyDescent="0.25">
      <c r="A1866" t="s">
        <v>1992</v>
      </c>
      <c r="B1866" s="4">
        <v>759.35</v>
      </c>
      <c r="C1866" s="4">
        <v>1.25</v>
      </c>
      <c r="D1866" s="4">
        <v>758.1</v>
      </c>
      <c r="E1866">
        <v>70</v>
      </c>
      <c r="F1866">
        <v>60</v>
      </c>
    </row>
    <row r="1867" spans="1:6" x14ac:dyDescent="0.25">
      <c r="A1867" t="s">
        <v>1993</v>
      </c>
      <c r="B1867" s="4">
        <v>758.98</v>
      </c>
      <c r="C1867" s="4">
        <v>0</v>
      </c>
      <c r="D1867" s="4">
        <v>758.98</v>
      </c>
      <c r="E1867">
        <v>220</v>
      </c>
      <c r="F1867">
        <v>217</v>
      </c>
    </row>
    <row r="1868" spans="1:6" x14ac:dyDescent="0.25">
      <c r="A1868" t="s">
        <v>1994</v>
      </c>
      <c r="B1868" s="4">
        <v>757.86</v>
      </c>
      <c r="C1868" s="4">
        <v>0</v>
      </c>
      <c r="D1868" s="4">
        <v>757.86</v>
      </c>
      <c r="E1868">
        <v>137</v>
      </c>
      <c r="F1868">
        <v>135</v>
      </c>
    </row>
    <row r="1869" spans="1:6" x14ac:dyDescent="0.25">
      <c r="A1869" t="s">
        <v>1995</v>
      </c>
      <c r="B1869" s="4">
        <v>757.21</v>
      </c>
      <c r="C1869" s="4">
        <v>0</v>
      </c>
      <c r="D1869" s="4">
        <v>757.21</v>
      </c>
      <c r="E1869">
        <v>74</v>
      </c>
      <c r="F1869">
        <v>73</v>
      </c>
    </row>
    <row r="1870" spans="1:6" x14ac:dyDescent="0.25">
      <c r="A1870" t="s">
        <v>1996</v>
      </c>
      <c r="B1870" s="4">
        <v>755.83</v>
      </c>
      <c r="C1870" s="4">
        <v>1.3</v>
      </c>
      <c r="D1870" s="4">
        <v>754.53</v>
      </c>
      <c r="E1870">
        <v>175</v>
      </c>
      <c r="F1870">
        <v>167</v>
      </c>
    </row>
    <row r="1871" spans="1:6" x14ac:dyDescent="0.25">
      <c r="A1871" t="s">
        <v>1997</v>
      </c>
      <c r="B1871" s="4">
        <v>754.41</v>
      </c>
      <c r="C1871" s="4">
        <v>14.95</v>
      </c>
      <c r="D1871" s="4">
        <v>739.46</v>
      </c>
      <c r="E1871">
        <v>83</v>
      </c>
      <c r="F1871">
        <v>79</v>
      </c>
    </row>
    <row r="1872" spans="1:6" x14ac:dyDescent="0.25">
      <c r="A1872" t="s">
        <v>1998</v>
      </c>
      <c r="B1872" s="4">
        <v>754.07</v>
      </c>
      <c r="C1872" s="4">
        <v>0</v>
      </c>
      <c r="D1872" s="4">
        <v>754.07</v>
      </c>
      <c r="E1872">
        <v>86</v>
      </c>
      <c r="F1872">
        <v>86</v>
      </c>
    </row>
    <row r="1873" spans="1:6" x14ac:dyDescent="0.25">
      <c r="A1873" t="s">
        <v>1999</v>
      </c>
      <c r="B1873" s="4">
        <v>753.95</v>
      </c>
      <c r="C1873" s="4">
        <v>8.3000000000000007</v>
      </c>
      <c r="D1873" s="4">
        <v>745.65</v>
      </c>
      <c r="E1873">
        <v>59</v>
      </c>
      <c r="F1873">
        <v>52</v>
      </c>
    </row>
    <row r="1874" spans="1:6" x14ac:dyDescent="0.25">
      <c r="A1874" t="s">
        <v>2000</v>
      </c>
      <c r="B1874" s="4">
        <v>751.85</v>
      </c>
      <c r="C1874" s="4">
        <v>9.9600000000000009</v>
      </c>
      <c r="D1874" s="4">
        <v>741.89</v>
      </c>
      <c r="E1874">
        <v>91</v>
      </c>
      <c r="F1874">
        <v>88</v>
      </c>
    </row>
    <row r="1875" spans="1:6" x14ac:dyDescent="0.25">
      <c r="A1875" t="s">
        <v>2001</v>
      </c>
      <c r="B1875" s="4">
        <v>751.77</v>
      </c>
      <c r="C1875" s="4">
        <v>17.7</v>
      </c>
      <c r="D1875" s="4">
        <v>734.07</v>
      </c>
      <c r="E1875">
        <v>99</v>
      </c>
      <c r="F1875">
        <v>98</v>
      </c>
    </row>
    <row r="1876" spans="1:6" x14ac:dyDescent="0.25">
      <c r="A1876" t="s">
        <v>2002</v>
      </c>
      <c r="B1876" s="4">
        <v>751.66</v>
      </c>
      <c r="C1876" s="4">
        <v>10.199999999999999</v>
      </c>
      <c r="D1876" s="4">
        <v>741.46</v>
      </c>
      <c r="E1876">
        <v>136</v>
      </c>
      <c r="F1876">
        <v>135</v>
      </c>
    </row>
    <row r="1877" spans="1:6" x14ac:dyDescent="0.25">
      <c r="A1877" t="s">
        <v>2003</v>
      </c>
      <c r="B1877" s="4">
        <v>751.38</v>
      </c>
      <c r="C1877" s="4">
        <v>0</v>
      </c>
      <c r="D1877" s="4">
        <v>751.38</v>
      </c>
      <c r="E1877">
        <v>43</v>
      </c>
      <c r="F1877">
        <v>43</v>
      </c>
    </row>
    <row r="1878" spans="1:6" x14ac:dyDescent="0.25">
      <c r="A1878" t="s">
        <v>2004</v>
      </c>
      <c r="B1878" s="4">
        <v>751.17</v>
      </c>
      <c r="C1878" s="4">
        <v>0</v>
      </c>
      <c r="D1878" s="4">
        <v>751.17</v>
      </c>
      <c r="E1878">
        <v>34</v>
      </c>
      <c r="F1878">
        <v>34</v>
      </c>
    </row>
    <row r="1879" spans="1:6" x14ac:dyDescent="0.25">
      <c r="A1879" t="s">
        <v>2005</v>
      </c>
      <c r="B1879" s="4">
        <v>750.2</v>
      </c>
      <c r="C1879" s="4">
        <v>0</v>
      </c>
      <c r="D1879" s="4">
        <v>750.2</v>
      </c>
      <c r="E1879">
        <v>128</v>
      </c>
      <c r="F1879">
        <v>126</v>
      </c>
    </row>
    <row r="1880" spans="1:6" x14ac:dyDescent="0.25">
      <c r="A1880" t="s">
        <v>2006</v>
      </c>
      <c r="B1880" s="4">
        <v>748.34</v>
      </c>
      <c r="C1880" s="4">
        <v>0</v>
      </c>
      <c r="D1880" s="4">
        <v>748.34</v>
      </c>
      <c r="E1880">
        <v>57</v>
      </c>
      <c r="F1880">
        <v>57</v>
      </c>
    </row>
    <row r="1881" spans="1:6" x14ac:dyDescent="0.25">
      <c r="A1881" t="s">
        <v>2007</v>
      </c>
      <c r="B1881" s="4">
        <v>748.08</v>
      </c>
      <c r="C1881" s="4">
        <v>0</v>
      </c>
      <c r="D1881" s="4">
        <v>748.08</v>
      </c>
      <c r="E1881">
        <v>131</v>
      </c>
      <c r="F1881">
        <v>128</v>
      </c>
    </row>
    <row r="1882" spans="1:6" x14ac:dyDescent="0.25">
      <c r="A1882" t="s">
        <v>2008</v>
      </c>
      <c r="B1882" s="4">
        <v>747.81</v>
      </c>
      <c r="C1882" s="4">
        <v>10.199999999999999</v>
      </c>
      <c r="D1882" s="4">
        <v>737.61</v>
      </c>
      <c r="E1882">
        <v>139</v>
      </c>
      <c r="F1882">
        <v>139</v>
      </c>
    </row>
    <row r="1883" spans="1:6" x14ac:dyDescent="0.25">
      <c r="A1883" t="s">
        <v>2009</v>
      </c>
      <c r="B1883" s="4">
        <v>747.79</v>
      </c>
      <c r="C1883" s="4">
        <v>0</v>
      </c>
      <c r="D1883" s="4">
        <v>747.79</v>
      </c>
      <c r="E1883">
        <v>134</v>
      </c>
      <c r="F1883">
        <v>133</v>
      </c>
    </row>
    <row r="1884" spans="1:6" x14ac:dyDescent="0.25">
      <c r="A1884" t="s">
        <v>2010</v>
      </c>
      <c r="B1884" s="4">
        <v>745.45</v>
      </c>
      <c r="C1884" s="4">
        <v>0</v>
      </c>
      <c r="D1884" s="4">
        <v>745.45</v>
      </c>
      <c r="E1884">
        <v>128</v>
      </c>
      <c r="F1884">
        <v>124</v>
      </c>
    </row>
    <row r="1885" spans="1:6" x14ac:dyDescent="0.25">
      <c r="A1885" t="s">
        <v>2011</v>
      </c>
      <c r="B1885" s="4">
        <v>743.89</v>
      </c>
      <c r="C1885" s="4">
        <v>8.75</v>
      </c>
      <c r="D1885" s="4">
        <v>735.14</v>
      </c>
      <c r="E1885">
        <v>77</v>
      </c>
      <c r="F1885">
        <v>77</v>
      </c>
    </row>
    <row r="1886" spans="1:6" x14ac:dyDescent="0.25">
      <c r="A1886" t="s">
        <v>2012</v>
      </c>
      <c r="B1886" s="4">
        <v>743.62</v>
      </c>
      <c r="C1886" s="4">
        <v>1.25</v>
      </c>
      <c r="D1886" s="4">
        <v>742.37</v>
      </c>
      <c r="E1886">
        <v>56</v>
      </c>
      <c r="F1886">
        <v>55</v>
      </c>
    </row>
    <row r="1887" spans="1:6" x14ac:dyDescent="0.25">
      <c r="A1887" t="s">
        <v>2013</v>
      </c>
      <c r="B1887" s="4">
        <v>743.31</v>
      </c>
      <c r="C1887" s="4">
        <v>15</v>
      </c>
      <c r="D1887" s="4">
        <v>728.31</v>
      </c>
      <c r="E1887">
        <v>60</v>
      </c>
      <c r="F1887">
        <v>60</v>
      </c>
    </row>
    <row r="1888" spans="1:6" x14ac:dyDescent="0.25">
      <c r="A1888" t="s">
        <v>2014</v>
      </c>
      <c r="B1888" s="4">
        <v>741.98</v>
      </c>
      <c r="C1888" s="4">
        <v>10.199999999999999</v>
      </c>
      <c r="D1888" s="4">
        <v>731.78</v>
      </c>
      <c r="E1888">
        <v>72</v>
      </c>
      <c r="F1888">
        <v>71</v>
      </c>
    </row>
    <row r="1889" spans="1:6" x14ac:dyDescent="0.25">
      <c r="A1889" t="s">
        <v>2015</v>
      </c>
      <c r="B1889" s="4">
        <v>740.94</v>
      </c>
      <c r="C1889" s="4">
        <v>29.7</v>
      </c>
      <c r="D1889" s="4">
        <v>711.24</v>
      </c>
      <c r="E1889">
        <v>35</v>
      </c>
      <c r="F1889">
        <v>35</v>
      </c>
    </row>
    <row r="1890" spans="1:6" x14ac:dyDescent="0.25">
      <c r="A1890" t="s">
        <v>2016</v>
      </c>
      <c r="B1890" s="4">
        <v>739.57</v>
      </c>
      <c r="C1890" s="4">
        <v>3.9</v>
      </c>
      <c r="D1890" s="4">
        <v>735.67</v>
      </c>
      <c r="E1890">
        <v>165</v>
      </c>
      <c r="F1890">
        <v>145</v>
      </c>
    </row>
    <row r="1891" spans="1:6" x14ac:dyDescent="0.25">
      <c r="A1891" t="s">
        <v>2017</v>
      </c>
      <c r="B1891" s="4">
        <v>738.68</v>
      </c>
      <c r="C1891" s="4">
        <v>0</v>
      </c>
      <c r="D1891" s="4">
        <v>738.68</v>
      </c>
      <c r="E1891">
        <v>100</v>
      </c>
      <c r="F1891">
        <v>96</v>
      </c>
    </row>
    <row r="1892" spans="1:6" x14ac:dyDescent="0.25">
      <c r="A1892" t="s">
        <v>2018</v>
      </c>
      <c r="B1892" s="4">
        <v>737.95</v>
      </c>
      <c r="C1892" s="4">
        <v>14.85</v>
      </c>
      <c r="D1892" s="4">
        <v>723.1</v>
      </c>
      <c r="E1892">
        <v>45</v>
      </c>
      <c r="F1892">
        <v>45</v>
      </c>
    </row>
    <row r="1893" spans="1:6" x14ac:dyDescent="0.25">
      <c r="A1893" t="s">
        <v>2019</v>
      </c>
      <c r="B1893" s="4">
        <v>737.84</v>
      </c>
      <c r="C1893" s="4">
        <v>10.199999999999999</v>
      </c>
      <c r="D1893" s="4">
        <v>727.64</v>
      </c>
      <c r="E1893">
        <v>119</v>
      </c>
      <c r="F1893">
        <v>119</v>
      </c>
    </row>
    <row r="1894" spans="1:6" x14ac:dyDescent="0.25">
      <c r="A1894" t="s">
        <v>2020</v>
      </c>
      <c r="B1894" s="4">
        <v>735.83</v>
      </c>
      <c r="C1894" s="4">
        <v>0</v>
      </c>
      <c r="D1894" s="4">
        <v>735.83</v>
      </c>
      <c r="E1894">
        <v>68</v>
      </c>
      <c r="F1894">
        <v>67</v>
      </c>
    </row>
    <row r="1895" spans="1:6" x14ac:dyDescent="0.25">
      <c r="A1895" t="s">
        <v>2021</v>
      </c>
      <c r="B1895" s="4">
        <v>734.86</v>
      </c>
      <c r="C1895" s="4">
        <v>0</v>
      </c>
      <c r="D1895" s="4">
        <v>734.86</v>
      </c>
      <c r="E1895">
        <v>41</v>
      </c>
      <c r="F1895">
        <v>40</v>
      </c>
    </row>
    <row r="1896" spans="1:6" x14ac:dyDescent="0.25">
      <c r="A1896" t="s">
        <v>2022</v>
      </c>
      <c r="B1896" s="4">
        <v>734.79</v>
      </c>
      <c r="C1896" s="4">
        <v>0</v>
      </c>
      <c r="D1896" s="4">
        <v>734.79</v>
      </c>
      <c r="E1896">
        <v>100</v>
      </c>
      <c r="F1896">
        <v>99</v>
      </c>
    </row>
    <row r="1897" spans="1:6" x14ac:dyDescent="0.25">
      <c r="A1897" t="s">
        <v>2023</v>
      </c>
      <c r="B1897" s="4">
        <v>732.65</v>
      </c>
      <c r="C1897" s="4">
        <v>3.4</v>
      </c>
      <c r="D1897" s="4">
        <v>729.25</v>
      </c>
      <c r="E1897">
        <v>149</v>
      </c>
      <c r="F1897">
        <v>147</v>
      </c>
    </row>
    <row r="1898" spans="1:6" x14ac:dyDescent="0.25">
      <c r="A1898" t="s">
        <v>2024</v>
      </c>
      <c r="B1898" s="4">
        <v>731.82</v>
      </c>
      <c r="C1898" s="4">
        <v>0.39</v>
      </c>
      <c r="D1898" s="4">
        <v>731.43</v>
      </c>
      <c r="E1898">
        <v>159</v>
      </c>
      <c r="F1898">
        <v>150</v>
      </c>
    </row>
    <row r="1899" spans="1:6" x14ac:dyDescent="0.25">
      <c r="A1899" t="s">
        <v>2025</v>
      </c>
      <c r="B1899" s="4">
        <v>730.97</v>
      </c>
      <c r="C1899" s="4">
        <v>8.5</v>
      </c>
      <c r="D1899" s="4">
        <v>722.47</v>
      </c>
      <c r="E1899">
        <v>42</v>
      </c>
      <c r="F1899">
        <v>41</v>
      </c>
    </row>
    <row r="1900" spans="1:6" x14ac:dyDescent="0.25">
      <c r="A1900" t="s">
        <v>2026</v>
      </c>
      <c r="B1900" s="4">
        <v>730.47</v>
      </c>
      <c r="C1900" s="4">
        <v>7.8</v>
      </c>
      <c r="D1900" s="4">
        <v>722.67</v>
      </c>
      <c r="E1900">
        <v>140</v>
      </c>
      <c r="F1900">
        <v>139</v>
      </c>
    </row>
    <row r="1901" spans="1:6" x14ac:dyDescent="0.25">
      <c r="A1901" t="s">
        <v>2027</v>
      </c>
      <c r="B1901" s="4">
        <v>730.37</v>
      </c>
      <c r="C1901" s="4">
        <v>0</v>
      </c>
      <c r="D1901" s="4">
        <v>730.37</v>
      </c>
      <c r="E1901">
        <v>45</v>
      </c>
      <c r="F1901">
        <v>43</v>
      </c>
    </row>
    <row r="1902" spans="1:6" x14ac:dyDescent="0.25">
      <c r="A1902" t="s">
        <v>2028</v>
      </c>
      <c r="B1902" s="4">
        <v>729.6</v>
      </c>
      <c r="C1902" s="4">
        <v>0</v>
      </c>
      <c r="D1902" s="4">
        <v>729.6</v>
      </c>
      <c r="E1902">
        <v>63</v>
      </c>
      <c r="F1902">
        <v>63</v>
      </c>
    </row>
    <row r="1903" spans="1:6" x14ac:dyDescent="0.25">
      <c r="A1903" t="s">
        <v>2029</v>
      </c>
      <c r="B1903" s="4">
        <v>729.57</v>
      </c>
      <c r="C1903" s="4">
        <v>26.25</v>
      </c>
      <c r="D1903" s="4">
        <v>703.32</v>
      </c>
      <c r="E1903">
        <v>27</v>
      </c>
      <c r="F1903">
        <v>27</v>
      </c>
    </row>
    <row r="1904" spans="1:6" x14ac:dyDescent="0.25">
      <c r="A1904" t="s">
        <v>2030</v>
      </c>
      <c r="B1904" s="4">
        <v>729.57</v>
      </c>
      <c r="C1904" s="4">
        <v>0</v>
      </c>
      <c r="D1904" s="4">
        <v>729.57</v>
      </c>
      <c r="E1904">
        <v>79</v>
      </c>
      <c r="F1904">
        <v>78</v>
      </c>
    </row>
    <row r="1905" spans="1:6" x14ac:dyDescent="0.25">
      <c r="A1905" t="s">
        <v>2031</v>
      </c>
      <c r="B1905" s="4">
        <v>728.57</v>
      </c>
      <c r="C1905" s="4">
        <v>16.25</v>
      </c>
      <c r="D1905" s="4">
        <v>712.32</v>
      </c>
      <c r="E1905">
        <v>101</v>
      </c>
      <c r="F1905">
        <v>98</v>
      </c>
    </row>
    <row r="1906" spans="1:6" x14ac:dyDescent="0.25">
      <c r="A1906" t="s">
        <v>2032</v>
      </c>
      <c r="B1906" s="4">
        <v>727.46</v>
      </c>
      <c r="C1906" s="4">
        <v>0</v>
      </c>
      <c r="D1906" s="4">
        <v>727.46</v>
      </c>
      <c r="E1906">
        <v>229</v>
      </c>
      <c r="F1906">
        <v>225</v>
      </c>
    </row>
    <row r="1907" spans="1:6" x14ac:dyDescent="0.25">
      <c r="A1907" t="s">
        <v>2033</v>
      </c>
      <c r="B1907" s="4">
        <v>727.44</v>
      </c>
      <c r="C1907" s="4">
        <v>0</v>
      </c>
      <c r="D1907" s="4">
        <v>727.44</v>
      </c>
      <c r="E1907">
        <v>32</v>
      </c>
      <c r="F1907">
        <v>32</v>
      </c>
    </row>
    <row r="1908" spans="1:6" x14ac:dyDescent="0.25">
      <c r="A1908" t="s">
        <v>2034</v>
      </c>
      <c r="B1908" s="4">
        <v>727.31</v>
      </c>
      <c r="C1908" s="4">
        <v>10.08</v>
      </c>
      <c r="D1908" s="4">
        <v>717.23</v>
      </c>
      <c r="E1908">
        <v>170</v>
      </c>
      <c r="F1908">
        <v>168</v>
      </c>
    </row>
    <row r="1909" spans="1:6" x14ac:dyDescent="0.25">
      <c r="A1909" t="s">
        <v>2035</v>
      </c>
      <c r="B1909" s="4">
        <v>725.52</v>
      </c>
      <c r="C1909" s="4">
        <v>152.63999999999999</v>
      </c>
      <c r="D1909" s="4">
        <v>572.88</v>
      </c>
      <c r="E1909">
        <v>63</v>
      </c>
      <c r="F1909">
        <v>62</v>
      </c>
    </row>
    <row r="1910" spans="1:6" x14ac:dyDescent="0.25">
      <c r="A1910" t="s">
        <v>2036</v>
      </c>
      <c r="B1910" s="4">
        <v>725.42</v>
      </c>
      <c r="C1910" s="4">
        <v>0.19</v>
      </c>
      <c r="D1910" s="4">
        <v>725.23</v>
      </c>
      <c r="E1910">
        <v>133</v>
      </c>
      <c r="F1910">
        <v>133</v>
      </c>
    </row>
    <row r="1911" spans="1:6" x14ac:dyDescent="0.25">
      <c r="A1911" t="s">
        <v>2037</v>
      </c>
      <c r="B1911" s="4">
        <v>725.26</v>
      </c>
      <c r="C1911" s="4">
        <v>0</v>
      </c>
      <c r="D1911" s="4">
        <v>725.26</v>
      </c>
      <c r="E1911">
        <v>206</v>
      </c>
      <c r="F1911">
        <v>206</v>
      </c>
    </row>
    <row r="1912" spans="1:6" x14ac:dyDescent="0.25">
      <c r="A1912" t="s">
        <v>2038</v>
      </c>
      <c r="B1912" s="4">
        <v>720.93</v>
      </c>
      <c r="C1912" s="4">
        <v>0</v>
      </c>
      <c r="D1912" s="4">
        <v>720.93</v>
      </c>
      <c r="E1912">
        <v>39</v>
      </c>
      <c r="F1912">
        <v>39</v>
      </c>
    </row>
    <row r="1913" spans="1:6" x14ac:dyDescent="0.25">
      <c r="A1913" t="s">
        <v>2039</v>
      </c>
      <c r="B1913" s="4">
        <v>720.16</v>
      </c>
      <c r="C1913" s="4">
        <v>4.68</v>
      </c>
      <c r="D1913" s="4">
        <v>715.48</v>
      </c>
      <c r="E1913">
        <v>82</v>
      </c>
      <c r="F1913">
        <v>80</v>
      </c>
    </row>
    <row r="1914" spans="1:6" x14ac:dyDescent="0.25">
      <c r="A1914" t="s">
        <v>2040</v>
      </c>
      <c r="B1914" s="4">
        <v>719.84</v>
      </c>
      <c r="C1914" s="4">
        <v>7.8</v>
      </c>
      <c r="D1914" s="4">
        <v>712.04</v>
      </c>
      <c r="E1914">
        <v>143</v>
      </c>
      <c r="F1914">
        <v>140</v>
      </c>
    </row>
    <row r="1915" spans="1:6" x14ac:dyDescent="0.25">
      <c r="A1915" t="s">
        <v>2041</v>
      </c>
      <c r="B1915" s="4">
        <v>719.69</v>
      </c>
      <c r="C1915" s="4">
        <v>0</v>
      </c>
      <c r="D1915" s="4">
        <v>719.69</v>
      </c>
      <c r="E1915">
        <v>38</v>
      </c>
      <c r="F1915">
        <v>38</v>
      </c>
    </row>
    <row r="1916" spans="1:6" x14ac:dyDescent="0.25">
      <c r="A1916" t="s">
        <v>2042</v>
      </c>
      <c r="B1916" s="4">
        <v>718.53</v>
      </c>
      <c r="C1916" s="4">
        <v>19.920000000000002</v>
      </c>
      <c r="D1916" s="4">
        <v>698.61</v>
      </c>
      <c r="E1916">
        <v>77</v>
      </c>
      <c r="F1916">
        <v>75</v>
      </c>
    </row>
    <row r="1917" spans="1:6" x14ac:dyDescent="0.25">
      <c r="A1917" t="s">
        <v>2043</v>
      </c>
      <c r="B1917" s="4">
        <v>718.14</v>
      </c>
      <c r="C1917" s="4">
        <v>8.9499999999999993</v>
      </c>
      <c r="D1917" s="4">
        <v>709.19</v>
      </c>
      <c r="E1917">
        <v>35</v>
      </c>
      <c r="F1917">
        <v>35</v>
      </c>
    </row>
    <row r="1918" spans="1:6" x14ac:dyDescent="0.25">
      <c r="A1918" t="s">
        <v>2044</v>
      </c>
      <c r="B1918" s="4">
        <v>717.21</v>
      </c>
      <c r="C1918" s="4">
        <v>0</v>
      </c>
      <c r="D1918" s="4">
        <v>717.21</v>
      </c>
      <c r="E1918">
        <v>91</v>
      </c>
      <c r="F1918">
        <v>90</v>
      </c>
    </row>
    <row r="1919" spans="1:6" x14ac:dyDescent="0.25">
      <c r="A1919" t="s">
        <v>2045</v>
      </c>
      <c r="B1919" s="4">
        <v>717.12</v>
      </c>
      <c r="C1919" s="4">
        <v>5.04</v>
      </c>
      <c r="D1919" s="4">
        <v>712.08</v>
      </c>
      <c r="E1919">
        <v>161</v>
      </c>
      <c r="F1919">
        <v>160</v>
      </c>
    </row>
    <row r="1920" spans="1:6" x14ac:dyDescent="0.25">
      <c r="A1920" t="s">
        <v>2046</v>
      </c>
      <c r="B1920" s="4">
        <v>716.86</v>
      </c>
      <c r="C1920" s="4">
        <v>3.75</v>
      </c>
      <c r="D1920" s="4">
        <v>713.11</v>
      </c>
      <c r="E1920">
        <v>139</v>
      </c>
      <c r="F1920">
        <v>139</v>
      </c>
    </row>
    <row r="1921" spans="1:6" x14ac:dyDescent="0.25">
      <c r="A1921" t="s">
        <v>2047</v>
      </c>
      <c r="B1921" s="4">
        <v>716.8</v>
      </c>
      <c r="C1921" s="4">
        <v>8.5</v>
      </c>
      <c r="D1921" s="4">
        <v>708.3</v>
      </c>
      <c r="E1921">
        <v>87</v>
      </c>
      <c r="F1921">
        <v>87</v>
      </c>
    </row>
    <row r="1922" spans="1:6" x14ac:dyDescent="0.25">
      <c r="A1922" t="s">
        <v>2048</v>
      </c>
      <c r="B1922" s="4">
        <v>711.51</v>
      </c>
      <c r="C1922" s="4">
        <v>66.5</v>
      </c>
      <c r="D1922" s="4">
        <v>645.01</v>
      </c>
      <c r="E1922">
        <v>28</v>
      </c>
      <c r="F1922">
        <v>28</v>
      </c>
    </row>
    <row r="1923" spans="1:6" x14ac:dyDescent="0.25">
      <c r="A1923" t="s">
        <v>2049</v>
      </c>
      <c r="B1923" s="4">
        <v>710.95</v>
      </c>
      <c r="C1923" s="4">
        <v>127.2</v>
      </c>
      <c r="D1923" s="4">
        <v>583.75</v>
      </c>
      <c r="E1923">
        <v>91</v>
      </c>
      <c r="F1923">
        <v>90</v>
      </c>
    </row>
    <row r="1924" spans="1:6" x14ac:dyDescent="0.25">
      <c r="A1924" t="s">
        <v>2050</v>
      </c>
      <c r="B1924" s="4">
        <v>710.64</v>
      </c>
      <c r="C1924" s="4">
        <v>77.7</v>
      </c>
      <c r="D1924" s="4">
        <v>632.94000000000005</v>
      </c>
      <c r="E1924">
        <v>56</v>
      </c>
      <c r="F1924">
        <v>55</v>
      </c>
    </row>
    <row r="1925" spans="1:6" x14ac:dyDescent="0.25">
      <c r="A1925" t="s">
        <v>2051</v>
      </c>
      <c r="B1925" s="4">
        <v>709.66</v>
      </c>
      <c r="C1925" s="4">
        <v>0</v>
      </c>
      <c r="D1925" s="4">
        <v>709.66</v>
      </c>
      <c r="E1925">
        <v>80</v>
      </c>
      <c r="F1925">
        <v>73</v>
      </c>
    </row>
    <row r="1926" spans="1:6" x14ac:dyDescent="0.25">
      <c r="A1926" t="s">
        <v>2052</v>
      </c>
      <c r="B1926" s="4">
        <v>709.54</v>
      </c>
      <c r="C1926" s="4">
        <v>0</v>
      </c>
      <c r="D1926" s="4">
        <v>709.54</v>
      </c>
      <c r="E1926">
        <v>44</v>
      </c>
      <c r="F1926">
        <v>44</v>
      </c>
    </row>
    <row r="1927" spans="1:6" x14ac:dyDescent="0.25">
      <c r="A1927" t="s">
        <v>2053</v>
      </c>
      <c r="B1927" s="4">
        <v>709.18</v>
      </c>
      <c r="C1927" s="4">
        <v>3.9</v>
      </c>
      <c r="D1927" s="4">
        <v>705.28</v>
      </c>
      <c r="E1927">
        <v>39</v>
      </c>
      <c r="F1927">
        <v>36</v>
      </c>
    </row>
    <row r="1928" spans="1:6" x14ac:dyDescent="0.25">
      <c r="A1928" t="s">
        <v>2054</v>
      </c>
      <c r="B1928" s="4">
        <v>708.98</v>
      </c>
      <c r="C1928" s="4">
        <v>0</v>
      </c>
      <c r="D1928" s="4">
        <v>708.98</v>
      </c>
      <c r="E1928">
        <v>113</v>
      </c>
      <c r="F1928">
        <v>111</v>
      </c>
    </row>
    <row r="1929" spans="1:6" x14ac:dyDescent="0.25">
      <c r="A1929" t="s">
        <v>2055</v>
      </c>
      <c r="B1929" s="4">
        <v>708.75</v>
      </c>
      <c r="C1929" s="4">
        <v>25</v>
      </c>
      <c r="D1929" s="4">
        <v>683.75</v>
      </c>
      <c r="E1929">
        <v>49</v>
      </c>
      <c r="F1929">
        <v>49</v>
      </c>
    </row>
    <row r="1930" spans="1:6" x14ac:dyDescent="0.25">
      <c r="A1930" t="s">
        <v>2056</v>
      </c>
      <c r="B1930" s="4">
        <v>706.55</v>
      </c>
      <c r="C1930" s="4">
        <v>0</v>
      </c>
      <c r="D1930" s="4">
        <v>706.55</v>
      </c>
      <c r="E1930">
        <v>100</v>
      </c>
      <c r="F1930">
        <v>99</v>
      </c>
    </row>
    <row r="1931" spans="1:6" x14ac:dyDescent="0.25">
      <c r="A1931" t="s">
        <v>2057</v>
      </c>
      <c r="B1931" s="4">
        <v>705.58</v>
      </c>
      <c r="C1931" s="4">
        <v>8.6999999999999993</v>
      </c>
      <c r="D1931" s="4">
        <v>696.88</v>
      </c>
      <c r="E1931">
        <v>109</v>
      </c>
      <c r="F1931">
        <v>105</v>
      </c>
    </row>
    <row r="1932" spans="1:6" x14ac:dyDescent="0.25">
      <c r="A1932" t="s">
        <v>2058</v>
      </c>
      <c r="B1932" s="4">
        <v>704.55</v>
      </c>
      <c r="C1932" s="4">
        <v>0</v>
      </c>
      <c r="D1932" s="4">
        <v>704.55</v>
      </c>
      <c r="E1932">
        <v>153</v>
      </c>
      <c r="F1932">
        <v>151</v>
      </c>
    </row>
    <row r="1933" spans="1:6" x14ac:dyDescent="0.25">
      <c r="A1933" t="s">
        <v>2059</v>
      </c>
      <c r="B1933" s="4">
        <v>702.96</v>
      </c>
      <c r="C1933" s="4">
        <v>0.21</v>
      </c>
      <c r="D1933" s="4">
        <v>702.75</v>
      </c>
      <c r="E1933">
        <v>169</v>
      </c>
      <c r="F1933">
        <v>168</v>
      </c>
    </row>
    <row r="1934" spans="1:6" x14ac:dyDescent="0.25">
      <c r="A1934" t="s">
        <v>2060</v>
      </c>
      <c r="B1934" s="4">
        <v>702.51</v>
      </c>
      <c r="C1934" s="4">
        <v>0</v>
      </c>
      <c r="D1934" s="4">
        <v>702.51</v>
      </c>
      <c r="E1934">
        <v>54</v>
      </c>
      <c r="F1934">
        <v>53</v>
      </c>
    </row>
    <row r="1935" spans="1:6" x14ac:dyDescent="0.25">
      <c r="A1935" t="s">
        <v>2061</v>
      </c>
      <c r="B1935" s="4">
        <v>699.96</v>
      </c>
      <c r="C1935" s="4">
        <v>4.95</v>
      </c>
      <c r="D1935" s="4">
        <v>695.01</v>
      </c>
      <c r="E1935">
        <v>21</v>
      </c>
      <c r="F1935">
        <v>19</v>
      </c>
    </row>
    <row r="1936" spans="1:6" x14ac:dyDescent="0.25">
      <c r="A1936" t="s">
        <v>2062</v>
      </c>
      <c r="B1936" s="4">
        <v>699.63</v>
      </c>
      <c r="C1936" s="4">
        <v>0</v>
      </c>
      <c r="D1936" s="4">
        <v>699.63</v>
      </c>
      <c r="E1936">
        <v>24</v>
      </c>
      <c r="F1936">
        <v>24</v>
      </c>
    </row>
    <row r="1937" spans="1:6" x14ac:dyDescent="0.25">
      <c r="A1937" t="s">
        <v>2063</v>
      </c>
      <c r="B1937" s="4">
        <v>697.77</v>
      </c>
      <c r="C1937" s="4">
        <v>15.99</v>
      </c>
      <c r="D1937" s="4">
        <v>681.78</v>
      </c>
      <c r="E1937">
        <v>84</v>
      </c>
      <c r="F1937">
        <v>83</v>
      </c>
    </row>
    <row r="1938" spans="1:6" x14ac:dyDescent="0.25">
      <c r="A1938" t="s">
        <v>2064</v>
      </c>
      <c r="B1938" s="4">
        <v>697.7</v>
      </c>
      <c r="C1938" s="4">
        <v>27.8</v>
      </c>
      <c r="D1938" s="4">
        <v>669.9</v>
      </c>
      <c r="E1938">
        <v>44</v>
      </c>
      <c r="F1938">
        <v>44</v>
      </c>
    </row>
    <row r="1939" spans="1:6" x14ac:dyDescent="0.25">
      <c r="A1939" t="s">
        <v>2065</v>
      </c>
      <c r="B1939" s="4">
        <v>697.49</v>
      </c>
      <c r="C1939" s="4">
        <v>0</v>
      </c>
      <c r="D1939" s="4">
        <v>697.49</v>
      </c>
      <c r="E1939">
        <v>111</v>
      </c>
      <c r="F1939">
        <v>107</v>
      </c>
    </row>
    <row r="1940" spans="1:6" x14ac:dyDescent="0.25">
      <c r="A1940" t="s">
        <v>2066</v>
      </c>
      <c r="B1940" s="4">
        <v>696.8</v>
      </c>
      <c r="C1940" s="4">
        <v>0</v>
      </c>
      <c r="D1940" s="4">
        <v>696.8</v>
      </c>
      <c r="E1940">
        <v>124</v>
      </c>
      <c r="F1940">
        <v>124</v>
      </c>
    </row>
    <row r="1941" spans="1:6" x14ac:dyDescent="0.25">
      <c r="A1941" t="s">
        <v>2067</v>
      </c>
      <c r="B1941" s="4">
        <v>695.41</v>
      </c>
      <c r="C1941" s="4">
        <v>30.24</v>
      </c>
      <c r="D1941" s="4">
        <v>665.17</v>
      </c>
      <c r="E1941">
        <v>113</v>
      </c>
      <c r="F1941">
        <v>100</v>
      </c>
    </row>
    <row r="1942" spans="1:6" x14ac:dyDescent="0.25">
      <c r="A1942" t="s">
        <v>2068</v>
      </c>
      <c r="B1942" s="4">
        <v>695.23</v>
      </c>
      <c r="C1942" s="4">
        <v>0</v>
      </c>
      <c r="D1942" s="4">
        <v>695.23</v>
      </c>
      <c r="E1942">
        <v>45</v>
      </c>
      <c r="F1942">
        <v>45</v>
      </c>
    </row>
    <row r="1943" spans="1:6" x14ac:dyDescent="0.25">
      <c r="A1943" t="s">
        <v>2069</v>
      </c>
      <c r="B1943" s="4">
        <v>695.06</v>
      </c>
      <c r="C1943" s="4">
        <v>16.489999999999998</v>
      </c>
      <c r="D1943" s="4">
        <v>678.57</v>
      </c>
      <c r="E1943">
        <v>75</v>
      </c>
      <c r="F1943">
        <v>74</v>
      </c>
    </row>
    <row r="1944" spans="1:6" x14ac:dyDescent="0.25">
      <c r="A1944" t="s">
        <v>2070</v>
      </c>
      <c r="B1944" s="4">
        <v>694.72</v>
      </c>
      <c r="C1944" s="4">
        <v>15</v>
      </c>
      <c r="D1944" s="4">
        <v>679.72</v>
      </c>
      <c r="E1944">
        <v>55</v>
      </c>
      <c r="F1944">
        <v>54</v>
      </c>
    </row>
    <row r="1945" spans="1:6" x14ac:dyDescent="0.25">
      <c r="A1945" t="s">
        <v>2071</v>
      </c>
      <c r="B1945" s="4">
        <v>693.32</v>
      </c>
      <c r="C1945" s="4">
        <v>0</v>
      </c>
      <c r="D1945" s="4">
        <v>693.32</v>
      </c>
      <c r="E1945">
        <v>45</v>
      </c>
      <c r="F1945">
        <v>45</v>
      </c>
    </row>
    <row r="1946" spans="1:6" x14ac:dyDescent="0.25">
      <c r="A1946" t="s">
        <v>2072</v>
      </c>
      <c r="B1946" s="4">
        <v>692.85</v>
      </c>
      <c r="C1946" s="4">
        <v>4.5599999999999996</v>
      </c>
      <c r="D1946" s="4">
        <v>688.29</v>
      </c>
      <c r="E1946">
        <v>139</v>
      </c>
      <c r="F1946">
        <v>132</v>
      </c>
    </row>
    <row r="1947" spans="1:6" x14ac:dyDescent="0.25">
      <c r="A1947" t="s">
        <v>2073</v>
      </c>
      <c r="B1947" s="4">
        <v>691.85</v>
      </c>
      <c r="C1947" s="4">
        <v>0</v>
      </c>
      <c r="D1947" s="4">
        <v>691.85</v>
      </c>
      <c r="E1947">
        <v>104</v>
      </c>
      <c r="F1947">
        <v>102</v>
      </c>
    </row>
    <row r="1948" spans="1:6" x14ac:dyDescent="0.25">
      <c r="A1948" t="s">
        <v>2074</v>
      </c>
      <c r="B1948" s="4">
        <v>690.52</v>
      </c>
      <c r="C1948" s="4">
        <v>0.39</v>
      </c>
      <c r="D1948" s="4">
        <v>690.13</v>
      </c>
      <c r="E1948">
        <v>63</v>
      </c>
      <c r="F1948">
        <v>62</v>
      </c>
    </row>
    <row r="1949" spans="1:6" x14ac:dyDescent="0.25">
      <c r="A1949" t="s">
        <v>2075</v>
      </c>
      <c r="B1949" s="4">
        <v>690.1</v>
      </c>
      <c r="C1949" s="4">
        <v>35.4</v>
      </c>
      <c r="D1949" s="4">
        <v>654.70000000000005</v>
      </c>
      <c r="E1949">
        <v>34</v>
      </c>
      <c r="F1949">
        <v>33</v>
      </c>
    </row>
    <row r="1950" spans="1:6" x14ac:dyDescent="0.25">
      <c r="A1950" t="s">
        <v>2076</v>
      </c>
      <c r="B1950" s="4">
        <v>689.67</v>
      </c>
      <c r="C1950" s="4">
        <v>15</v>
      </c>
      <c r="D1950" s="4">
        <v>674.67</v>
      </c>
      <c r="E1950">
        <v>126</v>
      </c>
      <c r="F1950">
        <v>125</v>
      </c>
    </row>
    <row r="1951" spans="1:6" x14ac:dyDescent="0.25">
      <c r="A1951" t="s">
        <v>2077</v>
      </c>
      <c r="B1951" s="4">
        <v>689.53</v>
      </c>
      <c r="C1951" s="4">
        <v>4.95</v>
      </c>
      <c r="D1951" s="4">
        <v>684.58</v>
      </c>
      <c r="E1951">
        <v>36</v>
      </c>
      <c r="F1951">
        <v>34</v>
      </c>
    </row>
    <row r="1952" spans="1:6" x14ac:dyDescent="0.25">
      <c r="A1952" t="s">
        <v>2078</v>
      </c>
      <c r="B1952" s="4">
        <v>689.34</v>
      </c>
      <c r="C1952" s="4">
        <v>10.199999999999999</v>
      </c>
      <c r="D1952" s="4">
        <v>679.14</v>
      </c>
      <c r="E1952">
        <v>146</v>
      </c>
      <c r="F1952">
        <v>146</v>
      </c>
    </row>
    <row r="1953" spans="1:6" x14ac:dyDescent="0.25">
      <c r="A1953" t="s">
        <v>2079</v>
      </c>
      <c r="B1953" s="4">
        <v>688.91</v>
      </c>
      <c r="C1953" s="4">
        <v>5.9</v>
      </c>
      <c r="D1953" s="4">
        <v>683.01</v>
      </c>
      <c r="E1953">
        <v>132</v>
      </c>
      <c r="F1953">
        <v>125</v>
      </c>
    </row>
    <row r="1954" spans="1:6" x14ac:dyDescent="0.25">
      <c r="A1954" t="s">
        <v>2080</v>
      </c>
      <c r="B1954" s="4">
        <v>688.3</v>
      </c>
      <c r="C1954" s="4">
        <v>0</v>
      </c>
      <c r="D1954" s="4">
        <v>688.3</v>
      </c>
      <c r="E1954">
        <v>75</v>
      </c>
      <c r="F1954">
        <v>74</v>
      </c>
    </row>
    <row r="1955" spans="1:6" x14ac:dyDescent="0.25">
      <c r="A1955" t="s">
        <v>2081</v>
      </c>
      <c r="B1955" s="4">
        <v>687.95</v>
      </c>
      <c r="C1955" s="4">
        <v>0</v>
      </c>
      <c r="D1955" s="4">
        <v>687.95</v>
      </c>
      <c r="E1955">
        <v>44</v>
      </c>
      <c r="F1955">
        <v>42</v>
      </c>
    </row>
    <row r="1956" spans="1:6" x14ac:dyDescent="0.25">
      <c r="A1956" t="s">
        <v>2082</v>
      </c>
      <c r="B1956" s="4">
        <v>686.86</v>
      </c>
      <c r="C1956" s="4">
        <v>0</v>
      </c>
      <c r="D1956" s="4">
        <v>686.86</v>
      </c>
      <c r="E1956">
        <v>56</v>
      </c>
      <c r="F1956">
        <v>56</v>
      </c>
    </row>
    <row r="1957" spans="1:6" x14ac:dyDescent="0.25">
      <c r="A1957" t="s">
        <v>2083</v>
      </c>
      <c r="B1957" s="4">
        <v>684.97</v>
      </c>
      <c r="C1957" s="4">
        <v>17.7</v>
      </c>
      <c r="D1957" s="4">
        <v>667.27</v>
      </c>
      <c r="E1957">
        <v>33</v>
      </c>
      <c r="F1957">
        <v>31</v>
      </c>
    </row>
    <row r="1958" spans="1:6" x14ac:dyDescent="0.25">
      <c r="A1958" t="s">
        <v>2084</v>
      </c>
      <c r="B1958" s="4">
        <v>684.62</v>
      </c>
      <c r="C1958" s="4">
        <v>1.25</v>
      </c>
      <c r="D1958" s="4">
        <v>683.37</v>
      </c>
      <c r="E1958">
        <v>136</v>
      </c>
      <c r="F1958">
        <v>127</v>
      </c>
    </row>
    <row r="1959" spans="1:6" x14ac:dyDescent="0.25">
      <c r="A1959" t="s">
        <v>2085</v>
      </c>
      <c r="B1959" s="4">
        <v>683.31</v>
      </c>
      <c r="C1959" s="4">
        <v>16.93</v>
      </c>
      <c r="D1959" s="4">
        <v>666.38</v>
      </c>
      <c r="E1959">
        <v>88</v>
      </c>
      <c r="F1959">
        <v>83</v>
      </c>
    </row>
    <row r="1960" spans="1:6" x14ac:dyDescent="0.25">
      <c r="A1960" t="s">
        <v>2086</v>
      </c>
      <c r="B1960" s="4">
        <v>682.97</v>
      </c>
      <c r="C1960" s="4">
        <v>0</v>
      </c>
      <c r="D1960" s="4">
        <v>682.97</v>
      </c>
      <c r="E1960">
        <v>36</v>
      </c>
      <c r="F1960">
        <v>36</v>
      </c>
    </row>
    <row r="1961" spans="1:6" x14ac:dyDescent="0.25">
      <c r="A1961" t="s">
        <v>2087</v>
      </c>
      <c r="B1961" s="4">
        <v>682.01</v>
      </c>
      <c r="C1961" s="4">
        <v>4.9800000000000004</v>
      </c>
      <c r="D1961" s="4">
        <v>677.03</v>
      </c>
      <c r="E1961">
        <v>82</v>
      </c>
      <c r="F1961">
        <v>73</v>
      </c>
    </row>
    <row r="1962" spans="1:6" x14ac:dyDescent="0.25">
      <c r="A1962" t="s">
        <v>2088</v>
      </c>
      <c r="B1962" s="4">
        <v>681.59</v>
      </c>
      <c r="C1962" s="4">
        <v>0</v>
      </c>
      <c r="D1962" s="4">
        <v>681.59</v>
      </c>
      <c r="E1962">
        <v>33</v>
      </c>
      <c r="F1962">
        <v>30</v>
      </c>
    </row>
    <row r="1963" spans="1:6" x14ac:dyDescent="0.25">
      <c r="A1963" t="s">
        <v>2089</v>
      </c>
      <c r="B1963" s="4">
        <v>680.93</v>
      </c>
      <c r="C1963" s="4">
        <v>1.45</v>
      </c>
      <c r="D1963" s="4">
        <v>679.48</v>
      </c>
      <c r="E1963">
        <v>87</v>
      </c>
      <c r="F1963">
        <v>84</v>
      </c>
    </row>
    <row r="1964" spans="1:6" x14ac:dyDescent="0.25">
      <c r="A1964" t="s">
        <v>2090</v>
      </c>
      <c r="B1964" s="4">
        <v>679.67</v>
      </c>
      <c r="C1964" s="4">
        <v>0</v>
      </c>
      <c r="D1964" s="4">
        <v>679.67</v>
      </c>
      <c r="E1964">
        <v>88</v>
      </c>
      <c r="F1964">
        <v>88</v>
      </c>
    </row>
    <row r="1965" spans="1:6" x14ac:dyDescent="0.25">
      <c r="A1965" t="s">
        <v>2091</v>
      </c>
      <c r="B1965" s="4">
        <v>677.19</v>
      </c>
      <c r="C1965" s="4">
        <v>51</v>
      </c>
      <c r="D1965" s="4">
        <v>626.19000000000005</v>
      </c>
      <c r="E1965">
        <v>71</v>
      </c>
      <c r="F1965">
        <v>68</v>
      </c>
    </row>
    <row r="1966" spans="1:6" x14ac:dyDescent="0.25">
      <c r="A1966" t="s">
        <v>2092</v>
      </c>
      <c r="B1966" s="4">
        <v>677.04</v>
      </c>
      <c r="C1966" s="4">
        <v>0</v>
      </c>
      <c r="D1966" s="4">
        <v>677.04</v>
      </c>
      <c r="E1966">
        <v>38</v>
      </c>
      <c r="F1966">
        <v>38</v>
      </c>
    </row>
    <row r="1967" spans="1:6" x14ac:dyDescent="0.25">
      <c r="A1967" t="s">
        <v>2093</v>
      </c>
      <c r="B1967" s="4">
        <v>676.27</v>
      </c>
      <c r="C1967" s="4">
        <v>2.5499999999999998</v>
      </c>
      <c r="D1967" s="4">
        <v>673.72</v>
      </c>
      <c r="E1967">
        <v>89</v>
      </c>
      <c r="F1967">
        <v>89</v>
      </c>
    </row>
    <row r="1968" spans="1:6" x14ac:dyDescent="0.25">
      <c r="A1968" t="s">
        <v>2094</v>
      </c>
      <c r="B1968" s="4">
        <v>675.91</v>
      </c>
      <c r="C1968" s="4">
        <v>16.3</v>
      </c>
      <c r="D1968" s="4">
        <v>659.61</v>
      </c>
      <c r="E1968">
        <v>33</v>
      </c>
      <c r="F1968">
        <v>33</v>
      </c>
    </row>
    <row r="1969" spans="1:6" x14ac:dyDescent="0.25">
      <c r="A1969" t="s">
        <v>2095</v>
      </c>
      <c r="B1969" s="4">
        <v>675.23</v>
      </c>
      <c r="C1969" s="4">
        <v>12.16</v>
      </c>
      <c r="D1969" s="4">
        <v>663.07</v>
      </c>
      <c r="E1969">
        <v>56</v>
      </c>
      <c r="F1969">
        <v>56</v>
      </c>
    </row>
    <row r="1970" spans="1:6" x14ac:dyDescent="0.25">
      <c r="A1970" t="s">
        <v>2096</v>
      </c>
      <c r="B1970" s="4">
        <v>673.17</v>
      </c>
      <c r="C1970" s="4">
        <v>0</v>
      </c>
      <c r="D1970" s="4">
        <v>673.17</v>
      </c>
      <c r="E1970">
        <v>85</v>
      </c>
      <c r="F1970">
        <v>83</v>
      </c>
    </row>
    <row r="1971" spans="1:6" x14ac:dyDescent="0.25">
      <c r="A1971" t="s">
        <v>2097</v>
      </c>
      <c r="B1971" s="4">
        <v>672.88</v>
      </c>
      <c r="C1971" s="4">
        <v>47.25</v>
      </c>
      <c r="D1971" s="4">
        <v>625.63</v>
      </c>
      <c r="E1971">
        <v>36</v>
      </c>
      <c r="F1971">
        <v>34</v>
      </c>
    </row>
    <row r="1972" spans="1:6" x14ac:dyDescent="0.25">
      <c r="A1972" t="s">
        <v>2098</v>
      </c>
      <c r="B1972" s="4">
        <v>672.24</v>
      </c>
      <c r="C1972" s="4">
        <v>0</v>
      </c>
      <c r="D1972" s="4">
        <v>672.24</v>
      </c>
      <c r="E1972">
        <v>56</v>
      </c>
      <c r="F1972">
        <v>56</v>
      </c>
    </row>
    <row r="1973" spans="1:6" x14ac:dyDescent="0.25">
      <c r="A1973" t="s">
        <v>2099</v>
      </c>
      <c r="B1973" s="4">
        <v>672.09</v>
      </c>
      <c r="C1973" s="4">
        <v>0</v>
      </c>
      <c r="D1973" s="4">
        <v>672.09</v>
      </c>
      <c r="E1973">
        <v>45</v>
      </c>
      <c r="F1973">
        <v>45</v>
      </c>
    </row>
    <row r="1974" spans="1:6" x14ac:dyDescent="0.25">
      <c r="A1974" t="s">
        <v>2100</v>
      </c>
      <c r="B1974" s="4">
        <v>671.93</v>
      </c>
      <c r="C1974" s="4">
        <v>0</v>
      </c>
      <c r="D1974" s="4">
        <v>671.93</v>
      </c>
      <c r="E1974">
        <v>44</v>
      </c>
      <c r="F1974">
        <v>43</v>
      </c>
    </row>
    <row r="1975" spans="1:6" x14ac:dyDescent="0.25">
      <c r="A1975" t="s">
        <v>2101</v>
      </c>
      <c r="B1975" s="4">
        <v>671.62</v>
      </c>
      <c r="C1975" s="4">
        <v>0</v>
      </c>
      <c r="D1975" s="4">
        <v>671.62</v>
      </c>
      <c r="E1975">
        <v>98</v>
      </c>
      <c r="F1975">
        <v>98</v>
      </c>
    </row>
    <row r="1976" spans="1:6" x14ac:dyDescent="0.25">
      <c r="A1976" t="s">
        <v>2102</v>
      </c>
      <c r="B1976" s="4">
        <v>671.53</v>
      </c>
      <c r="C1976" s="4">
        <v>174.18</v>
      </c>
      <c r="D1976" s="4">
        <v>497.35</v>
      </c>
      <c r="E1976">
        <v>28</v>
      </c>
      <c r="F1976">
        <v>28</v>
      </c>
    </row>
    <row r="1977" spans="1:6" x14ac:dyDescent="0.25">
      <c r="A1977" t="s">
        <v>2103</v>
      </c>
      <c r="B1977" s="4">
        <v>671.01</v>
      </c>
      <c r="C1977" s="4">
        <v>20.16</v>
      </c>
      <c r="D1977" s="4">
        <v>650.85</v>
      </c>
      <c r="E1977">
        <v>137</v>
      </c>
      <c r="F1977">
        <v>134</v>
      </c>
    </row>
    <row r="1978" spans="1:6" x14ac:dyDescent="0.25">
      <c r="A1978" t="s">
        <v>2104</v>
      </c>
      <c r="B1978" s="4">
        <v>669.54</v>
      </c>
      <c r="C1978" s="4">
        <v>18.75</v>
      </c>
      <c r="D1978" s="4">
        <v>650.79</v>
      </c>
      <c r="E1978">
        <v>80</v>
      </c>
      <c r="F1978">
        <v>79</v>
      </c>
    </row>
    <row r="1979" spans="1:6" x14ac:dyDescent="0.25">
      <c r="A1979" t="s">
        <v>2105</v>
      </c>
      <c r="B1979" s="4">
        <v>667.92</v>
      </c>
      <c r="C1979" s="4">
        <v>71.52</v>
      </c>
      <c r="D1979" s="4">
        <v>596.4</v>
      </c>
      <c r="E1979">
        <v>61</v>
      </c>
      <c r="F1979">
        <v>61</v>
      </c>
    </row>
    <row r="1980" spans="1:6" x14ac:dyDescent="0.25">
      <c r="A1980" t="s">
        <v>2106</v>
      </c>
      <c r="B1980" s="4">
        <v>667.85</v>
      </c>
      <c r="C1980" s="4">
        <v>4.9800000000000004</v>
      </c>
      <c r="D1980" s="4">
        <v>662.87</v>
      </c>
      <c r="E1980">
        <v>11</v>
      </c>
      <c r="F1980">
        <v>11</v>
      </c>
    </row>
    <row r="1981" spans="1:6" x14ac:dyDescent="0.25">
      <c r="A1981" t="s">
        <v>2107</v>
      </c>
      <c r="B1981" s="4">
        <v>665.95</v>
      </c>
      <c r="C1981" s="4">
        <v>1.5</v>
      </c>
      <c r="D1981" s="4">
        <v>664.45</v>
      </c>
      <c r="E1981">
        <v>116</v>
      </c>
      <c r="F1981">
        <v>114</v>
      </c>
    </row>
    <row r="1982" spans="1:6" x14ac:dyDescent="0.25">
      <c r="A1982" t="s">
        <v>2108</v>
      </c>
      <c r="B1982" s="4">
        <v>663.71</v>
      </c>
      <c r="C1982" s="4">
        <v>0</v>
      </c>
      <c r="D1982" s="4">
        <v>663.71</v>
      </c>
      <c r="E1982">
        <v>82</v>
      </c>
      <c r="F1982">
        <v>79</v>
      </c>
    </row>
    <row r="1983" spans="1:6" x14ac:dyDescent="0.25">
      <c r="A1983" t="s">
        <v>2109</v>
      </c>
      <c r="B1983" s="4">
        <v>663.43</v>
      </c>
      <c r="C1983" s="4">
        <v>8.4499999999999993</v>
      </c>
      <c r="D1983" s="4">
        <v>654.98</v>
      </c>
      <c r="E1983">
        <v>95</v>
      </c>
      <c r="F1983">
        <v>95</v>
      </c>
    </row>
    <row r="1984" spans="1:6" x14ac:dyDescent="0.25">
      <c r="A1984" t="s">
        <v>2110</v>
      </c>
      <c r="B1984" s="4">
        <v>661.93</v>
      </c>
      <c r="C1984" s="4">
        <v>0</v>
      </c>
      <c r="D1984" s="4">
        <v>661.93</v>
      </c>
      <c r="E1984">
        <v>42</v>
      </c>
      <c r="F1984">
        <v>42</v>
      </c>
    </row>
    <row r="1985" spans="1:6" x14ac:dyDescent="0.25">
      <c r="A1985" t="s">
        <v>2111</v>
      </c>
      <c r="B1985" s="4">
        <v>661.5</v>
      </c>
      <c r="C1985" s="4">
        <v>0</v>
      </c>
      <c r="D1985" s="4">
        <v>661.5</v>
      </c>
      <c r="E1985">
        <v>62</v>
      </c>
      <c r="F1985">
        <v>62</v>
      </c>
    </row>
    <row r="1986" spans="1:6" x14ac:dyDescent="0.25">
      <c r="A1986" t="s">
        <v>2112</v>
      </c>
      <c r="B1986" s="4">
        <v>661.11</v>
      </c>
      <c r="C1986" s="4">
        <v>3.35</v>
      </c>
      <c r="D1986" s="4">
        <v>657.76</v>
      </c>
      <c r="E1986">
        <v>60</v>
      </c>
      <c r="F1986">
        <v>58</v>
      </c>
    </row>
    <row r="1987" spans="1:6" x14ac:dyDescent="0.25">
      <c r="A1987" t="s">
        <v>2113</v>
      </c>
      <c r="B1987" s="4">
        <v>661.02</v>
      </c>
      <c r="C1987" s="4">
        <v>0</v>
      </c>
      <c r="D1987" s="4">
        <v>661.02</v>
      </c>
      <c r="E1987">
        <v>39</v>
      </c>
      <c r="F1987">
        <v>39</v>
      </c>
    </row>
    <row r="1988" spans="1:6" x14ac:dyDescent="0.25">
      <c r="A1988" t="s">
        <v>2114</v>
      </c>
      <c r="B1988" s="4">
        <v>660.73</v>
      </c>
      <c r="C1988" s="4">
        <v>4.68</v>
      </c>
      <c r="D1988" s="4">
        <v>656.05</v>
      </c>
      <c r="E1988">
        <v>103</v>
      </c>
      <c r="F1988">
        <v>102</v>
      </c>
    </row>
    <row r="1989" spans="1:6" x14ac:dyDescent="0.25">
      <c r="A1989" t="s">
        <v>2115</v>
      </c>
      <c r="B1989" s="4">
        <v>658.75</v>
      </c>
      <c r="C1989" s="4">
        <v>0</v>
      </c>
      <c r="D1989" s="4">
        <v>658.75</v>
      </c>
      <c r="E1989">
        <v>51</v>
      </c>
      <c r="F1989">
        <v>49</v>
      </c>
    </row>
    <row r="1990" spans="1:6" x14ac:dyDescent="0.25">
      <c r="A1990" t="s">
        <v>2116</v>
      </c>
      <c r="B1990" s="4">
        <v>658.51</v>
      </c>
      <c r="C1990" s="4">
        <v>0</v>
      </c>
      <c r="D1990" s="4">
        <v>658.51</v>
      </c>
      <c r="E1990">
        <v>82</v>
      </c>
      <c r="F1990">
        <v>82</v>
      </c>
    </row>
    <row r="1991" spans="1:6" x14ac:dyDescent="0.25">
      <c r="A1991" t="s">
        <v>2117</v>
      </c>
      <c r="B1991" s="4">
        <v>656.52</v>
      </c>
      <c r="C1991" s="4">
        <v>0</v>
      </c>
      <c r="D1991" s="4">
        <v>656.52</v>
      </c>
      <c r="E1991">
        <v>123</v>
      </c>
      <c r="F1991">
        <v>123</v>
      </c>
    </row>
    <row r="1992" spans="1:6" x14ac:dyDescent="0.25">
      <c r="A1992" t="s">
        <v>2118</v>
      </c>
      <c r="B1992" s="4">
        <v>656.43</v>
      </c>
      <c r="C1992" s="4">
        <v>0</v>
      </c>
      <c r="D1992" s="4">
        <v>656.43</v>
      </c>
      <c r="E1992">
        <v>45</v>
      </c>
      <c r="F1992">
        <v>45</v>
      </c>
    </row>
    <row r="1993" spans="1:6" x14ac:dyDescent="0.25">
      <c r="A1993" t="s">
        <v>2119</v>
      </c>
      <c r="B1993" s="4">
        <v>653.36</v>
      </c>
      <c r="C1993" s="4">
        <v>15</v>
      </c>
      <c r="D1993" s="4">
        <v>638.36</v>
      </c>
      <c r="E1993">
        <v>108</v>
      </c>
      <c r="F1993">
        <v>105</v>
      </c>
    </row>
    <row r="1994" spans="1:6" x14ac:dyDescent="0.25">
      <c r="A1994" t="s">
        <v>2120</v>
      </c>
      <c r="B1994" s="4">
        <v>651.95000000000005</v>
      </c>
      <c r="C1994" s="4">
        <v>0</v>
      </c>
      <c r="D1994" s="4">
        <v>651.95000000000005</v>
      </c>
      <c r="E1994">
        <v>70</v>
      </c>
      <c r="F1994">
        <v>70</v>
      </c>
    </row>
    <row r="1995" spans="1:6" x14ac:dyDescent="0.25">
      <c r="A1995" t="s">
        <v>2121</v>
      </c>
      <c r="B1995" s="4">
        <v>651.75</v>
      </c>
      <c r="C1995" s="4">
        <v>0</v>
      </c>
      <c r="D1995" s="4">
        <v>651.75</v>
      </c>
      <c r="E1995">
        <v>50</v>
      </c>
      <c r="F1995">
        <v>48</v>
      </c>
    </row>
    <row r="1996" spans="1:6" x14ac:dyDescent="0.25">
      <c r="A1996" t="s">
        <v>2122</v>
      </c>
      <c r="B1996" s="4">
        <v>649.02</v>
      </c>
      <c r="C1996" s="4">
        <v>11.62</v>
      </c>
      <c r="D1996" s="4">
        <v>637.4</v>
      </c>
      <c r="E1996">
        <v>71</v>
      </c>
      <c r="F1996">
        <v>71</v>
      </c>
    </row>
    <row r="1997" spans="1:6" x14ac:dyDescent="0.25">
      <c r="A1997" t="s">
        <v>2123</v>
      </c>
      <c r="B1997" s="4">
        <v>648.97</v>
      </c>
      <c r="C1997" s="4">
        <v>0</v>
      </c>
      <c r="D1997" s="4">
        <v>648.97</v>
      </c>
      <c r="E1997">
        <v>74</v>
      </c>
      <c r="F1997">
        <v>74</v>
      </c>
    </row>
    <row r="1998" spans="1:6" x14ac:dyDescent="0.25">
      <c r="A1998" t="s">
        <v>2124</v>
      </c>
      <c r="B1998" s="4">
        <v>647.11</v>
      </c>
      <c r="C1998" s="4">
        <v>0</v>
      </c>
      <c r="D1998" s="4">
        <v>647.11</v>
      </c>
      <c r="E1998">
        <v>99</v>
      </c>
      <c r="F1998">
        <v>98</v>
      </c>
    </row>
    <row r="1999" spans="1:6" x14ac:dyDescent="0.25">
      <c r="A1999" t="s">
        <v>2125</v>
      </c>
      <c r="B1999" s="4">
        <v>646.49</v>
      </c>
      <c r="C1999" s="4">
        <v>10.08</v>
      </c>
      <c r="D1999" s="4">
        <v>636.41</v>
      </c>
      <c r="E1999">
        <v>89</v>
      </c>
      <c r="F1999">
        <v>88</v>
      </c>
    </row>
    <row r="2000" spans="1:6" x14ac:dyDescent="0.25">
      <c r="A2000" t="s">
        <v>2126</v>
      </c>
      <c r="B2000" s="4">
        <v>645.64</v>
      </c>
      <c r="C2000" s="4">
        <v>0</v>
      </c>
      <c r="D2000" s="4">
        <v>645.64</v>
      </c>
      <c r="E2000">
        <v>130</v>
      </c>
      <c r="F2000">
        <v>130</v>
      </c>
    </row>
    <row r="2001" spans="1:6" x14ac:dyDescent="0.25">
      <c r="A2001" t="s">
        <v>2127</v>
      </c>
      <c r="B2001" s="4">
        <v>645.61</v>
      </c>
      <c r="C2001" s="4">
        <v>15</v>
      </c>
      <c r="D2001" s="4">
        <v>630.61</v>
      </c>
      <c r="E2001">
        <v>54</v>
      </c>
      <c r="F2001">
        <v>54</v>
      </c>
    </row>
    <row r="2002" spans="1:6" x14ac:dyDescent="0.25">
      <c r="A2002" t="s">
        <v>2128</v>
      </c>
      <c r="B2002" s="4">
        <v>645.22</v>
      </c>
      <c r="C2002" s="4">
        <v>9.1</v>
      </c>
      <c r="D2002" s="4">
        <v>636.12</v>
      </c>
      <c r="E2002">
        <v>73</v>
      </c>
      <c r="F2002">
        <v>70</v>
      </c>
    </row>
    <row r="2003" spans="1:6" x14ac:dyDescent="0.25">
      <c r="A2003" t="s">
        <v>2129</v>
      </c>
      <c r="B2003" s="4">
        <v>645.05999999999995</v>
      </c>
      <c r="C2003" s="4">
        <v>0.85</v>
      </c>
      <c r="D2003" s="4">
        <v>644.21</v>
      </c>
      <c r="E2003">
        <v>64</v>
      </c>
      <c r="F2003">
        <v>63</v>
      </c>
    </row>
    <row r="2004" spans="1:6" x14ac:dyDescent="0.25">
      <c r="A2004" t="s">
        <v>2130</v>
      </c>
      <c r="B2004" s="4">
        <v>644.79999999999995</v>
      </c>
      <c r="C2004" s="4">
        <v>29.12</v>
      </c>
      <c r="D2004" s="4">
        <v>615.67999999999995</v>
      </c>
      <c r="E2004">
        <v>59</v>
      </c>
      <c r="F2004">
        <v>59</v>
      </c>
    </row>
    <row r="2005" spans="1:6" x14ac:dyDescent="0.25">
      <c r="A2005" t="s">
        <v>2131</v>
      </c>
      <c r="B2005" s="4">
        <v>644.47</v>
      </c>
      <c r="C2005" s="4">
        <v>0</v>
      </c>
      <c r="D2005" s="4">
        <v>644.47</v>
      </c>
      <c r="E2005">
        <v>49</v>
      </c>
      <c r="F2005">
        <v>48</v>
      </c>
    </row>
    <row r="2006" spans="1:6" x14ac:dyDescent="0.25">
      <c r="A2006" t="s">
        <v>2132</v>
      </c>
      <c r="B2006" s="4">
        <v>644.03</v>
      </c>
      <c r="C2006" s="4">
        <v>0</v>
      </c>
      <c r="D2006" s="4">
        <v>644.03</v>
      </c>
      <c r="E2006">
        <v>85</v>
      </c>
      <c r="F2006">
        <v>78</v>
      </c>
    </row>
    <row r="2007" spans="1:6" x14ac:dyDescent="0.25">
      <c r="A2007" t="s">
        <v>2133</v>
      </c>
      <c r="B2007" s="4">
        <v>643.14</v>
      </c>
      <c r="C2007" s="4">
        <v>0</v>
      </c>
      <c r="D2007" s="4">
        <v>643.14</v>
      </c>
      <c r="E2007">
        <v>57</v>
      </c>
      <c r="F2007">
        <v>47</v>
      </c>
    </row>
    <row r="2008" spans="1:6" x14ac:dyDescent="0.25">
      <c r="A2008" t="s">
        <v>2134</v>
      </c>
      <c r="B2008" s="4">
        <v>641.58000000000004</v>
      </c>
      <c r="C2008" s="4">
        <v>0</v>
      </c>
      <c r="D2008" s="4">
        <v>641.58000000000004</v>
      </c>
      <c r="E2008">
        <v>49</v>
      </c>
      <c r="F2008">
        <v>48</v>
      </c>
    </row>
    <row r="2009" spans="1:6" x14ac:dyDescent="0.25">
      <c r="A2009" t="s">
        <v>2135</v>
      </c>
      <c r="B2009" s="4">
        <v>641.54999999999995</v>
      </c>
      <c r="C2009" s="4">
        <v>210</v>
      </c>
      <c r="D2009" s="4">
        <v>431.55</v>
      </c>
      <c r="E2009">
        <v>45</v>
      </c>
      <c r="F2009">
        <v>45</v>
      </c>
    </row>
    <row r="2010" spans="1:6" x14ac:dyDescent="0.25">
      <c r="A2010" t="s">
        <v>2136</v>
      </c>
      <c r="B2010" s="4">
        <v>640.91999999999996</v>
      </c>
      <c r="C2010" s="4">
        <v>0</v>
      </c>
      <c r="D2010" s="4">
        <v>640.91999999999996</v>
      </c>
      <c r="E2010">
        <v>116</v>
      </c>
      <c r="F2010">
        <v>105</v>
      </c>
    </row>
    <row r="2011" spans="1:6" x14ac:dyDescent="0.25">
      <c r="A2011" t="s">
        <v>2137</v>
      </c>
      <c r="B2011" s="4">
        <v>640.91999999999996</v>
      </c>
      <c r="C2011" s="4">
        <v>0</v>
      </c>
      <c r="D2011" s="4">
        <v>640.91999999999996</v>
      </c>
      <c r="E2011">
        <v>77</v>
      </c>
      <c r="F2011">
        <v>75</v>
      </c>
    </row>
    <row r="2012" spans="1:6" x14ac:dyDescent="0.25">
      <c r="A2012" t="s">
        <v>2138</v>
      </c>
      <c r="B2012" s="4">
        <v>639.36</v>
      </c>
      <c r="C2012" s="4">
        <v>40.56</v>
      </c>
      <c r="D2012" s="4">
        <v>598.79999999999995</v>
      </c>
      <c r="E2012">
        <v>22</v>
      </c>
      <c r="F2012">
        <v>22</v>
      </c>
    </row>
    <row r="2013" spans="1:6" x14ac:dyDescent="0.25">
      <c r="A2013" t="s">
        <v>2139</v>
      </c>
      <c r="B2013" s="4">
        <v>637.55999999999995</v>
      </c>
      <c r="C2013" s="4">
        <v>168.49</v>
      </c>
      <c r="D2013" s="4">
        <v>469.07</v>
      </c>
      <c r="E2013">
        <v>65</v>
      </c>
      <c r="F2013">
        <v>65</v>
      </c>
    </row>
    <row r="2014" spans="1:6" x14ac:dyDescent="0.25">
      <c r="A2014" t="s">
        <v>2140</v>
      </c>
      <c r="B2014" s="4">
        <v>635.74</v>
      </c>
      <c r="C2014" s="4">
        <v>40.549999999999997</v>
      </c>
      <c r="D2014" s="4">
        <v>595.19000000000005</v>
      </c>
      <c r="E2014">
        <v>43</v>
      </c>
      <c r="F2014">
        <v>39</v>
      </c>
    </row>
    <row r="2015" spans="1:6" x14ac:dyDescent="0.25">
      <c r="A2015" t="s">
        <v>2141</v>
      </c>
      <c r="B2015" s="4">
        <v>635.38</v>
      </c>
      <c r="C2015" s="4">
        <v>0</v>
      </c>
      <c r="D2015" s="4">
        <v>635.38</v>
      </c>
      <c r="E2015">
        <v>28</v>
      </c>
      <c r="F2015">
        <v>28</v>
      </c>
    </row>
    <row r="2016" spans="1:6" x14ac:dyDescent="0.25">
      <c r="A2016" t="s">
        <v>2142</v>
      </c>
      <c r="B2016" s="4">
        <v>634.53</v>
      </c>
      <c r="C2016" s="4">
        <v>0</v>
      </c>
      <c r="D2016" s="4">
        <v>634.53</v>
      </c>
      <c r="E2016">
        <v>29</v>
      </c>
      <c r="F2016">
        <v>29</v>
      </c>
    </row>
    <row r="2017" spans="1:6" x14ac:dyDescent="0.25">
      <c r="A2017" t="s">
        <v>2143</v>
      </c>
      <c r="B2017" s="4">
        <v>634.42999999999995</v>
      </c>
      <c r="C2017" s="4">
        <v>15</v>
      </c>
      <c r="D2017" s="4">
        <v>619.42999999999995</v>
      </c>
      <c r="E2017">
        <v>133</v>
      </c>
      <c r="F2017">
        <v>128</v>
      </c>
    </row>
    <row r="2018" spans="1:6" x14ac:dyDescent="0.25">
      <c r="A2018" t="s">
        <v>2144</v>
      </c>
      <c r="B2018" s="4">
        <v>634.1</v>
      </c>
      <c r="C2018" s="4">
        <v>8.3000000000000007</v>
      </c>
      <c r="D2018" s="4">
        <v>625.79999999999995</v>
      </c>
      <c r="E2018">
        <v>36</v>
      </c>
      <c r="F2018">
        <v>36</v>
      </c>
    </row>
    <row r="2019" spans="1:6" x14ac:dyDescent="0.25">
      <c r="A2019" t="s">
        <v>2145</v>
      </c>
      <c r="B2019" s="4">
        <v>634.07000000000005</v>
      </c>
      <c r="C2019" s="4">
        <v>0</v>
      </c>
      <c r="D2019" s="4">
        <v>634.07000000000005</v>
      </c>
      <c r="E2019">
        <v>55</v>
      </c>
      <c r="F2019">
        <v>53</v>
      </c>
    </row>
    <row r="2020" spans="1:6" x14ac:dyDescent="0.25">
      <c r="A2020" t="s">
        <v>2146</v>
      </c>
      <c r="B2020" s="4">
        <v>633.07000000000005</v>
      </c>
      <c r="C2020" s="4">
        <v>19.899999999999999</v>
      </c>
      <c r="D2020" s="4">
        <v>613.16999999999996</v>
      </c>
      <c r="E2020">
        <v>44</v>
      </c>
      <c r="F2020">
        <v>44</v>
      </c>
    </row>
    <row r="2021" spans="1:6" x14ac:dyDescent="0.25">
      <c r="A2021" t="s">
        <v>2147</v>
      </c>
      <c r="B2021" s="4">
        <v>632.32000000000005</v>
      </c>
      <c r="C2021" s="4">
        <v>10.199999999999999</v>
      </c>
      <c r="D2021" s="4">
        <v>622.12</v>
      </c>
      <c r="E2021">
        <v>75</v>
      </c>
      <c r="F2021">
        <v>74</v>
      </c>
    </row>
    <row r="2022" spans="1:6" x14ac:dyDescent="0.25">
      <c r="A2022" t="s">
        <v>2148</v>
      </c>
      <c r="B2022" s="4">
        <v>631.58000000000004</v>
      </c>
      <c r="C2022" s="4">
        <v>0</v>
      </c>
      <c r="D2022" s="4">
        <v>631.58000000000004</v>
      </c>
      <c r="E2022">
        <v>51</v>
      </c>
      <c r="F2022">
        <v>47</v>
      </c>
    </row>
    <row r="2023" spans="1:6" x14ac:dyDescent="0.25">
      <c r="A2023" t="s">
        <v>2149</v>
      </c>
      <c r="B2023" s="4">
        <v>630.73</v>
      </c>
      <c r="C2023" s="4">
        <v>0</v>
      </c>
      <c r="D2023" s="4">
        <v>630.73</v>
      </c>
      <c r="E2023">
        <v>45</v>
      </c>
      <c r="F2023">
        <v>44</v>
      </c>
    </row>
    <row r="2024" spans="1:6" x14ac:dyDescent="0.25">
      <c r="A2024" t="s">
        <v>2150</v>
      </c>
      <c r="B2024" s="4">
        <v>630.23</v>
      </c>
      <c r="C2024" s="4">
        <v>0</v>
      </c>
      <c r="D2024" s="4">
        <v>630.23</v>
      </c>
      <c r="E2024">
        <v>66</v>
      </c>
      <c r="F2024">
        <v>65</v>
      </c>
    </row>
    <row r="2025" spans="1:6" x14ac:dyDescent="0.25">
      <c r="A2025" t="s">
        <v>2151</v>
      </c>
      <c r="B2025" s="4">
        <v>629.79999999999995</v>
      </c>
      <c r="C2025" s="4">
        <v>2.1</v>
      </c>
      <c r="D2025" s="4">
        <v>627.70000000000005</v>
      </c>
      <c r="E2025">
        <v>68</v>
      </c>
      <c r="F2025">
        <v>68</v>
      </c>
    </row>
    <row r="2026" spans="1:6" x14ac:dyDescent="0.25">
      <c r="A2026" t="s">
        <v>2152</v>
      </c>
      <c r="B2026" s="4">
        <v>629.79999999999995</v>
      </c>
      <c r="C2026" s="4">
        <v>0</v>
      </c>
      <c r="D2026" s="4">
        <v>629.79999999999995</v>
      </c>
      <c r="E2026">
        <v>173</v>
      </c>
      <c r="F2026">
        <v>172</v>
      </c>
    </row>
    <row r="2027" spans="1:6" x14ac:dyDescent="0.25">
      <c r="A2027" t="s">
        <v>2153</v>
      </c>
      <c r="B2027" s="4">
        <v>629.04999999999995</v>
      </c>
      <c r="C2027" s="4">
        <v>0</v>
      </c>
      <c r="D2027" s="4">
        <v>629.04999999999995</v>
      </c>
      <c r="E2027">
        <v>28</v>
      </c>
      <c r="F2027">
        <v>28</v>
      </c>
    </row>
    <row r="2028" spans="1:6" x14ac:dyDescent="0.25">
      <c r="A2028" t="s">
        <v>2154</v>
      </c>
      <c r="B2028" s="4">
        <v>628.79</v>
      </c>
      <c r="C2028" s="4">
        <v>29.5</v>
      </c>
      <c r="D2028" s="4">
        <v>599.29</v>
      </c>
      <c r="E2028">
        <v>35</v>
      </c>
      <c r="F2028">
        <v>35</v>
      </c>
    </row>
    <row r="2029" spans="1:6" x14ac:dyDescent="0.25">
      <c r="A2029" t="s">
        <v>2155</v>
      </c>
      <c r="B2029" s="4">
        <v>627.95000000000005</v>
      </c>
      <c r="C2029" s="4">
        <v>0</v>
      </c>
      <c r="D2029" s="4">
        <v>627.95000000000005</v>
      </c>
      <c r="E2029">
        <v>30</v>
      </c>
      <c r="F2029">
        <v>30</v>
      </c>
    </row>
    <row r="2030" spans="1:6" x14ac:dyDescent="0.25">
      <c r="A2030" t="s">
        <v>2156</v>
      </c>
      <c r="B2030" s="4">
        <v>626.74</v>
      </c>
      <c r="C2030" s="4">
        <v>0</v>
      </c>
      <c r="D2030" s="4">
        <v>626.74</v>
      </c>
      <c r="E2030">
        <v>28</v>
      </c>
      <c r="F2030">
        <v>27</v>
      </c>
    </row>
    <row r="2031" spans="1:6" x14ac:dyDescent="0.25">
      <c r="A2031" t="s">
        <v>2157</v>
      </c>
      <c r="B2031" s="4">
        <v>626.54999999999995</v>
      </c>
      <c r="C2031" s="4">
        <v>5.16</v>
      </c>
      <c r="D2031" s="4">
        <v>621.39</v>
      </c>
      <c r="E2031">
        <v>35</v>
      </c>
      <c r="F2031">
        <v>35</v>
      </c>
    </row>
    <row r="2032" spans="1:6" x14ac:dyDescent="0.25">
      <c r="A2032" t="s">
        <v>2158</v>
      </c>
      <c r="B2032" s="4">
        <v>626.53</v>
      </c>
      <c r="C2032" s="4">
        <v>0</v>
      </c>
      <c r="D2032" s="4">
        <v>626.53</v>
      </c>
      <c r="E2032">
        <v>81</v>
      </c>
      <c r="F2032">
        <v>81</v>
      </c>
    </row>
    <row r="2033" spans="1:6" x14ac:dyDescent="0.25">
      <c r="A2033" t="s">
        <v>2159</v>
      </c>
      <c r="B2033" s="4">
        <v>625.79999999999995</v>
      </c>
      <c r="C2033" s="4">
        <v>0</v>
      </c>
      <c r="D2033" s="4">
        <v>625.79999999999995</v>
      </c>
      <c r="E2033">
        <v>112</v>
      </c>
      <c r="F2033">
        <v>112</v>
      </c>
    </row>
    <row r="2034" spans="1:6" x14ac:dyDescent="0.25">
      <c r="A2034" t="s">
        <v>2160</v>
      </c>
      <c r="B2034" s="4">
        <v>625.69000000000005</v>
      </c>
      <c r="C2034" s="4">
        <v>17</v>
      </c>
      <c r="D2034" s="4">
        <v>608.69000000000005</v>
      </c>
      <c r="E2034">
        <v>44</v>
      </c>
      <c r="F2034">
        <v>44</v>
      </c>
    </row>
    <row r="2035" spans="1:6" x14ac:dyDescent="0.25">
      <c r="A2035" t="s">
        <v>2161</v>
      </c>
      <c r="B2035" s="4">
        <v>625.23</v>
      </c>
      <c r="C2035" s="4">
        <v>0</v>
      </c>
      <c r="D2035" s="4">
        <v>625.23</v>
      </c>
      <c r="E2035">
        <v>110</v>
      </c>
      <c r="F2035">
        <v>106</v>
      </c>
    </row>
    <row r="2036" spans="1:6" x14ac:dyDescent="0.25">
      <c r="A2036" t="s">
        <v>2162</v>
      </c>
      <c r="B2036" s="4">
        <v>624.75</v>
      </c>
      <c r="C2036" s="4">
        <v>119</v>
      </c>
      <c r="D2036" s="4">
        <v>505.75</v>
      </c>
      <c r="E2036">
        <v>17</v>
      </c>
      <c r="F2036">
        <v>17</v>
      </c>
    </row>
    <row r="2037" spans="1:6" x14ac:dyDescent="0.25">
      <c r="A2037" t="s">
        <v>2163</v>
      </c>
      <c r="B2037" s="4">
        <v>624.58000000000004</v>
      </c>
      <c r="C2037" s="4">
        <v>8.4</v>
      </c>
      <c r="D2037" s="4">
        <v>616.17999999999995</v>
      </c>
      <c r="E2037">
        <v>47</v>
      </c>
      <c r="F2037">
        <v>46</v>
      </c>
    </row>
    <row r="2038" spans="1:6" x14ac:dyDescent="0.25">
      <c r="A2038" t="s">
        <v>2164</v>
      </c>
      <c r="B2038" s="4">
        <v>622.74</v>
      </c>
      <c r="C2038" s="4">
        <v>0</v>
      </c>
      <c r="D2038" s="4">
        <v>622.74</v>
      </c>
      <c r="E2038">
        <v>127</v>
      </c>
      <c r="F2038">
        <v>125</v>
      </c>
    </row>
    <row r="2039" spans="1:6" x14ac:dyDescent="0.25">
      <c r="A2039" t="s">
        <v>2165</v>
      </c>
      <c r="B2039" s="4">
        <v>622.36</v>
      </c>
      <c r="C2039" s="4">
        <v>0</v>
      </c>
      <c r="D2039" s="4">
        <v>622.36</v>
      </c>
      <c r="E2039">
        <v>138</v>
      </c>
      <c r="F2039">
        <v>137</v>
      </c>
    </row>
    <row r="2040" spans="1:6" x14ac:dyDescent="0.25">
      <c r="A2040" t="s">
        <v>2166</v>
      </c>
      <c r="B2040" s="4">
        <v>622.29999999999995</v>
      </c>
      <c r="C2040" s="4">
        <v>0</v>
      </c>
      <c r="D2040" s="4">
        <v>622.29999999999995</v>
      </c>
      <c r="E2040">
        <v>48</v>
      </c>
      <c r="F2040">
        <v>47</v>
      </c>
    </row>
    <row r="2041" spans="1:6" x14ac:dyDescent="0.25">
      <c r="A2041" t="s">
        <v>2167</v>
      </c>
      <c r="B2041" s="4">
        <v>622.1</v>
      </c>
      <c r="C2041" s="4">
        <v>0</v>
      </c>
      <c r="D2041" s="4">
        <v>622.1</v>
      </c>
      <c r="E2041">
        <v>115</v>
      </c>
      <c r="F2041">
        <v>113</v>
      </c>
    </row>
    <row r="2042" spans="1:6" x14ac:dyDescent="0.25">
      <c r="A2042" t="s">
        <v>2168</v>
      </c>
      <c r="B2042" s="4">
        <v>621.44000000000005</v>
      </c>
      <c r="C2042" s="4">
        <v>17.43</v>
      </c>
      <c r="D2042" s="4">
        <v>604.01</v>
      </c>
      <c r="E2042">
        <v>56</v>
      </c>
      <c r="F2042">
        <v>56</v>
      </c>
    </row>
    <row r="2043" spans="1:6" x14ac:dyDescent="0.25">
      <c r="A2043" t="s">
        <v>2169</v>
      </c>
      <c r="B2043" s="4">
        <v>621.19000000000005</v>
      </c>
      <c r="C2043" s="4">
        <v>2.5499999999999998</v>
      </c>
      <c r="D2043" s="4">
        <v>618.64</v>
      </c>
      <c r="E2043">
        <v>65</v>
      </c>
      <c r="F2043">
        <v>65</v>
      </c>
    </row>
    <row r="2044" spans="1:6" x14ac:dyDescent="0.25">
      <c r="A2044" t="s">
        <v>2170</v>
      </c>
      <c r="B2044" s="4">
        <v>621.09</v>
      </c>
      <c r="C2044" s="4">
        <v>4.95</v>
      </c>
      <c r="D2044" s="4">
        <v>616.14</v>
      </c>
      <c r="E2044">
        <v>49</v>
      </c>
      <c r="F2044">
        <v>49</v>
      </c>
    </row>
    <row r="2045" spans="1:6" x14ac:dyDescent="0.25">
      <c r="A2045" t="s">
        <v>2171</v>
      </c>
      <c r="B2045" s="4">
        <v>620.41999999999996</v>
      </c>
      <c r="C2045" s="4">
        <v>10.199999999999999</v>
      </c>
      <c r="D2045" s="4">
        <v>610.22</v>
      </c>
      <c r="E2045">
        <v>148</v>
      </c>
      <c r="F2045">
        <v>148</v>
      </c>
    </row>
    <row r="2046" spans="1:6" x14ac:dyDescent="0.25">
      <c r="A2046" t="s">
        <v>2172</v>
      </c>
      <c r="B2046" s="4">
        <v>619.59</v>
      </c>
      <c r="C2046" s="4">
        <v>0</v>
      </c>
      <c r="D2046" s="4">
        <v>619.59</v>
      </c>
      <c r="E2046">
        <v>83</v>
      </c>
      <c r="F2046">
        <v>83</v>
      </c>
    </row>
    <row r="2047" spans="1:6" x14ac:dyDescent="0.25">
      <c r="A2047" t="s">
        <v>2173</v>
      </c>
      <c r="B2047" s="4">
        <v>618.66</v>
      </c>
      <c r="C2047" s="4">
        <v>0</v>
      </c>
      <c r="D2047" s="4">
        <v>618.66</v>
      </c>
      <c r="E2047">
        <v>21</v>
      </c>
      <c r="F2047">
        <v>21</v>
      </c>
    </row>
    <row r="2048" spans="1:6" x14ac:dyDescent="0.25">
      <c r="A2048" t="s">
        <v>2174</v>
      </c>
      <c r="B2048" s="4">
        <v>618.20000000000005</v>
      </c>
      <c r="C2048" s="4">
        <v>0</v>
      </c>
      <c r="D2048" s="4">
        <v>618.20000000000005</v>
      </c>
      <c r="E2048">
        <v>63</v>
      </c>
      <c r="F2048">
        <v>58</v>
      </c>
    </row>
    <row r="2049" spans="1:6" x14ac:dyDescent="0.25">
      <c r="A2049" t="s">
        <v>2175</v>
      </c>
      <c r="B2049" s="4">
        <v>613.14</v>
      </c>
      <c r="C2049" s="4">
        <v>0</v>
      </c>
      <c r="D2049" s="4">
        <v>613.14</v>
      </c>
      <c r="E2049">
        <v>73</v>
      </c>
      <c r="F2049">
        <v>73</v>
      </c>
    </row>
    <row r="2050" spans="1:6" x14ac:dyDescent="0.25">
      <c r="A2050" t="s">
        <v>2176</v>
      </c>
      <c r="B2050" s="4">
        <v>612.16</v>
      </c>
      <c r="C2050" s="4">
        <v>0</v>
      </c>
      <c r="D2050" s="4">
        <v>612.16</v>
      </c>
      <c r="E2050">
        <v>21</v>
      </c>
      <c r="F2050">
        <v>21</v>
      </c>
    </row>
    <row r="2051" spans="1:6" x14ac:dyDescent="0.25">
      <c r="A2051" t="s">
        <v>2177</v>
      </c>
      <c r="B2051" s="4">
        <v>611.72</v>
      </c>
      <c r="C2051" s="4">
        <v>0</v>
      </c>
      <c r="D2051" s="4">
        <v>611.72</v>
      </c>
      <c r="E2051">
        <v>129</v>
      </c>
      <c r="F2051">
        <v>126</v>
      </c>
    </row>
    <row r="2052" spans="1:6" x14ac:dyDescent="0.25">
      <c r="A2052" t="s">
        <v>2178</v>
      </c>
      <c r="B2052" s="4">
        <v>611.57000000000005</v>
      </c>
      <c r="C2052" s="4">
        <v>75.599999999999994</v>
      </c>
      <c r="D2052" s="4">
        <v>535.97</v>
      </c>
      <c r="E2052">
        <v>27</v>
      </c>
      <c r="F2052">
        <v>26</v>
      </c>
    </row>
    <row r="2053" spans="1:6" x14ac:dyDescent="0.25">
      <c r="A2053" t="s">
        <v>2179</v>
      </c>
      <c r="B2053" s="4">
        <v>610.80999999999995</v>
      </c>
      <c r="C2053" s="4">
        <v>0</v>
      </c>
      <c r="D2053" s="4">
        <v>610.80999999999995</v>
      </c>
      <c r="E2053">
        <v>78</v>
      </c>
      <c r="F2053">
        <v>76</v>
      </c>
    </row>
    <row r="2054" spans="1:6" x14ac:dyDescent="0.25">
      <c r="A2054" t="s">
        <v>2180</v>
      </c>
      <c r="B2054" s="4">
        <v>610.45000000000005</v>
      </c>
      <c r="C2054" s="4">
        <v>0</v>
      </c>
      <c r="D2054" s="4">
        <v>610.45000000000005</v>
      </c>
      <c r="E2054">
        <v>73</v>
      </c>
      <c r="F2054">
        <v>71</v>
      </c>
    </row>
    <row r="2055" spans="1:6" x14ac:dyDescent="0.25">
      <c r="A2055" t="s">
        <v>2181</v>
      </c>
      <c r="B2055" s="4">
        <v>609.42999999999995</v>
      </c>
      <c r="C2055" s="4">
        <v>25.5</v>
      </c>
      <c r="D2055" s="4">
        <v>583.92999999999995</v>
      </c>
      <c r="E2055">
        <v>52</v>
      </c>
      <c r="F2055">
        <v>49</v>
      </c>
    </row>
    <row r="2056" spans="1:6" x14ac:dyDescent="0.25">
      <c r="A2056" t="s">
        <v>2182</v>
      </c>
      <c r="B2056" s="4">
        <v>608.95000000000005</v>
      </c>
      <c r="C2056" s="4">
        <v>4.2</v>
      </c>
      <c r="D2056" s="4">
        <v>604.75</v>
      </c>
      <c r="E2056">
        <v>84</v>
      </c>
      <c r="F2056">
        <v>84</v>
      </c>
    </row>
    <row r="2057" spans="1:6" x14ac:dyDescent="0.25">
      <c r="A2057" t="s">
        <v>2183</v>
      </c>
      <c r="B2057" s="4">
        <v>608.72</v>
      </c>
      <c r="C2057" s="4">
        <v>8.85</v>
      </c>
      <c r="D2057" s="4">
        <v>599.87</v>
      </c>
      <c r="E2057">
        <v>82</v>
      </c>
      <c r="F2057">
        <v>81</v>
      </c>
    </row>
    <row r="2058" spans="1:6" x14ac:dyDescent="0.25">
      <c r="A2058" t="s">
        <v>2184</v>
      </c>
      <c r="B2058" s="4">
        <v>608.53</v>
      </c>
      <c r="C2058" s="4">
        <v>0</v>
      </c>
      <c r="D2058" s="4">
        <v>608.53</v>
      </c>
      <c r="E2058">
        <v>72</v>
      </c>
      <c r="F2058">
        <v>72</v>
      </c>
    </row>
    <row r="2059" spans="1:6" x14ac:dyDescent="0.25">
      <c r="A2059" t="s">
        <v>2185</v>
      </c>
      <c r="B2059" s="4">
        <v>607.73</v>
      </c>
      <c r="C2059" s="4">
        <v>33.590000000000003</v>
      </c>
      <c r="D2059" s="4">
        <v>574.14</v>
      </c>
      <c r="E2059">
        <v>109</v>
      </c>
      <c r="F2059">
        <v>105</v>
      </c>
    </row>
    <row r="2060" spans="1:6" x14ac:dyDescent="0.25">
      <c r="A2060" t="s">
        <v>2186</v>
      </c>
      <c r="B2060" s="4">
        <v>607.65</v>
      </c>
      <c r="C2060" s="4">
        <v>0</v>
      </c>
      <c r="D2060" s="4">
        <v>607.65</v>
      </c>
      <c r="E2060">
        <v>2</v>
      </c>
      <c r="F2060">
        <v>2</v>
      </c>
    </row>
    <row r="2061" spans="1:6" x14ac:dyDescent="0.25">
      <c r="A2061" t="s">
        <v>2187</v>
      </c>
      <c r="B2061" s="4">
        <v>607.23</v>
      </c>
      <c r="C2061" s="4">
        <v>0</v>
      </c>
      <c r="D2061" s="4">
        <v>607.23</v>
      </c>
      <c r="E2061">
        <v>59</v>
      </c>
      <c r="F2061">
        <v>59</v>
      </c>
    </row>
    <row r="2062" spans="1:6" x14ac:dyDescent="0.25">
      <c r="A2062" t="s">
        <v>2188</v>
      </c>
      <c r="B2062" s="4">
        <v>605.89</v>
      </c>
      <c r="C2062" s="4">
        <v>0</v>
      </c>
      <c r="D2062" s="4">
        <v>605.89</v>
      </c>
      <c r="E2062">
        <v>95</v>
      </c>
      <c r="F2062">
        <v>93</v>
      </c>
    </row>
    <row r="2063" spans="1:6" x14ac:dyDescent="0.25">
      <c r="A2063" t="s">
        <v>2189</v>
      </c>
      <c r="B2063" s="4">
        <v>605.48</v>
      </c>
      <c r="C2063" s="4">
        <v>23.3</v>
      </c>
      <c r="D2063" s="4">
        <v>582.17999999999995</v>
      </c>
      <c r="E2063">
        <v>42</v>
      </c>
      <c r="F2063">
        <v>42</v>
      </c>
    </row>
    <row r="2064" spans="1:6" x14ac:dyDescent="0.25">
      <c r="A2064" t="s">
        <v>2190</v>
      </c>
      <c r="B2064" s="4">
        <v>604.46</v>
      </c>
      <c r="C2064" s="4">
        <v>54.72</v>
      </c>
      <c r="D2064" s="4">
        <v>549.74</v>
      </c>
      <c r="E2064">
        <v>83</v>
      </c>
      <c r="F2064">
        <v>83</v>
      </c>
    </row>
    <row r="2065" spans="1:6" x14ac:dyDescent="0.25">
      <c r="A2065" t="s">
        <v>2191</v>
      </c>
      <c r="B2065" s="4">
        <v>604.29999999999995</v>
      </c>
      <c r="C2065" s="4">
        <v>0</v>
      </c>
      <c r="D2065" s="4">
        <v>604.29999999999995</v>
      </c>
      <c r="E2065">
        <v>33</v>
      </c>
      <c r="F2065">
        <v>32</v>
      </c>
    </row>
    <row r="2066" spans="1:6" x14ac:dyDescent="0.25">
      <c r="A2066" t="s">
        <v>2192</v>
      </c>
      <c r="B2066" s="4">
        <v>602.63</v>
      </c>
      <c r="C2066" s="4">
        <v>0</v>
      </c>
      <c r="D2066" s="4">
        <v>602.63</v>
      </c>
      <c r="E2066">
        <v>77</v>
      </c>
      <c r="F2066">
        <v>77</v>
      </c>
    </row>
    <row r="2067" spans="1:6" x14ac:dyDescent="0.25">
      <c r="A2067" t="s">
        <v>2193</v>
      </c>
      <c r="B2067" s="4">
        <v>602.17999999999995</v>
      </c>
      <c r="C2067" s="4">
        <v>0</v>
      </c>
      <c r="D2067" s="4">
        <v>602.17999999999995</v>
      </c>
      <c r="E2067">
        <v>125</v>
      </c>
      <c r="F2067">
        <v>124</v>
      </c>
    </row>
    <row r="2068" spans="1:6" x14ac:dyDescent="0.25">
      <c r="A2068" t="s">
        <v>2194</v>
      </c>
      <c r="B2068" s="4">
        <v>600.92999999999995</v>
      </c>
      <c r="C2068" s="4">
        <v>21.25</v>
      </c>
      <c r="D2068" s="4">
        <v>579.67999999999995</v>
      </c>
      <c r="E2068">
        <v>91</v>
      </c>
      <c r="F2068">
        <v>88</v>
      </c>
    </row>
    <row r="2069" spans="1:6" x14ac:dyDescent="0.25">
      <c r="A2069" t="s">
        <v>2195</v>
      </c>
      <c r="B2069" s="4">
        <v>600.87</v>
      </c>
      <c r="C2069" s="4">
        <v>0</v>
      </c>
      <c r="D2069" s="4">
        <v>600.87</v>
      </c>
      <c r="E2069">
        <v>84</v>
      </c>
      <c r="F2069">
        <v>77</v>
      </c>
    </row>
    <row r="2070" spans="1:6" x14ac:dyDescent="0.25">
      <c r="A2070" t="s">
        <v>2196</v>
      </c>
      <c r="B2070" s="4">
        <v>600.29</v>
      </c>
      <c r="C2070" s="4">
        <v>10.199999999999999</v>
      </c>
      <c r="D2070" s="4">
        <v>590.09</v>
      </c>
      <c r="E2070">
        <v>159</v>
      </c>
      <c r="F2070">
        <v>158</v>
      </c>
    </row>
    <row r="2071" spans="1:6" x14ac:dyDescent="0.25">
      <c r="A2071" t="s">
        <v>2197</v>
      </c>
      <c r="B2071" s="4">
        <v>598.82000000000005</v>
      </c>
      <c r="C2071" s="4">
        <v>0</v>
      </c>
      <c r="D2071" s="4">
        <v>598.82000000000005</v>
      </c>
      <c r="E2071">
        <v>123</v>
      </c>
      <c r="F2071">
        <v>119</v>
      </c>
    </row>
    <row r="2072" spans="1:6" x14ac:dyDescent="0.25">
      <c r="A2072" t="s">
        <v>2198</v>
      </c>
      <c r="B2072" s="4">
        <v>596.5</v>
      </c>
      <c r="C2072" s="4">
        <v>0</v>
      </c>
      <c r="D2072" s="4">
        <v>596.5</v>
      </c>
      <c r="E2072">
        <v>100</v>
      </c>
      <c r="F2072">
        <v>92</v>
      </c>
    </row>
    <row r="2073" spans="1:6" x14ac:dyDescent="0.25">
      <c r="A2073" t="s">
        <v>2199</v>
      </c>
      <c r="B2073" s="4">
        <v>596.36</v>
      </c>
      <c r="C2073" s="4">
        <v>0</v>
      </c>
      <c r="D2073" s="4">
        <v>596.36</v>
      </c>
      <c r="E2073">
        <v>53</v>
      </c>
      <c r="F2073">
        <v>51</v>
      </c>
    </row>
    <row r="2074" spans="1:6" x14ac:dyDescent="0.25">
      <c r="A2074" t="s">
        <v>2200</v>
      </c>
      <c r="B2074" s="4">
        <v>595.85</v>
      </c>
      <c r="C2074" s="4">
        <v>0</v>
      </c>
      <c r="D2074" s="4">
        <v>595.85</v>
      </c>
      <c r="E2074">
        <v>85</v>
      </c>
      <c r="F2074">
        <v>85</v>
      </c>
    </row>
    <row r="2075" spans="1:6" x14ac:dyDescent="0.25">
      <c r="A2075" t="s">
        <v>2201</v>
      </c>
      <c r="B2075" s="4">
        <v>594.51</v>
      </c>
      <c r="C2075" s="4">
        <v>0</v>
      </c>
      <c r="D2075" s="4">
        <v>594.51</v>
      </c>
      <c r="E2075">
        <v>28</v>
      </c>
      <c r="F2075">
        <v>28</v>
      </c>
    </row>
    <row r="2076" spans="1:6" x14ac:dyDescent="0.25">
      <c r="A2076" t="s">
        <v>2202</v>
      </c>
      <c r="B2076" s="4">
        <v>593.62</v>
      </c>
      <c r="C2076" s="4">
        <v>3.12</v>
      </c>
      <c r="D2076" s="4">
        <v>590.5</v>
      </c>
      <c r="E2076">
        <v>137</v>
      </c>
      <c r="F2076">
        <v>133</v>
      </c>
    </row>
    <row r="2077" spans="1:6" x14ac:dyDescent="0.25">
      <c r="A2077" t="s">
        <v>2203</v>
      </c>
      <c r="B2077" s="4">
        <v>593.37</v>
      </c>
      <c r="C2077" s="4">
        <v>0</v>
      </c>
      <c r="D2077" s="4">
        <v>593.37</v>
      </c>
      <c r="E2077">
        <v>63</v>
      </c>
      <c r="F2077">
        <v>62</v>
      </c>
    </row>
    <row r="2078" spans="1:6" x14ac:dyDescent="0.25">
      <c r="A2078" t="s">
        <v>2204</v>
      </c>
      <c r="B2078" s="4">
        <v>593.14</v>
      </c>
      <c r="C2078" s="4">
        <v>0</v>
      </c>
      <c r="D2078" s="4">
        <v>593.14</v>
      </c>
      <c r="E2078">
        <v>118</v>
      </c>
      <c r="F2078">
        <v>113</v>
      </c>
    </row>
    <row r="2079" spans="1:6" x14ac:dyDescent="0.25">
      <c r="A2079" t="s">
        <v>2205</v>
      </c>
      <c r="B2079" s="4">
        <v>590.66999999999996</v>
      </c>
      <c r="C2079" s="4">
        <v>27</v>
      </c>
      <c r="D2079" s="4">
        <v>563.66999999999996</v>
      </c>
      <c r="E2079">
        <v>79</v>
      </c>
      <c r="F2079">
        <v>79</v>
      </c>
    </row>
    <row r="2080" spans="1:6" x14ac:dyDescent="0.25">
      <c r="A2080" t="s">
        <v>2206</v>
      </c>
      <c r="B2080" s="4">
        <v>590.13</v>
      </c>
      <c r="C2080" s="4">
        <v>1.1599999999999999</v>
      </c>
      <c r="D2080" s="4">
        <v>588.97</v>
      </c>
      <c r="E2080">
        <v>144</v>
      </c>
      <c r="F2080">
        <v>142</v>
      </c>
    </row>
    <row r="2081" spans="1:6" x14ac:dyDescent="0.25">
      <c r="A2081" t="s">
        <v>2207</v>
      </c>
      <c r="B2081" s="4">
        <v>587.86</v>
      </c>
      <c r="C2081" s="4">
        <v>3.9</v>
      </c>
      <c r="D2081" s="4">
        <v>583.96</v>
      </c>
      <c r="E2081">
        <v>63</v>
      </c>
      <c r="F2081">
        <v>61</v>
      </c>
    </row>
    <row r="2082" spans="1:6" x14ac:dyDescent="0.25">
      <c r="A2082" t="s">
        <v>2208</v>
      </c>
      <c r="B2082" s="4">
        <v>587.49</v>
      </c>
      <c r="C2082" s="4">
        <v>0</v>
      </c>
      <c r="D2082" s="4">
        <v>587.49</v>
      </c>
      <c r="E2082">
        <v>115</v>
      </c>
      <c r="F2082">
        <v>110</v>
      </c>
    </row>
    <row r="2083" spans="1:6" x14ac:dyDescent="0.25">
      <c r="A2083" t="s">
        <v>2209</v>
      </c>
      <c r="B2083" s="4">
        <v>587.20000000000005</v>
      </c>
      <c r="C2083" s="4">
        <v>0</v>
      </c>
      <c r="D2083" s="4">
        <v>587.20000000000005</v>
      </c>
      <c r="E2083">
        <v>48</v>
      </c>
      <c r="F2083">
        <v>48</v>
      </c>
    </row>
    <row r="2084" spans="1:6" x14ac:dyDescent="0.25">
      <c r="A2084" t="s">
        <v>2210</v>
      </c>
      <c r="B2084" s="4">
        <v>586.82000000000005</v>
      </c>
      <c r="C2084" s="4">
        <v>2.34</v>
      </c>
      <c r="D2084" s="4">
        <v>584.48</v>
      </c>
      <c r="E2084">
        <v>126</v>
      </c>
      <c r="F2084">
        <v>117</v>
      </c>
    </row>
    <row r="2085" spans="1:6" x14ac:dyDescent="0.25">
      <c r="A2085" t="s">
        <v>2211</v>
      </c>
      <c r="B2085" s="4">
        <v>586.6</v>
      </c>
      <c r="C2085" s="4">
        <v>0</v>
      </c>
      <c r="D2085" s="4">
        <v>586.6</v>
      </c>
      <c r="E2085">
        <v>44</v>
      </c>
      <c r="F2085">
        <v>41</v>
      </c>
    </row>
    <row r="2086" spans="1:6" x14ac:dyDescent="0.25">
      <c r="A2086" t="s">
        <v>2212</v>
      </c>
      <c r="B2086" s="4">
        <v>586.30999999999995</v>
      </c>
      <c r="C2086" s="4">
        <v>6.25</v>
      </c>
      <c r="D2086" s="4">
        <v>580.05999999999995</v>
      </c>
      <c r="E2086">
        <v>63</v>
      </c>
      <c r="F2086">
        <v>63</v>
      </c>
    </row>
    <row r="2087" spans="1:6" x14ac:dyDescent="0.25">
      <c r="A2087" t="s">
        <v>2213</v>
      </c>
      <c r="B2087" s="4">
        <v>585.86</v>
      </c>
      <c r="C2087" s="4">
        <v>0</v>
      </c>
      <c r="D2087" s="4">
        <v>585.86</v>
      </c>
      <c r="E2087">
        <v>64</v>
      </c>
      <c r="F2087">
        <v>61</v>
      </c>
    </row>
    <row r="2088" spans="1:6" x14ac:dyDescent="0.25">
      <c r="A2088" t="s">
        <v>2214</v>
      </c>
      <c r="B2088" s="4">
        <v>585.34</v>
      </c>
      <c r="C2088" s="4">
        <v>0</v>
      </c>
      <c r="D2088" s="4">
        <v>585.34</v>
      </c>
      <c r="E2088">
        <v>78</v>
      </c>
      <c r="F2088">
        <v>78</v>
      </c>
    </row>
    <row r="2089" spans="1:6" x14ac:dyDescent="0.25">
      <c r="A2089" t="s">
        <v>2215</v>
      </c>
      <c r="B2089" s="4">
        <v>584.37</v>
      </c>
      <c r="C2089" s="4">
        <v>13.5</v>
      </c>
      <c r="D2089" s="4">
        <v>570.87</v>
      </c>
      <c r="E2089">
        <v>28</v>
      </c>
      <c r="F2089">
        <v>28</v>
      </c>
    </row>
    <row r="2090" spans="1:6" x14ac:dyDescent="0.25">
      <c r="A2090" t="s">
        <v>2216</v>
      </c>
      <c r="B2090" s="4">
        <v>583.33000000000004</v>
      </c>
      <c r="C2090" s="4">
        <v>0</v>
      </c>
      <c r="D2090" s="4">
        <v>583.33000000000004</v>
      </c>
      <c r="E2090">
        <v>123</v>
      </c>
      <c r="F2090">
        <v>123</v>
      </c>
    </row>
    <row r="2091" spans="1:6" x14ac:dyDescent="0.25">
      <c r="A2091" t="s">
        <v>2217</v>
      </c>
      <c r="B2091" s="4">
        <v>583.23</v>
      </c>
      <c r="C2091" s="4">
        <v>448.4</v>
      </c>
      <c r="D2091" s="4">
        <v>134.83000000000001</v>
      </c>
      <c r="E2091">
        <v>113</v>
      </c>
      <c r="F2091">
        <v>111</v>
      </c>
    </row>
    <row r="2092" spans="1:6" x14ac:dyDescent="0.25">
      <c r="A2092" t="s">
        <v>2218</v>
      </c>
      <c r="B2092" s="4">
        <v>583.12</v>
      </c>
      <c r="C2092" s="4">
        <v>34.020000000000003</v>
      </c>
      <c r="D2092" s="4">
        <v>549.1</v>
      </c>
      <c r="E2092">
        <v>47</v>
      </c>
      <c r="F2092">
        <v>43</v>
      </c>
    </row>
    <row r="2093" spans="1:6" x14ac:dyDescent="0.25">
      <c r="A2093" t="s">
        <v>2219</v>
      </c>
      <c r="B2093" s="4">
        <v>582.03</v>
      </c>
      <c r="C2093" s="4">
        <v>0.85</v>
      </c>
      <c r="D2093" s="4">
        <v>581.17999999999995</v>
      </c>
      <c r="E2093">
        <v>84</v>
      </c>
      <c r="F2093">
        <v>82</v>
      </c>
    </row>
    <row r="2094" spans="1:6" x14ac:dyDescent="0.25">
      <c r="A2094" t="s">
        <v>2220</v>
      </c>
      <c r="B2094" s="4">
        <v>581.13</v>
      </c>
      <c r="C2094" s="4">
        <v>0</v>
      </c>
      <c r="D2094" s="4">
        <v>581.13</v>
      </c>
      <c r="E2094">
        <v>34</v>
      </c>
      <c r="F2094">
        <v>34</v>
      </c>
    </row>
    <row r="2095" spans="1:6" x14ac:dyDescent="0.25">
      <c r="A2095" t="s">
        <v>2221</v>
      </c>
      <c r="B2095" s="4">
        <v>581.09</v>
      </c>
      <c r="C2095" s="4">
        <v>0</v>
      </c>
      <c r="D2095" s="4">
        <v>581.09</v>
      </c>
      <c r="E2095">
        <v>105</v>
      </c>
      <c r="F2095">
        <v>105</v>
      </c>
    </row>
    <row r="2096" spans="1:6" x14ac:dyDescent="0.25">
      <c r="A2096" t="s">
        <v>2222</v>
      </c>
      <c r="B2096" s="4">
        <v>580.36</v>
      </c>
      <c r="C2096" s="4">
        <v>0</v>
      </c>
      <c r="D2096" s="4">
        <v>580.36</v>
      </c>
      <c r="E2096">
        <v>55</v>
      </c>
      <c r="F2096">
        <v>53</v>
      </c>
    </row>
    <row r="2097" spans="1:6" x14ac:dyDescent="0.25">
      <c r="A2097" t="s">
        <v>2223</v>
      </c>
      <c r="B2097" s="4">
        <v>577.79</v>
      </c>
      <c r="C2097" s="4">
        <v>0</v>
      </c>
      <c r="D2097" s="4">
        <v>577.79</v>
      </c>
      <c r="E2097">
        <v>43</v>
      </c>
      <c r="F2097">
        <v>42</v>
      </c>
    </row>
    <row r="2098" spans="1:6" x14ac:dyDescent="0.25">
      <c r="A2098" t="s">
        <v>2224</v>
      </c>
      <c r="B2098" s="4">
        <v>577.44000000000005</v>
      </c>
      <c r="C2098" s="4">
        <v>3.4</v>
      </c>
      <c r="D2098" s="4">
        <v>574.04</v>
      </c>
      <c r="E2098">
        <v>107</v>
      </c>
      <c r="F2098">
        <v>104</v>
      </c>
    </row>
    <row r="2099" spans="1:6" x14ac:dyDescent="0.25">
      <c r="A2099" t="s">
        <v>2225</v>
      </c>
      <c r="B2099" s="4">
        <v>577.35</v>
      </c>
      <c r="C2099" s="4">
        <v>67.8</v>
      </c>
      <c r="D2099" s="4">
        <v>509.55</v>
      </c>
      <c r="E2099">
        <v>23</v>
      </c>
      <c r="F2099">
        <v>23</v>
      </c>
    </row>
    <row r="2100" spans="1:6" x14ac:dyDescent="0.25">
      <c r="A2100" t="s">
        <v>2226</v>
      </c>
      <c r="B2100" s="4">
        <v>575.54999999999995</v>
      </c>
      <c r="C2100" s="4">
        <v>15.6</v>
      </c>
      <c r="D2100" s="4">
        <v>559.95000000000005</v>
      </c>
      <c r="E2100">
        <v>49</v>
      </c>
      <c r="F2100">
        <v>48</v>
      </c>
    </row>
    <row r="2101" spans="1:6" x14ac:dyDescent="0.25">
      <c r="A2101" t="s">
        <v>2227</v>
      </c>
      <c r="B2101" s="4">
        <v>575.41999999999996</v>
      </c>
      <c r="C2101" s="4">
        <v>1.3</v>
      </c>
      <c r="D2101" s="4">
        <v>574.12</v>
      </c>
      <c r="E2101">
        <v>78</v>
      </c>
      <c r="F2101">
        <v>77</v>
      </c>
    </row>
    <row r="2102" spans="1:6" x14ac:dyDescent="0.25">
      <c r="A2102" t="s">
        <v>2228</v>
      </c>
      <c r="B2102" s="4">
        <v>575.25</v>
      </c>
      <c r="C2102" s="4">
        <v>19.95</v>
      </c>
      <c r="D2102" s="4">
        <v>555.29999999999995</v>
      </c>
      <c r="E2102">
        <v>24</v>
      </c>
      <c r="F2102">
        <v>24</v>
      </c>
    </row>
    <row r="2103" spans="1:6" x14ac:dyDescent="0.25">
      <c r="A2103" t="s">
        <v>2229</v>
      </c>
      <c r="B2103" s="4">
        <v>574.88</v>
      </c>
      <c r="C2103" s="4">
        <v>0</v>
      </c>
      <c r="D2103" s="4">
        <v>574.88</v>
      </c>
      <c r="E2103">
        <v>38</v>
      </c>
      <c r="F2103">
        <v>38</v>
      </c>
    </row>
    <row r="2104" spans="1:6" x14ac:dyDescent="0.25">
      <c r="A2104" t="s">
        <v>2230</v>
      </c>
      <c r="B2104" s="4">
        <v>574.54</v>
      </c>
      <c r="C2104" s="4">
        <v>0</v>
      </c>
      <c r="D2104" s="4">
        <v>574.54</v>
      </c>
      <c r="E2104">
        <v>78</v>
      </c>
      <c r="F2104">
        <v>77</v>
      </c>
    </row>
    <row r="2105" spans="1:6" x14ac:dyDescent="0.25">
      <c r="A2105" t="s">
        <v>2231</v>
      </c>
      <c r="B2105" s="4">
        <v>573.36</v>
      </c>
      <c r="C2105" s="4">
        <v>10.199999999999999</v>
      </c>
      <c r="D2105" s="4">
        <v>563.16</v>
      </c>
      <c r="E2105">
        <v>111</v>
      </c>
      <c r="F2105">
        <v>110</v>
      </c>
    </row>
    <row r="2106" spans="1:6" x14ac:dyDescent="0.25">
      <c r="A2106" t="s">
        <v>2232</v>
      </c>
      <c r="B2106" s="4">
        <v>572.23</v>
      </c>
      <c r="C2106" s="4">
        <v>0</v>
      </c>
      <c r="D2106" s="4">
        <v>572.23</v>
      </c>
      <c r="E2106">
        <v>66</v>
      </c>
      <c r="F2106">
        <v>66</v>
      </c>
    </row>
    <row r="2107" spans="1:6" x14ac:dyDescent="0.25">
      <c r="A2107" t="s">
        <v>2233</v>
      </c>
      <c r="B2107" s="4">
        <v>571.42999999999995</v>
      </c>
      <c r="C2107" s="4">
        <v>43.9</v>
      </c>
      <c r="D2107" s="4">
        <v>527.53</v>
      </c>
      <c r="E2107">
        <v>22</v>
      </c>
      <c r="F2107">
        <v>22</v>
      </c>
    </row>
    <row r="2108" spans="1:6" x14ac:dyDescent="0.25">
      <c r="A2108" t="s">
        <v>2234</v>
      </c>
      <c r="B2108" s="4">
        <v>570.45000000000005</v>
      </c>
      <c r="C2108" s="4">
        <v>0</v>
      </c>
      <c r="D2108" s="4">
        <v>570.45000000000005</v>
      </c>
      <c r="E2108">
        <v>122</v>
      </c>
      <c r="F2108">
        <v>121</v>
      </c>
    </row>
    <row r="2109" spans="1:6" x14ac:dyDescent="0.25">
      <c r="A2109" t="s">
        <v>2235</v>
      </c>
      <c r="B2109" s="4">
        <v>569.42999999999995</v>
      </c>
      <c r="C2109" s="4">
        <v>0</v>
      </c>
      <c r="D2109" s="4">
        <v>569.42999999999995</v>
      </c>
      <c r="E2109">
        <v>36</v>
      </c>
      <c r="F2109">
        <v>35</v>
      </c>
    </row>
    <row r="2110" spans="1:6" x14ac:dyDescent="0.25">
      <c r="A2110" t="s">
        <v>2236</v>
      </c>
      <c r="B2110" s="4">
        <v>569.29</v>
      </c>
      <c r="C2110" s="4">
        <v>0</v>
      </c>
      <c r="D2110" s="4">
        <v>569.29</v>
      </c>
      <c r="E2110">
        <v>63</v>
      </c>
      <c r="F2110">
        <v>62</v>
      </c>
    </row>
    <row r="2111" spans="1:6" x14ac:dyDescent="0.25">
      <c r="A2111" t="s">
        <v>2237</v>
      </c>
      <c r="B2111" s="4">
        <v>568.98</v>
      </c>
      <c r="C2111" s="4">
        <v>0</v>
      </c>
      <c r="D2111" s="4">
        <v>568.98</v>
      </c>
      <c r="E2111">
        <v>46</v>
      </c>
      <c r="F2111">
        <v>46</v>
      </c>
    </row>
    <row r="2112" spans="1:6" x14ac:dyDescent="0.25">
      <c r="A2112" t="s">
        <v>2238</v>
      </c>
      <c r="B2112" s="4">
        <v>568.71</v>
      </c>
      <c r="C2112" s="4">
        <v>0</v>
      </c>
      <c r="D2112" s="4">
        <v>568.71</v>
      </c>
      <c r="E2112">
        <v>33</v>
      </c>
      <c r="F2112">
        <v>32</v>
      </c>
    </row>
    <row r="2113" spans="1:6" x14ac:dyDescent="0.25">
      <c r="A2113" t="s">
        <v>2239</v>
      </c>
      <c r="B2113" s="4">
        <v>568.65</v>
      </c>
      <c r="C2113" s="4">
        <v>0</v>
      </c>
      <c r="D2113" s="4">
        <v>568.65</v>
      </c>
      <c r="E2113">
        <v>21</v>
      </c>
      <c r="F2113">
        <v>20</v>
      </c>
    </row>
    <row r="2114" spans="1:6" x14ac:dyDescent="0.25">
      <c r="A2114" t="s">
        <v>2240</v>
      </c>
      <c r="B2114" s="4">
        <v>568.6</v>
      </c>
      <c r="C2114" s="4">
        <v>0</v>
      </c>
      <c r="D2114" s="4">
        <v>568.6</v>
      </c>
      <c r="E2114">
        <v>64</v>
      </c>
      <c r="F2114">
        <v>61</v>
      </c>
    </row>
    <row r="2115" spans="1:6" x14ac:dyDescent="0.25">
      <c r="A2115" t="s">
        <v>2241</v>
      </c>
      <c r="B2115" s="4">
        <v>568.13</v>
      </c>
      <c r="C2115" s="4">
        <v>0</v>
      </c>
      <c r="D2115" s="4">
        <v>568.13</v>
      </c>
      <c r="E2115">
        <v>43</v>
      </c>
      <c r="F2115">
        <v>43</v>
      </c>
    </row>
    <row r="2116" spans="1:6" x14ac:dyDescent="0.25">
      <c r="A2116" t="s">
        <v>2242</v>
      </c>
      <c r="B2116" s="4">
        <v>567.95000000000005</v>
      </c>
      <c r="C2116" s="4">
        <v>0</v>
      </c>
      <c r="D2116" s="4">
        <v>567.95000000000005</v>
      </c>
      <c r="E2116">
        <v>83</v>
      </c>
      <c r="F2116">
        <v>80</v>
      </c>
    </row>
    <row r="2117" spans="1:6" x14ac:dyDescent="0.25">
      <c r="A2117" t="s">
        <v>2243</v>
      </c>
      <c r="B2117" s="4">
        <v>566.16999999999996</v>
      </c>
      <c r="C2117" s="4">
        <v>0</v>
      </c>
      <c r="D2117" s="4">
        <v>566.16999999999996</v>
      </c>
      <c r="E2117">
        <v>16</v>
      </c>
      <c r="F2117">
        <v>16</v>
      </c>
    </row>
    <row r="2118" spans="1:6" x14ac:dyDescent="0.25">
      <c r="A2118" t="s">
        <v>2244</v>
      </c>
      <c r="B2118" s="4">
        <v>565.86</v>
      </c>
      <c r="C2118" s="4">
        <v>0</v>
      </c>
      <c r="D2118" s="4">
        <v>565.86</v>
      </c>
      <c r="E2118">
        <v>53</v>
      </c>
      <c r="F2118">
        <v>53</v>
      </c>
    </row>
    <row r="2119" spans="1:6" x14ac:dyDescent="0.25">
      <c r="A2119" t="s">
        <v>2245</v>
      </c>
      <c r="B2119" s="4">
        <v>564.91999999999996</v>
      </c>
      <c r="C2119" s="4">
        <v>2.95</v>
      </c>
      <c r="D2119" s="4">
        <v>561.97</v>
      </c>
      <c r="E2119">
        <v>49</v>
      </c>
      <c r="F2119">
        <v>48</v>
      </c>
    </row>
    <row r="2120" spans="1:6" x14ac:dyDescent="0.25">
      <c r="A2120" t="s">
        <v>2246</v>
      </c>
      <c r="B2120" s="4">
        <v>564.35</v>
      </c>
      <c r="C2120" s="4">
        <v>0</v>
      </c>
      <c r="D2120" s="4">
        <v>564.35</v>
      </c>
      <c r="E2120">
        <v>33</v>
      </c>
      <c r="F2120">
        <v>33</v>
      </c>
    </row>
    <row r="2121" spans="1:6" x14ac:dyDescent="0.25">
      <c r="A2121" t="s">
        <v>2247</v>
      </c>
      <c r="B2121" s="4">
        <v>562.22</v>
      </c>
      <c r="C2121" s="4">
        <v>0</v>
      </c>
      <c r="D2121" s="4">
        <v>562.22</v>
      </c>
      <c r="E2121">
        <v>44</v>
      </c>
      <c r="F2121">
        <v>44</v>
      </c>
    </row>
    <row r="2122" spans="1:6" x14ac:dyDescent="0.25">
      <c r="A2122" t="s">
        <v>2248</v>
      </c>
      <c r="B2122" s="4">
        <v>561.87</v>
      </c>
      <c r="C2122" s="4">
        <v>0</v>
      </c>
      <c r="D2122" s="4">
        <v>561.87</v>
      </c>
      <c r="E2122">
        <v>99</v>
      </c>
      <c r="F2122">
        <v>98</v>
      </c>
    </row>
    <row r="2123" spans="1:6" x14ac:dyDescent="0.25">
      <c r="A2123" t="s">
        <v>2249</v>
      </c>
      <c r="B2123" s="4">
        <v>561.84</v>
      </c>
      <c r="C2123" s="4">
        <v>0</v>
      </c>
      <c r="D2123" s="4">
        <v>561.84</v>
      </c>
      <c r="E2123">
        <v>90</v>
      </c>
      <c r="F2123">
        <v>89</v>
      </c>
    </row>
    <row r="2124" spans="1:6" x14ac:dyDescent="0.25">
      <c r="A2124" t="s">
        <v>2250</v>
      </c>
      <c r="B2124" s="4">
        <v>561.34</v>
      </c>
      <c r="C2124" s="4">
        <v>7.8</v>
      </c>
      <c r="D2124" s="4">
        <v>553.54</v>
      </c>
      <c r="E2124">
        <v>94</v>
      </c>
      <c r="F2124">
        <v>93</v>
      </c>
    </row>
    <row r="2125" spans="1:6" x14ac:dyDescent="0.25">
      <c r="A2125" t="s">
        <v>2251</v>
      </c>
      <c r="B2125" s="4">
        <v>561.32000000000005</v>
      </c>
      <c r="C2125" s="4">
        <v>14.75</v>
      </c>
      <c r="D2125" s="4">
        <v>546.57000000000005</v>
      </c>
      <c r="E2125">
        <v>40</v>
      </c>
      <c r="F2125">
        <v>38</v>
      </c>
    </row>
    <row r="2126" spans="1:6" x14ac:dyDescent="0.25">
      <c r="A2126" t="s">
        <v>2252</v>
      </c>
      <c r="B2126" s="4">
        <v>560.62</v>
      </c>
      <c r="C2126" s="4">
        <v>0</v>
      </c>
      <c r="D2126" s="4">
        <v>560.62</v>
      </c>
      <c r="E2126">
        <v>74</v>
      </c>
      <c r="F2126">
        <v>74</v>
      </c>
    </row>
    <row r="2127" spans="1:6" x14ac:dyDescent="0.25">
      <c r="A2127" t="s">
        <v>2253</v>
      </c>
      <c r="B2127" s="4">
        <v>560.11</v>
      </c>
      <c r="C2127" s="4">
        <v>0</v>
      </c>
      <c r="D2127" s="4">
        <v>560.11</v>
      </c>
      <c r="E2127">
        <v>42</v>
      </c>
      <c r="F2127">
        <v>42</v>
      </c>
    </row>
    <row r="2128" spans="1:6" x14ac:dyDescent="0.25">
      <c r="A2128" t="s">
        <v>2254</v>
      </c>
      <c r="B2128" s="4">
        <v>559</v>
      </c>
      <c r="C2128" s="4">
        <v>0</v>
      </c>
      <c r="D2128" s="4">
        <v>559</v>
      </c>
      <c r="E2128">
        <v>32</v>
      </c>
      <c r="F2128">
        <v>32</v>
      </c>
    </row>
    <row r="2129" spans="1:6" x14ac:dyDescent="0.25">
      <c r="A2129" t="s">
        <v>2255</v>
      </c>
      <c r="B2129" s="4">
        <v>558.83000000000004</v>
      </c>
      <c r="C2129" s="4">
        <v>0</v>
      </c>
      <c r="D2129" s="4">
        <v>558.83000000000004</v>
      </c>
      <c r="E2129">
        <v>69</v>
      </c>
      <c r="F2129">
        <v>66</v>
      </c>
    </row>
    <row r="2130" spans="1:6" x14ac:dyDescent="0.25">
      <c r="A2130" t="s">
        <v>2256</v>
      </c>
      <c r="B2130" s="4">
        <v>558.41999999999996</v>
      </c>
      <c r="C2130" s="4">
        <v>1.65</v>
      </c>
      <c r="D2130" s="4">
        <v>556.77</v>
      </c>
      <c r="E2130">
        <v>39</v>
      </c>
      <c r="F2130">
        <v>38</v>
      </c>
    </row>
    <row r="2131" spans="1:6" x14ac:dyDescent="0.25">
      <c r="A2131" t="s">
        <v>2257</v>
      </c>
      <c r="B2131" s="4">
        <v>558.12</v>
      </c>
      <c r="C2131" s="4">
        <v>0</v>
      </c>
      <c r="D2131" s="4">
        <v>558.12</v>
      </c>
      <c r="E2131">
        <v>54</v>
      </c>
      <c r="F2131">
        <v>52</v>
      </c>
    </row>
    <row r="2132" spans="1:6" x14ac:dyDescent="0.25">
      <c r="A2132" t="s">
        <v>2258</v>
      </c>
      <c r="B2132" s="4">
        <v>558.07000000000005</v>
      </c>
      <c r="C2132" s="4">
        <v>6.5</v>
      </c>
      <c r="D2132" s="4">
        <v>551.57000000000005</v>
      </c>
      <c r="E2132">
        <v>67</v>
      </c>
      <c r="F2132">
        <v>65</v>
      </c>
    </row>
    <row r="2133" spans="1:6" x14ac:dyDescent="0.25">
      <c r="A2133" t="s">
        <v>2259</v>
      </c>
      <c r="B2133" s="4">
        <v>558.03</v>
      </c>
      <c r="C2133" s="4">
        <v>12.75</v>
      </c>
      <c r="D2133" s="4">
        <v>545.28</v>
      </c>
      <c r="E2133">
        <v>26</v>
      </c>
      <c r="F2133">
        <v>26</v>
      </c>
    </row>
    <row r="2134" spans="1:6" x14ac:dyDescent="0.25">
      <c r="A2134" t="s">
        <v>2260</v>
      </c>
      <c r="B2134" s="4">
        <v>557.29999999999995</v>
      </c>
      <c r="C2134" s="4">
        <v>0</v>
      </c>
      <c r="D2134" s="4">
        <v>557.29999999999995</v>
      </c>
      <c r="E2134">
        <v>26</v>
      </c>
      <c r="F2134">
        <v>26</v>
      </c>
    </row>
    <row r="2135" spans="1:6" x14ac:dyDescent="0.25">
      <c r="A2135" t="s">
        <v>2261</v>
      </c>
      <c r="B2135" s="4">
        <v>556.53</v>
      </c>
      <c r="C2135" s="4">
        <v>0</v>
      </c>
      <c r="D2135" s="4">
        <v>556.53</v>
      </c>
      <c r="E2135">
        <v>71</v>
      </c>
      <c r="F2135">
        <v>69</v>
      </c>
    </row>
    <row r="2136" spans="1:6" x14ac:dyDescent="0.25">
      <c r="A2136" t="s">
        <v>2262</v>
      </c>
      <c r="B2136" s="4">
        <v>555.59</v>
      </c>
      <c r="C2136" s="4">
        <v>12.48</v>
      </c>
      <c r="D2136" s="4">
        <v>543.11</v>
      </c>
      <c r="E2136">
        <v>49</v>
      </c>
      <c r="F2136">
        <v>48</v>
      </c>
    </row>
    <row r="2137" spans="1:6" x14ac:dyDescent="0.25">
      <c r="A2137" t="s">
        <v>2263</v>
      </c>
      <c r="B2137" s="4">
        <v>554.83000000000004</v>
      </c>
      <c r="C2137" s="4">
        <v>0</v>
      </c>
      <c r="D2137" s="4">
        <v>554.83000000000004</v>
      </c>
      <c r="E2137">
        <v>32</v>
      </c>
      <c r="F2137">
        <v>31</v>
      </c>
    </row>
    <row r="2138" spans="1:6" x14ac:dyDescent="0.25">
      <c r="A2138" t="s">
        <v>2264</v>
      </c>
      <c r="B2138" s="4">
        <v>554.78</v>
      </c>
      <c r="C2138" s="4">
        <v>0</v>
      </c>
      <c r="D2138" s="4">
        <v>554.78</v>
      </c>
      <c r="E2138">
        <v>83</v>
      </c>
      <c r="F2138">
        <v>82</v>
      </c>
    </row>
    <row r="2139" spans="1:6" x14ac:dyDescent="0.25">
      <c r="A2139" t="s">
        <v>2265</v>
      </c>
      <c r="B2139" s="4">
        <v>553.83000000000004</v>
      </c>
      <c r="C2139" s="4">
        <v>1.7</v>
      </c>
      <c r="D2139" s="4">
        <v>552.13</v>
      </c>
      <c r="E2139">
        <v>57</v>
      </c>
      <c r="F2139">
        <v>57</v>
      </c>
    </row>
    <row r="2140" spans="1:6" x14ac:dyDescent="0.25">
      <c r="A2140" t="s">
        <v>2266</v>
      </c>
      <c r="B2140" s="4">
        <v>553.79999999999995</v>
      </c>
      <c r="C2140" s="4">
        <v>18.96</v>
      </c>
      <c r="D2140" s="4">
        <v>534.84</v>
      </c>
      <c r="E2140">
        <v>94</v>
      </c>
      <c r="F2140">
        <v>93</v>
      </c>
    </row>
    <row r="2141" spans="1:6" x14ac:dyDescent="0.25">
      <c r="A2141" t="s">
        <v>2267</v>
      </c>
      <c r="B2141" s="4">
        <v>553.07000000000005</v>
      </c>
      <c r="C2141" s="4">
        <v>0</v>
      </c>
      <c r="D2141" s="4">
        <v>553.07000000000005</v>
      </c>
      <c r="E2141">
        <v>34</v>
      </c>
      <c r="F2141">
        <v>34</v>
      </c>
    </row>
    <row r="2142" spans="1:6" x14ac:dyDescent="0.25">
      <c r="A2142" t="s">
        <v>2268</v>
      </c>
      <c r="B2142" s="4">
        <v>552.85</v>
      </c>
      <c r="C2142" s="4">
        <v>0</v>
      </c>
      <c r="D2142" s="4">
        <v>552.85</v>
      </c>
      <c r="E2142">
        <v>52</v>
      </c>
      <c r="F2142">
        <v>51</v>
      </c>
    </row>
    <row r="2143" spans="1:6" x14ac:dyDescent="0.25">
      <c r="A2143" t="s">
        <v>2269</v>
      </c>
      <c r="B2143" s="4">
        <v>552.76</v>
      </c>
      <c r="C2143" s="4">
        <v>5</v>
      </c>
      <c r="D2143" s="4">
        <v>547.76</v>
      </c>
      <c r="E2143">
        <v>106</v>
      </c>
      <c r="F2143">
        <v>105</v>
      </c>
    </row>
    <row r="2144" spans="1:6" x14ac:dyDescent="0.25">
      <c r="A2144" t="s">
        <v>2270</v>
      </c>
      <c r="B2144" s="4">
        <v>551.96</v>
      </c>
      <c r="C2144" s="4">
        <v>0</v>
      </c>
      <c r="D2144" s="4">
        <v>551.96</v>
      </c>
      <c r="E2144">
        <v>41</v>
      </c>
      <c r="F2144">
        <v>40</v>
      </c>
    </row>
    <row r="2145" spans="1:6" x14ac:dyDescent="0.25">
      <c r="A2145" t="s">
        <v>2271</v>
      </c>
      <c r="B2145" s="4">
        <v>551.13</v>
      </c>
      <c r="C2145" s="4">
        <v>0</v>
      </c>
      <c r="D2145" s="4">
        <v>551.13</v>
      </c>
      <c r="E2145">
        <v>27</v>
      </c>
      <c r="F2145">
        <v>27</v>
      </c>
    </row>
    <row r="2146" spans="1:6" x14ac:dyDescent="0.25">
      <c r="A2146" t="s">
        <v>2272</v>
      </c>
      <c r="B2146" s="4">
        <v>551.13</v>
      </c>
      <c r="C2146" s="4">
        <v>18.96</v>
      </c>
      <c r="D2146" s="4">
        <v>532.16999999999996</v>
      </c>
      <c r="E2146">
        <v>69</v>
      </c>
      <c r="F2146">
        <v>69</v>
      </c>
    </row>
    <row r="2147" spans="1:6" x14ac:dyDescent="0.25">
      <c r="A2147" t="s">
        <v>2273</v>
      </c>
      <c r="B2147" s="4">
        <v>550.64</v>
      </c>
      <c r="C2147" s="4">
        <v>0</v>
      </c>
      <c r="D2147" s="4">
        <v>550.64</v>
      </c>
      <c r="E2147">
        <v>99</v>
      </c>
      <c r="F2147">
        <v>97</v>
      </c>
    </row>
    <row r="2148" spans="1:6" x14ac:dyDescent="0.25">
      <c r="A2148" t="s">
        <v>2274</v>
      </c>
      <c r="B2148" s="4">
        <v>550.6</v>
      </c>
      <c r="C2148" s="4">
        <v>0</v>
      </c>
      <c r="D2148" s="4">
        <v>550.6</v>
      </c>
      <c r="E2148">
        <v>59</v>
      </c>
      <c r="F2148">
        <v>59</v>
      </c>
    </row>
    <row r="2149" spans="1:6" x14ac:dyDescent="0.25">
      <c r="A2149" t="s">
        <v>2275</v>
      </c>
      <c r="B2149" s="4">
        <v>550.42999999999995</v>
      </c>
      <c r="C2149" s="4">
        <v>0</v>
      </c>
      <c r="D2149" s="4">
        <v>550.42999999999995</v>
      </c>
      <c r="E2149">
        <v>65</v>
      </c>
      <c r="F2149">
        <v>65</v>
      </c>
    </row>
    <row r="2150" spans="1:6" x14ac:dyDescent="0.25">
      <c r="A2150" t="s">
        <v>2276</v>
      </c>
      <c r="B2150" s="4">
        <v>549.80999999999995</v>
      </c>
      <c r="C2150" s="4">
        <v>3.4</v>
      </c>
      <c r="D2150" s="4">
        <v>546.41</v>
      </c>
      <c r="E2150">
        <v>116</v>
      </c>
      <c r="F2150">
        <v>107</v>
      </c>
    </row>
    <row r="2151" spans="1:6" x14ac:dyDescent="0.25">
      <c r="A2151" t="s">
        <v>2277</v>
      </c>
      <c r="B2151" s="4">
        <v>548.1</v>
      </c>
      <c r="C2151" s="4">
        <v>0</v>
      </c>
      <c r="D2151" s="4">
        <v>548.1</v>
      </c>
      <c r="E2151">
        <v>52</v>
      </c>
      <c r="F2151">
        <v>52</v>
      </c>
    </row>
    <row r="2152" spans="1:6" x14ac:dyDescent="0.25">
      <c r="A2152" t="s">
        <v>2278</v>
      </c>
      <c r="B2152" s="4">
        <v>547.35</v>
      </c>
      <c r="C2152" s="4">
        <v>0</v>
      </c>
      <c r="D2152" s="4">
        <v>547.35</v>
      </c>
      <c r="E2152">
        <v>36</v>
      </c>
      <c r="F2152">
        <v>35</v>
      </c>
    </row>
    <row r="2153" spans="1:6" x14ac:dyDescent="0.25">
      <c r="A2153" t="s">
        <v>2279</v>
      </c>
      <c r="B2153" s="4">
        <v>546.6</v>
      </c>
      <c r="C2153" s="4">
        <v>0</v>
      </c>
      <c r="D2153" s="4">
        <v>546.6</v>
      </c>
      <c r="E2153">
        <v>36</v>
      </c>
      <c r="F2153">
        <v>36</v>
      </c>
    </row>
    <row r="2154" spans="1:6" x14ac:dyDescent="0.25">
      <c r="A2154" t="s">
        <v>2280</v>
      </c>
      <c r="B2154" s="4">
        <v>546.49</v>
      </c>
      <c r="C2154" s="4">
        <v>0</v>
      </c>
      <c r="D2154" s="4">
        <v>546.49</v>
      </c>
      <c r="E2154">
        <v>31</v>
      </c>
      <c r="F2154">
        <v>27</v>
      </c>
    </row>
    <row r="2155" spans="1:6" x14ac:dyDescent="0.25">
      <c r="A2155" t="s">
        <v>2281</v>
      </c>
      <c r="B2155" s="4">
        <v>546.04</v>
      </c>
      <c r="C2155" s="4">
        <v>60.48</v>
      </c>
      <c r="D2155" s="4">
        <v>485.56</v>
      </c>
      <c r="E2155">
        <v>99</v>
      </c>
      <c r="F2155">
        <v>99</v>
      </c>
    </row>
    <row r="2156" spans="1:6" x14ac:dyDescent="0.25">
      <c r="A2156" t="s">
        <v>2282</v>
      </c>
      <c r="B2156" s="4">
        <v>543.76</v>
      </c>
      <c r="C2156" s="4">
        <v>5.04</v>
      </c>
      <c r="D2156" s="4">
        <v>538.72</v>
      </c>
      <c r="E2156">
        <v>148</v>
      </c>
      <c r="F2156">
        <v>146</v>
      </c>
    </row>
    <row r="2157" spans="1:6" x14ac:dyDescent="0.25">
      <c r="A2157" t="s">
        <v>2283</v>
      </c>
      <c r="B2157" s="4">
        <v>543.65</v>
      </c>
      <c r="C2157" s="4">
        <v>0</v>
      </c>
      <c r="D2157" s="4">
        <v>543.65</v>
      </c>
      <c r="E2157">
        <v>68</v>
      </c>
      <c r="F2157">
        <v>67</v>
      </c>
    </row>
    <row r="2158" spans="1:6" x14ac:dyDescent="0.25">
      <c r="A2158" t="s">
        <v>2284</v>
      </c>
      <c r="B2158" s="4">
        <v>543.51</v>
      </c>
      <c r="C2158" s="4">
        <v>0</v>
      </c>
      <c r="D2158" s="4">
        <v>543.51</v>
      </c>
      <c r="E2158">
        <v>23</v>
      </c>
      <c r="F2158">
        <v>23</v>
      </c>
    </row>
    <row r="2159" spans="1:6" x14ac:dyDescent="0.25">
      <c r="A2159" t="s">
        <v>2285</v>
      </c>
      <c r="B2159" s="4">
        <v>538.75</v>
      </c>
      <c r="C2159" s="4">
        <v>0.85</v>
      </c>
      <c r="D2159" s="4">
        <v>537.9</v>
      </c>
      <c r="E2159">
        <v>78</v>
      </c>
      <c r="F2159">
        <v>69</v>
      </c>
    </row>
    <row r="2160" spans="1:6" x14ac:dyDescent="0.25">
      <c r="A2160" t="s">
        <v>2286</v>
      </c>
      <c r="B2160" s="4">
        <v>538.05999999999995</v>
      </c>
      <c r="C2160" s="4">
        <v>11.8</v>
      </c>
      <c r="D2160" s="4">
        <v>526.26</v>
      </c>
      <c r="E2160">
        <v>80</v>
      </c>
      <c r="F2160">
        <v>79</v>
      </c>
    </row>
    <row r="2161" spans="1:6" x14ac:dyDescent="0.25">
      <c r="A2161" t="s">
        <v>2287</v>
      </c>
      <c r="B2161" s="4">
        <v>536.41</v>
      </c>
      <c r="C2161" s="4">
        <v>41.65</v>
      </c>
      <c r="D2161" s="4">
        <v>494.76</v>
      </c>
      <c r="E2161">
        <v>35</v>
      </c>
      <c r="F2161">
        <v>35</v>
      </c>
    </row>
    <row r="2162" spans="1:6" x14ac:dyDescent="0.25">
      <c r="A2162" t="s">
        <v>2288</v>
      </c>
      <c r="B2162" s="4">
        <v>535.78</v>
      </c>
      <c r="C2162" s="4">
        <v>0</v>
      </c>
      <c r="D2162" s="4">
        <v>535.78</v>
      </c>
      <c r="E2162">
        <v>131</v>
      </c>
      <c r="F2162">
        <v>131</v>
      </c>
    </row>
    <row r="2163" spans="1:6" x14ac:dyDescent="0.25">
      <c r="A2163" t="s">
        <v>2289</v>
      </c>
      <c r="B2163" s="4">
        <v>535.49</v>
      </c>
      <c r="C2163" s="4">
        <v>8.4</v>
      </c>
      <c r="D2163" s="4">
        <v>527.09</v>
      </c>
      <c r="E2163">
        <v>112</v>
      </c>
      <c r="F2163">
        <v>111</v>
      </c>
    </row>
    <row r="2164" spans="1:6" x14ac:dyDescent="0.25">
      <c r="A2164" t="s">
        <v>2290</v>
      </c>
      <c r="B2164" s="4">
        <v>534.83000000000004</v>
      </c>
      <c r="C2164" s="4">
        <v>4.2</v>
      </c>
      <c r="D2164" s="4">
        <v>530.63</v>
      </c>
      <c r="E2164">
        <v>52</v>
      </c>
      <c r="F2164">
        <v>51</v>
      </c>
    </row>
    <row r="2165" spans="1:6" x14ac:dyDescent="0.25">
      <c r="A2165" t="s">
        <v>2291</v>
      </c>
      <c r="B2165" s="4">
        <v>534.66</v>
      </c>
      <c r="C2165" s="4">
        <v>26.4</v>
      </c>
      <c r="D2165" s="4">
        <v>508.26</v>
      </c>
      <c r="E2165">
        <v>42</v>
      </c>
      <c r="F2165">
        <v>42</v>
      </c>
    </row>
    <row r="2166" spans="1:6" x14ac:dyDescent="0.25">
      <c r="A2166" t="s">
        <v>2292</v>
      </c>
      <c r="B2166" s="4">
        <v>534.66</v>
      </c>
      <c r="C2166" s="4">
        <v>0</v>
      </c>
      <c r="D2166" s="4">
        <v>534.66</v>
      </c>
      <c r="E2166">
        <v>35</v>
      </c>
      <c r="F2166">
        <v>35</v>
      </c>
    </row>
    <row r="2167" spans="1:6" x14ac:dyDescent="0.25">
      <c r="A2167" t="s">
        <v>2293</v>
      </c>
      <c r="B2167" s="4">
        <v>533.16</v>
      </c>
      <c r="C2167" s="4">
        <v>0</v>
      </c>
      <c r="D2167" s="4">
        <v>533.16</v>
      </c>
      <c r="E2167">
        <v>110</v>
      </c>
      <c r="F2167">
        <v>104</v>
      </c>
    </row>
    <row r="2168" spans="1:6" x14ac:dyDescent="0.25">
      <c r="A2168" t="s">
        <v>2294</v>
      </c>
      <c r="B2168" s="4">
        <v>531.64</v>
      </c>
      <c r="C2168" s="4">
        <v>0</v>
      </c>
      <c r="D2168" s="4">
        <v>531.64</v>
      </c>
      <c r="E2168">
        <v>57</v>
      </c>
      <c r="F2168">
        <v>55</v>
      </c>
    </row>
    <row r="2169" spans="1:6" x14ac:dyDescent="0.25">
      <c r="A2169" t="s">
        <v>2295</v>
      </c>
      <c r="B2169" s="4">
        <v>530.6</v>
      </c>
      <c r="C2169" s="4">
        <v>0</v>
      </c>
      <c r="D2169" s="4">
        <v>530.6</v>
      </c>
      <c r="E2169">
        <v>94</v>
      </c>
      <c r="F2169">
        <v>94</v>
      </c>
    </row>
    <row r="2170" spans="1:6" x14ac:dyDescent="0.25">
      <c r="A2170" t="s">
        <v>2296</v>
      </c>
      <c r="B2170" s="4">
        <v>530.49</v>
      </c>
      <c r="C2170" s="4">
        <v>0</v>
      </c>
      <c r="D2170" s="4">
        <v>530.49</v>
      </c>
      <c r="E2170">
        <v>44</v>
      </c>
      <c r="F2170">
        <v>44</v>
      </c>
    </row>
    <row r="2171" spans="1:6" x14ac:dyDescent="0.25">
      <c r="A2171" t="s">
        <v>2297</v>
      </c>
      <c r="B2171" s="4">
        <v>530.26</v>
      </c>
      <c r="C2171" s="4">
        <v>15.12</v>
      </c>
      <c r="D2171" s="4">
        <v>515.14</v>
      </c>
      <c r="E2171">
        <v>125</v>
      </c>
      <c r="F2171">
        <v>125</v>
      </c>
    </row>
    <row r="2172" spans="1:6" x14ac:dyDescent="0.25">
      <c r="A2172" t="s">
        <v>2298</v>
      </c>
      <c r="B2172" s="4">
        <v>530.19000000000005</v>
      </c>
      <c r="C2172" s="4">
        <v>0</v>
      </c>
      <c r="D2172" s="4">
        <v>530.19000000000005</v>
      </c>
      <c r="E2172">
        <v>36</v>
      </c>
      <c r="F2172">
        <v>36</v>
      </c>
    </row>
    <row r="2173" spans="1:6" x14ac:dyDescent="0.25">
      <c r="A2173" t="s">
        <v>2299</v>
      </c>
      <c r="B2173" s="4">
        <v>530.15</v>
      </c>
      <c r="C2173" s="4">
        <v>17.399999999999999</v>
      </c>
      <c r="D2173" s="4">
        <v>512.75</v>
      </c>
      <c r="E2173">
        <v>29</v>
      </c>
      <c r="F2173">
        <v>27</v>
      </c>
    </row>
    <row r="2174" spans="1:6" x14ac:dyDescent="0.25">
      <c r="A2174" t="s">
        <v>2300</v>
      </c>
      <c r="B2174" s="4">
        <v>529.21</v>
      </c>
      <c r="C2174" s="4">
        <v>0</v>
      </c>
      <c r="D2174" s="4">
        <v>529.21</v>
      </c>
      <c r="E2174">
        <v>15</v>
      </c>
      <c r="F2174">
        <v>15</v>
      </c>
    </row>
    <row r="2175" spans="1:6" x14ac:dyDescent="0.25">
      <c r="A2175" t="s">
        <v>2301</v>
      </c>
      <c r="B2175" s="4">
        <v>528.5</v>
      </c>
      <c r="C2175" s="4">
        <v>0</v>
      </c>
      <c r="D2175" s="4">
        <v>528.5</v>
      </c>
      <c r="E2175">
        <v>39</v>
      </c>
      <c r="F2175">
        <v>39</v>
      </c>
    </row>
    <row r="2176" spans="1:6" x14ac:dyDescent="0.25">
      <c r="A2176" t="s">
        <v>2302</v>
      </c>
      <c r="B2176" s="4">
        <v>528.23</v>
      </c>
      <c r="C2176" s="4">
        <v>10.199999999999999</v>
      </c>
      <c r="D2176" s="4">
        <v>518.03</v>
      </c>
      <c r="E2176">
        <v>94</v>
      </c>
      <c r="F2176">
        <v>94</v>
      </c>
    </row>
    <row r="2177" spans="1:6" x14ac:dyDescent="0.25">
      <c r="A2177" t="s">
        <v>2303</v>
      </c>
      <c r="B2177" s="4">
        <v>528.16999999999996</v>
      </c>
      <c r="C2177" s="4">
        <v>0</v>
      </c>
      <c r="D2177" s="4">
        <v>528.16999999999996</v>
      </c>
      <c r="E2177">
        <v>44</v>
      </c>
      <c r="F2177">
        <v>42</v>
      </c>
    </row>
    <row r="2178" spans="1:6" x14ac:dyDescent="0.25">
      <c r="A2178" t="s">
        <v>2304</v>
      </c>
      <c r="B2178" s="4">
        <v>527.94000000000005</v>
      </c>
      <c r="C2178" s="4">
        <v>0</v>
      </c>
      <c r="D2178" s="4">
        <v>527.94000000000005</v>
      </c>
      <c r="E2178">
        <v>49</v>
      </c>
      <c r="F2178">
        <v>49</v>
      </c>
    </row>
    <row r="2179" spans="1:6" x14ac:dyDescent="0.25">
      <c r="A2179" t="s">
        <v>2305</v>
      </c>
      <c r="B2179" s="4">
        <v>527.85</v>
      </c>
      <c r="C2179" s="4">
        <v>0</v>
      </c>
      <c r="D2179" s="4">
        <v>527.85</v>
      </c>
      <c r="E2179">
        <v>1</v>
      </c>
      <c r="F2179">
        <v>1</v>
      </c>
    </row>
    <row r="2180" spans="1:6" x14ac:dyDescent="0.25">
      <c r="A2180" t="s">
        <v>2306</v>
      </c>
      <c r="B2180" s="4">
        <v>525.94000000000005</v>
      </c>
      <c r="C2180" s="4">
        <v>17</v>
      </c>
      <c r="D2180" s="4">
        <v>508.94</v>
      </c>
      <c r="E2180">
        <v>112</v>
      </c>
      <c r="F2180">
        <v>109</v>
      </c>
    </row>
    <row r="2181" spans="1:6" x14ac:dyDescent="0.25">
      <c r="A2181" t="s">
        <v>2307</v>
      </c>
      <c r="B2181" s="4">
        <v>525.75</v>
      </c>
      <c r="C2181" s="4">
        <v>8.85</v>
      </c>
      <c r="D2181" s="4">
        <v>516.9</v>
      </c>
      <c r="E2181">
        <v>17</v>
      </c>
      <c r="F2181">
        <v>17</v>
      </c>
    </row>
    <row r="2182" spans="1:6" x14ac:dyDescent="0.25">
      <c r="A2182" t="s">
        <v>2308</v>
      </c>
      <c r="B2182" s="4">
        <v>524.54999999999995</v>
      </c>
      <c r="C2182" s="4">
        <v>7.95</v>
      </c>
      <c r="D2182" s="4">
        <v>516.6</v>
      </c>
      <c r="E2182">
        <v>46</v>
      </c>
      <c r="F2182">
        <v>45</v>
      </c>
    </row>
    <row r="2183" spans="1:6" x14ac:dyDescent="0.25">
      <c r="A2183" t="s">
        <v>2309</v>
      </c>
      <c r="B2183" s="4">
        <v>523.29999999999995</v>
      </c>
      <c r="C2183" s="4">
        <v>0</v>
      </c>
      <c r="D2183" s="4">
        <v>523.29999999999995</v>
      </c>
      <c r="E2183">
        <v>5</v>
      </c>
      <c r="F2183">
        <v>5</v>
      </c>
    </row>
    <row r="2184" spans="1:6" x14ac:dyDescent="0.25">
      <c r="A2184" t="s">
        <v>2310</v>
      </c>
      <c r="B2184" s="4">
        <v>522.92999999999995</v>
      </c>
      <c r="C2184" s="4">
        <v>0</v>
      </c>
      <c r="D2184" s="4">
        <v>522.92999999999995</v>
      </c>
      <c r="E2184">
        <v>50</v>
      </c>
      <c r="F2184">
        <v>50</v>
      </c>
    </row>
    <row r="2185" spans="1:6" x14ac:dyDescent="0.25">
      <c r="A2185" t="s">
        <v>2311</v>
      </c>
      <c r="B2185" s="4">
        <v>522.55999999999995</v>
      </c>
      <c r="C2185" s="4">
        <v>1.65</v>
      </c>
      <c r="D2185" s="4">
        <v>520.91</v>
      </c>
      <c r="E2185">
        <v>41</v>
      </c>
      <c r="F2185">
        <v>39</v>
      </c>
    </row>
    <row r="2186" spans="1:6" x14ac:dyDescent="0.25">
      <c r="A2186" t="s">
        <v>2312</v>
      </c>
      <c r="B2186" s="4">
        <v>521.33000000000004</v>
      </c>
      <c r="C2186" s="4">
        <v>0</v>
      </c>
      <c r="D2186" s="4">
        <v>521.33000000000004</v>
      </c>
      <c r="E2186">
        <v>87</v>
      </c>
      <c r="F2186">
        <v>85</v>
      </c>
    </row>
    <row r="2187" spans="1:6" x14ac:dyDescent="0.25">
      <c r="A2187" t="s">
        <v>2313</v>
      </c>
      <c r="B2187" s="4">
        <v>521.11</v>
      </c>
      <c r="C2187" s="4">
        <v>0</v>
      </c>
      <c r="D2187" s="4">
        <v>521.11</v>
      </c>
      <c r="E2187">
        <v>172</v>
      </c>
      <c r="F2187">
        <v>172</v>
      </c>
    </row>
    <row r="2188" spans="1:6" x14ac:dyDescent="0.25">
      <c r="A2188" t="s">
        <v>2314</v>
      </c>
      <c r="B2188" s="4">
        <v>519.35</v>
      </c>
      <c r="C2188" s="4">
        <v>239.7</v>
      </c>
      <c r="D2188" s="4">
        <v>279.64999999999998</v>
      </c>
      <c r="E2188">
        <v>10</v>
      </c>
      <c r="F2188">
        <v>10</v>
      </c>
    </row>
    <row r="2189" spans="1:6" x14ac:dyDescent="0.25">
      <c r="A2189" t="s">
        <v>2315</v>
      </c>
      <c r="B2189" s="4">
        <v>518.61</v>
      </c>
      <c r="C2189" s="4">
        <v>0</v>
      </c>
      <c r="D2189" s="4">
        <v>518.61</v>
      </c>
      <c r="E2189">
        <v>39</v>
      </c>
      <c r="F2189">
        <v>39</v>
      </c>
    </row>
    <row r="2190" spans="1:6" x14ac:dyDescent="0.25">
      <c r="A2190" t="s">
        <v>2316</v>
      </c>
      <c r="B2190" s="4">
        <v>517.22</v>
      </c>
      <c r="C2190" s="4">
        <v>0</v>
      </c>
      <c r="D2190" s="4">
        <v>517.22</v>
      </c>
      <c r="E2190">
        <v>66</v>
      </c>
      <c r="F2190">
        <v>63</v>
      </c>
    </row>
    <row r="2191" spans="1:6" x14ac:dyDescent="0.25">
      <c r="A2191" t="s">
        <v>2317</v>
      </c>
      <c r="B2191" s="4">
        <v>516.79</v>
      </c>
      <c r="C2191" s="4">
        <v>11.05</v>
      </c>
      <c r="D2191" s="4">
        <v>505.74</v>
      </c>
      <c r="E2191">
        <v>120</v>
      </c>
      <c r="F2191">
        <v>117</v>
      </c>
    </row>
    <row r="2192" spans="1:6" x14ac:dyDescent="0.25">
      <c r="A2192" t="s">
        <v>2318</v>
      </c>
      <c r="B2192" s="4">
        <v>513.02</v>
      </c>
      <c r="C2192" s="4">
        <v>0</v>
      </c>
      <c r="D2192" s="4">
        <v>513.02</v>
      </c>
      <c r="E2192">
        <v>36</v>
      </c>
      <c r="F2192">
        <v>36</v>
      </c>
    </row>
    <row r="2193" spans="1:6" x14ac:dyDescent="0.25">
      <c r="A2193" t="s">
        <v>2319</v>
      </c>
      <c r="B2193" s="4">
        <v>512.92999999999995</v>
      </c>
      <c r="C2193" s="4">
        <v>0</v>
      </c>
      <c r="D2193" s="4">
        <v>512.92999999999995</v>
      </c>
      <c r="E2193">
        <v>68</v>
      </c>
      <c r="F2193">
        <v>68</v>
      </c>
    </row>
    <row r="2194" spans="1:6" x14ac:dyDescent="0.25">
      <c r="A2194" t="s">
        <v>2320</v>
      </c>
      <c r="B2194" s="4">
        <v>511.89</v>
      </c>
      <c r="C2194" s="4">
        <v>0</v>
      </c>
      <c r="D2194" s="4">
        <v>511.89</v>
      </c>
      <c r="E2194">
        <v>49</v>
      </c>
      <c r="F2194">
        <v>49</v>
      </c>
    </row>
    <row r="2195" spans="1:6" x14ac:dyDescent="0.25">
      <c r="A2195" t="s">
        <v>2321</v>
      </c>
      <c r="B2195" s="4">
        <v>510.84</v>
      </c>
      <c r="C2195" s="4">
        <v>0</v>
      </c>
      <c r="D2195" s="4">
        <v>510.84</v>
      </c>
      <c r="E2195">
        <v>97</v>
      </c>
      <c r="F2195">
        <v>95</v>
      </c>
    </row>
    <row r="2196" spans="1:6" x14ac:dyDescent="0.25">
      <c r="A2196" t="s">
        <v>2322</v>
      </c>
      <c r="B2196" s="4">
        <v>509.9</v>
      </c>
      <c r="C2196" s="4">
        <v>17.5</v>
      </c>
      <c r="D2196" s="4">
        <v>492.4</v>
      </c>
      <c r="E2196">
        <v>60</v>
      </c>
      <c r="F2196">
        <v>60</v>
      </c>
    </row>
    <row r="2197" spans="1:6" x14ac:dyDescent="0.25">
      <c r="A2197" t="s">
        <v>2323</v>
      </c>
      <c r="B2197" s="4">
        <v>509.36</v>
      </c>
      <c r="C2197" s="4">
        <v>0</v>
      </c>
      <c r="D2197" s="4">
        <v>509.36</v>
      </c>
      <c r="E2197">
        <v>62</v>
      </c>
      <c r="F2197">
        <v>59</v>
      </c>
    </row>
    <row r="2198" spans="1:6" x14ac:dyDescent="0.25">
      <c r="A2198" t="s">
        <v>2324</v>
      </c>
      <c r="B2198" s="4">
        <v>509.07</v>
      </c>
      <c r="C2198" s="4">
        <v>0</v>
      </c>
      <c r="D2198" s="4">
        <v>509.07</v>
      </c>
      <c r="E2198">
        <v>43</v>
      </c>
      <c r="F2198">
        <v>43</v>
      </c>
    </row>
    <row r="2199" spans="1:6" x14ac:dyDescent="0.25">
      <c r="A2199" t="s">
        <v>2325</v>
      </c>
      <c r="B2199" s="4">
        <v>508.37</v>
      </c>
      <c r="C2199" s="4">
        <v>0</v>
      </c>
      <c r="D2199" s="4">
        <v>508.37</v>
      </c>
      <c r="E2199">
        <v>81</v>
      </c>
      <c r="F2199">
        <v>80</v>
      </c>
    </row>
    <row r="2200" spans="1:6" x14ac:dyDescent="0.25">
      <c r="A2200" t="s">
        <v>2326</v>
      </c>
      <c r="B2200" s="4">
        <v>506.96</v>
      </c>
      <c r="C2200" s="4">
        <v>6.5</v>
      </c>
      <c r="D2200" s="4">
        <v>500.46</v>
      </c>
      <c r="E2200">
        <v>47</v>
      </c>
      <c r="F2200">
        <v>46</v>
      </c>
    </row>
    <row r="2201" spans="1:6" x14ac:dyDescent="0.25">
      <c r="A2201" t="s">
        <v>2327</v>
      </c>
      <c r="B2201" s="4">
        <v>506.65</v>
      </c>
      <c r="C2201" s="4">
        <v>29.38</v>
      </c>
      <c r="D2201" s="4">
        <v>477.27</v>
      </c>
      <c r="E2201">
        <v>79</v>
      </c>
      <c r="F2201">
        <v>76</v>
      </c>
    </row>
    <row r="2202" spans="1:6" x14ac:dyDescent="0.25">
      <c r="A2202" t="s">
        <v>2328</v>
      </c>
      <c r="B2202" s="4">
        <v>505.69</v>
      </c>
      <c r="C2202" s="4">
        <v>11.25</v>
      </c>
      <c r="D2202" s="4">
        <v>494.44</v>
      </c>
      <c r="E2202">
        <v>76</v>
      </c>
      <c r="F2202">
        <v>73</v>
      </c>
    </row>
    <row r="2203" spans="1:6" x14ac:dyDescent="0.25">
      <c r="A2203" t="s">
        <v>2329</v>
      </c>
      <c r="B2203" s="4">
        <v>505.2</v>
      </c>
      <c r="C2203" s="4">
        <v>0</v>
      </c>
      <c r="D2203" s="4">
        <v>505.2</v>
      </c>
      <c r="E2203">
        <v>69</v>
      </c>
      <c r="F2203">
        <v>69</v>
      </c>
    </row>
    <row r="2204" spans="1:6" x14ac:dyDescent="0.25">
      <c r="A2204" t="s">
        <v>2330</v>
      </c>
      <c r="B2204" s="4">
        <v>504.97</v>
      </c>
      <c r="C2204" s="4">
        <v>0</v>
      </c>
      <c r="D2204" s="4">
        <v>504.97</v>
      </c>
      <c r="E2204">
        <v>28</v>
      </c>
      <c r="F2204">
        <v>27</v>
      </c>
    </row>
    <row r="2205" spans="1:6" x14ac:dyDescent="0.25">
      <c r="A2205" t="s">
        <v>2331</v>
      </c>
      <c r="B2205" s="4">
        <v>504.88</v>
      </c>
      <c r="C2205" s="4">
        <v>0</v>
      </c>
      <c r="D2205" s="4">
        <v>504.88</v>
      </c>
      <c r="E2205">
        <v>23</v>
      </c>
      <c r="F2205">
        <v>22</v>
      </c>
    </row>
    <row r="2206" spans="1:6" x14ac:dyDescent="0.25">
      <c r="A2206" t="s">
        <v>2332</v>
      </c>
      <c r="B2206" s="4">
        <v>504.43</v>
      </c>
      <c r="C2206" s="4">
        <v>23.8</v>
      </c>
      <c r="D2206" s="4">
        <v>480.63</v>
      </c>
      <c r="E2206">
        <v>31</v>
      </c>
      <c r="F2206">
        <v>31</v>
      </c>
    </row>
    <row r="2207" spans="1:6" x14ac:dyDescent="0.25">
      <c r="A2207" t="s">
        <v>2333</v>
      </c>
      <c r="B2207" s="4">
        <v>504.32</v>
      </c>
      <c r="C2207" s="4">
        <v>89.85</v>
      </c>
      <c r="D2207" s="4">
        <v>414.47</v>
      </c>
      <c r="E2207">
        <v>9</v>
      </c>
      <c r="F2207">
        <v>9</v>
      </c>
    </row>
    <row r="2208" spans="1:6" x14ac:dyDescent="0.25">
      <c r="A2208" t="s">
        <v>2334</v>
      </c>
      <c r="B2208" s="4">
        <v>503.75</v>
      </c>
      <c r="C2208" s="4">
        <v>7.5</v>
      </c>
      <c r="D2208" s="4">
        <v>496.25</v>
      </c>
      <c r="E2208">
        <v>66</v>
      </c>
      <c r="F2208">
        <v>65</v>
      </c>
    </row>
    <row r="2209" spans="1:6" x14ac:dyDescent="0.25">
      <c r="A2209" t="s">
        <v>2335</v>
      </c>
      <c r="B2209" s="4">
        <v>502.69</v>
      </c>
      <c r="C2209" s="4">
        <v>0</v>
      </c>
      <c r="D2209" s="4">
        <v>502.69</v>
      </c>
      <c r="E2209">
        <v>52</v>
      </c>
      <c r="F2209">
        <v>51</v>
      </c>
    </row>
    <row r="2210" spans="1:6" x14ac:dyDescent="0.25">
      <c r="A2210" t="s">
        <v>2336</v>
      </c>
      <c r="B2210" s="4">
        <v>502.07</v>
      </c>
      <c r="C2210" s="4">
        <v>0</v>
      </c>
      <c r="D2210" s="4">
        <v>502.07</v>
      </c>
      <c r="E2210">
        <v>27</v>
      </c>
      <c r="F2210">
        <v>26</v>
      </c>
    </row>
    <row r="2211" spans="1:6" x14ac:dyDescent="0.25">
      <c r="A2211" t="s">
        <v>2337</v>
      </c>
      <c r="B2211" s="4">
        <v>501.98</v>
      </c>
      <c r="C2211" s="4">
        <v>0</v>
      </c>
      <c r="D2211" s="4">
        <v>501.98</v>
      </c>
      <c r="E2211">
        <v>45</v>
      </c>
      <c r="F2211">
        <v>45</v>
      </c>
    </row>
    <row r="2212" spans="1:6" x14ac:dyDescent="0.25">
      <c r="A2212" t="s">
        <v>2338</v>
      </c>
      <c r="B2212" s="4">
        <v>501.49</v>
      </c>
      <c r="C2212" s="4">
        <v>8.4</v>
      </c>
      <c r="D2212" s="4">
        <v>493.09</v>
      </c>
      <c r="E2212">
        <v>112</v>
      </c>
      <c r="F2212">
        <v>111</v>
      </c>
    </row>
    <row r="2213" spans="1:6" x14ac:dyDescent="0.25">
      <c r="A2213" t="s">
        <v>2339</v>
      </c>
      <c r="B2213" s="4">
        <v>501.44</v>
      </c>
      <c r="C2213" s="4">
        <v>3.75</v>
      </c>
      <c r="D2213" s="4">
        <v>497.69</v>
      </c>
      <c r="E2213">
        <v>85</v>
      </c>
      <c r="F2213">
        <v>85</v>
      </c>
    </row>
    <row r="2214" spans="1:6" x14ac:dyDescent="0.25">
      <c r="A2214" t="s">
        <v>2340</v>
      </c>
      <c r="B2214" s="4">
        <v>501.27</v>
      </c>
      <c r="C2214" s="4">
        <v>8.5</v>
      </c>
      <c r="D2214" s="4">
        <v>492.77</v>
      </c>
      <c r="E2214">
        <v>82</v>
      </c>
      <c r="F2214">
        <v>81</v>
      </c>
    </row>
    <row r="2215" spans="1:6" x14ac:dyDescent="0.25">
      <c r="A2215" t="s">
        <v>2341</v>
      </c>
      <c r="B2215" s="4">
        <v>501.23</v>
      </c>
      <c r="C2215" s="4">
        <v>4.95</v>
      </c>
      <c r="D2215" s="4">
        <v>496.28</v>
      </c>
      <c r="E2215">
        <v>45</v>
      </c>
      <c r="F2215">
        <v>45</v>
      </c>
    </row>
    <row r="2216" spans="1:6" x14ac:dyDescent="0.25">
      <c r="A2216" t="s">
        <v>2342</v>
      </c>
      <c r="B2216" s="4">
        <v>501.07</v>
      </c>
      <c r="C2216" s="4">
        <v>0</v>
      </c>
      <c r="D2216" s="4">
        <v>501.07</v>
      </c>
      <c r="E2216">
        <v>60</v>
      </c>
      <c r="F2216">
        <v>57</v>
      </c>
    </row>
    <row r="2217" spans="1:6" x14ac:dyDescent="0.25">
      <c r="A2217" t="s">
        <v>2343</v>
      </c>
      <c r="B2217" s="4">
        <v>500.91</v>
      </c>
      <c r="C2217" s="4">
        <v>22.95</v>
      </c>
      <c r="D2217" s="4">
        <v>477.96</v>
      </c>
      <c r="E2217">
        <v>57</v>
      </c>
      <c r="F2217">
        <v>57</v>
      </c>
    </row>
    <row r="2218" spans="1:6" x14ac:dyDescent="0.25">
      <c r="A2218" t="s">
        <v>2344</v>
      </c>
      <c r="B2218" s="4">
        <v>499.08</v>
      </c>
      <c r="C2218" s="4">
        <v>2.9</v>
      </c>
      <c r="D2218" s="4">
        <v>496.18</v>
      </c>
      <c r="E2218">
        <v>65</v>
      </c>
      <c r="F2218">
        <v>65</v>
      </c>
    </row>
    <row r="2219" spans="1:6" x14ac:dyDescent="0.25">
      <c r="A2219" t="s">
        <v>2345</v>
      </c>
      <c r="B2219" s="4">
        <v>498.5</v>
      </c>
      <c r="C2219" s="4">
        <v>10.5</v>
      </c>
      <c r="D2219" s="4">
        <v>488</v>
      </c>
      <c r="E2219">
        <v>40</v>
      </c>
      <c r="F2219">
        <v>40</v>
      </c>
    </row>
    <row r="2220" spans="1:6" x14ac:dyDescent="0.25">
      <c r="A2220" t="s">
        <v>2346</v>
      </c>
      <c r="B2220" s="4">
        <v>498.03</v>
      </c>
      <c r="C2220" s="4">
        <v>8.25</v>
      </c>
      <c r="D2220" s="4">
        <v>489.78</v>
      </c>
      <c r="E2220">
        <v>27</v>
      </c>
      <c r="F2220">
        <v>27</v>
      </c>
    </row>
    <row r="2221" spans="1:6" x14ac:dyDescent="0.25">
      <c r="A2221" t="s">
        <v>2347</v>
      </c>
      <c r="B2221" s="4">
        <v>497.98</v>
      </c>
      <c r="C2221" s="4">
        <v>83</v>
      </c>
      <c r="D2221" s="4">
        <v>414.98</v>
      </c>
      <c r="E2221">
        <v>25</v>
      </c>
      <c r="F2221">
        <v>25</v>
      </c>
    </row>
    <row r="2222" spans="1:6" x14ac:dyDescent="0.25">
      <c r="A2222" t="s">
        <v>2348</v>
      </c>
      <c r="B2222" s="4">
        <v>496.99</v>
      </c>
      <c r="C2222" s="4">
        <v>0</v>
      </c>
      <c r="D2222" s="4">
        <v>496.99</v>
      </c>
      <c r="E2222">
        <v>65</v>
      </c>
      <c r="F2222">
        <v>62</v>
      </c>
    </row>
    <row r="2223" spans="1:6" x14ac:dyDescent="0.25">
      <c r="A2223" t="s">
        <v>2349</v>
      </c>
      <c r="B2223" s="4">
        <v>496.49</v>
      </c>
      <c r="C2223" s="4">
        <v>0</v>
      </c>
      <c r="D2223" s="4">
        <v>496.49</v>
      </c>
      <c r="E2223">
        <v>66</v>
      </c>
      <c r="F2223">
        <v>66</v>
      </c>
    </row>
    <row r="2224" spans="1:6" x14ac:dyDescent="0.25">
      <c r="A2224" t="s">
        <v>2350</v>
      </c>
      <c r="B2224" s="4">
        <v>495.2</v>
      </c>
      <c r="C2224" s="4">
        <v>3.75</v>
      </c>
      <c r="D2224" s="4">
        <v>491.45</v>
      </c>
      <c r="E2224">
        <v>54</v>
      </c>
      <c r="F2224">
        <v>54</v>
      </c>
    </row>
    <row r="2225" spans="1:6" x14ac:dyDescent="0.25">
      <c r="A2225" t="s">
        <v>2351</v>
      </c>
      <c r="B2225" s="4">
        <v>494.54</v>
      </c>
      <c r="C2225" s="4">
        <v>0</v>
      </c>
      <c r="D2225" s="4">
        <v>494.54</v>
      </c>
      <c r="E2225">
        <v>109</v>
      </c>
      <c r="F2225">
        <v>108</v>
      </c>
    </row>
    <row r="2226" spans="1:6" x14ac:dyDescent="0.25">
      <c r="A2226" t="s">
        <v>2352</v>
      </c>
      <c r="B2226" s="4">
        <v>493.08</v>
      </c>
      <c r="C2226" s="4">
        <v>153</v>
      </c>
      <c r="D2226" s="4">
        <v>340.08</v>
      </c>
      <c r="E2226">
        <v>55</v>
      </c>
      <c r="F2226">
        <v>54</v>
      </c>
    </row>
    <row r="2227" spans="1:6" x14ac:dyDescent="0.25">
      <c r="A2227" t="s">
        <v>2353</v>
      </c>
      <c r="B2227" s="4">
        <v>493.01</v>
      </c>
      <c r="C2227" s="4">
        <v>0.65</v>
      </c>
      <c r="D2227" s="4">
        <v>492.36</v>
      </c>
      <c r="E2227">
        <v>42</v>
      </c>
      <c r="F2227">
        <v>42</v>
      </c>
    </row>
    <row r="2228" spans="1:6" x14ac:dyDescent="0.25">
      <c r="A2228" t="s">
        <v>2354</v>
      </c>
      <c r="B2228" s="4">
        <v>492.79</v>
      </c>
      <c r="C2228" s="4">
        <v>0</v>
      </c>
      <c r="D2228" s="4">
        <v>492.79</v>
      </c>
      <c r="E2228">
        <v>59</v>
      </c>
      <c r="F2228">
        <v>59</v>
      </c>
    </row>
    <row r="2229" spans="1:6" x14ac:dyDescent="0.25">
      <c r="A2229" t="s">
        <v>2355</v>
      </c>
      <c r="B2229" s="4">
        <v>489.74</v>
      </c>
      <c r="C2229" s="4">
        <v>0</v>
      </c>
      <c r="D2229" s="4">
        <v>489.74</v>
      </c>
      <c r="E2229">
        <v>24</v>
      </c>
      <c r="F2229">
        <v>24</v>
      </c>
    </row>
    <row r="2230" spans="1:6" x14ac:dyDescent="0.25">
      <c r="A2230" t="s">
        <v>2356</v>
      </c>
      <c r="B2230" s="4">
        <v>489.17</v>
      </c>
      <c r="C2230" s="4">
        <v>18.39</v>
      </c>
      <c r="D2230" s="4">
        <v>470.78</v>
      </c>
      <c r="E2230">
        <v>72</v>
      </c>
      <c r="F2230">
        <v>72</v>
      </c>
    </row>
    <row r="2231" spans="1:6" x14ac:dyDescent="0.25">
      <c r="A2231" t="s">
        <v>2357</v>
      </c>
      <c r="B2231" s="4">
        <v>488.89</v>
      </c>
      <c r="C2231" s="4">
        <v>0</v>
      </c>
      <c r="D2231" s="4">
        <v>488.89</v>
      </c>
      <c r="E2231">
        <v>64</v>
      </c>
      <c r="F2231">
        <v>62</v>
      </c>
    </row>
    <row r="2232" spans="1:6" x14ac:dyDescent="0.25">
      <c r="A2232" t="s">
        <v>2358</v>
      </c>
      <c r="B2232" s="4">
        <v>487.11</v>
      </c>
      <c r="C2232" s="4">
        <v>0</v>
      </c>
      <c r="D2232" s="4">
        <v>487.11</v>
      </c>
      <c r="E2232">
        <v>26</v>
      </c>
      <c r="F2232">
        <v>25</v>
      </c>
    </row>
    <row r="2233" spans="1:6" x14ac:dyDescent="0.25">
      <c r="A2233" t="s">
        <v>2359</v>
      </c>
      <c r="B2233" s="4">
        <v>486.5</v>
      </c>
      <c r="C2233" s="4">
        <v>0</v>
      </c>
      <c r="D2233" s="4">
        <v>486.5</v>
      </c>
      <c r="E2233">
        <v>134</v>
      </c>
      <c r="F2233">
        <v>121</v>
      </c>
    </row>
    <row r="2234" spans="1:6" x14ac:dyDescent="0.25">
      <c r="A2234" t="s">
        <v>2360</v>
      </c>
      <c r="B2234" s="4">
        <v>486.01</v>
      </c>
      <c r="C2234" s="4">
        <v>0</v>
      </c>
      <c r="D2234" s="4">
        <v>486.01</v>
      </c>
      <c r="E2234">
        <v>140</v>
      </c>
      <c r="F2234">
        <v>136</v>
      </c>
    </row>
    <row r="2235" spans="1:6" x14ac:dyDescent="0.25">
      <c r="A2235" t="s">
        <v>2361</v>
      </c>
      <c r="B2235" s="4">
        <v>484.63</v>
      </c>
      <c r="C2235" s="4">
        <v>23.8</v>
      </c>
      <c r="D2235" s="4">
        <v>460.83</v>
      </c>
      <c r="E2235">
        <v>32</v>
      </c>
      <c r="F2235">
        <v>31</v>
      </c>
    </row>
    <row r="2236" spans="1:6" x14ac:dyDescent="0.25">
      <c r="A2236" t="s">
        <v>2362</v>
      </c>
      <c r="B2236" s="4">
        <v>484.35</v>
      </c>
      <c r="C2236" s="4">
        <v>0</v>
      </c>
      <c r="D2236" s="4">
        <v>484.35</v>
      </c>
      <c r="E2236">
        <v>86</v>
      </c>
      <c r="F2236">
        <v>85</v>
      </c>
    </row>
    <row r="2237" spans="1:6" x14ac:dyDescent="0.25">
      <c r="A2237" t="s">
        <v>2363</v>
      </c>
      <c r="B2237" s="4">
        <v>483.03</v>
      </c>
      <c r="C2237" s="4">
        <v>0</v>
      </c>
      <c r="D2237" s="4">
        <v>483.03</v>
      </c>
      <c r="E2237">
        <v>40</v>
      </c>
      <c r="F2237">
        <v>40</v>
      </c>
    </row>
    <row r="2238" spans="1:6" x14ac:dyDescent="0.25">
      <c r="A2238" t="s">
        <v>2364</v>
      </c>
      <c r="B2238" s="4">
        <v>481.95</v>
      </c>
      <c r="C2238" s="4">
        <v>0</v>
      </c>
      <c r="D2238" s="4">
        <v>481.95</v>
      </c>
      <c r="E2238">
        <v>28</v>
      </c>
      <c r="F2238">
        <v>28</v>
      </c>
    </row>
    <row r="2239" spans="1:6" x14ac:dyDescent="0.25">
      <c r="A2239" t="s">
        <v>2365</v>
      </c>
      <c r="B2239" s="4">
        <v>481.88</v>
      </c>
      <c r="C2239" s="4">
        <v>2.5499999999999998</v>
      </c>
      <c r="D2239" s="4">
        <v>479.33</v>
      </c>
      <c r="E2239">
        <v>52</v>
      </c>
      <c r="F2239">
        <v>52</v>
      </c>
    </row>
    <row r="2240" spans="1:6" x14ac:dyDescent="0.25">
      <c r="A2240" t="s">
        <v>2366</v>
      </c>
      <c r="B2240" s="4">
        <v>481.5</v>
      </c>
      <c r="C2240" s="4">
        <v>0</v>
      </c>
      <c r="D2240" s="4">
        <v>481.5</v>
      </c>
      <c r="E2240">
        <v>38</v>
      </c>
      <c r="F2240">
        <v>38</v>
      </c>
    </row>
    <row r="2241" spans="1:6" x14ac:dyDescent="0.25">
      <c r="A2241" t="s">
        <v>2367</v>
      </c>
      <c r="B2241" s="4">
        <v>480.92</v>
      </c>
      <c r="C2241" s="4">
        <v>13.53</v>
      </c>
      <c r="D2241" s="4">
        <v>467.39</v>
      </c>
      <c r="E2241">
        <v>104</v>
      </c>
      <c r="F2241">
        <v>101</v>
      </c>
    </row>
    <row r="2242" spans="1:6" x14ac:dyDescent="0.25">
      <c r="A2242" t="s">
        <v>2368</v>
      </c>
      <c r="B2242" s="4">
        <v>480.75</v>
      </c>
      <c r="C2242" s="4">
        <v>0</v>
      </c>
      <c r="D2242" s="4">
        <v>480.75</v>
      </c>
      <c r="E2242">
        <v>30</v>
      </c>
      <c r="F2242">
        <v>26</v>
      </c>
    </row>
    <row r="2243" spans="1:6" x14ac:dyDescent="0.25">
      <c r="A2243" t="s">
        <v>2369</v>
      </c>
      <c r="B2243" s="4">
        <v>480.5</v>
      </c>
      <c r="C2243" s="4">
        <v>6.3</v>
      </c>
      <c r="D2243" s="4">
        <v>474.2</v>
      </c>
      <c r="E2243">
        <v>31</v>
      </c>
      <c r="F2243">
        <v>31</v>
      </c>
    </row>
    <row r="2244" spans="1:6" x14ac:dyDescent="0.25">
      <c r="A2244" t="s">
        <v>2370</v>
      </c>
      <c r="B2244" s="4">
        <v>480.17</v>
      </c>
      <c r="C2244" s="4">
        <v>0</v>
      </c>
      <c r="D2244" s="4">
        <v>480.17</v>
      </c>
      <c r="E2244">
        <v>40</v>
      </c>
      <c r="F2244">
        <v>40</v>
      </c>
    </row>
    <row r="2245" spans="1:6" x14ac:dyDescent="0.25">
      <c r="A2245" t="s">
        <v>2371</v>
      </c>
      <c r="B2245" s="4">
        <v>478.83</v>
      </c>
      <c r="C2245" s="4">
        <v>1.69</v>
      </c>
      <c r="D2245" s="4">
        <v>477.14</v>
      </c>
      <c r="E2245">
        <v>76</v>
      </c>
      <c r="F2245">
        <v>76</v>
      </c>
    </row>
    <row r="2246" spans="1:6" x14ac:dyDescent="0.25">
      <c r="A2246" t="s">
        <v>2372</v>
      </c>
      <c r="B2246" s="4">
        <v>478.72</v>
      </c>
      <c r="C2246" s="4">
        <v>28.56</v>
      </c>
      <c r="D2246" s="4">
        <v>450.16</v>
      </c>
      <c r="E2246">
        <v>41</v>
      </c>
      <c r="F2246">
        <v>40</v>
      </c>
    </row>
    <row r="2247" spans="1:6" x14ac:dyDescent="0.25">
      <c r="A2247" t="s">
        <v>2373</v>
      </c>
      <c r="B2247" s="4">
        <v>477.89</v>
      </c>
      <c r="C2247" s="4">
        <v>0</v>
      </c>
      <c r="D2247" s="4">
        <v>477.89</v>
      </c>
      <c r="E2247">
        <v>47</v>
      </c>
      <c r="F2247">
        <v>47</v>
      </c>
    </row>
    <row r="2248" spans="1:6" x14ac:dyDescent="0.25">
      <c r="A2248" t="s">
        <v>2374</v>
      </c>
      <c r="B2248" s="4">
        <v>477.34</v>
      </c>
      <c r="C2248" s="4">
        <v>0</v>
      </c>
      <c r="D2248" s="4">
        <v>477.34</v>
      </c>
      <c r="E2248">
        <v>91</v>
      </c>
      <c r="F2248">
        <v>88</v>
      </c>
    </row>
    <row r="2249" spans="1:6" x14ac:dyDescent="0.25">
      <c r="A2249" t="s">
        <v>2375</v>
      </c>
      <c r="B2249" s="4">
        <v>476.41</v>
      </c>
      <c r="C2249" s="4">
        <v>0</v>
      </c>
      <c r="D2249" s="4">
        <v>476.41</v>
      </c>
      <c r="E2249">
        <v>37</v>
      </c>
      <c r="F2249">
        <v>37</v>
      </c>
    </row>
    <row r="2250" spans="1:6" x14ac:dyDescent="0.25">
      <c r="A2250" t="s">
        <v>2376</v>
      </c>
      <c r="B2250" s="4">
        <v>476</v>
      </c>
      <c r="C2250" s="4">
        <v>0</v>
      </c>
      <c r="D2250" s="4">
        <v>476</v>
      </c>
      <c r="E2250">
        <v>16</v>
      </c>
      <c r="F2250">
        <v>16</v>
      </c>
    </row>
    <row r="2251" spans="1:6" x14ac:dyDescent="0.25">
      <c r="A2251" t="s">
        <v>2377</v>
      </c>
      <c r="B2251" s="4">
        <v>475.18</v>
      </c>
      <c r="C2251" s="4">
        <v>0</v>
      </c>
      <c r="D2251" s="4">
        <v>475.18</v>
      </c>
      <c r="E2251">
        <v>89</v>
      </c>
      <c r="F2251">
        <v>88</v>
      </c>
    </row>
    <row r="2252" spans="1:6" x14ac:dyDescent="0.25">
      <c r="A2252" t="s">
        <v>2378</v>
      </c>
      <c r="B2252" s="4">
        <v>471.86</v>
      </c>
      <c r="C2252" s="4">
        <v>17</v>
      </c>
      <c r="D2252" s="4">
        <v>454.86</v>
      </c>
      <c r="E2252">
        <v>35</v>
      </c>
      <c r="F2252">
        <v>35</v>
      </c>
    </row>
    <row r="2253" spans="1:6" x14ac:dyDescent="0.25">
      <c r="A2253" t="s">
        <v>2379</v>
      </c>
      <c r="B2253" s="4">
        <v>470.17</v>
      </c>
      <c r="C2253" s="4">
        <v>0</v>
      </c>
      <c r="D2253" s="4">
        <v>470.17</v>
      </c>
      <c r="E2253">
        <v>47</v>
      </c>
      <c r="F2253">
        <v>46</v>
      </c>
    </row>
    <row r="2254" spans="1:6" x14ac:dyDescent="0.25">
      <c r="A2254" t="s">
        <v>2380</v>
      </c>
      <c r="B2254" s="4">
        <v>469.9</v>
      </c>
      <c r="C2254" s="4">
        <v>11.8</v>
      </c>
      <c r="D2254" s="4">
        <v>458.1</v>
      </c>
      <c r="E2254">
        <v>49</v>
      </c>
      <c r="F2254">
        <v>47</v>
      </c>
    </row>
    <row r="2255" spans="1:6" x14ac:dyDescent="0.25">
      <c r="A2255" t="s">
        <v>2381</v>
      </c>
      <c r="B2255" s="4">
        <v>469.63</v>
      </c>
      <c r="C2255" s="4">
        <v>0</v>
      </c>
      <c r="D2255" s="4">
        <v>469.63</v>
      </c>
      <c r="E2255">
        <v>74</v>
      </c>
      <c r="F2255">
        <v>73</v>
      </c>
    </row>
    <row r="2256" spans="1:6" x14ac:dyDescent="0.25">
      <c r="A2256" t="s">
        <v>2382</v>
      </c>
      <c r="B2256" s="4">
        <v>468.39</v>
      </c>
      <c r="C2256" s="4">
        <v>1.25</v>
      </c>
      <c r="D2256" s="4">
        <v>467.14</v>
      </c>
      <c r="E2256">
        <v>149</v>
      </c>
      <c r="F2256">
        <v>149</v>
      </c>
    </row>
    <row r="2257" spans="1:6" x14ac:dyDescent="0.25">
      <c r="A2257" t="s">
        <v>2383</v>
      </c>
      <c r="B2257" s="4">
        <v>466.99</v>
      </c>
      <c r="C2257" s="4">
        <v>0</v>
      </c>
      <c r="D2257" s="4">
        <v>466.99</v>
      </c>
      <c r="E2257">
        <v>95</v>
      </c>
      <c r="F2257">
        <v>95</v>
      </c>
    </row>
    <row r="2258" spans="1:6" x14ac:dyDescent="0.25">
      <c r="A2258" t="s">
        <v>2384</v>
      </c>
      <c r="B2258" s="4">
        <v>466.53</v>
      </c>
      <c r="C2258" s="4">
        <v>0</v>
      </c>
      <c r="D2258" s="4">
        <v>466.53</v>
      </c>
      <c r="E2258">
        <v>39</v>
      </c>
      <c r="F2258">
        <v>39</v>
      </c>
    </row>
    <row r="2259" spans="1:6" x14ac:dyDescent="0.25">
      <c r="A2259" t="s">
        <v>2385</v>
      </c>
      <c r="B2259" s="4">
        <v>466.3</v>
      </c>
      <c r="C2259" s="4">
        <v>0</v>
      </c>
      <c r="D2259" s="4">
        <v>466.3</v>
      </c>
      <c r="E2259">
        <v>27</v>
      </c>
      <c r="F2259">
        <v>27</v>
      </c>
    </row>
    <row r="2260" spans="1:6" x14ac:dyDescent="0.25">
      <c r="A2260" t="s">
        <v>2386</v>
      </c>
      <c r="B2260" s="4">
        <v>466.18</v>
      </c>
      <c r="C2260" s="4">
        <v>17.399999999999999</v>
      </c>
      <c r="D2260" s="4">
        <v>448.78</v>
      </c>
      <c r="E2260">
        <v>45</v>
      </c>
      <c r="F2260">
        <v>45</v>
      </c>
    </row>
    <row r="2261" spans="1:6" x14ac:dyDescent="0.25">
      <c r="A2261" t="s">
        <v>2387</v>
      </c>
      <c r="B2261" s="4">
        <v>465.36</v>
      </c>
      <c r="C2261" s="4">
        <v>0</v>
      </c>
      <c r="D2261" s="4">
        <v>465.36</v>
      </c>
      <c r="E2261">
        <v>77</v>
      </c>
      <c r="F2261">
        <v>76</v>
      </c>
    </row>
    <row r="2262" spans="1:6" x14ac:dyDescent="0.25">
      <c r="A2262" t="s">
        <v>2388</v>
      </c>
      <c r="B2262" s="4">
        <v>463.79</v>
      </c>
      <c r="C2262" s="4">
        <v>0</v>
      </c>
      <c r="D2262" s="4">
        <v>463.79</v>
      </c>
      <c r="E2262">
        <v>46</v>
      </c>
      <c r="F2262">
        <v>46</v>
      </c>
    </row>
    <row r="2263" spans="1:6" x14ac:dyDescent="0.25">
      <c r="A2263" t="s">
        <v>2389</v>
      </c>
      <c r="B2263" s="4">
        <v>462.33</v>
      </c>
      <c r="C2263" s="4">
        <v>0</v>
      </c>
      <c r="D2263" s="4">
        <v>462.33</v>
      </c>
      <c r="E2263">
        <v>73</v>
      </c>
      <c r="F2263">
        <v>69</v>
      </c>
    </row>
    <row r="2264" spans="1:6" x14ac:dyDescent="0.25">
      <c r="A2264" t="s">
        <v>2390</v>
      </c>
      <c r="B2264" s="4">
        <v>461.45</v>
      </c>
      <c r="C2264" s="4">
        <v>10.199999999999999</v>
      </c>
      <c r="D2264" s="4">
        <v>451.25</v>
      </c>
      <c r="E2264">
        <v>57</v>
      </c>
      <c r="F2264">
        <v>57</v>
      </c>
    </row>
    <row r="2265" spans="1:6" x14ac:dyDescent="0.25">
      <c r="A2265" t="s">
        <v>2391</v>
      </c>
      <c r="B2265" s="4">
        <v>460.64</v>
      </c>
      <c r="C2265" s="4">
        <v>0</v>
      </c>
      <c r="D2265" s="4">
        <v>460.64</v>
      </c>
      <c r="E2265">
        <v>25</v>
      </c>
      <c r="F2265">
        <v>25</v>
      </c>
    </row>
    <row r="2266" spans="1:6" x14ac:dyDescent="0.25">
      <c r="A2266" t="s">
        <v>2392</v>
      </c>
      <c r="B2266" s="4">
        <v>460.58</v>
      </c>
      <c r="C2266" s="4">
        <v>0</v>
      </c>
      <c r="D2266" s="4">
        <v>460.58</v>
      </c>
      <c r="E2266">
        <v>46</v>
      </c>
      <c r="F2266">
        <v>46</v>
      </c>
    </row>
    <row r="2267" spans="1:6" x14ac:dyDescent="0.25">
      <c r="A2267" t="s">
        <v>2393</v>
      </c>
      <c r="B2267" s="4">
        <v>460.38</v>
      </c>
      <c r="C2267" s="4">
        <v>0</v>
      </c>
      <c r="D2267" s="4">
        <v>460.38</v>
      </c>
      <c r="E2267">
        <v>77</v>
      </c>
      <c r="F2267">
        <v>76</v>
      </c>
    </row>
    <row r="2268" spans="1:6" x14ac:dyDescent="0.25">
      <c r="A2268" t="s">
        <v>2394</v>
      </c>
      <c r="B2268" s="4">
        <v>458.31</v>
      </c>
      <c r="C2268" s="4">
        <v>0</v>
      </c>
      <c r="D2268" s="4">
        <v>458.31</v>
      </c>
      <c r="E2268">
        <v>102</v>
      </c>
      <c r="F2268">
        <v>102</v>
      </c>
    </row>
    <row r="2269" spans="1:6" x14ac:dyDescent="0.25">
      <c r="A2269" t="s">
        <v>2395</v>
      </c>
      <c r="B2269" s="4">
        <v>458.23</v>
      </c>
      <c r="C2269" s="4">
        <v>0</v>
      </c>
      <c r="D2269" s="4">
        <v>458.23</v>
      </c>
      <c r="E2269">
        <v>75</v>
      </c>
      <c r="F2269">
        <v>74</v>
      </c>
    </row>
    <row r="2270" spans="1:6" x14ac:dyDescent="0.25">
      <c r="A2270" t="s">
        <v>2396</v>
      </c>
      <c r="B2270" s="4">
        <v>457.62</v>
      </c>
      <c r="C2270" s="4">
        <v>3.3</v>
      </c>
      <c r="D2270" s="4">
        <v>454.32</v>
      </c>
      <c r="E2270">
        <v>27</v>
      </c>
      <c r="F2270">
        <v>25</v>
      </c>
    </row>
    <row r="2271" spans="1:6" x14ac:dyDescent="0.25">
      <c r="A2271" t="s">
        <v>2397</v>
      </c>
      <c r="B2271" s="4">
        <v>457.51</v>
      </c>
      <c r="C2271" s="4">
        <v>0</v>
      </c>
      <c r="D2271" s="4">
        <v>457.51</v>
      </c>
      <c r="E2271">
        <v>90</v>
      </c>
      <c r="F2271">
        <v>89</v>
      </c>
    </row>
    <row r="2272" spans="1:6" x14ac:dyDescent="0.25">
      <c r="A2272" t="s">
        <v>2398</v>
      </c>
      <c r="B2272" s="4">
        <v>455.98</v>
      </c>
      <c r="C2272" s="4">
        <v>0</v>
      </c>
      <c r="D2272" s="4">
        <v>455.98</v>
      </c>
      <c r="E2272">
        <v>24</v>
      </c>
      <c r="F2272">
        <v>24</v>
      </c>
    </row>
    <row r="2273" spans="1:6" x14ac:dyDescent="0.25">
      <c r="A2273" t="s">
        <v>2399</v>
      </c>
      <c r="B2273" s="4">
        <v>454.99</v>
      </c>
      <c r="C2273" s="4">
        <v>0</v>
      </c>
      <c r="D2273" s="4">
        <v>454.99</v>
      </c>
      <c r="E2273">
        <v>63</v>
      </c>
      <c r="F2273">
        <v>63</v>
      </c>
    </row>
    <row r="2274" spans="1:6" x14ac:dyDescent="0.25">
      <c r="A2274" t="s">
        <v>2400</v>
      </c>
      <c r="B2274" s="4">
        <v>454.65</v>
      </c>
      <c r="C2274" s="4">
        <v>3.9</v>
      </c>
      <c r="D2274" s="4">
        <v>450.75</v>
      </c>
      <c r="E2274">
        <v>21</v>
      </c>
      <c r="F2274">
        <v>21</v>
      </c>
    </row>
    <row r="2275" spans="1:6" x14ac:dyDescent="0.25">
      <c r="A2275" t="s">
        <v>2401</v>
      </c>
      <c r="B2275" s="4">
        <v>454.42</v>
      </c>
      <c r="C2275" s="4">
        <v>0</v>
      </c>
      <c r="D2275" s="4">
        <v>454.42</v>
      </c>
      <c r="E2275">
        <v>48</v>
      </c>
      <c r="F2275">
        <v>46</v>
      </c>
    </row>
    <row r="2276" spans="1:6" x14ac:dyDescent="0.25">
      <c r="A2276" t="s">
        <v>2402</v>
      </c>
      <c r="B2276" s="4">
        <v>453.73</v>
      </c>
      <c r="C2276" s="4">
        <v>0</v>
      </c>
      <c r="D2276" s="4">
        <v>453.73</v>
      </c>
      <c r="E2276">
        <v>49</v>
      </c>
      <c r="F2276">
        <v>48</v>
      </c>
    </row>
    <row r="2277" spans="1:6" x14ac:dyDescent="0.25">
      <c r="A2277" t="s">
        <v>2403</v>
      </c>
      <c r="B2277" s="4">
        <v>453.39</v>
      </c>
      <c r="C2277" s="4">
        <v>0</v>
      </c>
      <c r="D2277" s="4">
        <v>453.39</v>
      </c>
      <c r="E2277">
        <v>29</v>
      </c>
      <c r="F2277">
        <v>29</v>
      </c>
    </row>
    <row r="2278" spans="1:6" x14ac:dyDescent="0.25">
      <c r="A2278" t="s">
        <v>2404</v>
      </c>
      <c r="B2278" s="4">
        <v>452.86</v>
      </c>
      <c r="C2278" s="4">
        <v>15</v>
      </c>
      <c r="D2278" s="4">
        <v>437.86</v>
      </c>
      <c r="E2278">
        <v>46</v>
      </c>
      <c r="F2278">
        <v>46</v>
      </c>
    </row>
    <row r="2279" spans="1:6" x14ac:dyDescent="0.25">
      <c r="A2279" t="s">
        <v>2405</v>
      </c>
      <c r="B2279" s="4">
        <v>452.72</v>
      </c>
      <c r="C2279" s="4">
        <v>0</v>
      </c>
      <c r="D2279" s="4">
        <v>452.72</v>
      </c>
      <c r="E2279">
        <v>68</v>
      </c>
      <c r="F2279">
        <v>65</v>
      </c>
    </row>
    <row r="2280" spans="1:6" x14ac:dyDescent="0.25">
      <c r="A2280" t="s">
        <v>2406</v>
      </c>
      <c r="B2280" s="4">
        <v>451.7</v>
      </c>
      <c r="C2280" s="4">
        <v>0</v>
      </c>
      <c r="D2280" s="4">
        <v>451.7</v>
      </c>
      <c r="E2280">
        <v>83</v>
      </c>
      <c r="F2280">
        <v>83</v>
      </c>
    </row>
    <row r="2281" spans="1:6" x14ac:dyDescent="0.25">
      <c r="A2281" t="s">
        <v>2407</v>
      </c>
      <c r="B2281" s="4">
        <v>451.59</v>
      </c>
      <c r="C2281" s="4">
        <v>0</v>
      </c>
      <c r="D2281" s="4">
        <v>451.59</v>
      </c>
      <c r="E2281">
        <v>49</v>
      </c>
      <c r="F2281">
        <v>49</v>
      </c>
    </row>
    <row r="2282" spans="1:6" x14ac:dyDescent="0.25">
      <c r="A2282" t="s">
        <v>2408</v>
      </c>
      <c r="B2282" s="4">
        <v>451.5</v>
      </c>
      <c r="C2282" s="4">
        <v>0</v>
      </c>
      <c r="D2282" s="4">
        <v>451.5</v>
      </c>
      <c r="E2282">
        <v>43</v>
      </c>
      <c r="F2282">
        <v>43</v>
      </c>
    </row>
    <row r="2283" spans="1:6" x14ac:dyDescent="0.25">
      <c r="A2283" t="s">
        <v>2409</v>
      </c>
      <c r="B2283" s="4">
        <v>451.11</v>
      </c>
      <c r="C2283" s="4">
        <v>0</v>
      </c>
      <c r="D2283" s="4">
        <v>451.11</v>
      </c>
      <c r="E2283">
        <v>17</v>
      </c>
      <c r="F2283">
        <v>17</v>
      </c>
    </row>
    <row r="2284" spans="1:6" x14ac:dyDescent="0.25">
      <c r="A2284" t="s">
        <v>2410</v>
      </c>
      <c r="B2284" s="4">
        <v>450.08</v>
      </c>
      <c r="C2284" s="4">
        <v>0</v>
      </c>
      <c r="D2284" s="4">
        <v>450.08</v>
      </c>
      <c r="E2284">
        <v>32</v>
      </c>
      <c r="F2284">
        <v>32</v>
      </c>
    </row>
    <row r="2285" spans="1:6" x14ac:dyDescent="0.25">
      <c r="A2285" t="s">
        <v>2411</v>
      </c>
      <c r="B2285" s="4">
        <v>449.8</v>
      </c>
      <c r="C2285" s="4">
        <v>0</v>
      </c>
      <c r="D2285" s="4">
        <v>449.8</v>
      </c>
      <c r="E2285">
        <v>73</v>
      </c>
      <c r="F2285">
        <v>72</v>
      </c>
    </row>
    <row r="2286" spans="1:6" x14ac:dyDescent="0.25">
      <c r="A2286" t="s">
        <v>2412</v>
      </c>
      <c r="B2286" s="4">
        <v>449.39</v>
      </c>
      <c r="C2286" s="4">
        <v>0</v>
      </c>
      <c r="D2286" s="4">
        <v>449.39</v>
      </c>
      <c r="E2286">
        <v>58</v>
      </c>
      <c r="F2286">
        <v>57</v>
      </c>
    </row>
    <row r="2287" spans="1:6" x14ac:dyDescent="0.25">
      <c r="A2287" t="s">
        <v>2413</v>
      </c>
      <c r="B2287" s="4">
        <v>447.36</v>
      </c>
      <c r="C2287" s="4">
        <v>5.0999999999999996</v>
      </c>
      <c r="D2287" s="4">
        <v>442.26</v>
      </c>
      <c r="E2287">
        <v>98</v>
      </c>
      <c r="F2287">
        <v>95</v>
      </c>
    </row>
    <row r="2288" spans="1:6" x14ac:dyDescent="0.25">
      <c r="A2288" t="s">
        <v>2414</v>
      </c>
      <c r="B2288" s="4">
        <v>447.34</v>
      </c>
      <c r="C2288" s="4">
        <v>0</v>
      </c>
      <c r="D2288" s="4">
        <v>447.34</v>
      </c>
      <c r="E2288">
        <v>101</v>
      </c>
      <c r="F2288">
        <v>96</v>
      </c>
    </row>
    <row r="2289" spans="1:6" x14ac:dyDescent="0.25">
      <c r="A2289" t="s">
        <v>2415</v>
      </c>
      <c r="B2289" s="4">
        <v>447.09</v>
      </c>
      <c r="C2289" s="4">
        <v>0</v>
      </c>
      <c r="D2289" s="4">
        <v>447.09</v>
      </c>
      <c r="E2289">
        <v>54</v>
      </c>
      <c r="F2289">
        <v>52</v>
      </c>
    </row>
    <row r="2290" spans="1:6" x14ac:dyDescent="0.25">
      <c r="A2290" t="s">
        <v>2416</v>
      </c>
      <c r="B2290" s="4">
        <v>446.89</v>
      </c>
      <c r="C2290" s="4">
        <v>7.95</v>
      </c>
      <c r="D2290" s="4">
        <v>438.94</v>
      </c>
      <c r="E2290">
        <v>25</v>
      </c>
      <c r="F2290">
        <v>25</v>
      </c>
    </row>
    <row r="2291" spans="1:6" x14ac:dyDescent="0.25">
      <c r="A2291" t="s">
        <v>2417</v>
      </c>
      <c r="B2291" s="4">
        <v>446.45</v>
      </c>
      <c r="C2291" s="4">
        <v>76.5</v>
      </c>
      <c r="D2291" s="4">
        <v>369.95</v>
      </c>
      <c r="E2291">
        <v>25</v>
      </c>
      <c r="F2291">
        <v>25</v>
      </c>
    </row>
    <row r="2292" spans="1:6" x14ac:dyDescent="0.25">
      <c r="A2292" t="s">
        <v>2418</v>
      </c>
      <c r="B2292" s="4">
        <v>446.15</v>
      </c>
      <c r="C2292" s="4">
        <v>11.06</v>
      </c>
      <c r="D2292" s="4">
        <v>435.09</v>
      </c>
      <c r="E2292">
        <v>37</v>
      </c>
      <c r="F2292">
        <v>37</v>
      </c>
    </row>
    <row r="2293" spans="1:6" x14ac:dyDescent="0.25">
      <c r="A2293" t="s">
        <v>2419</v>
      </c>
      <c r="B2293" s="4">
        <v>445.44</v>
      </c>
      <c r="C2293" s="4">
        <v>0</v>
      </c>
      <c r="D2293" s="4">
        <v>445.44</v>
      </c>
      <c r="E2293">
        <v>37</v>
      </c>
      <c r="F2293">
        <v>36</v>
      </c>
    </row>
    <row r="2294" spans="1:6" x14ac:dyDescent="0.25">
      <c r="A2294" t="s">
        <v>2420</v>
      </c>
      <c r="B2294" s="4">
        <v>445.17</v>
      </c>
      <c r="C2294" s="4">
        <v>0</v>
      </c>
      <c r="D2294" s="4">
        <v>445.17</v>
      </c>
      <c r="E2294">
        <v>50</v>
      </c>
      <c r="F2294">
        <v>48</v>
      </c>
    </row>
    <row r="2295" spans="1:6" x14ac:dyDescent="0.25">
      <c r="A2295" t="s">
        <v>2421</v>
      </c>
      <c r="B2295" s="4">
        <v>444.63</v>
      </c>
      <c r="C2295" s="4">
        <v>8.4</v>
      </c>
      <c r="D2295" s="4">
        <v>436.23</v>
      </c>
      <c r="E2295">
        <v>97</v>
      </c>
      <c r="F2295">
        <v>96</v>
      </c>
    </row>
    <row r="2296" spans="1:6" x14ac:dyDescent="0.25">
      <c r="A2296" t="s">
        <v>2422</v>
      </c>
      <c r="B2296" s="4">
        <v>444.58</v>
      </c>
      <c r="C2296" s="4">
        <v>0</v>
      </c>
      <c r="D2296" s="4">
        <v>444.58</v>
      </c>
      <c r="E2296">
        <v>47</v>
      </c>
      <c r="F2296">
        <v>47</v>
      </c>
    </row>
    <row r="2297" spans="1:6" x14ac:dyDescent="0.25">
      <c r="A2297" t="s">
        <v>2423</v>
      </c>
      <c r="B2297" s="4">
        <v>444.07</v>
      </c>
      <c r="C2297" s="4">
        <v>0</v>
      </c>
      <c r="D2297" s="4">
        <v>444.07</v>
      </c>
      <c r="E2297">
        <v>62</v>
      </c>
      <c r="F2297">
        <v>62</v>
      </c>
    </row>
    <row r="2298" spans="1:6" x14ac:dyDescent="0.25">
      <c r="A2298" t="s">
        <v>2424</v>
      </c>
      <c r="B2298" s="4">
        <v>441.89</v>
      </c>
      <c r="C2298" s="4">
        <v>0</v>
      </c>
      <c r="D2298" s="4">
        <v>441.89</v>
      </c>
      <c r="E2298">
        <v>56</v>
      </c>
      <c r="F2298">
        <v>56</v>
      </c>
    </row>
    <row r="2299" spans="1:6" x14ac:dyDescent="0.25">
      <c r="A2299" t="s">
        <v>2425</v>
      </c>
      <c r="B2299" s="4">
        <v>441.12</v>
      </c>
      <c r="C2299" s="4">
        <v>0</v>
      </c>
      <c r="D2299" s="4">
        <v>441.12</v>
      </c>
      <c r="E2299">
        <v>56</v>
      </c>
      <c r="F2299">
        <v>55</v>
      </c>
    </row>
    <row r="2300" spans="1:6" x14ac:dyDescent="0.25">
      <c r="A2300" t="s">
        <v>2426</v>
      </c>
      <c r="B2300" s="4">
        <v>441.07</v>
      </c>
      <c r="C2300" s="4">
        <v>0</v>
      </c>
      <c r="D2300" s="4">
        <v>441.07</v>
      </c>
      <c r="E2300">
        <v>60</v>
      </c>
      <c r="F2300">
        <v>57</v>
      </c>
    </row>
    <row r="2301" spans="1:6" x14ac:dyDescent="0.25">
      <c r="A2301" t="s">
        <v>2427</v>
      </c>
      <c r="B2301" s="4">
        <v>440.62</v>
      </c>
      <c r="C2301" s="4">
        <v>0</v>
      </c>
      <c r="D2301" s="4">
        <v>440.62</v>
      </c>
      <c r="E2301">
        <v>28</v>
      </c>
      <c r="F2301">
        <v>28</v>
      </c>
    </row>
    <row r="2302" spans="1:6" x14ac:dyDescent="0.25">
      <c r="A2302" t="s">
        <v>2428</v>
      </c>
      <c r="B2302" s="4">
        <v>439.65</v>
      </c>
      <c r="C2302" s="4">
        <v>0</v>
      </c>
      <c r="D2302" s="4">
        <v>439.65</v>
      </c>
      <c r="E2302">
        <v>99</v>
      </c>
      <c r="F2302">
        <v>99</v>
      </c>
    </row>
    <row r="2303" spans="1:6" x14ac:dyDescent="0.25">
      <c r="A2303" t="s">
        <v>2429</v>
      </c>
      <c r="B2303" s="4">
        <v>439.54</v>
      </c>
      <c r="C2303" s="4">
        <v>0</v>
      </c>
      <c r="D2303" s="4">
        <v>439.54</v>
      </c>
      <c r="E2303">
        <v>87</v>
      </c>
      <c r="F2303">
        <v>84</v>
      </c>
    </row>
    <row r="2304" spans="1:6" x14ac:dyDescent="0.25">
      <c r="A2304" t="s">
        <v>2430</v>
      </c>
      <c r="B2304" s="4">
        <v>438.87</v>
      </c>
      <c r="C2304" s="4">
        <v>0</v>
      </c>
      <c r="D2304" s="4">
        <v>438.87</v>
      </c>
      <c r="E2304">
        <v>48</v>
      </c>
      <c r="F2304">
        <v>46</v>
      </c>
    </row>
    <row r="2305" spans="1:6" x14ac:dyDescent="0.25">
      <c r="A2305" t="s">
        <v>2431</v>
      </c>
      <c r="B2305" s="4">
        <v>436.09</v>
      </c>
      <c r="C2305" s="4">
        <v>0.42</v>
      </c>
      <c r="D2305" s="4">
        <v>435.67</v>
      </c>
      <c r="E2305">
        <v>76</v>
      </c>
      <c r="F2305">
        <v>75</v>
      </c>
    </row>
    <row r="2306" spans="1:6" x14ac:dyDescent="0.25">
      <c r="A2306" t="s">
        <v>2432</v>
      </c>
      <c r="B2306" s="4">
        <v>436.05</v>
      </c>
      <c r="C2306" s="4">
        <v>0</v>
      </c>
      <c r="D2306" s="4">
        <v>436.05</v>
      </c>
      <c r="E2306">
        <v>47</v>
      </c>
      <c r="F2306">
        <v>46</v>
      </c>
    </row>
    <row r="2307" spans="1:6" x14ac:dyDescent="0.25">
      <c r="A2307" t="s">
        <v>2433</v>
      </c>
      <c r="B2307" s="4">
        <v>435.74</v>
      </c>
      <c r="C2307" s="4">
        <v>0</v>
      </c>
      <c r="D2307" s="4">
        <v>435.74</v>
      </c>
      <c r="E2307">
        <v>28</v>
      </c>
      <c r="F2307">
        <v>25</v>
      </c>
    </row>
    <row r="2308" spans="1:6" x14ac:dyDescent="0.25">
      <c r="A2308" t="s">
        <v>2434</v>
      </c>
      <c r="B2308" s="4">
        <v>434.12</v>
      </c>
      <c r="C2308" s="4">
        <v>0</v>
      </c>
      <c r="D2308" s="4">
        <v>434.12</v>
      </c>
      <c r="E2308">
        <v>20</v>
      </c>
      <c r="F2308">
        <v>20</v>
      </c>
    </row>
    <row r="2309" spans="1:6" x14ac:dyDescent="0.25">
      <c r="A2309" t="s">
        <v>2435</v>
      </c>
      <c r="B2309" s="4">
        <v>433.19</v>
      </c>
      <c r="C2309" s="4">
        <v>0</v>
      </c>
      <c r="D2309" s="4">
        <v>433.19</v>
      </c>
      <c r="E2309">
        <v>52</v>
      </c>
      <c r="F2309">
        <v>52</v>
      </c>
    </row>
    <row r="2310" spans="1:6" x14ac:dyDescent="0.25">
      <c r="A2310" t="s">
        <v>2436</v>
      </c>
      <c r="B2310" s="4">
        <v>432.79</v>
      </c>
      <c r="C2310" s="4">
        <v>0</v>
      </c>
      <c r="D2310" s="4">
        <v>432.79</v>
      </c>
      <c r="E2310">
        <v>35</v>
      </c>
      <c r="F2310">
        <v>35</v>
      </c>
    </row>
    <row r="2311" spans="1:6" x14ac:dyDescent="0.25">
      <c r="A2311" t="s">
        <v>2437</v>
      </c>
      <c r="B2311" s="4">
        <v>432.46</v>
      </c>
      <c r="C2311" s="4">
        <v>1.7</v>
      </c>
      <c r="D2311" s="4">
        <v>430.76</v>
      </c>
      <c r="E2311">
        <v>103</v>
      </c>
      <c r="F2311">
        <v>101</v>
      </c>
    </row>
    <row r="2312" spans="1:6" x14ac:dyDescent="0.25">
      <c r="A2312" t="s">
        <v>2438</v>
      </c>
      <c r="B2312" s="4">
        <v>431.73</v>
      </c>
      <c r="C2312" s="4">
        <v>7.65</v>
      </c>
      <c r="D2312" s="4">
        <v>424.08</v>
      </c>
      <c r="E2312">
        <v>51</v>
      </c>
      <c r="F2312">
        <v>49</v>
      </c>
    </row>
    <row r="2313" spans="1:6" x14ac:dyDescent="0.25">
      <c r="A2313" t="s">
        <v>2439</v>
      </c>
      <c r="B2313" s="4">
        <v>430.86</v>
      </c>
      <c r="C2313" s="4">
        <v>0</v>
      </c>
      <c r="D2313" s="4">
        <v>430.86</v>
      </c>
      <c r="E2313">
        <v>48</v>
      </c>
      <c r="F2313">
        <v>48</v>
      </c>
    </row>
    <row r="2314" spans="1:6" x14ac:dyDescent="0.25">
      <c r="A2314" t="s">
        <v>2440</v>
      </c>
      <c r="B2314" s="4">
        <v>428.85</v>
      </c>
      <c r="C2314" s="4">
        <v>1.95</v>
      </c>
      <c r="D2314" s="4">
        <v>426.9</v>
      </c>
      <c r="E2314">
        <v>28</v>
      </c>
      <c r="F2314">
        <v>28</v>
      </c>
    </row>
    <row r="2315" spans="1:6" x14ac:dyDescent="0.25">
      <c r="A2315" t="s">
        <v>2441</v>
      </c>
      <c r="B2315" s="4">
        <v>428.66</v>
      </c>
      <c r="C2315" s="4">
        <v>0</v>
      </c>
      <c r="D2315" s="4">
        <v>428.66</v>
      </c>
      <c r="E2315">
        <v>66</v>
      </c>
      <c r="F2315">
        <v>66</v>
      </c>
    </row>
    <row r="2316" spans="1:6" x14ac:dyDescent="0.25">
      <c r="A2316" t="s">
        <v>2442</v>
      </c>
      <c r="B2316" s="4">
        <v>428.28</v>
      </c>
      <c r="C2316" s="4">
        <v>2.2799999999999998</v>
      </c>
      <c r="D2316" s="4">
        <v>426</v>
      </c>
      <c r="E2316">
        <v>103</v>
      </c>
      <c r="F2316">
        <v>103</v>
      </c>
    </row>
    <row r="2317" spans="1:6" x14ac:dyDescent="0.25">
      <c r="A2317" t="s">
        <v>2443</v>
      </c>
      <c r="B2317" s="4">
        <v>428.19</v>
      </c>
      <c r="C2317" s="4">
        <v>0</v>
      </c>
      <c r="D2317" s="4">
        <v>428.19</v>
      </c>
      <c r="E2317">
        <v>23</v>
      </c>
      <c r="F2317">
        <v>22</v>
      </c>
    </row>
    <row r="2318" spans="1:6" x14ac:dyDescent="0.25">
      <c r="A2318" t="s">
        <v>2444</v>
      </c>
      <c r="B2318" s="4">
        <v>428</v>
      </c>
      <c r="C2318" s="4">
        <v>0</v>
      </c>
      <c r="D2318" s="4">
        <v>428</v>
      </c>
      <c r="E2318">
        <v>106</v>
      </c>
      <c r="F2318">
        <v>105</v>
      </c>
    </row>
    <row r="2319" spans="1:6" x14ac:dyDescent="0.25">
      <c r="A2319" t="s">
        <v>2445</v>
      </c>
      <c r="B2319" s="4">
        <v>427.46</v>
      </c>
      <c r="C2319" s="4">
        <v>0</v>
      </c>
      <c r="D2319" s="4">
        <v>427.46</v>
      </c>
      <c r="E2319">
        <v>32</v>
      </c>
      <c r="F2319">
        <v>32</v>
      </c>
    </row>
    <row r="2320" spans="1:6" x14ac:dyDescent="0.25">
      <c r="A2320" t="s">
        <v>2446</v>
      </c>
      <c r="B2320" s="4">
        <v>426.13</v>
      </c>
      <c r="C2320" s="4">
        <v>0</v>
      </c>
      <c r="D2320" s="4">
        <v>426.13</v>
      </c>
      <c r="E2320">
        <v>24</v>
      </c>
      <c r="F2320">
        <v>22</v>
      </c>
    </row>
    <row r="2321" spans="1:6" x14ac:dyDescent="0.25">
      <c r="A2321" t="s">
        <v>2447</v>
      </c>
      <c r="B2321" s="4">
        <v>425.08</v>
      </c>
      <c r="C2321" s="4">
        <v>16.71</v>
      </c>
      <c r="D2321" s="4">
        <v>408.37</v>
      </c>
      <c r="E2321">
        <v>51</v>
      </c>
      <c r="F2321">
        <v>49</v>
      </c>
    </row>
    <row r="2322" spans="1:6" x14ac:dyDescent="0.25">
      <c r="A2322" t="s">
        <v>2448</v>
      </c>
      <c r="B2322" s="4">
        <v>424.46</v>
      </c>
      <c r="C2322" s="4">
        <v>75.3</v>
      </c>
      <c r="D2322" s="4">
        <v>349.16</v>
      </c>
      <c r="E2322">
        <v>32</v>
      </c>
      <c r="F2322">
        <v>32</v>
      </c>
    </row>
    <row r="2323" spans="1:6" x14ac:dyDescent="0.25">
      <c r="A2323" t="s">
        <v>2449</v>
      </c>
      <c r="B2323" s="4">
        <v>424.08</v>
      </c>
      <c r="C2323" s="4">
        <v>0</v>
      </c>
      <c r="D2323" s="4">
        <v>424.08</v>
      </c>
      <c r="E2323">
        <v>31</v>
      </c>
      <c r="F2323">
        <v>30</v>
      </c>
    </row>
    <row r="2324" spans="1:6" x14ac:dyDescent="0.25">
      <c r="A2324" t="s">
        <v>2450</v>
      </c>
      <c r="B2324" s="4">
        <v>423.55</v>
      </c>
      <c r="C2324" s="4">
        <v>0</v>
      </c>
      <c r="D2324" s="4">
        <v>423.55</v>
      </c>
      <c r="E2324">
        <v>61</v>
      </c>
      <c r="F2324">
        <v>59</v>
      </c>
    </row>
    <row r="2325" spans="1:6" x14ac:dyDescent="0.25">
      <c r="A2325" t="s">
        <v>2451</v>
      </c>
      <c r="B2325" s="4">
        <v>423.41</v>
      </c>
      <c r="C2325" s="4">
        <v>0</v>
      </c>
      <c r="D2325" s="4">
        <v>423.41</v>
      </c>
      <c r="E2325">
        <v>44</v>
      </c>
      <c r="F2325">
        <v>44</v>
      </c>
    </row>
    <row r="2326" spans="1:6" x14ac:dyDescent="0.25">
      <c r="A2326" t="s">
        <v>2452</v>
      </c>
      <c r="B2326" s="4">
        <v>421.75</v>
      </c>
      <c r="C2326" s="4">
        <v>0</v>
      </c>
      <c r="D2326" s="4">
        <v>421.75</v>
      </c>
      <c r="E2326">
        <v>5</v>
      </c>
      <c r="F2326">
        <v>5</v>
      </c>
    </row>
    <row r="2327" spans="1:6" x14ac:dyDescent="0.25">
      <c r="A2327" t="s">
        <v>2453</v>
      </c>
      <c r="B2327" s="4">
        <v>421.18</v>
      </c>
      <c r="C2327" s="4">
        <v>0</v>
      </c>
      <c r="D2327" s="4">
        <v>421.18</v>
      </c>
      <c r="E2327">
        <v>36</v>
      </c>
      <c r="F2327">
        <v>36</v>
      </c>
    </row>
    <row r="2328" spans="1:6" x14ac:dyDescent="0.25">
      <c r="A2328" t="s">
        <v>2454</v>
      </c>
      <c r="B2328" s="4">
        <v>420.08</v>
      </c>
      <c r="C2328" s="4">
        <v>0</v>
      </c>
      <c r="D2328" s="4">
        <v>420.08</v>
      </c>
      <c r="E2328">
        <v>56</v>
      </c>
      <c r="F2328">
        <v>56</v>
      </c>
    </row>
    <row r="2329" spans="1:6" x14ac:dyDescent="0.25">
      <c r="A2329" t="s">
        <v>2455</v>
      </c>
      <c r="B2329" s="4">
        <v>420</v>
      </c>
      <c r="C2329" s="4">
        <v>0</v>
      </c>
      <c r="D2329" s="4">
        <v>420</v>
      </c>
      <c r="E2329">
        <v>40</v>
      </c>
      <c r="F2329">
        <v>39</v>
      </c>
    </row>
    <row r="2330" spans="1:6" x14ac:dyDescent="0.25">
      <c r="A2330" t="s">
        <v>2456</v>
      </c>
      <c r="B2330" s="4">
        <v>419.52</v>
      </c>
      <c r="C2330" s="4">
        <v>13.9</v>
      </c>
      <c r="D2330" s="4">
        <v>405.62</v>
      </c>
      <c r="E2330">
        <v>27</v>
      </c>
      <c r="F2330">
        <v>27</v>
      </c>
    </row>
    <row r="2331" spans="1:6" x14ac:dyDescent="0.25">
      <c r="A2331" t="s">
        <v>2457</v>
      </c>
      <c r="B2331" s="4">
        <v>419.42</v>
      </c>
      <c r="C2331" s="4">
        <v>0</v>
      </c>
      <c r="D2331" s="4">
        <v>419.42</v>
      </c>
      <c r="E2331">
        <v>164</v>
      </c>
      <c r="F2331">
        <v>162</v>
      </c>
    </row>
    <row r="2332" spans="1:6" x14ac:dyDescent="0.25">
      <c r="A2332" t="s">
        <v>2458</v>
      </c>
      <c r="B2332" s="4">
        <v>419.01</v>
      </c>
      <c r="C2332" s="4">
        <v>0</v>
      </c>
      <c r="D2332" s="4">
        <v>419.01</v>
      </c>
      <c r="E2332">
        <v>49</v>
      </c>
      <c r="F2332">
        <v>48</v>
      </c>
    </row>
    <row r="2333" spans="1:6" x14ac:dyDescent="0.25">
      <c r="A2333" t="s">
        <v>2459</v>
      </c>
      <c r="B2333" s="4">
        <v>418.98</v>
      </c>
      <c r="C2333" s="4">
        <v>0</v>
      </c>
      <c r="D2333" s="4">
        <v>418.98</v>
      </c>
      <c r="E2333">
        <v>50</v>
      </c>
      <c r="F2333">
        <v>50</v>
      </c>
    </row>
    <row r="2334" spans="1:6" x14ac:dyDescent="0.25">
      <c r="A2334" t="s">
        <v>2460</v>
      </c>
      <c r="B2334" s="4">
        <v>417.96</v>
      </c>
      <c r="C2334" s="4">
        <v>0</v>
      </c>
      <c r="D2334" s="4">
        <v>417.96</v>
      </c>
      <c r="E2334">
        <v>88</v>
      </c>
      <c r="F2334">
        <v>88</v>
      </c>
    </row>
    <row r="2335" spans="1:6" x14ac:dyDescent="0.25">
      <c r="A2335" t="s">
        <v>2461</v>
      </c>
      <c r="B2335" s="4">
        <v>417.86</v>
      </c>
      <c r="C2335" s="4">
        <v>1.06</v>
      </c>
      <c r="D2335" s="4">
        <v>416.8</v>
      </c>
      <c r="E2335">
        <v>72</v>
      </c>
      <c r="F2335">
        <v>70</v>
      </c>
    </row>
    <row r="2336" spans="1:6" x14ac:dyDescent="0.25">
      <c r="A2336" t="s">
        <v>2462</v>
      </c>
      <c r="B2336" s="4">
        <v>417.35</v>
      </c>
      <c r="C2336" s="4">
        <v>10.199999999999999</v>
      </c>
      <c r="D2336" s="4">
        <v>407.15</v>
      </c>
      <c r="E2336">
        <v>42</v>
      </c>
      <c r="F2336">
        <v>40</v>
      </c>
    </row>
    <row r="2337" spans="1:6" x14ac:dyDescent="0.25">
      <c r="A2337" t="s">
        <v>2463</v>
      </c>
      <c r="B2337" s="4">
        <v>416.6</v>
      </c>
      <c r="C2337" s="4">
        <v>0</v>
      </c>
      <c r="D2337" s="4">
        <v>416.6</v>
      </c>
      <c r="E2337">
        <v>56</v>
      </c>
      <c r="F2337">
        <v>56</v>
      </c>
    </row>
    <row r="2338" spans="1:6" x14ac:dyDescent="0.25">
      <c r="A2338" t="s">
        <v>2464</v>
      </c>
      <c r="B2338" s="4">
        <v>415.77</v>
      </c>
      <c r="C2338" s="4">
        <v>0</v>
      </c>
      <c r="D2338" s="4">
        <v>415.77</v>
      </c>
      <c r="E2338">
        <v>77</v>
      </c>
      <c r="F2338">
        <v>76</v>
      </c>
    </row>
    <row r="2339" spans="1:6" x14ac:dyDescent="0.25">
      <c r="A2339" t="s">
        <v>2465</v>
      </c>
      <c r="B2339" s="4">
        <v>415.09</v>
      </c>
      <c r="C2339" s="4">
        <v>0</v>
      </c>
      <c r="D2339" s="4">
        <v>415.09</v>
      </c>
      <c r="E2339">
        <v>63</v>
      </c>
      <c r="F2339">
        <v>63</v>
      </c>
    </row>
    <row r="2340" spans="1:6" x14ac:dyDescent="0.25">
      <c r="A2340" t="s">
        <v>2466</v>
      </c>
      <c r="B2340" s="4">
        <v>414.63</v>
      </c>
      <c r="C2340" s="4">
        <v>0</v>
      </c>
      <c r="D2340" s="4">
        <v>414.63</v>
      </c>
      <c r="E2340">
        <v>65</v>
      </c>
      <c r="F2340">
        <v>58</v>
      </c>
    </row>
    <row r="2341" spans="1:6" x14ac:dyDescent="0.25">
      <c r="A2341" t="s">
        <v>2467</v>
      </c>
      <c r="B2341" s="4">
        <v>414.22</v>
      </c>
      <c r="C2341" s="4">
        <v>22.5</v>
      </c>
      <c r="D2341" s="4">
        <v>391.72</v>
      </c>
      <c r="E2341">
        <v>52</v>
      </c>
      <c r="F2341">
        <v>50</v>
      </c>
    </row>
    <row r="2342" spans="1:6" x14ac:dyDescent="0.25">
      <c r="A2342" t="s">
        <v>2468</v>
      </c>
      <c r="B2342" s="4">
        <v>413.88</v>
      </c>
      <c r="C2342" s="4">
        <v>15.6</v>
      </c>
      <c r="D2342" s="4">
        <v>398.28</v>
      </c>
      <c r="E2342">
        <v>43</v>
      </c>
      <c r="F2342">
        <v>43</v>
      </c>
    </row>
    <row r="2343" spans="1:6" x14ac:dyDescent="0.25">
      <c r="A2343" t="s">
        <v>2469</v>
      </c>
      <c r="B2343" s="4">
        <v>413.76</v>
      </c>
      <c r="C2343" s="4">
        <v>0</v>
      </c>
      <c r="D2343" s="4">
        <v>413.76</v>
      </c>
      <c r="E2343">
        <v>93</v>
      </c>
      <c r="F2343">
        <v>93</v>
      </c>
    </row>
    <row r="2344" spans="1:6" x14ac:dyDescent="0.25">
      <c r="A2344" t="s">
        <v>2470</v>
      </c>
      <c r="B2344" s="4">
        <v>412.74</v>
      </c>
      <c r="C2344" s="4">
        <v>0</v>
      </c>
      <c r="D2344" s="4">
        <v>412.74</v>
      </c>
      <c r="E2344">
        <v>50</v>
      </c>
      <c r="F2344">
        <v>50</v>
      </c>
    </row>
    <row r="2345" spans="1:6" x14ac:dyDescent="0.25">
      <c r="A2345" t="s">
        <v>2471</v>
      </c>
      <c r="B2345" s="4">
        <v>412.5</v>
      </c>
      <c r="C2345" s="4">
        <v>37.5</v>
      </c>
      <c r="D2345" s="4">
        <v>375</v>
      </c>
      <c r="E2345">
        <v>19</v>
      </c>
      <c r="F2345">
        <v>19</v>
      </c>
    </row>
    <row r="2346" spans="1:6" x14ac:dyDescent="0.25">
      <c r="A2346" t="s">
        <v>2472</v>
      </c>
      <c r="B2346" s="4">
        <v>412.48</v>
      </c>
      <c r="C2346" s="4">
        <v>0</v>
      </c>
      <c r="D2346" s="4">
        <v>412.48</v>
      </c>
      <c r="E2346">
        <v>26</v>
      </c>
      <c r="F2346">
        <v>26</v>
      </c>
    </row>
    <row r="2347" spans="1:6" x14ac:dyDescent="0.25">
      <c r="A2347" t="s">
        <v>2473</v>
      </c>
      <c r="B2347" s="4">
        <v>412.18</v>
      </c>
      <c r="C2347" s="4">
        <v>8.25</v>
      </c>
      <c r="D2347" s="4">
        <v>403.93</v>
      </c>
      <c r="E2347">
        <v>47</v>
      </c>
      <c r="F2347">
        <v>47</v>
      </c>
    </row>
    <row r="2348" spans="1:6" x14ac:dyDescent="0.25">
      <c r="A2348" t="s">
        <v>2474</v>
      </c>
      <c r="B2348" s="4">
        <v>412.1</v>
      </c>
      <c r="C2348" s="4">
        <v>0</v>
      </c>
      <c r="D2348" s="4">
        <v>412.1</v>
      </c>
      <c r="E2348">
        <v>80</v>
      </c>
      <c r="F2348">
        <v>79</v>
      </c>
    </row>
    <row r="2349" spans="1:6" x14ac:dyDescent="0.25">
      <c r="A2349" t="s">
        <v>2475</v>
      </c>
      <c r="B2349" s="4">
        <v>411.56</v>
      </c>
      <c r="C2349" s="4">
        <v>0</v>
      </c>
      <c r="D2349" s="4">
        <v>411.56</v>
      </c>
      <c r="E2349">
        <v>20</v>
      </c>
      <c r="F2349">
        <v>20</v>
      </c>
    </row>
    <row r="2350" spans="1:6" x14ac:dyDescent="0.25">
      <c r="A2350" t="s">
        <v>2476</v>
      </c>
      <c r="B2350" s="4">
        <v>410.81</v>
      </c>
      <c r="C2350" s="4">
        <v>0</v>
      </c>
      <c r="D2350" s="4">
        <v>410.81</v>
      </c>
      <c r="E2350">
        <v>45</v>
      </c>
      <c r="F2350">
        <v>45</v>
      </c>
    </row>
    <row r="2351" spans="1:6" x14ac:dyDescent="0.25">
      <c r="A2351" t="s">
        <v>2477</v>
      </c>
      <c r="B2351" s="4">
        <v>409.83</v>
      </c>
      <c r="C2351" s="4">
        <v>2.1</v>
      </c>
      <c r="D2351" s="4">
        <v>407.73</v>
      </c>
      <c r="E2351">
        <v>37</v>
      </c>
      <c r="F2351">
        <v>37</v>
      </c>
    </row>
    <row r="2352" spans="1:6" x14ac:dyDescent="0.25">
      <c r="A2352" t="s">
        <v>2478</v>
      </c>
      <c r="B2352" s="4">
        <v>409.41</v>
      </c>
      <c r="C2352" s="4">
        <v>0</v>
      </c>
      <c r="D2352" s="4">
        <v>409.41</v>
      </c>
      <c r="E2352">
        <v>133</v>
      </c>
      <c r="F2352">
        <v>127</v>
      </c>
    </row>
    <row r="2353" spans="1:6" x14ac:dyDescent="0.25">
      <c r="A2353" t="s">
        <v>2479</v>
      </c>
      <c r="B2353" s="4">
        <v>407.72</v>
      </c>
      <c r="C2353" s="4">
        <v>2.88</v>
      </c>
      <c r="D2353" s="4">
        <v>404.84</v>
      </c>
      <c r="E2353">
        <v>100</v>
      </c>
      <c r="F2353">
        <v>100</v>
      </c>
    </row>
    <row r="2354" spans="1:6" x14ac:dyDescent="0.25">
      <c r="A2354" t="s">
        <v>2480</v>
      </c>
      <c r="B2354" s="4">
        <v>406.49</v>
      </c>
      <c r="C2354" s="4">
        <v>0</v>
      </c>
      <c r="D2354" s="4">
        <v>406.49</v>
      </c>
      <c r="E2354">
        <v>43</v>
      </c>
      <c r="F2354">
        <v>42</v>
      </c>
    </row>
    <row r="2355" spans="1:6" x14ac:dyDescent="0.25">
      <c r="A2355" t="s">
        <v>2481</v>
      </c>
      <c r="B2355" s="4">
        <v>405.25</v>
      </c>
      <c r="C2355" s="4">
        <v>0</v>
      </c>
      <c r="D2355" s="4">
        <v>405.25</v>
      </c>
      <c r="E2355">
        <v>103</v>
      </c>
      <c r="F2355">
        <v>100</v>
      </c>
    </row>
    <row r="2356" spans="1:6" x14ac:dyDescent="0.25">
      <c r="A2356" t="s">
        <v>2482</v>
      </c>
      <c r="B2356" s="4">
        <v>405</v>
      </c>
      <c r="C2356" s="4">
        <v>0</v>
      </c>
      <c r="D2356" s="4">
        <v>405</v>
      </c>
      <c r="E2356">
        <v>77</v>
      </c>
      <c r="F2356">
        <v>76</v>
      </c>
    </row>
    <row r="2357" spans="1:6" x14ac:dyDescent="0.25">
      <c r="A2357" t="s">
        <v>2483</v>
      </c>
      <c r="B2357" s="4">
        <v>403.46</v>
      </c>
      <c r="C2357" s="4">
        <v>1.25</v>
      </c>
      <c r="D2357" s="4">
        <v>402.21</v>
      </c>
      <c r="E2357">
        <v>84</v>
      </c>
      <c r="F2357">
        <v>84</v>
      </c>
    </row>
    <row r="2358" spans="1:6" x14ac:dyDescent="0.25">
      <c r="A2358" t="s">
        <v>2484</v>
      </c>
      <c r="B2358" s="4">
        <v>400.04</v>
      </c>
      <c r="C2358" s="4">
        <v>0</v>
      </c>
      <c r="D2358" s="4">
        <v>400.04</v>
      </c>
      <c r="E2358">
        <v>38</v>
      </c>
      <c r="F2358">
        <v>37</v>
      </c>
    </row>
    <row r="2359" spans="1:6" x14ac:dyDescent="0.25">
      <c r="A2359" t="s">
        <v>2485</v>
      </c>
      <c r="B2359" s="4">
        <v>400.01</v>
      </c>
      <c r="C2359" s="4">
        <v>0</v>
      </c>
      <c r="D2359" s="4">
        <v>400.01</v>
      </c>
      <c r="E2359">
        <v>23</v>
      </c>
      <c r="F2359">
        <v>23</v>
      </c>
    </row>
    <row r="2360" spans="1:6" x14ac:dyDescent="0.25">
      <c r="A2360" t="s">
        <v>2486</v>
      </c>
      <c r="B2360" s="4">
        <v>399.71</v>
      </c>
      <c r="C2360" s="4">
        <v>11.7</v>
      </c>
      <c r="D2360" s="4">
        <v>388.01</v>
      </c>
      <c r="E2360">
        <v>29</v>
      </c>
      <c r="F2360">
        <v>28</v>
      </c>
    </row>
    <row r="2361" spans="1:6" x14ac:dyDescent="0.25">
      <c r="A2361" t="s">
        <v>2487</v>
      </c>
      <c r="B2361" s="4">
        <v>399.62</v>
      </c>
      <c r="C2361" s="4">
        <v>15.3</v>
      </c>
      <c r="D2361" s="4">
        <v>384.32</v>
      </c>
      <c r="E2361">
        <v>74</v>
      </c>
      <c r="F2361">
        <v>71</v>
      </c>
    </row>
    <row r="2362" spans="1:6" x14ac:dyDescent="0.25">
      <c r="A2362" t="s">
        <v>2488</v>
      </c>
      <c r="B2362" s="4">
        <v>399.02</v>
      </c>
      <c r="C2362" s="4">
        <v>0</v>
      </c>
      <c r="D2362" s="4">
        <v>399.02</v>
      </c>
      <c r="E2362">
        <v>27</v>
      </c>
      <c r="F2362">
        <v>26</v>
      </c>
    </row>
    <row r="2363" spans="1:6" x14ac:dyDescent="0.25">
      <c r="A2363" t="s">
        <v>2489</v>
      </c>
      <c r="B2363" s="4">
        <v>398.02</v>
      </c>
      <c r="C2363" s="4">
        <v>0</v>
      </c>
      <c r="D2363" s="4">
        <v>398.02</v>
      </c>
      <c r="E2363">
        <v>28</v>
      </c>
      <c r="F2363">
        <v>28</v>
      </c>
    </row>
    <row r="2364" spans="1:6" x14ac:dyDescent="0.25">
      <c r="A2364" t="s">
        <v>2490</v>
      </c>
      <c r="B2364" s="4">
        <v>398</v>
      </c>
      <c r="C2364" s="4">
        <v>0</v>
      </c>
      <c r="D2364" s="4">
        <v>398</v>
      </c>
      <c r="E2364">
        <v>29</v>
      </c>
      <c r="F2364">
        <v>28</v>
      </c>
    </row>
    <row r="2365" spans="1:6" x14ac:dyDescent="0.25">
      <c r="A2365" t="s">
        <v>2491</v>
      </c>
      <c r="B2365" s="4">
        <v>395.61</v>
      </c>
      <c r="C2365" s="4">
        <v>0</v>
      </c>
      <c r="D2365" s="4">
        <v>395.61</v>
      </c>
      <c r="E2365">
        <v>31</v>
      </c>
      <c r="F2365">
        <v>30</v>
      </c>
    </row>
    <row r="2366" spans="1:6" x14ac:dyDescent="0.25">
      <c r="A2366" t="s">
        <v>2492</v>
      </c>
      <c r="B2366" s="4">
        <v>395.1</v>
      </c>
      <c r="C2366" s="4">
        <v>0</v>
      </c>
      <c r="D2366" s="4">
        <v>395.1</v>
      </c>
      <c r="E2366">
        <v>64</v>
      </c>
      <c r="F2366">
        <v>55</v>
      </c>
    </row>
    <row r="2367" spans="1:6" x14ac:dyDescent="0.25">
      <c r="A2367" t="s">
        <v>2493</v>
      </c>
      <c r="B2367" s="4">
        <v>394.15</v>
      </c>
      <c r="C2367" s="4">
        <v>0</v>
      </c>
      <c r="D2367" s="4">
        <v>394.15</v>
      </c>
      <c r="E2367">
        <v>56</v>
      </c>
      <c r="F2367">
        <v>50</v>
      </c>
    </row>
    <row r="2368" spans="1:6" x14ac:dyDescent="0.25">
      <c r="A2368" t="s">
        <v>2494</v>
      </c>
      <c r="B2368" s="4">
        <v>393.59</v>
      </c>
      <c r="C2368" s="4">
        <v>33</v>
      </c>
      <c r="D2368" s="4">
        <v>360.59</v>
      </c>
      <c r="E2368">
        <v>34</v>
      </c>
      <c r="F2368">
        <v>33</v>
      </c>
    </row>
    <row r="2369" spans="1:6" x14ac:dyDescent="0.25">
      <c r="A2369" t="s">
        <v>2495</v>
      </c>
      <c r="B2369" s="4">
        <v>393.5</v>
      </c>
      <c r="C2369" s="4">
        <v>10.5</v>
      </c>
      <c r="D2369" s="4">
        <v>383</v>
      </c>
      <c r="E2369">
        <v>32</v>
      </c>
      <c r="F2369">
        <v>32</v>
      </c>
    </row>
    <row r="2370" spans="1:6" x14ac:dyDescent="0.25">
      <c r="A2370" t="s">
        <v>2496</v>
      </c>
      <c r="B2370" s="4">
        <v>393.47</v>
      </c>
      <c r="C2370" s="4">
        <v>0</v>
      </c>
      <c r="D2370" s="4">
        <v>393.47</v>
      </c>
      <c r="E2370">
        <v>62</v>
      </c>
      <c r="F2370">
        <v>62</v>
      </c>
    </row>
    <row r="2371" spans="1:6" x14ac:dyDescent="0.25">
      <c r="A2371" t="s">
        <v>2497</v>
      </c>
      <c r="B2371" s="4">
        <v>392.94</v>
      </c>
      <c r="C2371" s="4">
        <v>67.849999999999994</v>
      </c>
      <c r="D2371" s="4">
        <v>325.08999999999997</v>
      </c>
      <c r="E2371">
        <v>51</v>
      </c>
      <c r="F2371">
        <v>48</v>
      </c>
    </row>
    <row r="2372" spans="1:6" x14ac:dyDescent="0.25">
      <c r="A2372" t="s">
        <v>2498</v>
      </c>
      <c r="B2372" s="4">
        <v>392.83</v>
      </c>
      <c r="C2372" s="4">
        <v>4.25</v>
      </c>
      <c r="D2372" s="4">
        <v>388.58</v>
      </c>
      <c r="E2372">
        <v>47</v>
      </c>
      <c r="F2372">
        <v>47</v>
      </c>
    </row>
    <row r="2373" spans="1:6" x14ac:dyDescent="0.25">
      <c r="A2373" t="s">
        <v>2499</v>
      </c>
      <c r="B2373" s="4">
        <v>392.34</v>
      </c>
      <c r="C2373" s="4">
        <v>0</v>
      </c>
      <c r="D2373" s="4">
        <v>392.34</v>
      </c>
      <c r="E2373">
        <v>23</v>
      </c>
      <c r="F2373">
        <v>22</v>
      </c>
    </row>
    <row r="2374" spans="1:6" x14ac:dyDescent="0.25">
      <c r="A2374" t="s">
        <v>2500</v>
      </c>
      <c r="B2374" s="4">
        <v>391.93</v>
      </c>
      <c r="C2374" s="4">
        <v>51</v>
      </c>
      <c r="D2374" s="4">
        <v>340.93</v>
      </c>
      <c r="E2374">
        <v>36</v>
      </c>
      <c r="F2374">
        <v>31</v>
      </c>
    </row>
    <row r="2375" spans="1:6" x14ac:dyDescent="0.25">
      <c r="A2375" t="s">
        <v>2501</v>
      </c>
      <c r="B2375" s="4">
        <v>390.75</v>
      </c>
      <c r="C2375" s="4">
        <v>2.4900000000000002</v>
      </c>
      <c r="D2375" s="4">
        <v>388.26</v>
      </c>
      <c r="E2375">
        <v>49</v>
      </c>
      <c r="F2375">
        <v>49</v>
      </c>
    </row>
    <row r="2376" spans="1:6" x14ac:dyDescent="0.25">
      <c r="A2376" t="s">
        <v>2502</v>
      </c>
      <c r="B2376" s="4">
        <v>389.55</v>
      </c>
      <c r="C2376" s="4">
        <v>14.85</v>
      </c>
      <c r="D2376" s="4">
        <v>374.7</v>
      </c>
      <c r="E2376">
        <v>29</v>
      </c>
      <c r="F2376">
        <v>29</v>
      </c>
    </row>
    <row r="2377" spans="1:6" x14ac:dyDescent="0.25">
      <c r="A2377" t="s">
        <v>2503</v>
      </c>
      <c r="B2377" s="4">
        <v>389.04</v>
      </c>
      <c r="C2377" s="4">
        <v>9</v>
      </c>
      <c r="D2377" s="4">
        <v>380.04</v>
      </c>
      <c r="E2377">
        <v>47</v>
      </c>
      <c r="F2377">
        <v>47</v>
      </c>
    </row>
    <row r="2378" spans="1:6" x14ac:dyDescent="0.25">
      <c r="A2378" t="s">
        <v>2504</v>
      </c>
      <c r="B2378" s="4">
        <v>388.75</v>
      </c>
      <c r="C2378" s="4">
        <v>0</v>
      </c>
      <c r="D2378" s="4">
        <v>388.75</v>
      </c>
      <c r="E2378">
        <v>69</v>
      </c>
      <c r="F2378">
        <v>69</v>
      </c>
    </row>
    <row r="2379" spans="1:6" x14ac:dyDescent="0.25">
      <c r="A2379" t="s">
        <v>2505</v>
      </c>
      <c r="B2379" s="4">
        <v>388.57</v>
      </c>
      <c r="C2379" s="4">
        <v>0</v>
      </c>
      <c r="D2379" s="4">
        <v>388.57</v>
      </c>
      <c r="E2379">
        <v>100</v>
      </c>
      <c r="F2379">
        <v>100</v>
      </c>
    </row>
    <row r="2380" spans="1:6" x14ac:dyDescent="0.25">
      <c r="A2380" t="s">
        <v>2506</v>
      </c>
      <c r="B2380" s="4">
        <v>386.77</v>
      </c>
      <c r="C2380" s="4">
        <v>0</v>
      </c>
      <c r="D2380" s="4">
        <v>386.77</v>
      </c>
      <c r="E2380">
        <v>96</v>
      </c>
      <c r="F2380">
        <v>94</v>
      </c>
    </row>
    <row r="2381" spans="1:6" x14ac:dyDescent="0.25">
      <c r="A2381" t="s">
        <v>2507</v>
      </c>
      <c r="B2381" s="4">
        <v>386.32</v>
      </c>
      <c r="C2381" s="4">
        <v>23.1</v>
      </c>
      <c r="D2381" s="4">
        <v>363.22</v>
      </c>
      <c r="E2381">
        <v>42</v>
      </c>
      <c r="F2381">
        <v>41</v>
      </c>
    </row>
    <row r="2382" spans="1:6" x14ac:dyDescent="0.25">
      <c r="A2382" t="s">
        <v>2508</v>
      </c>
      <c r="B2382" s="4">
        <v>383.11</v>
      </c>
      <c r="C2382" s="4">
        <v>0</v>
      </c>
      <c r="D2382" s="4">
        <v>383.11</v>
      </c>
      <c r="E2382">
        <v>79</v>
      </c>
      <c r="F2382">
        <v>79</v>
      </c>
    </row>
    <row r="2383" spans="1:6" x14ac:dyDescent="0.25">
      <c r="A2383" t="s">
        <v>2509</v>
      </c>
      <c r="B2383" s="4">
        <v>382.96</v>
      </c>
      <c r="C2383" s="4">
        <v>34.65</v>
      </c>
      <c r="D2383" s="4">
        <v>348.31</v>
      </c>
      <c r="E2383">
        <v>27</v>
      </c>
      <c r="F2383">
        <v>27</v>
      </c>
    </row>
    <row r="2384" spans="1:6" x14ac:dyDescent="0.25">
      <c r="A2384" t="s">
        <v>2510</v>
      </c>
      <c r="B2384" s="4">
        <v>381.78</v>
      </c>
      <c r="C2384" s="4">
        <v>0</v>
      </c>
      <c r="D2384" s="4">
        <v>381.78</v>
      </c>
      <c r="E2384">
        <v>29</v>
      </c>
      <c r="F2384">
        <v>29</v>
      </c>
    </row>
    <row r="2385" spans="1:6" x14ac:dyDescent="0.25">
      <c r="A2385" t="s">
        <v>2511</v>
      </c>
      <c r="B2385" s="4">
        <v>381.66</v>
      </c>
      <c r="C2385" s="4">
        <v>0</v>
      </c>
      <c r="D2385" s="4">
        <v>381.66</v>
      </c>
      <c r="E2385">
        <v>61</v>
      </c>
      <c r="F2385">
        <v>59</v>
      </c>
    </row>
    <row r="2386" spans="1:6" x14ac:dyDescent="0.25">
      <c r="A2386" t="s">
        <v>2512</v>
      </c>
      <c r="B2386" s="4">
        <v>380.79</v>
      </c>
      <c r="C2386" s="4">
        <v>0</v>
      </c>
      <c r="D2386" s="4">
        <v>380.79</v>
      </c>
      <c r="E2386">
        <v>59</v>
      </c>
      <c r="F2386">
        <v>59</v>
      </c>
    </row>
    <row r="2387" spans="1:6" x14ac:dyDescent="0.25">
      <c r="A2387" t="s">
        <v>2513</v>
      </c>
      <c r="B2387" s="4">
        <v>380.36</v>
      </c>
      <c r="C2387" s="4">
        <v>0</v>
      </c>
      <c r="D2387" s="4">
        <v>380.36</v>
      </c>
      <c r="E2387">
        <v>28</v>
      </c>
      <c r="F2387">
        <v>28</v>
      </c>
    </row>
    <row r="2388" spans="1:6" x14ac:dyDescent="0.25">
      <c r="A2388" t="s">
        <v>2514</v>
      </c>
      <c r="B2388" s="4">
        <v>380</v>
      </c>
      <c r="C2388" s="4">
        <v>0</v>
      </c>
      <c r="D2388" s="4">
        <v>380</v>
      </c>
      <c r="E2388">
        <v>69</v>
      </c>
      <c r="F2388">
        <v>68</v>
      </c>
    </row>
    <row r="2389" spans="1:6" x14ac:dyDescent="0.25">
      <c r="A2389" t="s">
        <v>2515</v>
      </c>
      <c r="B2389" s="4">
        <v>378.29</v>
      </c>
      <c r="C2389" s="4">
        <v>0</v>
      </c>
      <c r="D2389" s="4">
        <v>378.29</v>
      </c>
      <c r="E2389">
        <v>37</v>
      </c>
      <c r="F2389">
        <v>37</v>
      </c>
    </row>
    <row r="2390" spans="1:6" x14ac:dyDescent="0.25">
      <c r="A2390" t="s">
        <v>2516</v>
      </c>
      <c r="B2390" s="4">
        <v>377.88</v>
      </c>
      <c r="C2390" s="4">
        <v>0</v>
      </c>
      <c r="D2390" s="4">
        <v>377.88</v>
      </c>
      <c r="E2390">
        <v>37</v>
      </c>
      <c r="F2390">
        <v>37</v>
      </c>
    </row>
    <row r="2391" spans="1:6" x14ac:dyDescent="0.25">
      <c r="A2391" t="s">
        <v>2517</v>
      </c>
      <c r="B2391" s="4">
        <v>377.2</v>
      </c>
      <c r="C2391" s="4">
        <v>0</v>
      </c>
      <c r="D2391" s="4">
        <v>377.2</v>
      </c>
      <c r="E2391">
        <v>51</v>
      </c>
      <c r="F2391">
        <v>51</v>
      </c>
    </row>
    <row r="2392" spans="1:6" x14ac:dyDescent="0.25">
      <c r="A2392" t="s">
        <v>2518</v>
      </c>
      <c r="B2392" s="4">
        <v>377.04</v>
      </c>
      <c r="C2392" s="4">
        <v>0</v>
      </c>
      <c r="D2392" s="4">
        <v>377.04</v>
      </c>
      <c r="E2392">
        <v>26</v>
      </c>
      <c r="F2392">
        <v>26</v>
      </c>
    </row>
    <row r="2393" spans="1:6" x14ac:dyDescent="0.25">
      <c r="A2393" t="s">
        <v>2519</v>
      </c>
      <c r="B2393" s="4">
        <v>376.27</v>
      </c>
      <c r="C2393" s="4">
        <v>0</v>
      </c>
      <c r="D2393" s="4">
        <v>376.27</v>
      </c>
      <c r="E2393">
        <v>43</v>
      </c>
      <c r="F2393">
        <v>43</v>
      </c>
    </row>
    <row r="2394" spans="1:6" x14ac:dyDescent="0.25">
      <c r="A2394" t="s">
        <v>2520</v>
      </c>
      <c r="B2394" s="4">
        <v>376.18</v>
      </c>
      <c r="C2394" s="4">
        <v>30.36</v>
      </c>
      <c r="D2394" s="4">
        <v>345.82</v>
      </c>
      <c r="E2394">
        <v>43</v>
      </c>
      <c r="F2394">
        <v>42</v>
      </c>
    </row>
    <row r="2395" spans="1:6" x14ac:dyDescent="0.25">
      <c r="A2395" t="s">
        <v>2521</v>
      </c>
      <c r="B2395" s="4">
        <v>375.93</v>
      </c>
      <c r="C2395" s="4">
        <v>0</v>
      </c>
      <c r="D2395" s="4">
        <v>375.93</v>
      </c>
      <c r="E2395">
        <v>66</v>
      </c>
      <c r="F2395">
        <v>65</v>
      </c>
    </row>
    <row r="2396" spans="1:6" x14ac:dyDescent="0.25">
      <c r="A2396" t="s">
        <v>2522</v>
      </c>
      <c r="B2396" s="4">
        <v>375.61</v>
      </c>
      <c r="C2396" s="4">
        <v>0</v>
      </c>
      <c r="D2396" s="4">
        <v>375.61</v>
      </c>
      <c r="E2396">
        <v>94</v>
      </c>
      <c r="F2396">
        <v>94</v>
      </c>
    </row>
    <row r="2397" spans="1:6" x14ac:dyDescent="0.25">
      <c r="A2397" t="s">
        <v>2523</v>
      </c>
      <c r="B2397" s="4">
        <v>374.96</v>
      </c>
      <c r="C2397" s="4">
        <v>0</v>
      </c>
      <c r="D2397" s="4">
        <v>374.96</v>
      </c>
      <c r="E2397">
        <v>16</v>
      </c>
      <c r="F2397">
        <v>16</v>
      </c>
    </row>
    <row r="2398" spans="1:6" x14ac:dyDescent="0.25">
      <c r="A2398" t="s">
        <v>2524</v>
      </c>
      <c r="B2398" s="4">
        <v>374.12</v>
      </c>
      <c r="C2398" s="4">
        <v>9.11</v>
      </c>
      <c r="D2398" s="4">
        <v>365.01</v>
      </c>
      <c r="E2398">
        <v>34</v>
      </c>
      <c r="F2398">
        <v>34</v>
      </c>
    </row>
    <row r="2399" spans="1:6" x14ac:dyDescent="0.25">
      <c r="A2399" t="s">
        <v>2525</v>
      </c>
      <c r="B2399" s="4">
        <v>373.57</v>
      </c>
      <c r="C2399" s="4">
        <v>0</v>
      </c>
      <c r="D2399" s="4">
        <v>373.57</v>
      </c>
      <c r="E2399">
        <v>28</v>
      </c>
      <c r="F2399">
        <v>27</v>
      </c>
    </row>
    <row r="2400" spans="1:6" x14ac:dyDescent="0.25">
      <c r="A2400" t="s">
        <v>2526</v>
      </c>
      <c r="B2400" s="4">
        <v>373.34</v>
      </c>
      <c r="C2400" s="4">
        <v>0</v>
      </c>
      <c r="D2400" s="4">
        <v>373.34</v>
      </c>
      <c r="E2400">
        <v>106</v>
      </c>
      <c r="F2400">
        <v>105</v>
      </c>
    </row>
    <row r="2401" spans="1:6" x14ac:dyDescent="0.25">
      <c r="A2401" t="s">
        <v>2527</v>
      </c>
      <c r="B2401" s="4">
        <v>372.33</v>
      </c>
      <c r="C2401" s="4">
        <v>0</v>
      </c>
      <c r="D2401" s="4">
        <v>372.33</v>
      </c>
      <c r="E2401">
        <v>47</v>
      </c>
      <c r="F2401">
        <v>46</v>
      </c>
    </row>
    <row r="2402" spans="1:6" x14ac:dyDescent="0.25">
      <c r="A2402" t="s">
        <v>2528</v>
      </c>
      <c r="B2402" s="4">
        <v>372.33</v>
      </c>
      <c r="C2402" s="4">
        <v>0</v>
      </c>
      <c r="D2402" s="4">
        <v>372.33</v>
      </c>
      <c r="E2402">
        <v>23</v>
      </c>
      <c r="F2402">
        <v>23</v>
      </c>
    </row>
    <row r="2403" spans="1:6" x14ac:dyDescent="0.25">
      <c r="A2403" t="s">
        <v>2529</v>
      </c>
      <c r="B2403" s="4">
        <v>369.87</v>
      </c>
      <c r="C2403" s="4">
        <v>0</v>
      </c>
      <c r="D2403" s="4">
        <v>369.87</v>
      </c>
      <c r="E2403">
        <v>26</v>
      </c>
      <c r="F2403">
        <v>26</v>
      </c>
    </row>
    <row r="2404" spans="1:6" x14ac:dyDescent="0.25">
      <c r="A2404" t="s">
        <v>2530</v>
      </c>
      <c r="B2404" s="4">
        <v>369.84</v>
      </c>
      <c r="C2404" s="4">
        <v>0</v>
      </c>
      <c r="D2404" s="4">
        <v>369.84</v>
      </c>
      <c r="E2404">
        <v>35</v>
      </c>
      <c r="F2404">
        <v>35</v>
      </c>
    </row>
    <row r="2405" spans="1:6" x14ac:dyDescent="0.25">
      <c r="A2405" t="s">
        <v>2531</v>
      </c>
      <c r="B2405" s="4">
        <v>367.35</v>
      </c>
      <c r="C2405" s="4">
        <v>0</v>
      </c>
      <c r="D2405" s="4">
        <v>367.35</v>
      </c>
      <c r="E2405">
        <v>34</v>
      </c>
      <c r="F2405">
        <v>32</v>
      </c>
    </row>
    <row r="2406" spans="1:6" x14ac:dyDescent="0.25">
      <c r="A2406" t="s">
        <v>2532</v>
      </c>
      <c r="B2406" s="4">
        <v>366.75</v>
      </c>
      <c r="C2406" s="4">
        <v>0</v>
      </c>
      <c r="D2406" s="4">
        <v>366.75</v>
      </c>
      <c r="E2406">
        <v>75</v>
      </c>
      <c r="F2406">
        <v>73</v>
      </c>
    </row>
    <row r="2407" spans="1:6" x14ac:dyDescent="0.25">
      <c r="A2407" t="s">
        <v>2533</v>
      </c>
      <c r="B2407" s="4">
        <v>366.73</v>
      </c>
      <c r="C2407" s="4">
        <v>225.5</v>
      </c>
      <c r="D2407" s="4">
        <v>141.22999999999999</v>
      </c>
      <c r="E2407">
        <v>8</v>
      </c>
      <c r="F2407">
        <v>8</v>
      </c>
    </row>
    <row r="2408" spans="1:6" x14ac:dyDescent="0.25">
      <c r="A2408" t="s">
        <v>2534</v>
      </c>
      <c r="B2408" s="4">
        <v>366.15</v>
      </c>
      <c r="C2408" s="4">
        <v>0</v>
      </c>
      <c r="D2408" s="4">
        <v>366.15</v>
      </c>
      <c r="E2408">
        <v>71</v>
      </c>
      <c r="F2408">
        <v>64</v>
      </c>
    </row>
    <row r="2409" spans="1:6" x14ac:dyDescent="0.25">
      <c r="A2409" t="s">
        <v>2535</v>
      </c>
      <c r="B2409" s="4">
        <v>365.09</v>
      </c>
      <c r="C2409" s="4">
        <v>0</v>
      </c>
      <c r="D2409" s="4">
        <v>365.09</v>
      </c>
      <c r="E2409">
        <v>53</v>
      </c>
      <c r="F2409">
        <v>52</v>
      </c>
    </row>
    <row r="2410" spans="1:6" x14ac:dyDescent="0.25">
      <c r="A2410" t="s">
        <v>2536</v>
      </c>
      <c r="B2410" s="4">
        <v>364.22</v>
      </c>
      <c r="C2410" s="4">
        <v>14.7</v>
      </c>
      <c r="D2410" s="4">
        <v>349.52</v>
      </c>
      <c r="E2410">
        <v>20</v>
      </c>
      <c r="F2410">
        <v>19</v>
      </c>
    </row>
    <row r="2411" spans="1:6" x14ac:dyDescent="0.25">
      <c r="A2411" t="s">
        <v>2537</v>
      </c>
      <c r="B2411" s="4">
        <v>362.65</v>
      </c>
      <c r="C2411" s="4">
        <v>0</v>
      </c>
      <c r="D2411" s="4">
        <v>362.65</v>
      </c>
      <c r="E2411">
        <v>37</v>
      </c>
      <c r="F2411">
        <v>35</v>
      </c>
    </row>
    <row r="2412" spans="1:6" x14ac:dyDescent="0.25">
      <c r="A2412" t="s">
        <v>2538</v>
      </c>
      <c r="B2412" s="4">
        <v>362.12</v>
      </c>
      <c r="C2412" s="4">
        <v>0</v>
      </c>
      <c r="D2412" s="4">
        <v>362.12</v>
      </c>
      <c r="E2412">
        <v>30</v>
      </c>
      <c r="F2412">
        <v>30</v>
      </c>
    </row>
    <row r="2413" spans="1:6" x14ac:dyDescent="0.25">
      <c r="A2413" t="s">
        <v>2539</v>
      </c>
      <c r="B2413" s="4">
        <v>361.81</v>
      </c>
      <c r="C2413" s="4">
        <v>18.239999999999998</v>
      </c>
      <c r="D2413" s="4">
        <v>343.57</v>
      </c>
      <c r="E2413">
        <v>41</v>
      </c>
      <c r="F2413">
        <v>41</v>
      </c>
    </row>
    <row r="2414" spans="1:6" x14ac:dyDescent="0.25">
      <c r="A2414" t="s">
        <v>2540</v>
      </c>
      <c r="B2414" s="4">
        <v>361.56</v>
      </c>
      <c r="C2414" s="4">
        <v>0</v>
      </c>
      <c r="D2414" s="4">
        <v>361.56</v>
      </c>
      <c r="E2414">
        <v>6</v>
      </c>
      <c r="F2414">
        <v>6</v>
      </c>
    </row>
    <row r="2415" spans="1:6" x14ac:dyDescent="0.25">
      <c r="A2415" t="s">
        <v>2541</v>
      </c>
      <c r="B2415" s="4">
        <v>360.71</v>
      </c>
      <c r="C2415" s="4">
        <v>0</v>
      </c>
      <c r="D2415" s="4">
        <v>360.71</v>
      </c>
      <c r="E2415">
        <v>70</v>
      </c>
      <c r="F2415">
        <v>70</v>
      </c>
    </row>
    <row r="2416" spans="1:6" x14ac:dyDescent="0.25">
      <c r="A2416" t="s">
        <v>2542</v>
      </c>
      <c r="B2416" s="4">
        <v>360.71</v>
      </c>
      <c r="C2416" s="4">
        <v>0</v>
      </c>
      <c r="D2416" s="4">
        <v>360.71</v>
      </c>
      <c r="E2416">
        <v>42</v>
      </c>
      <c r="F2416">
        <v>42</v>
      </c>
    </row>
    <row r="2417" spans="1:6" x14ac:dyDescent="0.25">
      <c r="A2417" t="s">
        <v>2543</v>
      </c>
      <c r="B2417" s="4">
        <v>359.7</v>
      </c>
      <c r="C2417" s="4">
        <v>59.95</v>
      </c>
      <c r="D2417" s="4">
        <v>299.75</v>
      </c>
      <c r="E2417">
        <v>5</v>
      </c>
      <c r="F2417">
        <v>5</v>
      </c>
    </row>
    <row r="2418" spans="1:6" x14ac:dyDescent="0.25">
      <c r="A2418" t="s">
        <v>2544</v>
      </c>
      <c r="B2418" s="4">
        <v>359.6</v>
      </c>
      <c r="C2418" s="4">
        <v>0</v>
      </c>
      <c r="D2418" s="4">
        <v>359.6</v>
      </c>
      <c r="E2418">
        <v>56</v>
      </c>
      <c r="F2418">
        <v>54</v>
      </c>
    </row>
    <row r="2419" spans="1:6" x14ac:dyDescent="0.25">
      <c r="A2419" t="s">
        <v>2545</v>
      </c>
      <c r="B2419" s="4">
        <v>359.29</v>
      </c>
      <c r="C2419" s="4">
        <v>0</v>
      </c>
      <c r="D2419" s="4">
        <v>359.29</v>
      </c>
      <c r="E2419">
        <v>71</v>
      </c>
      <c r="F2419">
        <v>71</v>
      </c>
    </row>
    <row r="2420" spans="1:6" x14ac:dyDescent="0.25">
      <c r="A2420" t="s">
        <v>2546</v>
      </c>
      <c r="B2420" s="4">
        <v>358.1</v>
      </c>
      <c r="C2420" s="4">
        <v>0</v>
      </c>
      <c r="D2420" s="4">
        <v>358.1</v>
      </c>
      <c r="E2420">
        <v>41</v>
      </c>
      <c r="F2420">
        <v>38</v>
      </c>
    </row>
    <row r="2421" spans="1:6" x14ac:dyDescent="0.25">
      <c r="A2421" t="s">
        <v>2547</v>
      </c>
      <c r="B2421" s="4">
        <v>357.74</v>
      </c>
      <c r="C2421" s="4">
        <v>0</v>
      </c>
      <c r="D2421" s="4">
        <v>357.74</v>
      </c>
      <c r="E2421">
        <v>56</v>
      </c>
      <c r="F2421">
        <v>54</v>
      </c>
    </row>
    <row r="2422" spans="1:6" x14ac:dyDescent="0.25">
      <c r="A2422" t="s">
        <v>2548</v>
      </c>
      <c r="B2422" s="4">
        <v>357.29</v>
      </c>
      <c r="C2422" s="4">
        <v>16.5</v>
      </c>
      <c r="D2422" s="4">
        <v>340.79</v>
      </c>
      <c r="E2422">
        <v>61</v>
      </c>
      <c r="F2422">
        <v>61</v>
      </c>
    </row>
    <row r="2423" spans="1:6" x14ac:dyDescent="0.25">
      <c r="A2423" t="s">
        <v>2549</v>
      </c>
      <c r="B2423" s="4">
        <v>356.97</v>
      </c>
      <c r="C2423" s="4">
        <v>3.9</v>
      </c>
      <c r="D2423" s="4">
        <v>353.07</v>
      </c>
      <c r="E2423">
        <v>45</v>
      </c>
      <c r="F2423">
        <v>42</v>
      </c>
    </row>
    <row r="2424" spans="1:6" x14ac:dyDescent="0.25">
      <c r="A2424" t="s">
        <v>2550</v>
      </c>
      <c r="B2424" s="4">
        <v>356.46</v>
      </c>
      <c r="C2424" s="4">
        <v>0</v>
      </c>
      <c r="D2424" s="4">
        <v>356.46</v>
      </c>
      <c r="E2424">
        <v>61</v>
      </c>
      <c r="F2424">
        <v>59</v>
      </c>
    </row>
    <row r="2425" spans="1:6" x14ac:dyDescent="0.25">
      <c r="A2425" t="s">
        <v>2551</v>
      </c>
      <c r="B2425" s="4">
        <v>356.11</v>
      </c>
      <c r="C2425" s="4">
        <v>0</v>
      </c>
      <c r="D2425" s="4">
        <v>356.11</v>
      </c>
      <c r="E2425">
        <v>30</v>
      </c>
      <c r="F2425">
        <v>30</v>
      </c>
    </row>
    <row r="2426" spans="1:6" x14ac:dyDescent="0.25">
      <c r="A2426" t="s">
        <v>2552</v>
      </c>
      <c r="B2426" s="4">
        <v>356.08</v>
      </c>
      <c r="C2426" s="4">
        <v>1.25</v>
      </c>
      <c r="D2426" s="4">
        <v>354.83</v>
      </c>
      <c r="E2426">
        <v>50</v>
      </c>
      <c r="F2426">
        <v>50</v>
      </c>
    </row>
    <row r="2427" spans="1:6" x14ac:dyDescent="0.25">
      <c r="A2427" t="s">
        <v>2553</v>
      </c>
      <c r="B2427" s="4">
        <v>356.06</v>
      </c>
      <c r="C2427" s="4">
        <v>0</v>
      </c>
      <c r="D2427" s="4">
        <v>356.06</v>
      </c>
      <c r="E2427">
        <v>62</v>
      </c>
      <c r="F2427">
        <v>62</v>
      </c>
    </row>
    <row r="2428" spans="1:6" x14ac:dyDescent="0.25">
      <c r="A2428" t="s">
        <v>2554</v>
      </c>
      <c r="B2428" s="4">
        <v>355.84</v>
      </c>
      <c r="C2428" s="4">
        <v>0</v>
      </c>
      <c r="D2428" s="4">
        <v>355.84</v>
      </c>
      <c r="E2428">
        <v>65</v>
      </c>
      <c r="F2428">
        <v>65</v>
      </c>
    </row>
    <row r="2429" spans="1:6" x14ac:dyDescent="0.25">
      <c r="A2429" t="s">
        <v>2555</v>
      </c>
      <c r="B2429" s="4">
        <v>355.83</v>
      </c>
      <c r="C2429" s="4">
        <v>0</v>
      </c>
      <c r="D2429" s="4">
        <v>355.83</v>
      </c>
      <c r="E2429">
        <v>81</v>
      </c>
      <c r="F2429">
        <v>81</v>
      </c>
    </row>
    <row r="2430" spans="1:6" x14ac:dyDescent="0.25">
      <c r="A2430" t="s">
        <v>2556</v>
      </c>
      <c r="B2430" s="4">
        <v>354.14</v>
      </c>
      <c r="C2430" s="4">
        <v>0</v>
      </c>
      <c r="D2430" s="4">
        <v>354.14</v>
      </c>
      <c r="E2430">
        <v>51</v>
      </c>
      <c r="F2430">
        <v>50</v>
      </c>
    </row>
    <row r="2431" spans="1:6" x14ac:dyDescent="0.25">
      <c r="A2431" t="s">
        <v>2557</v>
      </c>
      <c r="B2431" s="4">
        <v>354.03</v>
      </c>
      <c r="C2431" s="4">
        <v>0</v>
      </c>
      <c r="D2431" s="4">
        <v>354.03</v>
      </c>
      <c r="E2431">
        <v>50</v>
      </c>
      <c r="F2431">
        <v>47</v>
      </c>
    </row>
    <row r="2432" spans="1:6" x14ac:dyDescent="0.25">
      <c r="A2432" t="s">
        <v>2558</v>
      </c>
      <c r="B2432" s="4">
        <v>353.97</v>
      </c>
      <c r="C2432" s="4">
        <v>0</v>
      </c>
      <c r="D2432" s="4">
        <v>353.97</v>
      </c>
      <c r="E2432">
        <v>20</v>
      </c>
      <c r="F2432">
        <v>18</v>
      </c>
    </row>
    <row r="2433" spans="1:6" x14ac:dyDescent="0.25">
      <c r="A2433" t="s">
        <v>2559</v>
      </c>
      <c r="B2433" s="4">
        <v>353.48</v>
      </c>
      <c r="C2433" s="4">
        <v>0</v>
      </c>
      <c r="D2433" s="4">
        <v>353.48</v>
      </c>
      <c r="E2433">
        <v>61</v>
      </c>
      <c r="F2433">
        <v>59</v>
      </c>
    </row>
    <row r="2434" spans="1:6" x14ac:dyDescent="0.25">
      <c r="A2434" t="s">
        <v>2560</v>
      </c>
      <c r="B2434" s="4">
        <v>353.45</v>
      </c>
      <c r="C2434" s="4">
        <v>0</v>
      </c>
      <c r="D2434" s="4">
        <v>353.45</v>
      </c>
      <c r="E2434">
        <v>33</v>
      </c>
      <c r="F2434">
        <v>32</v>
      </c>
    </row>
    <row r="2435" spans="1:6" x14ac:dyDescent="0.25">
      <c r="A2435" t="s">
        <v>2561</v>
      </c>
      <c r="B2435" s="4">
        <v>353.36</v>
      </c>
      <c r="C2435" s="4">
        <v>0</v>
      </c>
      <c r="D2435" s="4">
        <v>353.36</v>
      </c>
      <c r="E2435">
        <v>34</v>
      </c>
      <c r="F2435">
        <v>33</v>
      </c>
    </row>
    <row r="2436" spans="1:6" x14ac:dyDescent="0.25">
      <c r="A2436" t="s">
        <v>2562</v>
      </c>
      <c r="B2436" s="4">
        <v>353.19</v>
      </c>
      <c r="C2436" s="4">
        <v>0</v>
      </c>
      <c r="D2436" s="4">
        <v>353.19</v>
      </c>
      <c r="E2436">
        <v>76</v>
      </c>
      <c r="F2436">
        <v>73</v>
      </c>
    </row>
    <row r="2437" spans="1:6" x14ac:dyDescent="0.25">
      <c r="A2437" t="s">
        <v>2563</v>
      </c>
      <c r="B2437" s="4">
        <v>352.57</v>
      </c>
      <c r="C2437" s="4">
        <v>0.39</v>
      </c>
      <c r="D2437" s="4">
        <v>352.18</v>
      </c>
      <c r="E2437">
        <v>48</v>
      </c>
      <c r="F2437">
        <v>47</v>
      </c>
    </row>
    <row r="2438" spans="1:6" x14ac:dyDescent="0.25">
      <c r="A2438" t="s">
        <v>2564</v>
      </c>
      <c r="B2438" s="4">
        <v>352.25</v>
      </c>
      <c r="C2438" s="4">
        <v>0</v>
      </c>
      <c r="D2438" s="4">
        <v>352.25</v>
      </c>
      <c r="E2438">
        <v>98</v>
      </c>
      <c r="F2438">
        <v>98</v>
      </c>
    </row>
    <row r="2439" spans="1:6" x14ac:dyDescent="0.25">
      <c r="A2439" t="s">
        <v>2565</v>
      </c>
      <c r="B2439" s="4">
        <v>350.61</v>
      </c>
      <c r="C2439" s="4">
        <v>0</v>
      </c>
      <c r="D2439" s="4">
        <v>350.61</v>
      </c>
      <c r="E2439">
        <v>81</v>
      </c>
      <c r="F2439">
        <v>78</v>
      </c>
    </row>
    <row r="2440" spans="1:6" x14ac:dyDescent="0.25">
      <c r="A2440" t="s">
        <v>2566</v>
      </c>
      <c r="B2440" s="4">
        <v>350.47</v>
      </c>
      <c r="C2440" s="4">
        <v>0</v>
      </c>
      <c r="D2440" s="4">
        <v>350.47</v>
      </c>
      <c r="E2440">
        <v>69</v>
      </c>
      <c r="F2440">
        <v>69</v>
      </c>
    </row>
    <row r="2441" spans="1:6" x14ac:dyDescent="0.25">
      <c r="A2441" t="s">
        <v>2567</v>
      </c>
      <c r="B2441" s="4">
        <v>349.87</v>
      </c>
      <c r="C2441" s="4">
        <v>0</v>
      </c>
      <c r="D2441" s="4">
        <v>349.87</v>
      </c>
      <c r="E2441">
        <v>71</v>
      </c>
      <c r="F2441">
        <v>70</v>
      </c>
    </row>
    <row r="2442" spans="1:6" x14ac:dyDescent="0.25">
      <c r="A2442" t="s">
        <v>2568</v>
      </c>
      <c r="B2442" s="4">
        <v>348.59</v>
      </c>
      <c r="C2442" s="4">
        <v>0</v>
      </c>
      <c r="D2442" s="4">
        <v>348.59</v>
      </c>
      <c r="E2442">
        <v>33</v>
      </c>
      <c r="F2442">
        <v>33</v>
      </c>
    </row>
    <row r="2443" spans="1:6" x14ac:dyDescent="0.25">
      <c r="A2443" t="s">
        <v>2569</v>
      </c>
      <c r="B2443" s="4">
        <v>348.53</v>
      </c>
      <c r="C2443" s="4">
        <v>23.85</v>
      </c>
      <c r="D2443" s="4">
        <v>324.68</v>
      </c>
      <c r="E2443">
        <v>25</v>
      </c>
      <c r="F2443">
        <v>24</v>
      </c>
    </row>
    <row r="2444" spans="1:6" x14ac:dyDescent="0.25">
      <c r="A2444" t="s">
        <v>2570</v>
      </c>
      <c r="B2444" s="4">
        <v>348.43</v>
      </c>
      <c r="C2444" s="4">
        <v>0</v>
      </c>
      <c r="D2444" s="4">
        <v>348.43</v>
      </c>
      <c r="E2444">
        <v>14</v>
      </c>
      <c r="F2444">
        <v>14</v>
      </c>
    </row>
    <row r="2445" spans="1:6" x14ac:dyDescent="0.25">
      <c r="A2445" t="s">
        <v>2571</v>
      </c>
      <c r="B2445" s="4">
        <v>346.63</v>
      </c>
      <c r="C2445" s="4">
        <v>57.75</v>
      </c>
      <c r="D2445" s="4">
        <v>288.88</v>
      </c>
      <c r="E2445">
        <v>20</v>
      </c>
      <c r="F2445">
        <v>18</v>
      </c>
    </row>
    <row r="2446" spans="1:6" x14ac:dyDescent="0.25">
      <c r="A2446" t="s">
        <v>2572</v>
      </c>
      <c r="B2446" s="4">
        <v>345.17</v>
      </c>
      <c r="C2446" s="4">
        <v>0</v>
      </c>
      <c r="D2446" s="4">
        <v>345.17</v>
      </c>
      <c r="E2446">
        <v>54</v>
      </c>
      <c r="F2446">
        <v>54</v>
      </c>
    </row>
    <row r="2447" spans="1:6" x14ac:dyDescent="0.25">
      <c r="A2447" t="s">
        <v>2573</v>
      </c>
      <c r="B2447" s="4">
        <v>344.79</v>
      </c>
      <c r="C2447" s="4">
        <v>0</v>
      </c>
      <c r="D2447" s="4">
        <v>344.79</v>
      </c>
      <c r="E2447">
        <v>56</v>
      </c>
      <c r="F2447">
        <v>56</v>
      </c>
    </row>
    <row r="2448" spans="1:6" x14ac:dyDescent="0.25">
      <c r="A2448" t="s">
        <v>2574</v>
      </c>
      <c r="B2448" s="4">
        <v>344.34</v>
      </c>
      <c r="C2448" s="4">
        <v>27.04</v>
      </c>
      <c r="D2448" s="4">
        <v>317.3</v>
      </c>
      <c r="E2448">
        <v>53</v>
      </c>
      <c r="F2448">
        <v>53</v>
      </c>
    </row>
    <row r="2449" spans="1:6" x14ac:dyDescent="0.25">
      <c r="A2449" t="s">
        <v>2575</v>
      </c>
      <c r="B2449" s="4">
        <v>343.99</v>
      </c>
      <c r="C2449" s="4">
        <v>0</v>
      </c>
      <c r="D2449" s="4">
        <v>343.99</v>
      </c>
      <c r="E2449">
        <v>66</v>
      </c>
      <c r="F2449">
        <v>65</v>
      </c>
    </row>
    <row r="2450" spans="1:6" x14ac:dyDescent="0.25">
      <c r="A2450" t="s">
        <v>2576</v>
      </c>
      <c r="B2450" s="4">
        <v>343.71</v>
      </c>
      <c r="C2450" s="4">
        <v>0</v>
      </c>
      <c r="D2450" s="4">
        <v>343.71</v>
      </c>
      <c r="E2450">
        <v>59</v>
      </c>
      <c r="F2450">
        <v>59</v>
      </c>
    </row>
    <row r="2451" spans="1:6" x14ac:dyDescent="0.25">
      <c r="A2451" t="s">
        <v>2577</v>
      </c>
      <c r="B2451" s="4">
        <v>342.76</v>
      </c>
      <c r="C2451" s="4">
        <v>0</v>
      </c>
      <c r="D2451" s="4">
        <v>342.76</v>
      </c>
      <c r="E2451">
        <v>4</v>
      </c>
      <c r="F2451">
        <v>4</v>
      </c>
    </row>
    <row r="2452" spans="1:6" x14ac:dyDescent="0.25">
      <c r="A2452" t="s">
        <v>2578</v>
      </c>
      <c r="B2452" s="4">
        <v>342.65</v>
      </c>
      <c r="C2452" s="4">
        <v>0</v>
      </c>
      <c r="D2452" s="4">
        <v>342.65</v>
      </c>
      <c r="E2452">
        <v>28</v>
      </c>
      <c r="F2452">
        <v>28</v>
      </c>
    </row>
    <row r="2453" spans="1:6" x14ac:dyDescent="0.25">
      <c r="A2453" t="s">
        <v>2579</v>
      </c>
      <c r="B2453" s="4">
        <v>340.7</v>
      </c>
      <c r="C2453" s="4">
        <v>37.25</v>
      </c>
      <c r="D2453" s="4">
        <v>303.45</v>
      </c>
      <c r="E2453">
        <v>14</v>
      </c>
      <c r="F2453">
        <v>14</v>
      </c>
    </row>
    <row r="2454" spans="1:6" x14ac:dyDescent="0.25">
      <c r="A2454" t="s">
        <v>2580</v>
      </c>
      <c r="B2454" s="4">
        <v>340.22</v>
      </c>
      <c r="C2454" s="4">
        <v>0</v>
      </c>
      <c r="D2454" s="4">
        <v>340.22</v>
      </c>
      <c r="E2454">
        <v>54</v>
      </c>
      <c r="F2454">
        <v>54</v>
      </c>
    </row>
    <row r="2455" spans="1:6" x14ac:dyDescent="0.25">
      <c r="A2455" t="s">
        <v>2581</v>
      </c>
      <c r="B2455" s="4">
        <v>338.73</v>
      </c>
      <c r="C2455" s="4">
        <v>0</v>
      </c>
      <c r="D2455" s="4">
        <v>338.73</v>
      </c>
      <c r="E2455">
        <v>53</v>
      </c>
      <c r="F2455">
        <v>49</v>
      </c>
    </row>
    <row r="2456" spans="1:6" x14ac:dyDescent="0.25">
      <c r="A2456" t="s">
        <v>2582</v>
      </c>
      <c r="B2456" s="4">
        <v>338.23</v>
      </c>
      <c r="C2456" s="4">
        <v>0.84</v>
      </c>
      <c r="D2456" s="4">
        <v>337.39</v>
      </c>
      <c r="E2456">
        <v>102</v>
      </c>
      <c r="F2456">
        <v>101</v>
      </c>
    </row>
    <row r="2457" spans="1:6" x14ac:dyDescent="0.25">
      <c r="A2457" t="s">
        <v>2583</v>
      </c>
      <c r="B2457" s="4">
        <v>337.14</v>
      </c>
      <c r="C2457" s="4">
        <v>10.5</v>
      </c>
      <c r="D2457" s="4">
        <v>326.64</v>
      </c>
      <c r="E2457">
        <v>67</v>
      </c>
      <c r="F2457">
        <v>67</v>
      </c>
    </row>
    <row r="2458" spans="1:6" x14ac:dyDescent="0.25">
      <c r="A2458" t="s">
        <v>2584</v>
      </c>
      <c r="B2458" s="4">
        <v>336.74</v>
      </c>
      <c r="C2458" s="4">
        <v>0</v>
      </c>
      <c r="D2458" s="4">
        <v>336.74</v>
      </c>
      <c r="E2458">
        <v>63</v>
      </c>
      <c r="F2458">
        <v>61</v>
      </c>
    </row>
    <row r="2459" spans="1:6" x14ac:dyDescent="0.25">
      <c r="A2459" t="s">
        <v>2585</v>
      </c>
      <c r="B2459" s="4">
        <v>334.76</v>
      </c>
      <c r="C2459" s="4">
        <v>0</v>
      </c>
      <c r="D2459" s="4">
        <v>334.76</v>
      </c>
      <c r="E2459">
        <v>40</v>
      </c>
      <c r="F2459">
        <v>39</v>
      </c>
    </row>
    <row r="2460" spans="1:6" x14ac:dyDescent="0.25">
      <c r="A2460" t="s">
        <v>2586</v>
      </c>
      <c r="B2460" s="4">
        <v>334.03</v>
      </c>
      <c r="C2460" s="4">
        <v>0.85</v>
      </c>
      <c r="D2460" s="4">
        <v>333.18</v>
      </c>
      <c r="E2460">
        <v>34</v>
      </c>
      <c r="F2460">
        <v>33</v>
      </c>
    </row>
    <row r="2461" spans="1:6" x14ac:dyDescent="0.25">
      <c r="A2461" t="s">
        <v>2587</v>
      </c>
      <c r="B2461" s="4">
        <v>333.5</v>
      </c>
      <c r="C2461" s="4">
        <v>0</v>
      </c>
      <c r="D2461" s="4">
        <v>333.5</v>
      </c>
      <c r="E2461">
        <v>26</v>
      </c>
      <c r="F2461">
        <v>25</v>
      </c>
    </row>
    <row r="2462" spans="1:6" x14ac:dyDescent="0.25">
      <c r="A2462" t="s">
        <v>2588</v>
      </c>
      <c r="B2462" s="4">
        <v>333.2</v>
      </c>
      <c r="C2462" s="4">
        <v>0</v>
      </c>
      <c r="D2462" s="4">
        <v>333.2</v>
      </c>
      <c r="E2462">
        <v>39</v>
      </c>
      <c r="F2462">
        <v>39</v>
      </c>
    </row>
    <row r="2463" spans="1:6" x14ac:dyDescent="0.25">
      <c r="A2463" t="s">
        <v>2589</v>
      </c>
      <c r="B2463" s="4">
        <v>332.84</v>
      </c>
      <c r="C2463" s="4">
        <v>0</v>
      </c>
      <c r="D2463" s="4">
        <v>332.84</v>
      </c>
      <c r="E2463">
        <v>45</v>
      </c>
      <c r="F2463">
        <v>44</v>
      </c>
    </row>
    <row r="2464" spans="1:6" x14ac:dyDescent="0.25">
      <c r="A2464" t="s">
        <v>2590</v>
      </c>
      <c r="B2464" s="4">
        <v>332.14</v>
      </c>
      <c r="C2464" s="4">
        <v>11.25</v>
      </c>
      <c r="D2464" s="4">
        <v>320.89</v>
      </c>
      <c r="E2464">
        <v>29</v>
      </c>
      <c r="F2464">
        <v>29</v>
      </c>
    </row>
    <row r="2465" spans="1:6" x14ac:dyDescent="0.25">
      <c r="A2465" t="s">
        <v>2591</v>
      </c>
      <c r="B2465" s="4">
        <v>331.5</v>
      </c>
      <c r="C2465" s="4">
        <v>0</v>
      </c>
      <c r="D2465" s="4">
        <v>331.5</v>
      </c>
      <c r="E2465">
        <v>37</v>
      </c>
      <c r="F2465">
        <v>37</v>
      </c>
    </row>
    <row r="2466" spans="1:6" x14ac:dyDescent="0.25">
      <c r="A2466" t="s">
        <v>2592</v>
      </c>
      <c r="B2466" s="4">
        <v>330.72</v>
      </c>
      <c r="C2466" s="4">
        <v>1.45</v>
      </c>
      <c r="D2466" s="4">
        <v>329.27</v>
      </c>
      <c r="E2466">
        <v>66</v>
      </c>
      <c r="F2466">
        <v>66</v>
      </c>
    </row>
    <row r="2467" spans="1:6" x14ac:dyDescent="0.25">
      <c r="A2467" t="s">
        <v>2593</v>
      </c>
      <c r="B2467" s="4">
        <v>328.44</v>
      </c>
      <c r="C2467" s="4">
        <v>0</v>
      </c>
      <c r="D2467" s="4">
        <v>328.44</v>
      </c>
      <c r="E2467">
        <v>50</v>
      </c>
      <c r="F2467">
        <v>50</v>
      </c>
    </row>
    <row r="2468" spans="1:6" x14ac:dyDescent="0.25">
      <c r="A2468" t="s">
        <v>2594</v>
      </c>
      <c r="B2468" s="4">
        <v>326.56</v>
      </c>
      <c r="C2468" s="4">
        <v>8.64</v>
      </c>
      <c r="D2468" s="4">
        <v>317.92</v>
      </c>
      <c r="E2468">
        <v>31</v>
      </c>
      <c r="F2468">
        <v>31</v>
      </c>
    </row>
    <row r="2469" spans="1:6" x14ac:dyDescent="0.25">
      <c r="A2469" t="s">
        <v>2595</v>
      </c>
      <c r="B2469" s="4">
        <v>326.35000000000002</v>
      </c>
      <c r="C2469" s="4">
        <v>0</v>
      </c>
      <c r="D2469" s="4">
        <v>326.35000000000002</v>
      </c>
      <c r="E2469">
        <v>19</v>
      </c>
      <c r="F2469">
        <v>19</v>
      </c>
    </row>
    <row r="2470" spans="1:6" x14ac:dyDescent="0.25">
      <c r="A2470" t="s">
        <v>2596</v>
      </c>
      <c r="B2470" s="4">
        <v>325.95999999999998</v>
      </c>
      <c r="C2470" s="4">
        <v>0.12</v>
      </c>
      <c r="D2470" s="4">
        <v>325.83999999999997</v>
      </c>
      <c r="E2470">
        <v>106</v>
      </c>
      <c r="F2470">
        <v>104</v>
      </c>
    </row>
    <row r="2471" spans="1:6" x14ac:dyDescent="0.25">
      <c r="A2471" t="s">
        <v>2597</v>
      </c>
      <c r="B2471" s="4">
        <v>325.16000000000003</v>
      </c>
      <c r="C2471" s="4">
        <v>0</v>
      </c>
      <c r="D2471" s="4">
        <v>325.16000000000003</v>
      </c>
      <c r="E2471">
        <v>20</v>
      </c>
      <c r="F2471">
        <v>20</v>
      </c>
    </row>
    <row r="2472" spans="1:6" x14ac:dyDescent="0.25">
      <c r="A2472" t="s">
        <v>2598</v>
      </c>
      <c r="B2472" s="4">
        <v>324.39999999999998</v>
      </c>
      <c r="C2472" s="4">
        <v>0</v>
      </c>
      <c r="D2472" s="4">
        <v>324.39999999999998</v>
      </c>
      <c r="E2472">
        <v>13</v>
      </c>
      <c r="F2472">
        <v>13</v>
      </c>
    </row>
    <row r="2473" spans="1:6" x14ac:dyDescent="0.25">
      <c r="A2473" t="s">
        <v>2599</v>
      </c>
      <c r="B2473" s="4">
        <v>324.01</v>
      </c>
      <c r="C2473" s="4">
        <v>19.899999999999999</v>
      </c>
      <c r="D2473" s="4">
        <v>304.11</v>
      </c>
      <c r="E2473">
        <v>23</v>
      </c>
      <c r="F2473">
        <v>23</v>
      </c>
    </row>
    <row r="2474" spans="1:6" x14ac:dyDescent="0.25">
      <c r="A2474" t="s">
        <v>2600</v>
      </c>
      <c r="B2474" s="4">
        <v>323.32</v>
      </c>
      <c r="C2474" s="4">
        <v>0</v>
      </c>
      <c r="D2474" s="4">
        <v>323.32</v>
      </c>
      <c r="E2474">
        <v>59</v>
      </c>
      <c r="F2474">
        <v>57</v>
      </c>
    </row>
    <row r="2475" spans="1:6" x14ac:dyDescent="0.25">
      <c r="A2475" t="s">
        <v>2601</v>
      </c>
      <c r="B2475" s="4">
        <v>323.14999999999998</v>
      </c>
      <c r="C2475" s="4">
        <v>0</v>
      </c>
      <c r="D2475" s="4">
        <v>323.14999999999998</v>
      </c>
      <c r="E2475">
        <v>30</v>
      </c>
      <c r="F2475">
        <v>29</v>
      </c>
    </row>
    <row r="2476" spans="1:6" x14ac:dyDescent="0.25">
      <c r="A2476" t="s">
        <v>2602</v>
      </c>
      <c r="B2476" s="4">
        <v>322.8</v>
      </c>
      <c r="C2476" s="4">
        <v>0</v>
      </c>
      <c r="D2476" s="4">
        <v>322.8</v>
      </c>
      <c r="E2476">
        <v>180</v>
      </c>
      <c r="F2476">
        <v>179</v>
      </c>
    </row>
    <row r="2477" spans="1:6" x14ac:dyDescent="0.25">
      <c r="A2477" t="s">
        <v>2603</v>
      </c>
      <c r="B2477" s="4">
        <v>322.54000000000002</v>
      </c>
      <c r="C2477" s="4">
        <v>0</v>
      </c>
      <c r="D2477" s="4">
        <v>322.54000000000002</v>
      </c>
      <c r="E2477">
        <v>52</v>
      </c>
      <c r="F2477">
        <v>51</v>
      </c>
    </row>
    <row r="2478" spans="1:6" x14ac:dyDescent="0.25">
      <c r="A2478" t="s">
        <v>2604</v>
      </c>
      <c r="B2478" s="4">
        <v>322.22000000000003</v>
      </c>
      <c r="C2478" s="4">
        <v>0</v>
      </c>
      <c r="D2478" s="4">
        <v>322.22000000000003</v>
      </c>
      <c r="E2478">
        <v>27</v>
      </c>
      <c r="F2478">
        <v>27</v>
      </c>
    </row>
    <row r="2479" spans="1:6" x14ac:dyDescent="0.25">
      <c r="A2479" t="s">
        <v>2605</v>
      </c>
      <c r="B2479" s="4">
        <v>322.18</v>
      </c>
      <c r="C2479" s="4">
        <v>0</v>
      </c>
      <c r="D2479" s="4">
        <v>322.18</v>
      </c>
      <c r="E2479">
        <v>106</v>
      </c>
      <c r="F2479">
        <v>106</v>
      </c>
    </row>
    <row r="2480" spans="1:6" x14ac:dyDescent="0.25">
      <c r="A2480" t="s">
        <v>2606</v>
      </c>
      <c r="B2480" s="4">
        <v>322.18</v>
      </c>
      <c r="C2480" s="4">
        <v>0</v>
      </c>
      <c r="D2480" s="4">
        <v>322.18</v>
      </c>
      <c r="E2480">
        <v>93</v>
      </c>
      <c r="F2480">
        <v>91</v>
      </c>
    </row>
    <row r="2481" spans="1:6" x14ac:dyDescent="0.25">
      <c r="A2481" t="s">
        <v>2607</v>
      </c>
      <c r="B2481" s="4">
        <v>322.08999999999997</v>
      </c>
      <c r="C2481" s="4">
        <v>0</v>
      </c>
      <c r="D2481" s="4">
        <v>322.08999999999997</v>
      </c>
      <c r="E2481">
        <v>136</v>
      </c>
      <c r="F2481">
        <v>134</v>
      </c>
    </row>
    <row r="2482" spans="1:6" x14ac:dyDescent="0.25">
      <c r="A2482" t="s">
        <v>2608</v>
      </c>
      <c r="B2482" s="4">
        <v>320.49</v>
      </c>
      <c r="C2482" s="4">
        <v>0</v>
      </c>
      <c r="D2482" s="4">
        <v>320.49</v>
      </c>
      <c r="E2482">
        <v>30</v>
      </c>
      <c r="F2482">
        <v>30</v>
      </c>
    </row>
    <row r="2483" spans="1:6" x14ac:dyDescent="0.25">
      <c r="A2483" t="s">
        <v>2609</v>
      </c>
      <c r="B2483" s="4">
        <v>320.08999999999997</v>
      </c>
      <c r="C2483" s="4">
        <v>0</v>
      </c>
      <c r="D2483" s="4">
        <v>320.08999999999997</v>
      </c>
      <c r="E2483">
        <v>136</v>
      </c>
      <c r="F2483">
        <v>136</v>
      </c>
    </row>
    <row r="2484" spans="1:6" x14ac:dyDescent="0.25">
      <c r="A2484" t="s">
        <v>2610</v>
      </c>
      <c r="B2484" s="4">
        <v>319.70999999999998</v>
      </c>
      <c r="C2484" s="4">
        <v>0</v>
      </c>
      <c r="D2484" s="4">
        <v>319.70999999999998</v>
      </c>
      <c r="E2484">
        <v>38</v>
      </c>
      <c r="F2484">
        <v>38</v>
      </c>
    </row>
    <row r="2485" spans="1:6" x14ac:dyDescent="0.25">
      <c r="A2485" t="s">
        <v>2611</v>
      </c>
      <c r="B2485" s="4">
        <v>319.66000000000003</v>
      </c>
      <c r="C2485" s="4">
        <v>2.95</v>
      </c>
      <c r="D2485" s="4">
        <v>316.70999999999998</v>
      </c>
      <c r="E2485">
        <v>34</v>
      </c>
      <c r="F2485">
        <v>34</v>
      </c>
    </row>
    <row r="2486" spans="1:6" x14ac:dyDescent="0.25">
      <c r="A2486" t="s">
        <v>2612</v>
      </c>
      <c r="B2486" s="4">
        <v>319.5</v>
      </c>
      <c r="C2486" s="4">
        <v>0</v>
      </c>
      <c r="D2486" s="4">
        <v>319.5</v>
      </c>
      <c r="E2486">
        <v>71</v>
      </c>
      <c r="F2486">
        <v>68</v>
      </c>
    </row>
    <row r="2487" spans="1:6" x14ac:dyDescent="0.25">
      <c r="A2487" t="s">
        <v>2613</v>
      </c>
      <c r="B2487" s="4">
        <v>319.35000000000002</v>
      </c>
      <c r="C2487" s="4">
        <v>3.75</v>
      </c>
      <c r="D2487" s="4">
        <v>315.60000000000002</v>
      </c>
      <c r="E2487">
        <v>37</v>
      </c>
      <c r="F2487">
        <v>37</v>
      </c>
    </row>
    <row r="2488" spans="1:6" x14ac:dyDescent="0.25">
      <c r="A2488" t="s">
        <v>2614</v>
      </c>
      <c r="B2488" s="4">
        <v>318.89</v>
      </c>
      <c r="C2488" s="4">
        <v>0</v>
      </c>
      <c r="D2488" s="4">
        <v>318.89</v>
      </c>
      <c r="E2488">
        <v>34</v>
      </c>
      <c r="F2488">
        <v>34</v>
      </c>
    </row>
    <row r="2489" spans="1:6" x14ac:dyDescent="0.25">
      <c r="A2489" t="s">
        <v>2615</v>
      </c>
      <c r="B2489" s="4">
        <v>318.67</v>
      </c>
      <c r="C2489" s="4">
        <v>15.12</v>
      </c>
      <c r="D2489" s="4">
        <v>303.55</v>
      </c>
      <c r="E2489">
        <v>84</v>
      </c>
      <c r="F2489">
        <v>83</v>
      </c>
    </row>
    <row r="2490" spans="1:6" x14ac:dyDescent="0.25">
      <c r="A2490" t="s">
        <v>2616</v>
      </c>
      <c r="B2490" s="4">
        <v>318.31</v>
      </c>
      <c r="C2490" s="4">
        <v>0</v>
      </c>
      <c r="D2490" s="4">
        <v>318.31</v>
      </c>
      <c r="E2490">
        <v>36</v>
      </c>
      <c r="F2490">
        <v>33</v>
      </c>
    </row>
    <row r="2491" spans="1:6" x14ac:dyDescent="0.25">
      <c r="A2491" t="s">
        <v>2617</v>
      </c>
      <c r="B2491" s="4">
        <v>318.19</v>
      </c>
      <c r="C2491" s="4">
        <v>0</v>
      </c>
      <c r="D2491" s="4">
        <v>318.19</v>
      </c>
      <c r="E2491">
        <v>30</v>
      </c>
      <c r="F2491">
        <v>28</v>
      </c>
    </row>
    <row r="2492" spans="1:6" x14ac:dyDescent="0.25">
      <c r="A2492" t="s">
        <v>2618</v>
      </c>
      <c r="B2492" s="4">
        <v>317.72000000000003</v>
      </c>
      <c r="C2492" s="4">
        <v>0</v>
      </c>
      <c r="D2492" s="4">
        <v>317.72000000000003</v>
      </c>
      <c r="E2492">
        <v>26</v>
      </c>
      <c r="F2492">
        <v>26</v>
      </c>
    </row>
    <row r="2493" spans="1:6" x14ac:dyDescent="0.25">
      <c r="A2493" t="s">
        <v>2619</v>
      </c>
      <c r="B2493" s="4">
        <v>317.17</v>
      </c>
      <c r="C2493" s="4">
        <v>0</v>
      </c>
      <c r="D2493" s="4">
        <v>317.17</v>
      </c>
      <c r="E2493">
        <v>46</v>
      </c>
      <c r="F2493">
        <v>46</v>
      </c>
    </row>
    <row r="2494" spans="1:6" x14ac:dyDescent="0.25">
      <c r="A2494" t="s">
        <v>2620</v>
      </c>
      <c r="B2494" s="4">
        <v>316.95</v>
      </c>
      <c r="C2494" s="4">
        <v>0</v>
      </c>
      <c r="D2494" s="4">
        <v>316.95</v>
      </c>
      <c r="E2494">
        <v>5</v>
      </c>
      <c r="F2494">
        <v>5</v>
      </c>
    </row>
    <row r="2495" spans="1:6" x14ac:dyDescent="0.25">
      <c r="A2495" t="s">
        <v>2621</v>
      </c>
      <c r="B2495" s="4">
        <v>316.75</v>
      </c>
      <c r="C2495" s="4">
        <v>2.1</v>
      </c>
      <c r="D2495" s="4">
        <v>314.64999999999998</v>
      </c>
      <c r="E2495">
        <v>39</v>
      </c>
      <c r="F2495">
        <v>39</v>
      </c>
    </row>
    <row r="2496" spans="1:6" x14ac:dyDescent="0.25">
      <c r="A2496" t="s">
        <v>2622</v>
      </c>
      <c r="B2496" s="4">
        <v>316.45999999999998</v>
      </c>
      <c r="C2496" s="4">
        <v>0</v>
      </c>
      <c r="D2496" s="4">
        <v>316.45999999999998</v>
      </c>
      <c r="E2496">
        <v>60</v>
      </c>
      <c r="F2496">
        <v>60</v>
      </c>
    </row>
    <row r="2497" spans="1:6" x14ac:dyDescent="0.25">
      <c r="A2497" t="s">
        <v>2623</v>
      </c>
      <c r="B2497" s="4">
        <v>315.73</v>
      </c>
      <c r="C2497" s="4">
        <v>0</v>
      </c>
      <c r="D2497" s="4">
        <v>315.73</v>
      </c>
      <c r="E2497">
        <v>44</v>
      </c>
      <c r="F2497">
        <v>44</v>
      </c>
    </row>
    <row r="2498" spans="1:6" x14ac:dyDescent="0.25">
      <c r="A2498" t="s">
        <v>2624</v>
      </c>
      <c r="B2498" s="4">
        <v>315.27</v>
      </c>
      <c r="C2498" s="4">
        <v>0</v>
      </c>
      <c r="D2498" s="4">
        <v>315.27</v>
      </c>
      <c r="E2498">
        <v>29</v>
      </c>
      <c r="F2498">
        <v>27</v>
      </c>
    </row>
    <row r="2499" spans="1:6" x14ac:dyDescent="0.25">
      <c r="A2499" t="s">
        <v>2625</v>
      </c>
      <c r="B2499" s="4">
        <v>314.81</v>
      </c>
      <c r="C2499" s="4">
        <v>0</v>
      </c>
      <c r="D2499" s="4">
        <v>314.81</v>
      </c>
      <c r="E2499">
        <v>116</v>
      </c>
      <c r="F2499">
        <v>106</v>
      </c>
    </row>
    <row r="2500" spans="1:6" x14ac:dyDescent="0.25">
      <c r="A2500" t="s">
        <v>2626</v>
      </c>
      <c r="B2500" s="4">
        <v>314.55</v>
      </c>
      <c r="C2500" s="4">
        <v>7.8</v>
      </c>
      <c r="D2500" s="4">
        <v>306.75</v>
      </c>
      <c r="E2500">
        <v>56</v>
      </c>
      <c r="F2500">
        <v>56</v>
      </c>
    </row>
    <row r="2501" spans="1:6" x14ac:dyDescent="0.25">
      <c r="A2501" t="s">
        <v>2627</v>
      </c>
      <c r="B2501" s="4">
        <v>314.51</v>
      </c>
      <c r="C2501" s="4">
        <v>0</v>
      </c>
      <c r="D2501" s="4">
        <v>314.51</v>
      </c>
      <c r="E2501">
        <v>30</v>
      </c>
      <c r="F2501">
        <v>30</v>
      </c>
    </row>
    <row r="2502" spans="1:6" x14ac:dyDescent="0.25">
      <c r="A2502" t="s">
        <v>2628</v>
      </c>
      <c r="B2502" s="4">
        <v>314.5</v>
      </c>
      <c r="C2502" s="4">
        <v>0</v>
      </c>
      <c r="D2502" s="4">
        <v>314.5</v>
      </c>
      <c r="E2502">
        <v>23</v>
      </c>
      <c r="F2502">
        <v>21</v>
      </c>
    </row>
    <row r="2503" spans="1:6" x14ac:dyDescent="0.25">
      <c r="A2503" t="s">
        <v>2629</v>
      </c>
      <c r="B2503" s="4">
        <v>313.31</v>
      </c>
      <c r="C2503" s="4">
        <v>0</v>
      </c>
      <c r="D2503" s="4">
        <v>313.31</v>
      </c>
      <c r="E2503">
        <v>101</v>
      </c>
      <c r="F2503">
        <v>101</v>
      </c>
    </row>
    <row r="2504" spans="1:6" x14ac:dyDescent="0.25">
      <c r="A2504" t="s">
        <v>2630</v>
      </c>
      <c r="B2504" s="4">
        <v>313.06</v>
      </c>
      <c r="C2504" s="4">
        <v>0</v>
      </c>
      <c r="D2504" s="4">
        <v>313.06</v>
      </c>
      <c r="E2504">
        <v>23</v>
      </c>
      <c r="F2504">
        <v>23</v>
      </c>
    </row>
    <row r="2505" spans="1:6" x14ac:dyDescent="0.25">
      <c r="A2505" t="s">
        <v>2631</v>
      </c>
      <c r="B2505" s="4">
        <v>313.01</v>
      </c>
      <c r="C2505" s="4">
        <v>10.199999999999999</v>
      </c>
      <c r="D2505" s="4">
        <v>302.81</v>
      </c>
      <c r="E2505">
        <v>103</v>
      </c>
      <c r="F2505">
        <v>103</v>
      </c>
    </row>
    <row r="2506" spans="1:6" x14ac:dyDescent="0.25">
      <c r="A2506" t="s">
        <v>2632</v>
      </c>
      <c r="B2506" s="4">
        <v>312.7</v>
      </c>
      <c r="C2506" s="4">
        <v>0</v>
      </c>
      <c r="D2506" s="4">
        <v>312.7</v>
      </c>
      <c r="E2506">
        <v>13</v>
      </c>
      <c r="F2506">
        <v>13</v>
      </c>
    </row>
    <row r="2507" spans="1:6" x14ac:dyDescent="0.25">
      <c r="A2507" t="s">
        <v>2633</v>
      </c>
      <c r="B2507" s="4">
        <v>310.49</v>
      </c>
      <c r="C2507" s="4">
        <v>0</v>
      </c>
      <c r="D2507" s="4">
        <v>310.49</v>
      </c>
      <c r="E2507">
        <v>60</v>
      </c>
      <c r="F2507">
        <v>59</v>
      </c>
    </row>
    <row r="2508" spans="1:6" x14ac:dyDescent="0.25">
      <c r="A2508" t="s">
        <v>2634</v>
      </c>
      <c r="B2508" s="4">
        <v>310.19</v>
      </c>
      <c r="C2508" s="4">
        <v>0</v>
      </c>
      <c r="D2508" s="4">
        <v>310.19</v>
      </c>
      <c r="E2508">
        <v>101</v>
      </c>
      <c r="F2508">
        <v>100</v>
      </c>
    </row>
    <row r="2509" spans="1:6" x14ac:dyDescent="0.25">
      <c r="A2509" t="s">
        <v>2635</v>
      </c>
      <c r="B2509" s="4">
        <v>309.3</v>
      </c>
      <c r="C2509" s="4">
        <v>0</v>
      </c>
      <c r="D2509" s="4">
        <v>309.3</v>
      </c>
      <c r="E2509">
        <v>27</v>
      </c>
      <c r="F2509">
        <v>27</v>
      </c>
    </row>
    <row r="2510" spans="1:6" x14ac:dyDescent="0.25">
      <c r="A2510" t="s">
        <v>2636</v>
      </c>
      <c r="B2510" s="4">
        <v>309.11</v>
      </c>
      <c r="C2510" s="4">
        <v>0</v>
      </c>
      <c r="D2510" s="4">
        <v>309.11</v>
      </c>
      <c r="E2510">
        <v>77</v>
      </c>
      <c r="F2510">
        <v>76</v>
      </c>
    </row>
    <row r="2511" spans="1:6" x14ac:dyDescent="0.25">
      <c r="A2511" t="s">
        <v>2637</v>
      </c>
      <c r="B2511" s="4">
        <v>307.44</v>
      </c>
      <c r="C2511" s="4">
        <v>0</v>
      </c>
      <c r="D2511" s="4">
        <v>307.44</v>
      </c>
      <c r="E2511">
        <v>59</v>
      </c>
      <c r="F2511">
        <v>58</v>
      </c>
    </row>
    <row r="2512" spans="1:6" x14ac:dyDescent="0.25">
      <c r="A2512" t="s">
        <v>2638</v>
      </c>
      <c r="B2512" s="4">
        <v>306.66000000000003</v>
      </c>
      <c r="C2512" s="4">
        <v>0</v>
      </c>
      <c r="D2512" s="4">
        <v>306.66000000000003</v>
      </c>
      <c r="E2512">
        <v>41</v>
      </c>
      <c r="F2512">
        <v>41</v>
      </c>
    </row>
    <row r="2513" spans="1:6" x14ac:dyDescent="0.25">
      <c r="A2513" t="s">
        <v>2639</v>
      </c>
      <c r="B2513" s="4">
        <v>305.8</v>
      </c>
      <c r="C2513" s="4">
        <v>0</v>
      </c>
      <c r="D2513" s="4">
        <v>305.8</v>
      </c>
      <c r="E2513">
        <v>52</v>
      </c>
      <c r="F2513">
        <v>51</v>
      </c>
    </row>
    <row r="2514" spans="1:6" x14ac:dyDescent="0.25">
      <c r="A2514" t="s">
        <v>2640</v>
      </c>
      <c r="B2514" s="4">
        <v>304.5</v>
      </c>
      <c r="C2514" s="4">
        <v>0</v>
      </c>
      <c r="D2514" s="4">
        <v>304.5</v>
      </c>
      <c r="E2514">
        <v>28</v>
      </c>
      <c r="F2514">
        <v>28</v>
      </c>
    </row>
    <row r="2515" spans="1:6" x14ac:dyDescent="0.25">
      <c r="A2515" t="s">
        <v>2641</v>
      </c>
      <c r="B2515" s="4">
        <v>304.5</v>
      </c>
      <c r="C2515" s="4">
        <v>0</v>
      </c>
      <c r="D2515" s="4">
        <v>304.5</v>
      </c>
      <c r="E2515">
        <v>64</v>
      </c>
      <c r="F2515">
        <v>64</v>
      </c>
    </row>
    <row r="2516" spans="1:6" x14ac:dyDescent="0.25">
      <c r="A2516" t="s">
        <v>2642</v>
      </c>
      <c r="B2516" s="4">
        <v>303.73</v>
      </c>
      <c r="C2516" s="4">
        <v>0</v>
      </c>
      <c r="D2516" s="4">
        <v>303.73</v>
      </c>
      <c r="E2516">
        <v>37</v>
      </c>
      <c r="F2516">
        <v>37</v>
      </c>
    </row>
    <row r="2517" spans="1:6" x14ac:dyDescent="0.25">
      <c r="A2517" t="s">
        <v>2643</v>
      </c>
      <c r="B2517" s="4">
        <v>301.88</v>
      </c>
      <c r="C2517" s="4">
        <v>0</v>
      </c>
      <c r="D2517" s="4">
        <v>301.88</v>
      </c>
      <c r="E2517">
        <v>18</v>
      </c>
      <c r="F2517">
        <v>18</v>
      </c>
    </row>
    <row r="2518" spans="1:6" x14ac:dyDescent="0.25">
      <c r="A2518" t="s">
        <v>2644</v>
      </c>
      <c r="B2518" s="4">
        <v>301.26</v>
      </c>
      <c r="C2518" s="4">
        <v>0</v>
      </c>
      <c r="D2518" s="4">
        <v>301.26</v>
      </c>
      <c r="E2518">
        <v>20</v>
      </c>
      <c r="F2518">
        <v>20</v>
      </c>
    </row>
    <row r="2519" spans="1:6" x14ac:dyDescent="0.25">
      <c r="A2519" t="s">
        <v>2645</v>
      </c>
      <c r="B2519" s="4">
        <v>300.24</v>
      </c>
      <c r="C2519" s="4">
        <v>0</v>
      </c>
      <c r="D2519" s="4">
        <v>300.24</v>
      </c>
      <c r="E2519">
        <v>29</v>
      </c>
      <c r="F2519">
        <v>29</v>
      </c>
    </row>
    <row r="2520" spans="1:6" x14ac:dyDescent="0.25">
      <c r="A2520" t="s">
        <v>2646</v>
      </c>
      <c r="B2520" s="4">
        <v>299.72000000000003</v>
      </c>
      <c r="C2520" s="4">
        <v>1.25</v>
      </c>
      <c r="D2520" s="4">
        <v>298.47000000000003</v>
      </c>
      <c r="E2520">
        <v>57</v>
      </c>
      <c r="F2520">
        <v>57</v>
      </c>
    </row>
    <row r="2521" spans="1:6" x14ac:dyDescent="0.25">
      <c r="A2521" t="s">
        <v>2647</v>
      </c>
      <c r="B2521" s="4">
        <v>299.5</v>
      </c>
      <c r="C2521" s="4">
        <v>0</v>
      </c>
      <c r="D2521" s="4">
        <v>299.5</v>
      </c>
      <c r="E2521">
        <v>10</v>
      </c>
      <c r="F2521">
        <v>10</v>
      </c>
    </row>
    <row r="2522" spans="1:6" x14ac:dyDescent="0.25">
      <c r="A2522" t="s">
        <v>2648</v>
      </c>
      <c r="B2522" s="4">
        <v>299.36</v>
      </c>
      <c r="C2522" s="4">
        <v>0</v>
      </c>
      <c r="D2522" s="4">
        <v>299.36</v>
      </c>
      <c r="E2522">
        <v>5</v>
      </c>
      <c r="F2522">
        <v>5</v>
      </c>
    </row>
    <row r="2523" spans="1:6" x14ac:dyDescent="0.25">
      <c r="A2523" t="s">
        <v>2649</v>
      </c>
      <c r="B2523" s="4">
        <v>298.27</v>
      </c>
      <c r="C2523" s="4">
        <v>35.4</v>
      </c>
      <c r="D2523" s="4">
        <v>262.87</v>
      </c>
      <c r="E2523">
        <v>24</v>
      </c>
      <c r="F2523">
        <v>24</v>
      </c>
    </row>
    <row r="2524" spans="1:6" x14ac:dyDescent="0.25">
      <c r="A2524" t="s">
        <v>2650</v>
      </c>
      <c r="B2524" s="4">
        <v>297.94</v>
      </c>
      <c r="C2524" s="4">
        <v>0</v>
      </c>
      <c r="D2524" s="4">
        <v>297.94</v>
      </c>
      <c r="E2524">
        <v>21</v>
      </c>
      <c r="F2524">
        <v>21</v>
      </c>
    </row>
    <row r="2525" spans="1:6" x14ac:dyDescent="0.25">
      <c r="A2525" t="s">
        <v>2651</v>
      </c>
      <c r="B2525" s="4">
        <v>296.45</v>
      </c>
      <c r="C2525" s="4">
        <v>0</v>
      </c>
      <c r="D2525" s="4">
        <v>296.45</v>
      </c>
      <c r="E2525">
        <v>68</v>
      </c>
      <c r="F2525">
        <v>68</v>
      </c>
    </row>
    <row r="2526" spans="1:6" x14ac:dyDescent="0.25">
      <c r="A2526" t="s">
        <v>2652</v>
      </c>
      <c r="B2526" s="4">
        <v>296.25</v>
      </c>
      <c r="C2526" s="4">
        <v>10.5</v>
      </c>
      <c r="D2526" s="4">
        <v>285.75</v>
      </c>
      <c r="E2526">
        <v>34</v>
      </c>
      <c r="F2526">
        <v>33</v>
      </c>
    </row>
    <row r="2527" spans="1:6" x14ac:dyDescent="0.25">
      <c r="A2527" t="s">
        <v>2653</v>
      </c>
      <c r="B2527" s="4">
        <v>293.8</v>
      </c>
      <c r="C2527" s="4">
        <v>0</v>
      </c>
      <c r="D2527" s="4">
        <v>293.8</v>
      </c>
      <c r="E2527">
        <v>81</v>
      </c>
      <c r="F2527">
        <v>79</v>
      </c>
    </row>
    <row r="2528" spans="1:6" x14ac:dyDescent="0.25">
      <c r="A2528" t="s">
        <v>2654</v>
      </c>
      <c r="B2528" s="4">
        <v>293.31</v>
      </c>
      <c r="C2528" s="4">
        <v>0</v>
      </c>
      <c r="D2528" s="4">
        <v>293.31</v>
      </c>
      <c r="E2528">
        <v>44</v>
      </c>
      <c r="F2528">
        <v>41</v>
      </c>
    </row>
    <row r="2529" spans="1:6" x14ac:dyDescent="0.25">
      <c r="A2529" t="s">
        <v>2655</v>
      </c>
      <c r="B2529" s="4">
        <v>292.29000000000002</v>
      </c>
      <c r="C2529" s="4">
        <v>0</v>
      </c>
      <c r="D2529" s="4">
        <v>292.29000000000002</v>
      </c>
      <c r="E2529">
        <v>99</v>
      </c>
      <c r="F2529">
        <v>99</v>
      </c>
    </row>
    <row r="2530" spans="1:6" x14ac:dyDescent="0.25">
      <c r="A2530" t="s">
        <v>2656</v>
      </c>
      <c r="B2530" s="4">
        <v>292.07</v>
      </c>
      <c r="C2530" s="4">
        <v>0</v>
      </c>
      <c r="D2530" s="4">
        <v>292.07</v>
      </c>
      <c r="E2530">
        <v>70</v>
      </c>
      <c r="F2530">
        <v>70</v>
      </c>
    </row>
    <row r="2531" spans="1:6" x14ac:dyDescent="0.25">
      <c r="A2531" t="s">
        <v>2657</v>
      </c>
      <c r="B2531" s="4">
        <v>292.02999999999997</v>
      </c>
      <c r="C2531" s="4">
        <v>0</v>
      </c>
      <c r="D2531" s="4">
        <v>292.02999999999997</v>
      </c>
      <c r="E2531">
        <v>62</v>
      </c>
      <c r="F2531">
        <v>62</v>
      </c>
    </row>
    <row r="2532" spans="1:6" x14ac:dyDescent="0.25">
      <c r="A2532" t="s">
        <v>2658</v>
      </c>
      <c r="B2532" s="4">
        <v>291.58</v>
      </c>
      <c r="C2532" s="4">
        <v>1.25</v>
      </c>
      <c r="D2532" s="4">
        <v>290.33</v>
      </c>
      <c r="E2532">
        <v>38</v>
      </c>
      <c r="F2532">
        <v>37</v>
      </c>
    </row>
    <row r="2533" spans="1:6" x14ac:dyDescent="0.25">
      <c r="A2533" t="s">
        <v>2659</v>
      </c>
      <c r="B2533" s="4">
        <v>290.8</v>
      </c>
      <c r="C2533" s="4">
        <v>0</v>
      </c>
      <c r="D2533" s="4">
        <v>290.8</v>
      </c>
      <c r="E2533">
        <v>41</v>
      </c>
      <c r="F2533">
        <v>38</v>
      </c>
    </row>
    <row r="2534" spans="1:6" x14ac:dyDescent="0.25">
      <c r="A2534" t="s">
        <v>2660</v>
      </c>
      <c r="B2534" s="4">
        <v>290.2</v>
      </c>
      <c r="C2534" s="4">
        <v>0</v>
      </c>
      <c r="D2534" s="4">
        <v>290.2</v>
      </c>
      <c r="E2534">
        <v>56</v>
      </c>
      <c r="F2534">
        <v>51</v>
      </c>
    </row>
    <row r="2535" spans="1:6" x14ac:dyDescent="0.25">
      <c r="A2535" t="s">
        <v>2661</v>
      </c>
      <c r="B2535" s="4">
        <v>290.10000000000002</v>
      </c>
      <c r="C2535" s="4">
        <v>8.15</v>
      </c>
      <c r="D2535" s="4">
        <v>281.95</v>
      </c>
      <c r="E2535">
        <v>18</v>
      </c>
      <c r="F2535">
        <v>18</v>
      </c>
    </row>
    <row r="2536" spans="1:6" x14ac:dyDescent="0.25">
      <c r="A2536" t="s">
        <v>2662</v>
      </c>
      <c r="B2536" s="4">
        <v>289.98</v>
      </c>
      <c r="C2536" s="4">
        <v>0</v>
      </c>
      <c r="D2536" s="4">
        <v>289.98</v>
      </c>
      <c r="E2536">
        <v>24</v>
      </c>
      <c r="F2536">
        <v>24</v>
      </c>
    </row>
    <row r="2537" spans="1:6" x14ac:dyDescent="0.25">
      <c r="A2537" t="s">
        <v>2663</v>
      </c>
      <c r="B2537" s="4">
        <v>289.64999999999998</v>
      </c>
      <c r="C2537" s="4">
        <v>0</v>
      </c>
      <c r="D2537" s="4">
        <v>289.64999999999998</v>
      </c>
      <c r="E2537">
        <v>12</v>
      </c>
      <c r="F2537">
        <v>12</v>
      </c>
    </row>
    <row r="2538" spans="1:6" x14ac:dyDescent="0.25">
      <c r="A2538" t="s">
        <v>2664</v>
      </c>
      <c r="B2538" s="4">
        <v>288.92</v>
      </c>
      <c r="C2538" s="4">
        <v>0.42</v>
      </c>
      <c r="D2538" s="4">
        <v>288.5</v>
      </c>
      <c r="E2538">
        <v>23</v>
      </c>
      <c r="F2538">
        <v>23</v>
      </c>
    </row>
    <row r="2539" spans="1:6" x14ac:dyDescent="0.25">
      <c r="A2539" t="s">
        <v>2665</v>
      </c>
      <c r="B2539" s="4">
        <v>288.43</v>
      </c>
      <c r="C2539" s="4">
        <v>0</v>
      </c>
      <c r="D2539" s="4">
        <v>288.43</v>
      </c>
      <c r="E2539">
        <v>38</v>
      </c>
      <c r="F2539">
        <v>38</v>
      </c>
    </row>
    <row r="2540" spans="1:6" x14ac:dyDescent="0.25">
      <c r="A2540" t="s">
        <v>2666</v>
      </c>
      <c r="B2540" s="4">
        <v>288.36</v>
      </c>
      <c r="C2540" s="4">
        <v>6.72</v>
      </c>
      <c r="D2540" s="4">
        <v>281.64</v>
      </c>
      <c r="E2540">
        <v>57</v>
      </c>
      <c r="F2540">
        <v>57</v>
      </c>
    </row>
    <row r="2541" spans="1:6" x14ac:dyDescent="0.25">
      <c r="A2541" t="s">
        <v>2667</v>
      </c>
      <c r="B2541" s="4">
        <v>286.91000000000003</v>
      </c>
      <c r="C2541" s="4">
        <v>0</v>
      </c>
      <c r="D2541" s="4">
        <v>286.91000000000003</v>
      </c>
      <c r="E2541">
        <v>34</v>
      </c>
      <c r="F2541">
        <v>33</v>
      </c>
    </row>
    <row r="2542" spans="1:6" x14ac:dyDescent="0.25">
      <c r="A2542" t="s">
        <v>2668</v>
      </c>
      <c r="B2542" s="4">
        <v>286.39</v>
      </c>
      <c r="C2542" s="4">
        <v>0</v>
      </c>
      <c r="D2542" s="4">
        <v>286.39</v>
      </c>
      <c r="E2542">
        <v>76</v>
      </c>
      <c r="F2542">
        <v>76</v>
      </c>
    </row>
    <row r="2543" spans="1:6" x14ac:dyDescent="0.25">
      <c r="A2543" t="s">
        <v>2669</v>
      </c>
      <c r="B2543" s="4">
        <v>284.49</v>
      </c>
      <c r="C2543" s="4">
        <v>0</v>
      </c>
      <c r="D2543" s="4">
        <v>284.49</v>
      </c>
      <c r="E2543">
        <v>83</v>
      </c>
      <c r="F2543">
        <v>81</v>
      </c>
    </row>
    <row r="2544" spans="1:6" x14ac:dyDescent="0.25">
      <c r="A2544" t="s">
        <v>2670</v>
      </c>
      <c r="B2544" s="4">
        <v>283.93</v>
      </c>
      <c r="C2544" s="4">
        <v>0</v>
      </c>
      <c r="D2544" s="4">
        <v>283.93</v>
      </c>
      <c r="E2544">
        <v>42</v>
      </c>
      <c r="F2544">
        <v>42</v>
      </c>
    </row>
    <row r="2545" spans="1:6" x14ac:dyDescent="0.25">
      <c r="A2545" t="s">
        <v>2671</v>
      </c>
      <c r="B2545" s="4">
        <v>283.51</v>
      </c>
      <c r="C2545" s="4">
        <v>0</v>
      </c>
      <c r="D2545" s="4">
        <v>283.51</v>
      </c>
      <c r="E2545">
        <v>43</v>
      </c>
      <c r="F2545">
        <v>43</v>
      </c>
    </row>
    <row r="2546" spans="1:6" x14ac:dyDescent="0.25">
      <c r="A2546" t="s">
        <v>2672</v>
      </c>
      <c r="B2546" s="4">
        <v>283.31</v>
      </c>
      <c r="C2546" s="4">
        <v>0</v>
      </c>
      <c r="D2546" s="4">
        <v>283.31</v>
      </c>
      <c r="E2546">
        <v>64</v>
      </c>
      <c r="F2546">
        <v>64</v>
      </c>
    </row>
    <row r="2547" spans="1:6" x14ac:dyDescent="0.25">
      <c r="A2547" t="s">
        <v>2673</v>
      </c>
      <c r="B2547" s="4">
        <v>282.79000000000002</v>
      </c>
      <c r="C2547" s="4">
        <v>22.95</v>
      </c>
      <c r="D2547" s="4">
        <v>259.83999999999997</v>
      </c>
      <c r="E2547">
        <v>28</v>
      </c>
      <c r="F2547">
        <v>27</v>
      </c>
    </row>
    <row r="2548" spans="1:6" x14ac:dyDescent="0.25">
      <c r="A2548" t="s">
        <v>2674</v>
      </c>
      <c r="B2548" s="4">
        <v>282.49</v>
      </c>
      <c r="C2548" s="4">
        <v>0</v>
      </c>
      <c r="D2548" s="4">
        <v>282.49</v>
      </c>
      <c r="E2548">
        <v>80</v>
      </c>
      <c r="F2548">
        <v>80</v>
      </c>
    </row>
    <row r="2549" spans="1:6" x14ac:dyDescent="0.25">
      <c r="A2549" t="s">
        <v>2675</v>
      </c>
      <c r="B2549" s="4">
        <v>282.38</v>
      </c>
      <c r="C2549" s="4">
        <v>0</v>
      </c>
      <c r="D2549" s="4">
        <v>282.38</v>
      </c>
      <c r="E2549">
        <v>41</v>
      </c>
      <c r="F2549">
        <v>40</v>
      </c>
    </row>
    <row r="2550" spans="1:6" x14ac:dyDescent="0.25">
      <c r="A2550" t="s">
        <v>2676</v>
      </c>
      <c r="B2550" s="4">
        <v>282.14999999999998</v>
      </c>
      <c r="C2550" s="4">
        <v>0</v>
      </c>
      <c r="D2550" s="4">
        <v>282.14999999999998</v>
      </c>
      <c r="E2550">
        <v>21</v>
      </c>
      <c r="F2550">
        <v>21</v>
      </c>
    </row>
    <row r="2551" spans="1:6" x14ac:dyDescent="0.25">
      <c r="A2551" t="s">
        <v>2677</v>
      </c>
      <c r="B2551" s="4">
        <v>281.17</v>
      </c>
      <c r="C2551" s="4">
        <v>0</v>
      </c>
      <c r="D2551" s="4">
        <v>281.17</v>
      </c>
      <c r="E2551">
        <v>32</v>
      </c>
      <c r="F2551">
        <v>29</v>
      </c>
    </row>
    <row r="2552" spans="1:6" x14ac:dyDescent="0.25">
      <c r="A2552" t="s">
        <v>2678</v>
      </c>
      <c r="B2552" s="4">
        <v>280.42</v>
      </c>
      <c r="C2552" s="4">
        <v>0</v>
      </c>
      <c r="D2552" s="4">
        <v>280.42</v>
      </c>
      <c r="E2552">
        <v>44</v>
      </c>
      <c r="F2552">
        <v>42</v>
      </c>
    </row>
    <row r="2553" spans="1:6" x14ac:dyDescent="0.25">
      <c r="A2553" t="s">
        <v>2679</v>
      </c>
      <c r="B2553" s="4">
        <v>280.2</v>
      </c>
      <c r="C2553" s="4">
        <v>0</v>
      </c>
      <c r="D2553" s="4">
        <v>280.2</v>
      </c>
      <c r="E2553">
        <v>23</v>
      </c>
      <c r="F2553">
        <v>22</v>
      </c>
    </row>
    <row r="2554" spans="1:6" x14ac:dyDescent="0.25">
      <c r="A2554" t="s">
        <v>2680</v>
      </c>
      <c r="B2554" s="4">
        <v>278.17</v>
      </c>
      <c r="C2554" s="4">
        <v>2.5499999999999998</v>
      </c>
      <c r="D2554" s="4">
        <v>275.62</v>
      </c>
      <c r="E2554">
        <v>42</v>
      </c>
      <c r="F2554">
        <v>42</v>
      </c>
    </row>
    <row r="2555" spans="1:6" x14ac:dyDescent="0.25">
      <c r="A2555" t="s">
        <v>2681</v>
      </c>
      <c r="B2555" s="4">
        <v>277.24</v>
      </c>
      <c r="C2555" s="4">
        <v>0</v>
      </c>
      <c r="D2555" s="4">
        <v>277.24</v>
      </c>
      <c r="E2555">
        <v>50</v>
      </c>
      <c r="F2555">
        <v>50</v>
      </c>
    </row>
    <row r="2556" spans="1:6" x14ac:dyDescent="0.25">
      <c r="A2556" t="s">
        <v>2682</v>
      </c>
      <c r="B2556" s="4">
        <v>277.2</v>
      </c>
      <c r="C2556" s="4">
        <v>0</v>
      </c>
      <c r="D2556" s="4">
        <v>277.2</v>
      </c>
      <c r="E2556">
        <v>26</v>
      </c>
      <c r="F2556">
        <v>25</v>
      </c>
    </row>
    <row r="2557" spans="1:6" x14ac:dyDescent="0.25">
      <c r="A2557" t="s">
        <v>2683</v>
      </c>
      <c r="B2557" s="4">
        <v>276.72000000000003</v>
      </c>
      <c r="C2557" s="4">
        <v>0</v>
      </c>
      <c r="D2557" s="4">
        <v>276.72000000000003</v>
      </c>
      <c r="E2557">
        <v>25</v>
      </c>
      <c r="F2557">
        <v>24</v>
      </c>
    </row>
    <row r="2558" spans="1:6" x14ac:dyDescent="0.25">
      <c r="A2558" t="s">
        <v>2684</v>
      </c>
      <c r="B2558" s="4">
        <v>276.52999999999997</v>
      </c>
      <c r="C2558" s="4">
        <v>0</v>
      </c>
      <c r="D2558" s="4">
        <v>276.52999999999997</v>
      </c>
      <c r="E2558">
        <v>35</v>
      </c>
      <c r="F2558">
        <v>34</v>
      </c>
    </row>
    <row r="2559" spans="1:6" x14ac:dyDescent="0.25">
      <c r="A2559" t="s">
        <v>2685</v>
      </c>
      <c r="B2559" s="4">
        <v>276.42</v>
      </c>
      <c r="C2559" s="4">
        <v>0</v>
      </c>
      <c r="D2559" s="4">
        <v>276.42</v>
      </c>
      <c r="E2559">
        <v>51</v>
      </c>
      <c r="F2559">
        <v>51</v>
      </c>
    </row>
    <row r="2560" spans="1:6" x14ac:dyDescent="0.25">
      <c r="A2560" t="s">
        <v>2686</v>
      </c>
      <c r="B2560" s="4">
        <v>275.62</v>
      </c>
      <c r="C2560" s="4">
        <v>0</v>
      </c>
      <c r="D2560" s="4">
        <v>275.62</v>
      </c>
      <c r="E2560">
        <v>23</v>
      </c>
      <c r="F2560">
        <v>23</v>
      </c>
    </row>
    <row r="2561" spans="1:6" x14ac:dyDescent="0.25">
      <c r="A2561" t="s">
        <v>2687</v>
      </c>
      <c r="B2561" s="4">
        <v>274.37</v>
      </c>
      <c r="C2561" s="4">
        <v>0</v>
      </c>
      <c r="D2561" s="4">
        <v>274.37</v>
      </c>
      <c r="E2561">
        <v>20</v>
      </c>
      <c r="F2561">
        <v>20</v>
      </c>
    </row>
    <row r="2562" spans="1:6" x14ac:dyDescent="0.25">
      <c r="A2562" t="s">
        <v>2688</v>
      </c>
      <c r="B2562" s="4">
        <v>273.81</v>
      </c>
      <c r="C2562" s="4">
        <v>0</v>
      </c>
      <c r="D2562" s="4">
        <v>273.81</v>
      </c>
      <c r="E2562">
        <v>36</v>
      </c>
      <c r="F2562">
        <v>35</v>
      </c>
    </row>
    <row r="2563" spans="1:6" x14ac:dyDescent="0.25">
      <c r="A2563" t="s">
        <v>2689</v>
      </c>
      <c r="B2563" s="4">
        <v>273.45999999999998</v>
      </c>
      <c r="C2563" s="4">
        <v>0</v>
      </c>
      <c r="D2563" s="4">
        <v>273.45999999999998</v>
      </c>
      <c r="E2563">
        <v>38</v>
      </c>
      <c r="F2563">
        <v>37</v>
      </c>
    </row>
    <row r="2564" spans="1:6" x14ac:dyDescent="0.25">
      <c r="A2564" t="s">
        <v>2690</v>
      </c>
      <c r="B2564" s="4">
        <v>273</v>
      </c>
      <c r="C2564" s="4">
        <v>21</v>
      </c>
      <c r="D2564" s="4">
        <v>252</v>
      </c>
      <c r="E2564">
        <v>27</v>
      </c>
      <c r="F2564">
        <v>27</v>
      </c>
    </row>
    <row r="2565" spans="1:6" x14ac:dyDescent="0.25">
      <c r="A2565" t="s">
        <v>2691</v>
      </c>
      <c r="B2565" s="4">
        <v>272.99</v>
      </c>
      <c r="C2565" s="4">
        <v>0</v>
      </c>
      <c r="D2565" s="4">
        <v>272.99</v>
      </c>
      <c r="E2565">
        <v>36</v>
      </c>
      <c r="F2565">
        <v>35</v>
      </c>
    </row>
    <row r="2566" spans="1:6" x14ac:dyDescent="0.25">
      <c r="A2566" t="s">
        <v>2692</v>
      </c>
      <c r="B2566" s="4">
        <v>272.91000000000003</v>
      </c>
      <c r="C2566" s="4">
        <v>0</v>
      </c>
      <c r="D2566" s="4">
        <v>272.91000000000003</v>
      </c>
      <c r="E2566">
        <v>25</v>
      </c>
      <c r="F2566">
        <v>25</v>
      </c>
    </row>
    <row r="2567" spans="1:6" x14ac:dyDescent="0.25">
      <c r="A2567" t="s">
        <v>2693</v>
      </c>
      <c r="B2567" s="4">
        <v>272.2</v>
      </c>
      <c r="C2567" s="4">
        <v>0</v>
      </c>
      <c r="D2567" s="4">
        <v>272.2</v>
      </c>
      <c r="E2567">
        <v>35</v>
      </c>
      <c r="F2567">
        <v>33</v>
      </c>
    </row>
    <row r="2568" spans="1:6" x14ac:dyDescent="0.25">
      <c r="A2568" t="s">
        <v>2694</v>
      </c>
      <c r="B2568" s="4">
        <v>272.02</v>
      </c>
      <c r="C2568" s="4">
        <v>0</v>
      </c>
      <c r="D2568" s="4">
        <v>272.02</v>
      </c>
      <c r="E2568">
        <v>63</v>
      </c>
      <c r="F2568">
        <v>62</v>
      </c>
    </row>
    <row r="2569" spans="1:6" x14ac:dyDescent="0.25">
      <c r="A2569" t="s">
        <v>2695</v>
      </c>
      <c r="B2569" s="4">
        <v>271.68</v>
      </c>
      <c r="C2569" s="4">
        <v>0</v>
      </c>
      <c r="D2569" s="4">
        <v>271.68</v>
      </c>
      <c r="E2569">
        <v>31</v>
      </c>
      <c r="F2569">
        <v>29</v>
      </c>
    </row>
    <row r="2570" spans="1:6" x14ac:dyDescent="0.25">
      <c r="A2570" t="s">
        <v>2696</v>
      </c>
      <c r="B2570" s="4">
        <v>271.22000000000003</v>
      </c>
      <c r="C2570" s="4">
        <v>0</v>
      </c>
      <c r="D2570" s="4">
        <v>271.22000000000003</v>
      </c>
      <c r="E2570">
        <v>27</v>
      </c>
      <c r="F2570">
        <v>26</v>
      </c>
    </row>
    <row r="2571" spans="1:6" x14ac:dyDescent="0.25">
      <c r="A2571" t="s">
        <v>2697</v>
      </c>
      <c r="B2571" s="4">
        <v>271.04000000000002</v>
      </c>
      <c r="C2571" s="4">
        <v>0</v>
      </c>
      <c r="D2571" s="4">
        <v>271.04000000000002</v>
      </c>
      <c r="E2571">
        <v>58</v>
      </c>
      <c r="F2571">
        <v>58</v>
      </c>
    </row>
    <row r="2572" spans="1:6" x14ac:dyDescent="0.25">
      <c r="A2572" t="s">
        <v>2698</v>
      </c>
      <c r="B2572" s="4">
        <v>270.95999999999998</v>
      </c>
      <c r="C2572" s="4">
        <v>0</v>
      </c>
      <c r="D2572" s="4">
        <v>270.95999999999998</v>
      </c>
      <c r="E2572">
        <v>38</v>
      </c>
      <c r="F2572">
        <v>37</v>
      </c>
    </row>
    <row r="2573" spans="1:6" x14ac:dyDescent="0.25">
      <c r="A2573" t="s">
        <v>2699</v>
      </c>
      <c r="B2573" s="4">
        <v>270.72000000000003</v>
      </c>
      <c r="C2573" s="4">
        <v>51</v>
      </c>
      <c r="D2573" s="4">
        <v>219.72</v>
      </c>
      <c r="E2573">
        <v>11</v>
      </c>
      <c r="F2573">
        <v>11</v>
      </c>
    </row>
    <row r="2574" spans="1:6" x14ac:dyDescent="0.25">
      <c r="A2574" t="s">
        <v>2700</v>
      </c>
      <c r="B2574" s="4">
        <v>270.08</v>
      </c>
      <c r="C2574" s="4">
        <v>76.75</v>
      </c>
      <c r="D2574" s="4">
        <v>193.33</v>
      </c>
      <c r="E2574">
        <v>12</v>
      </c>
      <c r="F2574">
        <v>12</v>
      </c>
    </row>
    <row r="2575" spans="1:6" x14ac:dyDescent="0.25">
      <c r="A2575" t="s">
        <v>2701</v>
      </c>
      <c r="B2575" s="4">
        <v>270.02</v>
      </c>
      <c r="C2575" s="4">
        <v>3.49</v>
      </c>
      <c r="D2575" s="4">
        <v>266.52999999999997</v>
      </c>
      <c r="E2575">
        <v>5</v>
      </c>
      <c r="F2575">
        <v>5</v>
      </c>
    </row>
    <row r="2576" spans="1:6" x14ac:dyDescent="0.25">
      <c r="A2576" t="s">
        <v>2702</v>
      </c>
      <c r="B2576" s="4">
        <v>269.68</v>
      </c>
      <c r="C2576" s="4">
        <v>0</v>
      </c>
      <c r="D2576" s="4">
        <v>269.68</v>
      </c>
      <c r="E2576">
        <v>41</v>
      </c>
      <c r="F2576">
        <v>40</v>
      </c>
    </row>
    <row r="2577" spans="1:6" x14ac:dyDescent="0.25">
      <c r="A2577" t="s">
        <v>2703</v>
      </c>
      <c r="B2577" s="4">
        <v>269.61</v>
      </c>
      <c r="C2577" s="4">
        <v>0</v>
      </c>
      <c r="D2577" s="4">
        <v>269.61</v>
      </c>
      <c r="E2577">
        <v>6</v>
      </c>
      <c r="F2577">
        <v>5</v>
      </c>
    </row>
    <row r="2578" spans="1:6" x14ac:dyDescent="0.25">
      <c r="A2578" t="s">
        <v>2704</v>
      </c>
      <c r="B2578" s="4">
        <v>269.17</v>
      </c>
      <c r="C2578" s="4">
        <v>8.4</v>
      </c>
      <c r="D2578" s="4">
        <v>260.77</v>
      </c>
      <c r="E2578">
        <v>79</v>
      </c>
      <c r="F2578">
        <v>78</v>
      </c>
    </row>
    <row r="2579" spans="1:6" x14ac:dyDescent="0.25">
      <c r="A2579" t="s">
        <v>2705</v>
      </c>
      <c r="B2579" s="4">
        <v>268.75</v>
      </c>
      <c r="C2579" s="4">
        <v>31.25</v>
      </c>
      <c r="D2579" s="4">
        <v>237.5</v>
      </c>
      <c r="E2579">
        <v>34</v>
      </c>
      <c r="F2579">
        <v>32</v>
      </c>
    </row>
    <row r="2580" spans="1:6" x14ac:dyDescent="0.25">
      <c r="A2580" t="s">
        <v>2706</v>
      </c>
      <c r="B2580" s="4">
        <v>268.10000000000002</v>
      </c>
      <c r="C2580" s="4">
        <v>0</v>
      </c>
      <c r="D2580" s="4">
        <v>268.10000000000002</v>
      </c>
      <c r="E2580">
        <v>13</v>
      </c>
      <c r="F2580">
        <v>13</v>
      </c>
    </row>
    <row r="2581" spans="1:6" x14ac:dyDescent="0.25">
      <c r="A2581" t="s">
        <v>2707</v>
      </c>
      <c r="B2581" s="4">
        <v>267.82</v>
      </c>
      <c r="C2581" s="4">
        <v>0</v>
      </c>
      <c r="D2581" s="4">
        <v>267.82</v>
      </c>
      <c r="E2581">
        <v>13</v>
      </c>
      <c r="F2581">
        <v>13</v>
      </c>
    </row>
    <row r="2582" spans="1:6" x14ac:dyDescent="0.25">
      <c r="A2582" t="s">
        <v>2708</v>
      </c>
      <c r="B2582" s="4">
        <v>267.5</v>
      </c>
      <c r="C2582" s="4">
        <v>5</v>
      </c>
      <c r="D2582" s="4">
        <v>262.5</v>
      </c>
      <c r="E2582">
        <v>21</v>
      </c>
      <c r="F2582">
        <v>21</v>
      </c>
    </row>
    <row r="2583" spans="1:6" x14ac:dyDescent="0.25">
      <c r="A2583" t="s">
        <v>2709</v>
      </c>
      <c r="B2583" s="4">
        <v>267.45</v>
      </c>
      <c r="C2583" s="4">
        <v>0</v>
      </c>
      <c r="D2583" s="4">
        <v>267.45</v>
      </c>
      <c r="E2583">
        <v>24</v>
      </c>
      <c r="F2583">
        <v>24</v>
      </c>
    </row>
    <row r="2584" spans="1:6" x14ac:dyDescent="0.25">
      <c r="A2584" t="s">
        <v>2710</v>
      </c>
      <c r="B2584" s="4">
        <v>267.20999999999998</v>
      </c>
      <c r="C2584" s="4">
        <v>0</v>
      </c>
      <c r="D2584" s="4">
        <v>267.20999999999998</v>
      </c>
      <c r="E2584">
        <v>19</v>
      </c>
      <c r="F2584">
        <v>19</v>
      </c>
    </row>
    <row r="2585" spans="1:6" x14ac:dyDescent="0.25">
      <c r="A2585" t="s">
        <v>2711</v>
      </c>
      <c r="B2585" s="4">
        <v>266.77999999999997</v>
      </c>
      <c r="C2585" s="4">
        <v>0</v>
      </c>
      <c r="D2585" s="4">
        <v>266.77999999999997</v>
      </c>
      <c r="E2585">
        <v>14</v>
      </c>
      <c r="F2585">
        <v>14</v>
      </c>
    </row>
    <row r="2586" spans="1:6" x14ac:dyDescent="0.25">
      <c r="A2586" t="s">
        <v>2712</v>
      </c>
      <c r="B2586" s="4">
        <v>266.14999999999998</v>
      </c>
      <c r="C2586" s="4">
        <v>7.65</v>
      </c>
      <c r="D2586" s="4">
        <v>258.5</v>
      </c>
      <c r="E2586">
        <v>29</v>
      </c>
      <c r="F2586">
        <v>29</v>
      </c>
    </row>
    <row r="2587" spans="1:6" x14ac:dyDescent="0.25">
      <c r="A2587" t="s">
        <v>2713</v>
      </c>
      <c r="B2587" s="4">
        <v>266.02999999999997</v>
      </c>
      <c r="C2587" s="4">
        <v>0</v>
      </c>
      <c r="D2587" s="4">
        <v>266.02999999999997</v>
      </c>
      <c r="E2587">
        <v>41</v>
      </c>
      <c r="F2587">
        <v>41</v>
      </c>
    </row>
    <row r="2588" spans="1:6" x14ac:dyDescent="0.25">
      <c r="A2588" t="s">
        <v>2714</v>
      </c>
      <c r="B2588" s="4">
        <v>265.77</v>
      </c>
      <c r="C2588" s="4">
        <v>1.65</v>
      </c>
      <c r="D2588" s="4">
        <v>264.12</v>
      </c>
      <c r="E2588">
        <v>67</v>
      </c>
      <c r="F2588">
        <v>67</v>
      </c>
    </row>
    <row r="2589" spans="1:6" x14ac:dyDescent="0.25">
      <c r="A2589" t="s">
        <v>2715</v>
      </c>
      <c r="B2589" s="4">
        <v>264.94</v>
      </c>
      <c r="C2589" s="4">
        <v>48.65</v>
      </c>
      <c r="D2589" s="4">
        <v>216.29</v>
      </c>
      <c r="E2589">
        <v>15</v>
      </c>
      <c r="F2589">
        <v>15</v>
      </c>
    </row>
    <row r="2590" spans="1:6" x14ac:dyDescent="0.25">
      <c r="A2590" t="s">
        <v>2716</v>
      </c>
      <c r="B2590" s="4">
        <v>264.82</v>
      </c>
      <c r="C2590" s="4">
        <v>0</v>
      </c>
      <c r="D2590" s="4">
        <v>264.82</v>
      </c>
      <c r="E2590">
        <v>37</v>
      </c>
      <c r="F2590">
        <v>35</v>
      </c>
    </row>
    <row r="2591" spans="1:6" x14ac:dyDescent="0.25">
      <c r="A2591" t="s">
        <v>2717</v>
      </c>
      <c r="B2591" s="4">
        <v>264.72000000000003</v>
      </c>
      <c r="C2591" s="4">
        <v>0</v>
      </c>
      <c r="D2591" s="4">
        <v>264.72000000000003</v>
      </c>
      <c r="E2591">
        <v>22</v>
      </c>
      <c r="F2591">
        <v>22</v>
      </c>
    </row>
    <row r="2592" spans="1:6" x14ac:dyDescent="0.25">
      <c r="A2592" t="s">
        <v>2718</v>
      </c>
      <c r="B2592" s="4">
        <v>264.7</v>
      </c>
      <c r="C2592" s="4">
        <v>0</v>
      </c>
      <c r="D2592" s="4">
        <v>264.7</v>
      </c>
      <c r="E2592">
        <v>12</v>
      </c>
      <c r="F2592">
        <v>12</v>
      </c>
    </row>
    <row r="2593" spans="1:6" x14ac:dyDescent="0.25">
      <c r="A2593" t="s">
        <v>2719</v>
      </c>
      <c r="B2593" s="4">
        <v>264.47000000000003</v>
      </c>
      <c r="C2593" s="4">
        <v>0</v>
      </c>
      <c r="D2593" s="4">
        <v>264.47000000000003</v>
      </c>
      <c r="E2593">
        <v>26</v>
      </c>
      <c r="F2593">
        <v>26</v>
      </c>
    </row>
    <row r="2594" spans="1:6" x14ac:dyDescent="0.25">
      <c r="A2594" t="s">
        <v>2720</v>
      </c>
      <c r="B2594" s="4">
        <v>264.06</v>
      </c>
      <c r="C2594" s="4">
        <v>15.3</v>
      </c>
      <c r="D2594" s="4">
        <v>248.76</v>
      </c>
      <c r="E2594">
        <v>39</v>
      </c>
      <c r="F2594">
        <v>39</v>
      </c>
    </row>
    <row r="2595" spans="1:6" x14ac:dyDescent="0.25">
      <c r="A2595" t="s">
        <v>2721</v>
      </c>
      <c r="B2595" s="4">
        <v>263.12</v>
      </c>
      <c r="C2595" s="4">
        <v>0</v>
      </c>
      <c r="D2595" s="4">
        <v>263.12</v>
      </c>
      <c r="E2595">
        <v>12</v>
      </c>
      <c r="F2595">
        <v>12</v>
      </c>
    </row>
    <row r="2596" spans="1:6" x14ac:dyDescent="0.25">
      <c r="A2596" t="s">
        <v>2722</v>
      </c>
      <c r="B2596" s="4">
        <v>261.89</v>
      </c>
      <c r="C2596" s="4">
        <v>0</v>
      </c>
      <c r="D2596" s="4">
        <v>261.89</v>
      </c>
      <c r="E2596">
        <v>39</v>
      </c>
      <c r="F2596">
        <v>39</v>
      </c>
    </row>
    <row r="2597" spans="1:6" x14ac:dyDescent="0.25">
      <c r="A2597" t="s">
        <v>2723</v>
      </c>
      <c r="B2597" s="4">
        <v>261.68</v>
      </c>
      <c r="C2597" s="4">
        <v>0</v>
      </c>
      <c r="D2597" s="4">
        <v>261.68</v>
      </c>
      <c r="E2597">
        <v>6</v>
      </c>
      <c r="F2597">
        <v>6</v>
      </c>
    </row>
    <row r="2598" spans="1:6" x14ac:dyDescent="0.25">
      <c r="A2598" t="s">
        <v>2724</v>
      </c>
      <c r="B2598" s="4">
        <v>261.3</v>
      </c>
      <c r="C2598" s="4">
        <v>0.42</v>
      </c>
      <c r="D2598" s="4">
        <v>260.88</v>
      </c>
      <c r="E2598">
        <v>58</v>
      </c>
      <c r="F2598">
        <v>45</v>
      </c>
    </row>
    <row r="2599" spans="1:6" x14ac:dyDescent="0.25">
      <c r="A2599" t="s">
        <v>2725</v>
      </c>
      <c r="B2599" s="4">
        <v>261.24</v>
      </c>
      <c r="C2599" s="4">
        <v>0</v>
      </c>
      <c r="D2599" s="4">
        <v>261.24</v>
      </c>
      <c r="E2599">
        <v>37</v>
      </c>
      <c r="F2599">
        <v>35</v>
      </c>
    </row>
    <row r="2600" spans="1:6" x14ac:dyDescent="0.25">
      <c r="A2600" t="s">
        <v>2726</v>
      </c>
      <c r="B2600" s="4">
        <v>259.95999999999998</v>
      </c>
      <c r="C2600" s="4">
        <v>2.2799999999999998</v>
      </c>
      <c r="D2600" s="4">
        <v>257.68</v>
      </c>
      <c r="E2600">
        <v>10</v>
      </c>
      <c r="F2600">
        <v>10</v>
      </c>
    </row>
    <row r="2601" spans="1:6" x14ac:dyDescent="0.25">
      <c r="A2601" t="s">
        <v>2727</v>
      </c>
      <c r="B2601" s="4">
        <v>259.67</v>
      </c>
      <c r="C2601" s="4">
        <v>0</v>
      </c>
      <c r="D2601" s="4">
        <v>259.67</v>
      </c>
      <c r="E2601">
        <v>28</v>
      </c>
      <c r="F2601">
        <v>28</v>
      </c>
    </row>
    <row r="2602" spans="1:6" x14ac:dyDescent="0.25">
      <c r="A2602" t="s">
        <v>2728</v>
      </c>
      <c r="B2602" s="4">
        <v>257.75</v>
      </c>
      <c r="C2602" s="4">
        <v>0</v>
      </c>
      <c r="D2602" s="4">
        <v>257.75</v>
      </c>
      <c r="E2602">
        <v>19</v>
      </c>
      <c r="F2602">
        <v>18</v>
      </c>
    </row>
    <row r="2603" spans="1:6" x14ac:dyDescent="0.25">
      <c r="A2603" t="s">
        <v>2729</v>
      </c>
      <c r="B2603" s="4">
        <v>257.61</v>
      </c>
      <c r="C2603" s="4">
        <v>0</v>
      </c>
      <c r="D2603" s="4">
        <v>257.61</v>
      </c>
      <c r="E2603">
        <v>34</v>
      </c>
      <c r="F2603">
        <v>34</v>
      </c>
    </row>
    <row r="2604" spans="1:6" x14ac:dyDescent="0.25">
      <c r="A2604" t="s">
        <v>2730</v>
      </c>
      <c r="B2604" s="4">
        <v>257.22000000000003</v>
      </c>
      <c r="C2604" s="4">
        <v>0</v>
      </c>
      <c r="D2604" s="4">
        <v>257.22000000000003</v>
      </c>
      <c r="E2604">
        <v>50</v>
      </c>
      <c r="F2604">
        <v>50</v>
      </c>
    </row>
    <row r="2605" spans="1:6" x14ac:dyDescent="0.25">
      <c r="A2605" t="s">
        <v>2731</v>
      </c>
      <c r="B2605" s="4">
        <v>257.04000000000002</v>
      </c>
      <c r="C2605" s="4">
        <v>13.92</v>
      </c>
      <c r="D2605" s="4">
        <v>243.12</v>
      </c>
      <c r="E2605">
        <v>25</v>
      </c>
      <c r="F2605">
        <v>25</v>
      </c>
    </row>
    <row r="2606" spans="1:6" x14ac:dyDescent="0.25">
      <c r="A2606" t="s">
        <v>2732</v>
      </c>
      <c r="B2606" s="4">
        <v>256.54000000000002</v>
      </c>
      <c r="C2606" s="4">
        <v>0</v>
      </c>
      <c r="D2606" s="4">
        <v>256.54000000000002</v>
      </c>
      <c r="E2606">
        <v>36</v>
      </c>
      <c r="F2606">
        <v>36</v>
      </c>
    </row>
    <row r="2607" spans="1:6" x14ac:dyDescent="0.25">
      <c r="A2607" t="s">
        <v>2733</v>
      </c>
      <c r="B2607" s="4">
        <v>256.44</v>
      </c>
      <c r="C2607" s="4">
        <v>6.3</v>
      </c>
      <c r="D2607" s="4">
        <v>250.14</v>
      </c>
      <c r="E2607">
        <v>41</v>
      </c>
      <c r="F2607">
        <v>41</v>
      </c>
    </row>
    <row r="2608" spans="1:6" x14ac:dyDescent="0.25">
      <c r="A2608" t="s">
        <v>2734</v>
      </c>
      <c r="B2608" s="4">
        <v>255</v>
      </c>
      <c r="C2608" s="4">
        <v>0</v>
      </c>
      <c r="D2608" s="4">
        <v>255</v>
      </c>
      <c r="E2608">
        <v>13</v>
      </c>
      <c r="F2608">
        <v>12</v>
      </c>
    </row>
    <row r="2609" spans="1:6" x14ac:dyDescent="0.25">
      <c r="A2609" t="s">
        <v>2735</v>
      </c>
      <c r="B2609" s="4">
        <v>254.98</v>
      </c>
      <c r="C2609" s="4">
        <v>0</v>
      </c>
      <c r="D2609" s="4">
        <v>254.98</v>
      </c>
      <c r="E2609">
        <v>19</v>
      </c>
      <c r="F2609">
        <v>19</v>
      </c>
    </row>
    <row r="2610" spans="1:6" x14ac:dyDescent="0.25">
      <c r="A2610" t="s">
        <v>2736</v>
      </c>
      <c r="B2610" s="4">
        <v>254.33</v>
      </c>
      <c r="C2610" s="4">
        <v>0</v>
      </c>
      <c r="D2610" s="4">
        <v>254.33</v>
      </c>
      <c r="E2610">
        <v>51</v>
      </c>
      <c r="F2610">
        <v>50</v>
      </c>
    </row>
    <row r="2611" spans="1:6" x14ac:dyDescent="0.25">
      <c r="A2611" t="s">
        <v>2737</v>
      </c>
      <c r="B2611" s="4">
        <v>253.53</v>
      </c>
      <c r="C2611" s="4">
        <v>0</v>
      </c>
      <c r="D2611" s="4">
        <v>253.53</v>
      </c>
      <c r="E2611">
        <v>23</v>
      </c>
      <c r="F2611">
        <v>22</v>
      </c>
    </row>
    <row r="2612" spans="1:6" x14ac:dyDescent="0.25">
      <c r="A2612" t="s">
        <v>2738</v>
      </c>
      <c r="B2612" s="4">
        <v>252.95</v>
      </c>
      <c r="C2612" s="4">
        <v>0</v>
      </c>
      <c r="D2612" s="4">
        <v>252.95</v>
      </c>
      <c r="E2612">
        <v>7</v>
      </c>
      <c r="F2612">
        <v>7</v>
      </c>
    </row>
    <row r="2613" spans="1:6" x14ac:dyDescent="0.25">
      <c r="A2613" t="s">
        <v>2739</v>
      </c>
      <c r="B2613" s="4">
        <v>252.9</v>
      </c>
      <c r="C2613" s="4">
        <v>20.65</v>
      </c>
      <c r="D2613" s="4">
        <v>232.25</v>
      </c>
      <c r="E2613">
        <v>23</v>
      </c>
      <c r="F2613">
        <v>23</v>
      </c>
    </row>
    <row r="2614" spans="1:6" x14ac:dyDescent="0.25">
      <c r="A2614" t="s">
        <v>2740</v>
      </c>
      <c r="B2614" s="4">
        <v>252.47</v>
      </c>
      <c r="C2614" s="4">
        <v>0</v>
      </c>
      <c r="D2614" s="4">
        <v>252.47</v>
      </c>
      <c r="E2614">
        <v>73</v>
      </c>
      <c r="F2614">
        <v>70</v>
      </c>
    </row>
    <row r="2615" spans="1:6" x14ac:dyDescent="0.25">
      <c r="A2615" t="s">
        <v>2741</v>
      </c>
      <c r="B2615" s="4">
        <v>252.33</v>
      </c>
      <c r="C2615" s="4">
        <v>0</v>
      </c>
      <c r="D2615" s="4">
        <v>252.33</v>
      </c>
      <c r="E2615">
        <v>67</v>
      </c>
      <c r="F2615">
        <v>67</v>
      </c>
    </row>
    <row r="2616" spans="1:6" x14ac:dyDescent="0.25">
      <c r="A2616" t="s">
        <v>2742</v>
      </c>
      <c r="B2616" s="4">
        <v>252.18</v>
      </c>
      <c r="C2616" s="4">
        <v>15</v>
      </c>
      <c r="D2616" s="4">
        <v>237.18</v>
      </c>
      <c r="E2616">
        <v>20</v>
      </c>
      <c r="F2616">
        <v>19</v>
      </c>
    </row>
    <row r="2617" spans="1:6" x14ac:dyDescent="0.25">
      <c r="A2617" t="s">
        <v>2743</v>
      </c>
      <c r="B2617" s="4">
        <v>251.45</v>
      </c>
      <c r="C2617" s="4">
        <v>27.39</v>
      </c>
      <c r="D2617" s="4">
        <v>224.06</v>
      </c>
      <c r="E2617">
        <v>21</v>
      </c>
      <c r="F2617">
        <v>21</v>
      </c>
    </row>
    <row r="2618" spans="1:6" x14ac:dyDescent="0.25">
      <c r="A2618" t="s">
        <v>2744</v>
      </c>
      <c r="B2618" s="4">
        <v>250.22</v>
      </c>
      <c r="C2618" s="4">
        <v>0</v>
      </c>
      <c r="D2618" s="4">
        <v>250.22</v>
      </c>
      <c r="E2618">
        <v>15</v>
      </c>
      <c r="F2618">
        <v>15</v>
      </c>
    </row>
    <row r="2619" spans="1:6" x14ac:dyDescent="0.25">
      <c r="A2619" t="s">
        <v>2745</v>
      </c>
      <c r="B2619" s="4">
        <v>249.49</v>
      </c>
      <c r="C2619" s="4">
        <v>0</v>
      </c>
      <c r="D2619" s="4">
        <v>249.49</v>
      </c>
      <c r="E2619">
        <v>86</v>
      </c>
      <c r="F2619">
        <v>84</v>
      </c>
    </row>
    <row r="2620" spans="1:6" x14ac:dyDescent="0.25">
      <c r="A2620" t="s">
        <v>2746</v>
      </c>
      <c r="B2620" s="4">
        <v>248.09</v>
      </c>
      <c r="C2620" s="4">
        <v>0</v>
      </c>
      <c r="D2620" s="4">
        <v>248.09</v>
      </c>
      <c r="E2620">
        <v>65</v>
      </c>
      <c r="F2620">
        <v>62</v>
      </c>
    </row>
    <row r="2621" spans="1:6" x14ac:dyDescent="0.25">
      <c r="A2621" t="s">
        <v>2747</v>
      </c>
      <c r="B2621" s="4">
        <v>247.8</v>
      </c>
      <c r="C2621" s="4">
        <v>2.1</v>
      </c>
      <c r="D2621" s="4">
        <v>245.7</v>
      </c>
      <c r="E2621">
        <v>30</v>
      </c>
      <c r="F2621">
        <v>25</v>
      </c>
    </row>
    <row r="2622" spans="1:6" x14ac:dyDescent="0.25">
      <c r="A2622" t="s">
        <v>2748</v>
      </c>
      <c r="B2622" s="4">
        <v>247.63</v>
      </c>
      <c r="C2622" s="4">
        <v>1.25</v>
      </c>
      <c r="D2622" s="4">
        <v>246.38</v>
      </c>
      <c r="E2622">
        <v>41</v>
      </c>
      <c r="F2622">
        <v>40</v>
      </c>
    </row>
    <row r="2623" spans="1:6" x14ac:dyDescent="0.25">
      <c r="A2623" t="s">
        <v>2749</v>
      </c>
      <c r="B2623" s="4">
        <v>247.63</v>
      </c>
      <c r="C2623" s="4">
        <v>0</v>
      </c>
      <c r="D2623" s="4">
        <v>247.63</v>
      </c>
      <c r="E2623">
        <v>16</v>
      </c>
      <c r="F2623">
        <v>16</v>
      </c>
    </row>
    <row r="2624" spans="1:6" x14ac:dyDescent="0.25">
      <c r="A2624" t="s">
        <v>2750</v>
      </c>
      <c r="B2624" s="4">
        <v>247.42</v>
      </c>
      <c r="C2624" s="4">
        <v>0</v>
      </c>
      <c r="D2624" s="4">
        <v>247.42</v>
      </c>
      <c r="E2624">
        <v>58</v>
      </c>
      <c r="F2624">
        <v>58</v>
      </c>
    </row>
    <row r="2625" spans="1:6" x14ac:dyDescent="0.25">
      <c r="A2625" t="s">
        <v>2751</v>
      </c>
      <c r="B2625" s="4">
        <v>247.04</v>
      </c>
      <c r="C2625" s="4">
        <v>5.05</v>
      </c>
      <c r="D2625" s="4">
        <v>241.99</v>
      </c>
      <c r="E2625">
        <v>13</v>
      </c>
      <c r="F2625">
        <v>13</v>
      </c>
    </row>
    <row r="2626" spans="1:6" x14ac:dyDescent="0.25">
      <c r="A2626" t="s">
        <v>2752</v>
      </c>
      <c r="B2626" s="4">
        <v>246.14</v>
      </c>
      <c r="C2626" s="4">
        <v>1.95</v>
      </c>
      <c r="D2626" s="4">
        <v>244.19</v>
      </c>
      <c r="E2626">
        <v>44</v>
      </c>
      <c r="F2626">
        <v>44</v>
      </c>
    </row>
    <row r="2627" spans="1:6" x14ac:dyDescent="0.25">
      <c r="A2627" t="s">
        <v>2753</v>
      </c>
      <c r="B2627" s="4">
        <v>245.63</v>
      </c>
      <c r="C2627" s="4">
        <v>0</v>
      </c>
      <c r="D2627" s="4">
        <v>245.63</v>
      </c>
      <c r="E2627">
        <v>25</v>
      </c>
      <c r="F2627">
        <v>25</v>
      </c>
    </row>
    <row r="2628" spans="1:6" x14ac:dyDescent="0.25">
      <c r="A2628" t="s">
        <v>2754</v>
      </c>
      <c r="B2628" s="4">
        <v>245.58</v>
      </c>
      <c r="C2628" s="4">
        <v>0</v>
      </c>
      <c r="D2628" s="4">
        <v>245.58</v>
      </c>
      <c r="E2628">
        <v>29</v>
      </c>
      <c r="F2628">
        <v>29</v>
      </c>
    </row>
    <row r="2629" spans="1:6" x14ac:dyDescent="0.25">
      <c r="A2629" t="s">
        <v>2755</v>
      </c>
      <c r="B2629" s="4">
        <v>245.36</v>
      </c>
      <c r="C2629" s="4">
        <v>0</v>
      </c>
      <c r="D2629" s="4">
        <v>245.36</v>
      </c>
      <c r="E2629">
        <v>61</v>
      </c>
      <c r="F2629">
        <v>61</v>
      </c>
    </row>
    <row r="2630" spans="1:6" x14ac:dyDescent="0.25">
      <c r="A2630" t="s">
        <v>2756</v>
      </c>
      <c r="B2630" s="4">
        <v>245.2</v>
      </c>
      <c r="C2630" s="4">
        <v>72.5</v>
      </c>
      <c r="D2630" s="4">
        <v>172.7</v>
      </c>
      <c r="E2630">
        <v>7</v>
      </c>
      <c r="F2630">
        <v>7</v>
      </c>
    </row>
    <row r="2631" spans="1:6" x14ac:dyDescent="0.25">
      <c r="A2631" t="s">
        <v>2757</v>
      </c>
      <c r="B2631" s="4">
        <v>244.72</v>
      </c>
      <c r="C2631" s="4">
        <v>0</v>
      </c>
      <c r="D2631" s="4">
        <v>244.72</v>
      </c>
      <c r="E2631">
        <v>27</v>
      </c>
      <c r="F2631">
        <v>27</v>
      </c>
    </row>
    <row r="2632" spans="1:6" x14ac:dyDescent="0.25">
      <c r="A2632" t="s">
        <v>2758</v>
      </c>
      <c r="B2632" s="4">
        <v>244.17</v>
      </c>
      <c r="C2632" s="4">
        <v>18.72</v>
      </c>
      <c r="D2632" s="4">
        <v>225.45</v>
      </c>
      <c r="E2632">
        <v>15</v>
      </c>
      <c r="F2632">
        <v>15</v>
      </c>
    </row>
    <row r="2633" spans="1:6" x14ac:dyDescent="0.25">
      <c r="A2633" t="s">
        <v>2759</v>
      </c>
      <c r="B2633" s="4">
        <v>243.53</v>
      </c>
      <c r="C2633" s="4">
        <v>0</v>
      </c>
      <c r="D2633" s="4">
        <v>243.53</v>
      </c>
      <c r="E2633">
        <v>71</v>
      </c>
      <c r="F2633">
        <v>71</v>
      </c>
    </row>
    <row r="2634" spans="1:6" x14ac:dyDescent="0.25">
      <c r="A2634" t="s">
        <v>2760</v>
      </c>
      <c r="B2634" s="4">
        <v>243.49</v>
      </c>
      <c r="C2634" s="4">
        <v>0</v>
      </c>
      <c r="D2634" s="4">
        <v>243.49</v>
      </c>
      <c r="E2634">
        <v>48</v>
      </c>
      <c r="F2634">
        <v>48</v>
      </c>
    </row>
    <row r="2635" spans="1:6" x14ac:dyDescent="0.25">
      <c r="A2635" t="s">
        <v>2761</v>
      </c>
      <c r="B2635" s="4">
        <v>242.32</v>
      </c>
      <c r="C2635" s="4">
        <v>0</v>
      </c>
      <c r="D2635" s="4">
        <v>242.32</v>
      </c>
      <c r="E2635">
        <v>91</v>
      </c>
      <c r="F2635">
        <v>90</v>
      </c>
    </row>
    <row r="2636" spans="1:6" x14ac:dyDescent="0.25">
      <c r="A2636" t="s">
        <v>2762</v>
      </c>
      <c r="B2636" s="4">
        <v>242.24</v>
      </c>
      <c r="C2636" s="4">
        <v>0</v>
      </c>
      <c r="D2636" s="4">
        <v>242.24</v>
      </c>
      <c r="E2636">
        <v>41</v>
      </c>
      <c r="F2636">
        <v>39</v>
      </c>
    </row>
    <row r="2637" spans="1:6" x14ac:dyDescent="0.25">
      <c r="A2637" t="s">
        <v>2763</v>
      </c>
      <c r="B2637" s="4">
        <v>242.18</v>
      </c>
      <c r="C2637" s="4">
        <v>0</v>
      </c>
      <c r="D2637" s="4">
        <v>242.18</v>
      </c>
      <c r="E2637">
        <v>31</v>
      </c>
      <c r="F2637">
        <v>31</v>
      </c>
    </row>
    <row r="2638" spans="1:6" x14ac:dyDescent="0.25">
      <c r="A2638" t="s">
        <v>2764</v>
      </c>
      <c r="B2638" s="4">
        <v>241.24</v>
      </c>
      <c r="C2638" s="4">
        <v>0</v>
      </c>
      <c r="D2638" s="4">
        <v>241.24</v>
      </c>
      <c r="E2638">
        <v>22</v>
      </c>
      <c r="F2638">
        <v>22</v>
      </c>
    </row>
    <row r="2639" spans="1:6" x14ac:dyDescent="0.25">
      <c r="A2639" t="s">
        <v>2765</v>
      </c>
      <c r="B2639" s="4">
        <v>241.21</v>
      </c>
      <c r="C2639" s="4">
        <v>15.6</v>
      </c>
      <c r="D2639" s="4">
        <v>225.61</v>
      </c>
      <c r="E2639">
        <v>19</v>
      </c>
      <c r="F2639">
        <v>12</v>
      </c>
    </row>
    <row r="2640" spans="1:6" x14ac:dyDescent="0.25">
      <c r="A2640" t="s">
        <v>2766</v>
      </c>
      <c r="B2640" s="4">
        <v>239.97</v>
      </c>
      <c r="C2640" s="4">
        <v>0</v>
      </c>
      <c r="D2640" s="4">
        <v>239.97</v>
      </c>
      <c r="E2640">
        <v>16</v>
      </c>
      <c r="F2640">
        <v>16</v>
      </c>
    </row>
    <row r="2641" spans="1:6" x14ac:dyDescent="0.25">
      <c r="A2641" t="s">
        <v>2767</v>
      </c>
      <c r="B2641" s="4">
        <v>239.24</v>
      </c>
      <c r="C2641" s="4">
        <v>0</v>
      </c>
      <c r="D2641" s="4">
        <v>239.24</v>
      </c>
      <c r="E2641">
        <v>58</v>
      </c>
      <c r="F2641">
        <v>58</v>
      </c>
    </row>
    <row r="2642" spans="1:6" x14ac:dyDescent="0.25">
      <c r="A2642" t="s">
        <v>2768</v>
      </c>
      <c r="B2642" s="4">
        <v>238.35</v>
      </c>
      <c r="C2642" s="4">
        <v>0</v>
      </c>
      <c r="D2642" s="4">
        <v>238.35</v>
      </c>
      <c r="E2642">
        <v>19</v>
      </c>
      <c r="F2642">
        <v>18</v>
      </c>
    </row>
    <row r="2643" spans="1:6" x14ac:dyDescent="0.25">
      <c r="A2643" t="s">
        <v>2769</v>
      </c>
      <c r="B2643" s="4">
        <v>237.98</v>
      </c>
      <c r="C2643" s="4">
        <v>0</v>
      </c>
      <c r="D2643" s="4">
        <v>237.98</v>
      </c>
      <c r="E2643">
        <v>14</v>
      </c>
      <c r="F2643">
        <v>14</v>
      </c>
    </row>
    <row r="2644" spans="1:6" x14ac:dyDescent="0.25">
      <c r="A2644" t="s">
        <v>2770</v>
      </c>
      <c r="B2644" s="4">
        <v>236.87</v>
      </c>
      <c r="C2644" s="4">
        <v>0</v>
      </c>
      <c r="D2644" s="4">
        <v>236.87</v>
      </c>
      <c r="E2644">
        <v>26</v>
      </c>
      <c r="F2644">
        <v>25</v>
      </c>
    </row>
    <row r="2645" spans="1:6" x14ac:dyDescent="0.25">
      <c r="A2645" t="s">
        <v>2771</v>
      </c>
      <c r="B2645" s="4">
        <v>236.17</v>
      </c>
      <c r="C2645" s="4">
        <v>0</v>
      </c>
      <c r="D2645" s="4">
        <v>236.17</v>
      </c>
      <c r="E2645">
        <v>16</v>
      </c>
      <c r="F2645">
        <v>16</v>
      </c>
    </row>
    <row r="2646" spans="1:6" x14ac:dyDescent="0.25">
      <c r="A2646" t="s">
        <v>2772</v>
      </c>
      <c r="B2646" s="4">
        <v>235.35</v>
      </c>
      <c r="C2646" s="4">
        <v>153.75</v>
      </c>
      <c r="D2646" s="4">
        <v>81.599999999999994</v>
      </c>
      <c r="E2646">
        <v>13</v>
      </c>
      <c r="F2646">
        <v>13</v>
      </c>
    </row>
    <row r="2647" spans="1:6" x14ac:dyDescent="0.25">
      <c r="A2647" t="s">
        <v>2773</v>
      </c>
      <c r="B2647" s="4">
        <v>235.19</v>
      </c>
      <c r="C2647" s="4">
        <v>0</v>
      </c>
      <c r="D2647" s="4">
        <v>235.19</v>
      </c>
      <c r="E2647">
        <v>65</v>
      </c>
      <c r="F2647">
        <v>63</v>
      </c>
    </row>
    <row r="2648" spans="1:6" x14ac:dyDescent="0.25">
      <c r="A2648" t="s">
        <v>2774</v>
      </c>
      <c r="B2648" s="4">
        <v>234.5</v>
      </c>
      <c r="C2648" s="4">
        <v>122.4</v>
      </c>
      <c r="D2648" s="4">
        <v>112.1</v>
      </c>
      <c r="E2648">
        <v>9</v>
      </c>
      <c r="F2648">
        <v>9</v>
      </c>
    </row>
    <row r="2649" spans="1:6" x14ac:dyDescent="0.25">
      <c r="A2649" t="s">
        <v>2775</v>
      </c>
      <c r="B2649" s="4">
        <v>234</v>
      </c>
      <c r="C2649" s="4">
        <v>0</v>
      </c>
      <c r="D2649" s="4">
        <v>234</v>
      </c>
      <c r="E2649">
        <v>45</v>
      </c>
      <c r="F2649">
        <v>45</v>
      </c>
    </row>
    <row r="2650" spans="1:6" x14ac:dyDescent="0.25">
      <c r="A2650" t="s">
        <v>2776</v>
      </c>
      <c r="B2650" s="4">
        <v>233.67</v>
      </c>
      <c r="C2650" s="4">
        <v>0</v>
      </c>
      <c r="D2650" s="4">
        <v>233.67</v>
      </c>
      <c r="E2650">
        <v>17</v>
      </c>
      <c r="F2650">
        <v>16</v>
      </c>
    </row>
    <row r="2651" spans="1:6" x14ac:dyDescent="0.25">
      <c r="A2651" t="s">
        <v>2777</v>
      </c>
      <c r="B2651" s="4">
        <v>233.52</v>
      </c>
      <c r="C2651" s="4">
        <v>0</v>
      </c>
      <c r="D2651" s="4">
        <v>233.52</v>
      </c>
      <c r="E2651">
        <v>56</v>
      </c>
      <c r="F2651">
        <v>56</v>
      </c>
    </row>
    <row r="2652" spans="1:6" x14ac:dyDescent="0.25">
      <c r="A2652" t="s">
        <v>2778</v>
      </c>
      <c r="B2652" s="4">
        <v>232.56</v>
      </c>
      <c r="C2652" s="4">
        <v>13.68</v>
      </c>
      <c r="D2652" s="4">
        <v>218.88</v>
      </c>
      <c r="E2652">
        <v>15</v>
      </c>
      <c r="F2652">
        <v>15</v>
      </c>
    </row>
    <row r="2653" spans="1:6" x14ac:dyDescent="0.25">
      <c r="A2653" t="s">
        <v>2779</v>
      </c>
      <c r="B2653" s="4">
        <v>232.33</v>
      </c>
      <c r="C2653" s="4">
        <v>1.95</v>
      </c>
      <c r="D2653" s="4">
        <v>230.38</v>
      </c>
      <c r="E2653">
        <v>10</v>
      </c>
      <c r="F2653">
        <v>10</v>
      </c>
    </row>
    <row r="2654" spans="1:6" x14ac:dyDescent="0.25">
      <c r="A2654" t="s">
        <v>2780</v>
      </c>
      <c r="B2654" s="4">
        <v>232.06</v>
      </c>
      <c r="C2654" s="4">
        <v>0</v>
      </c>
      <c r="D2654" s="4">
        <v>232.06</v>
      </c>
      <c r="E2654">
        <v>10</v>
      </c>
      <c r="F2654">
        <v>10</v>
      </c>
    </row>
    <row r="2655" spans="1:6" x14ac:dyDescent="0.25">
      <c r="A2655" t="s">
        <v>2781</v>
      </c>
      <c r="B2655" s="4">
        <v>231.9</v>
      </c>
      <c r="C2655" s="4">
        <v>0</v>
      </c>
      <c r="D2655" s="4">
        <v>231.9</v>
      </c>
      <c r="E2655">
        <v>4</v>
      </c>
      <c r="F2655">
        <v>4</v>
      </c>
    </row>
    <row r="2656" spans="1:6" x14ac:dyDescent="0.25">
      <c r="A2656" t="s">
        <v>2782</v>
      </c>
      <c r="B2656" s="4">
        <v>231.56</v>
      </c>
      <c r="C2656" s="4">
        <v>0</v>
      </c>
      <c r="D2656" s="4">
        <v>231.56</v>
      </c>
      <c r="E2656">
        <v>20</v>
      </c>
      <c r="F2656">
        <v>20</v>
      </c>
    </row>
    <row r="2657" spans="1:6" x14ac:dyDescent="0.25">
      <c r="A2657" t="s">
        <v>2783</v>
      </c>
      <c r="B2657" s="4">
        <v>231.37</v>
      </c>
      <c r="C2657" s="4">
        <v>0</v>
      </c>
      <c r="D2657" s="4">
        <v>231.37</v>
      </c>
      <c r="E2657">
        <v>46</v>
      </c>
      <c r="F2657">
        <v>43</v>
      </c>
    </row>
    <row r="2658" spans="1:6" x14ac:dyDescent="0.25">
      <c r="A2658" t="s">
        <v>2784</v>
      </c>
      <c r="B2658" s="4">
        <v>230.81</v>
      </c>
      <c r="C2658" s="4">
        <v>0</v>
      </c>
      <c r="D2658" s="4">
        <v>230.81</v>
      </c>
      <c r="E2658">
        <v>30</v>
      </c>
      <c r="F2658">
        <v>30</v>
      </c>
    </row>
    <row r="2659" spans="1:6" x14ac:dyDescent="0.25">
      <c r="A2659" t="s">
        <v>2785</v>
      </c>
      <c r="B2659" s="4">
        <v>230.68</v>
      </c>
      <c r="C2659" s="4">
        <v>15.3</v>
      </c>
      <c r="D2659" s="4">
        <v>215.38</v>
      </c>
      <c r="E2659">
        <v>23</v>
      </c>
      <c r="F2659">
        <v>23</v>
      </c>
    </row>
    <row r="2660" spans="1:6" x14ac:dyDescent="0.25">
      <c r="A2660" t="s">
        <v>2786</v>
      </c>
      <c r="B2660" s="4">
        <v>230.55</v>
      </c>
      <c r="C2660" s="4">
        <v>1.45</v>
      </c>
      <c r="D2660" s="4">
        <v>229.1</v>
      </c>
      <c r="E2660">
        <v>30</v>
      </c>
      <c r="F2660">
        <v>30</v>
      </c>
    </row>
    <row r="2661" spans="1:6" x14ac:dyDescent="0.25">
      <c r="A2661" t="s">
        <v>2787</v>
      </c>
      <c r="B2661" s="4">
        <v>230.25</v>
      </c>
      <c r="C2661" s="4">
        <v>0</v>
      </c>
      <c r="D2661" s="4">
        <v>230.25</v>
      </c>
      <c r="E2661">
        <v>3</v>
      </c>
      <c r="F2661">
        <v>3</v>
      </c>
    </row>
    <row r="2662" spans="1:6" x14ac:dyDescent="0.25">
      <c r="A2662" t="s">
        <v>2788</v>
      </c>
      <c r="B2662" s="4">
        <v>229.68</v>
      </c>
      <c r="C2662" s="4">
        <v>0</v>
      </c>
      <c r="D2662" s="4">
        <v>229.68</v>
      </c>
      <c r="E2662">
        <v>32</v>
      </c>
      <c r="F2662">
        <v>31</v>
      </c>
    </row>
    <row r="2663" spans="1:6" x14ac:dyDescent="0.25">
      <c r="A2663" t="s">
        <v>2789</v>
      </c>
      <c r="B2663" s="4">
        <v>229.47</v>
      </c>
      <c r="C2663" s="4">
        <v>6.6</v>
      </c>
      <c r="D2663" s="4">
        <v>222.87</v>
      </c>
      <c r="E2663">
        <v>36</v>
      </c>
      <c r="F2663">
        <v>35</v>
      </c>
    </row>
    <row r="2664" spans="1:6" x14ac:dyDescent="0.25">
      <c r="A2664" t="s">
        <v>2790</v>
      </c>
      <c r="B2664" s="4">
        <v>229.22</v>
      </c>
      <c r="C2664" s="4">
        <v>0</v>
      </c>
      <c r="D2664" s="4">
        <v>229.22</v>
      </c>
      <c r="E2664">
        <v>32</v>
      </c>
      <c r="F2664">
        <v>31</v>
      </c>
    </row>
    <row r="2665" spans="1:6" x14ac:dyDescent="0.25">
      <c r="A2665" t="s">
        <v>2791</v>
      </c>
      <c r="B2665" s="4">
        <v>228.75</v>
      </c>
      <c r="C2665" s="4">
        <v>0</v>
      </c>
      <c r="D2665" s="4">
        <v>228.75</v>
      </c>
      <c r="E2665">
        <v>27</v>
      </c>
      <c r="F2665">
        <v>26</v>
      </c>
    </row>
    <row r="2666" spans="1:6" x14ac:dyDescent="0.25">
      <c r="A2666" t="s">
        <v>2792</v>
      </c>
      <c r="B2666" s="4">
        <v>227.89</v>
      </c>
      <c r="C2666" s="4">
        <v>0</v>
      </c>
      <c r="D2666" s="4">
        <v>227.89</v>
      </c>
      <c r="E2666">
        <v>16</v>
      </c>
      <c r="F2666">
        <v>16</v>
      </c>
    </row>
    <row r="2667" spans="1:6" x14ac:dyDescent="0.25">
      <c r="A2667" t="s">
        <v>2793</v>
      </c>
      <c r="B2667" s="4">
        <v>227.6</v>
      </c>
      <c r="C2667" s="4">
        <v>0</v>
      </c>
      <c r="D2667" s="4">
        <v>227.6</v>
      </c>
      <c r="E2667">
        <v>35</v>
      </c>
      <c r="F2667">
        <v>34</v>
      </c>
    </row>
    <row r="2668" spans="1:6" x14ac:dyDescent="0.25">
      <c r="A2668" t="s">
        <v>2794</v>
      </c>
      <c r="B2668" s="4">
        <v>226.2</v>
      </c>
      <c r="C2668" s="4">
        <v>0</v>
      </c>
      <c r="D2668" s="4">
        <v>226.2</v>
      </c>
      <c r="E2668">
        <v>54</v>
      </c>
      <c r="F2668">
        <v>53</v>
      </c>
    </row>
    <row r="2669" spans="1:6" x14ac:dyDescent="0.25">
      <c r="A2669" t="s">
        <v>2795</v>
      </c>
      <c r="B2669" s="4">
        <v>225.84</v>
      </c>
      <c r="C2669" s="4">
        <v>0</v>
      </c>
      <c r="D2669" s="4">
        <v>225.84</v>
      </c>
      <c r="E2669">
        <v>31</v>
      </c>
      <c r="F2669">
        <v>31</v>
      </c>
    </row>
    <row r="2670" spans="1:6" x14ac:dyDescent="0.25">
      <c r="A2670" t="s">
        <v>2796</v>
      </c>
      <c r="B2670" s="4">
        <v>225.59</v>
      </c>
      <c r="C2670" s="4">
        <v>5.04</v>
      </c>
      <c r="D2670" s="4">
        <v>220.55</v>
      </c>
      <c r="E2670">
        <v>80</v>
      </c>
      <c r="F2670">
        <v>80</v>
      </c>
    </row>
    <row r="2671" spans="1:6" x14ac:dyDescent="0.25">
      <c r="A2671" t="s">
        <v>2797</v>
      </c>
      <c r="B2671" s="4">
        <v>225.32</v>
      </c>
      <c r="C2671" s="4">
        <v>0</v>
      </c>
      <c r="D2671" s="4">
        <v>225.32</v>
      </c>
      <c r="E2671">
        <v>14</v>
      </c>
      <c r="F2671">
        <v>14</v>
      </c>
    </row>
    <row r="2672" spans="1:6" x14ac:dyDescent="0.25">
      <c r="A2672" t="s">
        <v>2798</v>
      </c>
      <c r="B2672" s="4">
        <v>224.12</v>
      </c>
      <c r="C2672" s="4">
        <v>0</v>
      </c>
      <c r="D2672" s="4">
        <v>224.12</v>
      </c>
      <c r="E2672">
        <v>35</v>
      </c>
      <c r="F2672">
        <v>35</v>
      </c>
    </row>
    <row r="2673" spans="1:6" x14ac:dyDescent="0.25">
      <c r="A2673" t="s">
        <v>2799</v>
      </c>
      <c r="B2673" s="4">
        <v>223.46</v>
      </c>
      <c r="C2673" s="4">
        <v>0</v>
      </c>
      <c r="D2673" s="4">
        <v>223.46</v>
      </c>
      <c r="E2673">
        <v>17</v>
      </c>
      <c r="F2673">
        <v>17</v>
      </c>
    </row>
    <row r="2674" spans="1:6" x14ac:dyDescent="0.25">
      <c r="A2674" t="s">
        <v>2800</v>
      </c>
      <c r="B2674" s="4">
        <v>223.11</v>
      </c>
      <c r="C2674" s="4">
        <v>0</v>
      </c>
      <c r="D2674" s="4">
        <v>223.11</v>
      </c>
      <c r="E2674">
        <v>41</v>
      </c>
      <c r="F2674">
        <v>41</v>
      </c>
    </row>
    <row r="2675" spans="1:6" x14ac:dyDescent="0.25">
      <c r="A2675" t="s">
        <v>2801</v>
      </c>
      <c r="B2675" s="4">
        <v>222.96</v>
      </c>
      <c r="C2675" s="4">
        <v>6.75</v>
      </c>
      <c r="D2675" s="4">
        <v>216.21</v>
      </c>
      <c r="E2675">
        <v>24</v>
      </c>
      <c r="F2675">
        <v>24</v>
      </c>
    </row>
    <row r="2676" spans="1:6" x14ac:dyDescent="0.25">
      <c r="A2676" t="s">
        <v>2802</v>
      </c>
      <c r="B2676" s="4">
        <v>222.22</v>
      </c>
      <c r="C2676" s="4">
        <v>1.25</v>
      </c>
      <c r="D2676" s="4">
        <v>220.97</v>
      </c>
      <c r="E2676">
        <v>25</v>
      </c>
      <c r="F2676">
        <v>25</v>
      </c>
    </row>
    <row r="2677" spans="1:6" x14ac:dyDescent="0.25">
      <c r="A2677" t="s">
        <v>2803</v>
      </c>
      <c r="B2677" s="4">
        <v>221.8</v>
      </c>
      <c r="C2677" s="4">
        <v>0</v>
      </c>
      <c r="D2677" s="4">
        <v>221.8</v>
      </c>
      <c r="E2677">
        <v>17</v>
      </c>
      <c r="F2677">
        <v>17</v>
      </c>
    </row>
    <row r="2678" spans="1:6" x14ac:dyDescent="0.25">
      <c r="A2678" t="s">
        <v>2804</v>
      </c>
      <c r="B2678" s="4">
        <v>221.65</v>
      </c>
      <c r="C2678" s="4">
        <v>5.49</v>
      </c>
      <c r="D2678" s="4">
        <v>216.16</v>
      </c>
      <c r="E2678">
        <v>28</v>
      </c>
      <c r="F2678">
        <v>25</v>
      </c>
    </row>
    <row r="2679" spans="1:6" x14ac:dyDescent="0.25">
      <c r="A2679" t="s">
        <v>2805</v>
      </c>
      <c r="B2679" s="4">
        <v>221.25</v>
      </c>
      <c r="C2679" s="4">
        <v>0</v>
      </c>
      <c r="D2679" s="4">
        <v>221.25</v>
      </c>
      <c r="E2679">
        <v>17</v>
      </c>
      <c r="F2679">
        <v>16</v>
      </c>
    </row>
    <row r="2680" spans="1:6" x14ac:dyDescent="0.25">
      <c r="A2680" t="s">
        <v>2806</v>
      </c>
      <c r="B2680" s="4">
        <v>220.04</v>
      </c>
      <c r="C2680" s="4">
        <v>0</v>
      </c>
      <c r="D2680" s="4">
        <v>220.04</v>
      </c>
      <c r="E2680">
        <v>33</v>
      </c>
      <c r="F2680">
        <v>33</v>
      </c>
    </row>
    <row r="2681" spans="1:6" x14ac:dyDescent="0.25">
      <c r="A2681" t="s">
        <v>2807</v>
      </c>
      <c r="B2681" s="4">
        <v>219.66</v>
      </c>
      <c r="C2681" s="4">
        <v>0</v>
      </c>
      <c r="D2681" s="4">
        <v>219.66</v>
      </c>
      <c r="E2681">
        <v>41</v>
      </c>
      <c r="F2681">
        <v>40</v>
      </c>
    </row>
    <row r="2682" spans="1:6" x14ac:dyDescent="0.25">
      <c r="A2682" t="s">
        <v>2808</v>
      </c>
      <c r="B2682" s="4">
        <v>219.35</v>
      </c>
      <c r="C2682" s="4">
        <v>0</v>
      </c>
      <c r="D2682" s="4">
        <v>219.35</v>
      </c>
      <c r="E2682">
        <v>46</v>
      </c>
      <c r="F2682">
        <v>46</v>
      </c>
    </row>
    <row r="2683" spans="1:6" x14ac:dyDescent="0.25">
      <c r="A2683" t="s">
        <v>2809</v>
      </c>
      <c r="B2683" s="4">
        <v>218.87</v>
      </c>
      <c r="C2683" s="4">
        <v>0</v>
      </c>
      <c r="D2683" s="4">
        <v>218.87</v>
      </c>
      <c r="E2683">
        <v>13</v>
      </c>
      <c r="F2683">
        <v>13</v>
      </c>
    </row>
    <row r="2684" spans="1:6" x14ac:dyDescent="0.25">
      <c r="A2684" t="s">
        <v>2810</v>
      </c>
      <c r="B2684" s="4">
        <v>217.89</v>
      </c>
      <c r="C2684" s="4">
        <v>0</v>
      </c>
      <c r="D2684" s="4">
        <v>217.89</v>
      </c>
      <c r="E2684">
        <v>34</v>
      </c>
      <c r="F2684">
        <v>34</v>
      </c>
    </row>
    <row r="2685" spans="1:6" x14ac:dyDescent="0.25">
      <c r="A2685" t="s">
        <v>2811</v>
      </c>
      <c r="B2685" s="4">
        <v>217.68</v>
      </c>
      <c r="C2685" s="4">
        <v>2.95</v>
      </c>
      <c r="D2685" s="4">
        <v>214.73</v>
      </c>
      <c r="E2685">
        <v>16</v>
      </c>
      <c r="F2685">
        <v>15</v>
      </c>
    </row>
    <row r="2686" spans="1:6" x14ac:dyDescent="0.25">
      <c r="A2686" t="s">
        <v>2812</v>
      </c>
      <c r="B2686" s="4">
        <v>217.59</v>
      </c>
      <c r="C2686" s="4">
        <v>0</v>
      </c>
      <c r="D2686" s="4">
        <v>217.59</v>
      </c>
      <c r="E2686">
        <v>21</v>
      </c>
      <c r="F2686">
        <v>21</v>
      </c>
    </row>
    <row r="2687" spans="1:6" x14ac:dyDescent="0.25">
      <c r="A2687" t="s">
        <v>2813</v>
      </c>
      <c r="B2687" s="4">
        <v>217.58</v>
      </c>
      <c r="C2687" s="4">
        <v>0</v>
      </c>
      <c r="D2687" s="4">
        <v>217.58</v>
      </c>
      <c r="E2687">
        <v>18</v>
      </c>
      <c r="F2687">
        <v>18</v>
      </c>
    </row>
    <row r="2688" spans="1:6" x14ac:dyDescent="0.25">
      <c r="A2688" t="s">
        <v>2814</v>
      </c>
      <c r="B2688" s="4">
        <v>217.56</v>
      </c>
      <c r="C2688" s="4">
        <v>0</v>
      </c>
      <c r="D2688" s="4">
        <v>217.56</v>
      </c>
      <c r="E2688">
        <v>34</v>
      </c>
      <c r="F2688">
        <v>34</v>
      </c>
    </row>
    <row r="2689" spans="1:6" x14ac:dyDescent="0.25">
      <c r="A2689" t="s">
        <v>2815</v>
      </c>
      <c r="B2689" s="4">
        <v>217.36</v>
      </c>
      <c r="C2689" s="4">
        <v>0</v>
      </c>
      <c r="D2689" s="4">
        <v>217.36</v>
      </c>
      <c r="E2689">
        <v>22</v>
      </c>
      <c r="F2689">
        <v>22</v>
      </c>
    </row>
    <row r="2690" spans="1:6" x14ac:dyDescent="0.25">
      <c r="A2690" t="s">
        <v>2816</v>
      </c>
      <c r="B2690" s="4">
        <v>217.29</v>
      </c>
      <c r="C2690" s="4">
        <v>3.4</v>
      </c>
      <c r="D2690" s="4">
        <v>213.89</v>
      </c>
      <c r="E2690">
        <v>56</v>
      </c>
      <c r="F2690">
        <v>55</v>
      </c>
    </row>
    <row r="2691" spans="1:6" x14ac:dyDescent="0.25">
      <c r="A2691" t="s">
        <v>2817</v>
      </c>
      <c r="B2691" s="4">
        <v>216.06</v>
      </c>
      <c r="C2691" s="4">
        <v>0</v>
      </c>
      <c r="D2691" s="4">
        <v>216.06</v>
      </c>
      <c r="E2691">
        <v>27</v>
      </c>
      <c r="F2691">
        <v>25</v>
      </c>
    </row>
    <row r="2692" spans="1:6" x14ac:dyDescent="0.25">
      <c r="A2692" t="s">
        <v>2818</v>
      </c>
      <c r="B2692" s="4">
        <v>215.68</v>
      </c>
      <c r="C2692" s="4">
        <v>0</v>
      </c>
      <c r="D2692" s="4">
        <v>215.68</v>
      </c>
      <c r="E2692">
        <v>41</v>
      </c>
      <c r="F2692">
        <v>41</v>
      </c>
    </row>
    <row r="2693" spans="1:6" x14ac:dyDescent="0.25">
      <c r="A2693" t="s">
        <v>2819</v>
      </c>
      <c r="B2693" s="4">
        <v>215.2</v>
      </c>
      <c r="C2693" s="4">
        <v>0</v>
      </c>
      <c r="D2693" s="4">
        <v>215.2</v>
      </c>
      <c r="E2693">
        <v>22</v>
      </c>
      <c r="F2693">
        <v>22</v>
      </c>
    </row>
    <row r="2694" spans="1:6" x14ac:dyDescent="0.25">
      <c r="A2694" t="s">
        <v>2820</v>
      </c>
      <c r="B2694" s="4">
        <v>214.19</v>
      </c>
      <c r="C2694" s="4">
        <v>0.84</v>
      </c>
      <c r="D2694" s="4">
        <v>213.35</v>
      </c>
      <c r="E2694">
        <v>58</v>
      </c>
      <c r="F2694">
        <v>58</v>
      </c>
    </row>
    <row r="2695" spans="1:6" x14ac:dyDescent="0.25">
      <c r="A2695" t="s">
        <v>2821</v>
      </c>
      <c r="B2695" s="4">
        <v>213.83</v>
      </c>
      <c r="C2695" s="4">
        <v>0</v>
      </c>
      <c r="D2695" s="4">
        <v>213.83</v>
      </c>
      <c r="E2695">
        <v>56</v>
      </c>
      <c r="F2695">
        <v>54</v>
      </c>
    </row>
    <row r="2696" spans="1:6" x14ac:dyDescent="0.25">
      <c r="A2696" t="s">
        <v>2822</v>
      </c>
      <c r="B2696" s="4">
        <v>213.7</v>
      </c>
      <c r="C2696" s="4">
        <v>1.95</v>
      </c>
      <c r="D2696" s="4">
        <v>211.75</v>
      </c>
      <c r="E2696">
        <v>42</v>
      </c>
      <c r="F2696">
        <v>42</v>
      </c>
    </row>
    <row r="2697" spans="1:6" x14ac:dyDescent="0.25">
      <c r="A2697" t="s">
        <v>2823</v>
      </c>
      <c r="B2697" s="4">
        <v>211.43</v>
      </c>
      <c r="C2697" s="4">
        <v>0</v>
      </c>
      <c r="D2697" s="4">
        <v>211.43</v>
      </c>
      <c r="E2697">
        <v>27</v>
      </c>
      <c r="F2697">
        <v>26</v>
      </c>
    </row>
    <row r="2698" spans="1:6" x14ac:dyDescent="0.25">
      <c r="A2698" t="s">
        <v>2824</v>
      </c>
      <c r="B2698" s="4">
        <v>210.61</v>
      </c>
      <c r="C2698" s="4">
        <v>0</v>
      </c>
      <c r="D2698" s="4">
        <v>210.61</v>
      </c>
      <c r="E2698">
        <v>31</v>
      </c>
      <c r="F2698">
        <v>30</v>
      </c>
    </row>
    <row r="2699" spans="1:6" x14ac:dyDescent="0.25">
      <c r="A2699" t="s">
        <v>2825</v>
      </c>
      <c r="B2699" s="4">
        <v>210.56</v>
      </c>
      <c r="C2699" s="4">
        <v>0</v>
      </c>
      <c r="D2699" s="4">
        <v>210.56</v>
      </c>
      <c r="E2699">
        <v>21</v>
      </c>
      <c r="F2699">
        <v>21</v>
      </c>
    </row>
    <row r="2700" spans="1:6" x14ac:dyDescent="0.25">
      <c r="A2700" t="s">
        <v>2826</v>
      </c>
      <c r="B2700" s="4">
        <v>210.55</v>
      </c>
      <c r="C2700" s="4">
        <v>0</v>
      </c>
      <c r="D2700" s="4">
        <v>210.55</v>
      </c>
      <c r="E2700">
        <v>18</v>
      </c>
      <c r="F2700">
        <v>18</v>
      </c>
    </row>
    <row r="2701" spans="1:6" x14ac:dyDescent="0.25">
      <c r="A2701" t="s">
        <v>2827</v>
      </c>
      <c r="B2701" s="4">
        <v>210.52</v>
      </c>
      <c r="C2701" s="4">
        <v>0</v>
      </c>
      <c r="D2701" s="4">
        <v>210.52</v>
      </c>
      <c r="E2701">
        <v>35</v>
      </c>
      <c r="F2701">
        <v>35</v>
      </c>
    </row>
    <row r="2702" spans="1:6" x14ac:dyDescent="0.25">
      <c r="A2702" t="s">
        <v>2828</v>
      </c>
      <c r="B2702" s="4">
        <v>210.04</v>
      </c>
      <c r="C2702" s="4">
        <v>0</v>
      </c>
      <c r="D2702" s="4">
        <v>210.04</v>
      </c>
      <c r="E2702">
        <v>20</v>
      </c>
      <c r="F2702">
        <v>20</v>
      </c>
    </row>
    <row r="2703" spans="1:6" x14ac:dyDescent="0.25">
      <c r="A2703" t="s">
        <v>2829</v>
      </c>
      <c r="B2703" s="4">
        <v>209.73</v>
      </c>
      <c r="C2703" s="4">
        <v>0</v>
      </c>
      <c r="D2703" s="4">
        <v>209.73</v>
      </c>
      <c r="E2703">
        <v>12</v>
      </c>
      <c r="F2703">
        <v>12</v>
      </c>
    </row>
    <row r="2704" spans="1:6" x14ac:dyDescent="0.25">
      <c r="A2704" t="s">
        <v>2830</v>
      </c>
      <c r="B2704" s="4">
        <v>209.61</v>
      </c>
      <c r="C2704" s="4">
        <v>0</v>
      </c>
      <c r="D2704" s="4">
        <v>209.61</v>
      </c>
      <c r="E2704">
        <v>25</v>
      </c>
      <c r="F2704">
        <v>24</v>
      </c>
    </row>
    <row r="2705" spans="1:6" x14ac:dyDescent="0.25">
      <c r="A2705" t="s">
        <v>2831</v>
      </c>
      <c r="B2705" s="4">
        <v>209.1</v>
      </c>
      <c r="C2705" s="4">
        <v>9.9</v>
      </c>
      <c r="D2705" s="4">
        <v>199.2</v>
      </c>
      <c r="E2705">
        <v>25</v>
      </c>
      <c r="F2705">
        <v>25</v>
      </c>
    </row>
    <row r="2706" spans="1:6" x14ac:dyDescent="0.25">
      <c r="A2706" t="s">
        <v>2832</v>
      </c>
      <c r="B2706" s="4">
        <v>208.47</v>
      </c>
      <c r="C2706" s="4">
        <v>0</v>
      </c>
      <c r="D2706" s="4">
        <v>208.47</v>
      </c>
      <c r="E2706">
        <v>12</v>
      </c>
      <c r="F2706">
        <v>11</v>
      </c>
    </row>
    <row r="2707" spans="1:6" x14ac:dyDescent="0.25">
      <c r="A2707" t="s">
        <v>2833</v>
      </c>
      <c r="B2707" s="4">
        <v>207.61</v>
      </c>
      <c r="C2707" s="4">
        <v>0</v>
      </c>
      <c r="D2707" s="4">
        <v>207.61</v>
      </c>
      <c r="E2707">
        <v>37</v>
      </c>
      <c r="F2707">
        <v>36</v>
      </c>
    </row>
    <row r="2708" spans="1:6" x14ac:dyDescent="0.25">
      <c r="A2708" t="s">
        <v>2834</v>
      </c>
      <c r="B2708" s="4">
        <v>205.42</v>
      </c>
      <c r="C2708" s="4">
        <v>0</v>
      </c>
      <c r="D2708" s="4">
        <v>205.42</v>
      </c>
      <c r="E2708">
        <v>69</v>
      </c>
      <c r="F2708">
        <v>67</v>
      </c>
    </row>
    <row r="2709" spans="1:6" x14ac:dyDescent="0.25">
      <c r="A2709" t="s">
        <v>2835</v>
      </c>
      <c r="B2709" s="4">
        <v>205.04</v>
      </c>
      <c r="C2709" s="4">
        <v>0</v>
      </c>
      <c r="D2709" s="4">
        <v>205.04</v>
      </c>
      <c r="E2709">
        <v>27</v>
      </c>
      <c r="F2709">
        <v>27</v>
      </c>
    </row>
    <row r="2710" spans="1:6" x14ac:dyDescent="0.25">
      <c r="A2710" t="s">
        <v>2836</v>
      </c>
      <c r="B2710" s="4">
        <v>204.69</v>
      </c>
      <c r="C2710" s="4">
        <v>0</v>
      </c>
      <c r="D2710" s="4">
        <v>204.69</v>
      </c>
      <c r="E2710">
        <v>42</v>
      </c>
      <c r="F2710">
        <v>42</v>
      </c>
    </row>
    <row r="2711" spans="1:6" x14ac:dyDescent="0.25">
      <c r="A2711" t="s">
        <v>2837</v>
      </c>
      <c r="B2711" s="4">
        <v>204.19</v>
      </c>
      <c r="C2711" s="4">
        <v>2.1</v>
      </c>
      <c r="D2711" s="4">
        <v>202.09</v>
      </c>
      <c r="E2711">
        <v>33</v>
      </c>
      <c r="F2711">
        <v>33</v>
      </c>
    </row>
    <row r="2712" spans="1:6" x14ac:dyDescent="0.25">
      <c r="A2712" t="s">
        <v>2838</v>
      </c>
      <c r="B2712" s="4">
        <v>203.51</v>
      </c>
      <c r="C2712" s="4">
        <v>0</v>
      </c>
      <c r="D2712" s="4">
        <v>203.51</v>
      </c>
      <c r="E2712">
        <v>20</v>
      </c>
      <c r="F2712">
        <v>20</v>
      </c>
    </row>
    <row r="2713" spans="1:6" x14ac:dyDescent="0.25">
      <c r="A2713" t="s">
        <v>2839</v>
      </c>
      <c r="B2713" s="4">
        <v>203.28</v>
      </c>
      <c r="C2713" s="4">
        <v>0</v>
      </c>
      <c r="D2713" s="4">
        <v>203.28</v>
      </c>
      <c r="E2713">
        <v>18</v>
      </c>
      <c r="F2713">
        <v>18</v>
      </c>
    </row>
    <row r="2714" spans="1:6" x14ac:dyDescent="0.25">
      <c r="A2714" t="s">
        <v>2840</v>
      </c>
      <c r="B2714" s="4">
        <v>203.21</v>
      </c>
      <c r="C2714" s="4">
        <v>19.8</v>
      </c>
      <c r="D2714" s="4">
        <v>183.41</v>
      </c>
      <c r="E2714">
        <v>29</v>
      </c>
      <c r="F2714">
        <v>29</v>
      </c>
    </row>
    <row r="2715" spans="1:6" x14ac:dyDescent="0.25">
      <c r="A2715" t="s">
        <v>2841</v>
      </c>
      <c r="B2715" s="4">
        <v>203.07</v>
      </c>
      <c r="C2715" s="4">
        <v>55.25</v>
      </c>
      <c r="D2715" s="4">
        <v>147.82</v>
      </c>
      <c r="E2715">
        <v>15</v>
      </c>
      <c r="F2715">
        <v>15</v>
      </c>
    </row>
    <row r="2716" spans="1:6" x14ac:dyDescent="0.25">
      <c r="A2716" t="s">
        <v>2842</v>
      </c>
      <c r="B2716" s="4">
        <v>202.53</v>
      </c>
      <c r="C2716" s="4">
        <v>0</v>
      </c>
      <c r="D2716" s="4">
        <v>202.53</v>
      </c>
      <c r="E2716">
        <v>49</v>
      </c>
      <c r="F2716">
        <v>45</v>
      </c>
    </row>
    <row r="2717" spans="1:6" x14ac:dyDescent="0.25">
      <c r="A2717" t="s">
        <v>2843</v>
      </c>
      <c r="B2717" s="4">
        <v>202.51</v>
      </c>
      <c r="C2717" s="4">
        <v>11.8</v>
      </c>
      <c r="D2717" s="4">
        <v>190.71</v>
      </c>
      <c r="E2717">
        <v>28</v>
      </c>
      <c r="F2717">
        <v>28</v>
      </c>
    </row>
    <row r="2718" spans="1:6" x14ac:dyDescent="0.25">
      <c r="A2718" t="s">
        <v>2844</v>
      </c>
      <c r="B2718" s="4">
        <v>202.37</v>
      </c>
      <c r="C2718" s="4">
        <v>0</v>
      </c>
      <c r="D2718" s="4">
        <v>202.37</v>
      </c>
      <c r="E2718">
        <v>36</v>
      </c>
      <c r="F2718">
        <v>35</v>
      </c>
    </row>
    <row r="2719" spans="1:6" x14ac:dyDescent="0.25">
      <c r="A2719" t="s">
        <v>2845</v>
      </c>
      <c r="B2719" s="4">
        <v>201.31</v>
      </c>
      <c r="C2719" s="4">
        <v>0</v>
      </c>
      <c r="D2719" s="4">
        <v>201.31</v>
      </c>
      <c r="E2719">
        <v>36</v>
      </c>
      <c r="F2719">
        <v>36</v>
      </c>
    </row>
    <row r="2720" spans="1:6" x14ac:dyDescent="0.25">
      <c r="A2720" t="s">
        <v>2846</v>
      </c>
      <c r="B2720" s="4">
        <v>200.59</v>
      </c>
      <c r="C2720" s="4">
        <v>0</v>
      </c>
      <c r="D2720" s="4">
        <v>200.59</v>
      </c>
      <c r="E2720">
        <v>33</v>
      </c>
      <c r="F2720">
        <v>32</v>
      </c>
    </row>
    <row r="2721" spans="1:6" x14ac:dyDescent="0.25">
      <c r="A2721" t="s">
        <v>2847</v>
      </c>
      <c r="B2721" s="4">
        <v>200.46</v>
      </c>
      <c r="C2721" s="4">
        <v>0</v>
      </c>
      <c r="D2721" s="4">
        <v>200.46</v>
      </c>
      <c r="E2721">
        <v>16</v>
      </c>
      <c r="F2721">
        <v>13</v>
      </c>
    </row>
    <row r="2722" spans="1:6" x14ac:dyDescent="0.25">
      <c r="A2722" t="s">
        <v>2848</v>
      </c>
      <c r="B2722" s="4">
        <v>200.21</v>
      </c>
      <c r="C2722" s="4">
        <v>0</v>
      </c>
      <c r="D2722" s="4">
        <v>200.21</v>
      </c>
      <c r="E2722">
        <v>6</v>
      </c>
      <c r="F2722">
        <v>6</v>
      </c>
    </row>
    <row r="2723" spans="1:6" x14ac:dyDescent="0.25">
      <c r="A2723" t="s">
        <v>2849</v>
      </c>
      <c r="B2723" s="4">
        <v>199.84</v>
      </c>
      <c r="C2723" s="4">
        <v>17.55</v>
      </c>
      <c r="D2723" s="4">
        <v>182.29</v>
      </c>
      <c r="E2723">
        <v>50</v>
      </c>
      <c r="F2723">
        <v>50</v>
      </c>
    </row>
    <row r="2724" spans="1:6" x14ac:dyDescent="0.25">
      <c r="A2724" t="s">
        <v>2850</v>
      </c>
      <c r="B2724" s="4">
        <v>199.5</v>
      </c>
      <c r="C2724" s="4">
        <v>0</v>
      </c>
      <c r="D2724" s="4">
        <v>199.5</v>
      </c>
      <c r="E2724">
        <v>18</v>
      </c>
      <c r="F2724">
        <v>18</v>
      </c>
    </row>
    <row r="2725" spans="1:6" x14ac:dyDescent="0.25">
      <c r="A2725" t="s">
        <v>2851</v>
      </c>
      <c r="B2725" s="4">
        <v>199.5</v>
      </c>
      <c r="C2725" s="4">
        <v>0</v>
      </c>
      <c r="D2725" s="4">
        <v>199.5</v>
      </c>
      <c r="E2725">
        <v>19</v>
      </c>
      <c r="F2725">
        <v>19</v>
      </c>
    </row>
    <row r="2726" spans="1:6" x14ac:dyDescent="0.25">
      <c r="A2726" t="s">
        <v>2852</v>
      </c>
      <c r="B2726" s="4">
        <v>199.49</v>
      </c>
      <c r="C2726" s="4">
        <v>0</v>
      </c>
      <c r="D2726" s="4">
        <v>199.49</v>
      </c>
      <c r="E2726">
        <v>43</v>
      </c>
      <c r="F2726">
        <v>43</v>
      </c>
    </row>
    <row r="2727" spans="1:6" x14ac:dyDescent="0.25">
      <c r="A2727" t="s">
        <v>2853</v>
      </c>
      <c r="B2727" s="4">
        <v>198.52</v>
      </c>
      <c r="C2727" s="4">
        <v>0</v>
      </c>
      <c r="D2727" s="4">
        <v>198.52</v>
      </c>
      <c r="E2727">
        <v>37</v>
      </c>
      <c r="F2727">
        <v>34</v>
      </c>
    </row>
    <row r="2728" spans="1:6" x14ac:dyDescent="0.25">
      <c r="A2728" t="s">
        <v>2854</v>
      </c>
      <c r="B2728" s="4">
        <v>197.81</v>
      </c>
      <c r="C2728" s="4">
        <v>0</v>
      </c>
      <c r="D2728" s="4">
        <v>197.81</v>
      </c>
      <c r="E2728">
        <v>19</v>
      </c>
      <c r="F2728">
        <v>17</v>
      </c>
    </row>
    <row r="2729" spans="1:6" x14ac:dyDescent="0.25">
      <c r="A2729" t="s">
        <v>2855</v>
      </c>
      <c r="B2729" s="4">
        <v>197.56</v>
      </c>
      <c r="C2729" s="4">
        <v>0</v>
      </c>
      <c r="D2729" s="4">
        <v>197.56</v>
      </c>
      <c r="E2729">
        <v>34</v>
      </c>
      <c r="F2729">
        <v>34</v>
      </c>
    </row>
    <row r="2730" spans="1:6" x14ac:dyDescent="0.25">
      <c r="A2730" t="s">
        <v>2856</v>
      </c>
      <c r="B2730" s="4">
        <v>197.09</v>
      </c>
      <c r="C2730" s="4">
        <v>0</v>
      </c>
      <c r="D2730" s="4">
        <v>197.09</v>
      </c>
      <c r="E2730">
        <v>27</v>
      </c>
      <c r="F2730">
        <v>27</v>
      </c>
    </row>
    <row r="2731" spans="1:6" x14ac:dyDescent="0.25">
      <c r="A2731" t="s">
        <v>2857</v>
      </c>
      <c r="B2731" s="4">
        <v>196.82</v>
      </c>
      <c r="C2731" s="4">
        <v>32.340000000000003</v>
      </c>
      <c r="D2731" s="4">
        <v>164.48</v>
      </c>
      <c r="E2731">
        <v>54</v>
      </c>
      <c r="F2731">
        <v>51</v>
      </c>
    </row>
    <row r="2732" spans="1:6" x14ac:dyDescent="0.25">
      <c r="A2732" t="s">
        <v>2858</v>
      </c>
      <c r="B2732" s="4">
        <v>196.44</v>
      </c>
      <c r="C2732" s="4">
        <v>0</v>
      </c>
      <c r="D2732" s="4">
        <v>196.44</v>
      </c>
      <c r="E2732">
        <v>36</v>
      </c>
      <c r="F2732">
        <v>36</v>
      </c>
    </row>
    <row r="2733" spans="1:6" x14ac:dyDescent="0.25">
      <c r="A2733" t="s">
        <v>2859</v>
      </c>
      <c r="B2733" s="4">
        <v>196.36</v>
      </c>
      <c r="C2733" s="4">
        <v>0</v>
      </c>
      <c r="D2733" s="4">
        <v>196.36</v>
      </c>
      <c r="E2733">
        <v>37</v>
      </c>
      <c r="F2733">
        <v>37</v>
      </c>
    </row>
    <row r="2734" spans="1:6" x14ac:dyDescent="0.25">
      <c r="A2734" t="s">
        <v>2860</v>
      </c>
      <c r="B2734" s="4">
        <v>195.32</v>
      </c>
      <c r="C2734" s="4">
        <v>30</v>
      </c>
      <c r="D2734" s="4">
        <v>165.32</v>
      </c>
      <c r="E2734">
        <v>32</v>
      </c>
      <c r="F2734">
        <v>32</v>
      </c>
    </row>
    <row r="2735" spans="1:6" x14ac:dyDescent="0.25">
      <c r="A2735" t="s">
        <v>2861</v>
      </c>
      <c r="B2735" s="4">
        <v>195.22</v>
      </c>
      <c r="C2735" s="4">
        <v>6.96</v>
      </c>
      <c r="D2735" s="4">
        <v>188.26</v>
      </c>
      <c r="E2735">
        <v>28</v>
      </c>
      <c r="F2735">
        <v>28</v>
      </c>
    </row>
    <row r="2736" spans="1:6" x14ac:dyDescent="0.25">
      <c r="A2736" t="s">
        <v>2862</v>
      </c>
      <c r="B2736" s="4">
        <v>194.94</v>
      </c>
      <c r="C2736" s="4">
        <v>0</v>
      </c>
      <c r="D2736" s="4">
        <v>194.94</v>
      </c>
      <c r="E2736">
        <v>43</v>
      </c>
      <c r="F2736">
        <v>43</v>
      </c>
    </row>
    <row r="2737" spans="1:6" x14ac:dyDescent="0.25">
      <c r="A2737" t="s">
        <v>2863</v>
      </c>
      <c r="B2737" s="4">
        <v>194.58</v>
      </c>
      <c r="C2737" s="4">
        <v>0</v>
      </c>
      <c r="D2737" s="4">
        <v>194.58</v>
      </c>
      <c r="E2737">
        <v>36</v>
      </c>
      <c r="F2737">
        <v>35</v>
      </c>
    </row>
    <row r="2738" spans="1:6" x14ac:dyDescent="0.25">
      <c r="A2738" t="s">
        <v>2864</v>
      </c>
      <c r="B2738" s="4">
        <v>194.05</v>
      </c>
      <c r="C2738" s="4">
        <v>0</v>
      </c>
      <c r="D2738" s="4">
        <v>194.05</v>
      </c>
      <c r="E2738">
        <v>36</v>
      </c>
      <c r="F2738">
        <v>36</v>
      </c>
    </row>
    <row r="2739" spans="1:6" x14ac:dyDescent="0.25">
      <c r="A2739" t="s">
        <v>2865</v>
      </c>
      <c r="B2739" s="4">
        <v>193.59</v>
      </c>
      <c r="C2739" s="4">
        <v>0</v>
      </c>
      <c r="D2739" s="4">
        <v>193.59</v>
      </c>
      <c r="E2739">
        <v>50</v>
      </c>
      <c r="F2739">
        <v>49</v>
      </c>
    </row>
    <row r="2740" spans="1:6" x14ac:dyDescent="0.25">
      <c r="A2740" t="s">
        <v>2866</v>
      </c>
      <c r="B2740" s="4">
        <v>193.33</v>
      </c>
      <c r="C2740" s="4">
        <v>4.25</v>
      </c>
      <c r="D2740" s="4">
        <v>189.08</v>
      </c>
      <c r="E2740">
        <v>37</v>
      </c>
      <c r="F2740">
        <v>37</v>
      </c>
    </row>
    <row r="2741" spans="1:6" x14ac:dyDescent="0.25">
      <c r="A2741" t="s">
        <v>2867</v>
      </c>
      <c r="B2741" s="4">
        <v>193.2</v>
      </c>
      <c r="C2741" s="4">
        <v>0</v>
      </c>
      <c r="D2741" s="4">
        <v>193.2</v>
      </c>
      <c r="E2741">
        <v>18</v>
      </c>
      <c r="F2741">
        <v>18</v>
      </c>
    </row>
    <row r="2742" spans="1:6" x14ac:dyDescent="0.25">
      <c r="A2742" t="s">
        <v>2868</v>
      </c>
      <c r="B2742" s="4">
        <v>193.03</v>
      </c>
      <c r="C2742" s="4">
        <v>7.32</v>
      </c>
      <c r="D2742" s="4">
        <v>185.71</v>
      </c>
      <c r="E2742">
        <v>45</v>
      </c>
      <c r="F2742">
        <v>44</v>
      </c>
    </row>
    <row r="2743" spans="1:6" x14ac:dyDescent="0.25">
      <c r="A2743" t="s">
        <v>2869</v>
      </c>
      <c r="B2743" s="4">
        <v>192.14</v>
      </c>
      <c r="C2743" s="4">
        <v>0</v>
      </c>
      <c r="D2743" s="4">
        <v>192.14</v>
      </c>
      <c r="E2743">
        <v>17</v>
      </c>
      <c r="F2743">
        <v>17</v>
      </c>
    </row>
    <row r="2744" spans="1:6" x14ac:dyDescent="0.25">
      <c r="A2744" t="s">
        <v>2870</v>
      </c>
      <c r="B2744" s="4">
        <v>191.48</v>
      </c>
      <c r="C2744" s="4">
        <v>1.95</v>
      </c>
      <c r="D2744" s="4">
        <v>189.53</v>
      </c>
      <c r="E2744">
        <v>32</v>
      </c>
      <c r="F2744">
        <v>32</v>
      </c>
    </row>
    <row r="2745" spans="1:6" x14ac:dyDescent="0.25">
      <c r="A2745" t="s">
        <v>2871</v>
      </c>
      <c r="B2745" s="4">
        <v>191.18</v>
      </c>
      <c r="C2745" s="4">
        <v>0</v>
      </c>
      <c r="D2745" s="4">
        <v>191.18</v>
      </c>
      <c r="E2745">
        <v>41</v>
      </c>
      <c r="F2745">
        <v>39</v>
      </c>
    </row>
    <row r="2746" spans="1:6" x14ac:dyDescent="0.25">
      <c r="A2746" t="s">
        <v>2872</v>
      </c>
      <c r="B2746" s="4">
        <v>191.1</v>
      </c>
      <c r="C2746" s="4">
        <v>19.8</v>
      </c>
      <c r="D2746" s="4">
        <v>171.3</v>
      </c>
      <c r="E2746">
        <v>11</v>
      </c>
      <c r="F2746">
        <v>11</v>
      </c>
    </row>
    <row r="2747" spans="1:6" x14ac:dyDescent="0.25">
      <c r="A2747" t="s">
        <v>2873</v>
      </c>
      <c r="B2747" s="4">
        <v>190.73</v>
      </c>
      <c r="C2747" s="4">
        <v>0</v>
      </c>
      <c r="D2747" s="4">
        <v>190.73</v>
      </c>
      <c r="E2747">
        <v>25</v>
      </c>
      <c r="F2747">
        <v>25</v>
      </c>
    </row>
    <row r="2748" spans="1:6" x14ac:dyDescent="0.25">
      <c r="A2748" t="s">
        <v>2874</v>
      </c>
      <c r="B2748" s="4">
        <v>190.52</v>
      </c>
      <c r="C2748" s="4">
        <v>0</v>
      </c>
      <c r="D2748" s="4">
        <v>190.52</v>
      </c>
      <c r="E2748">
        <v>17</v>
      </c>
      <c r="F2748">
        <v>17</v>
      </c>
    </row>
    <row r="2749" spans="1:6" x14ac:dyDescent="0.25">
      <c r="A2749" t="s">
        <v>2875</v>
      </c>
      <c r="B2749" s="4">
        <v>190.29</v>
      </c>
      <c r="C2749" s="4">
        <v>0</v>
      </c>
      <c r="D2749" s="4">
        <v>190.29</v>
      </c>
      <c r="E2749">
        <v>44</v>
      </c>
      <c r="F2749">
        <v>42</v>
      </c>
    </row>
    <row r="2750" spans="1:6" x14ac:dyDescent="0.25">
      <c r="A2750" t="s">
        <v>2876</v>
      </c>
      <c r="B2750" s="4">
        <v>189.75</v>
      </c>
      <c r="C2750" s="4">
        <v>0</v>
      </c>
      <c r="D2750" s="4">
        <v>189.75</v>
      </c>
      <c r="E2750">
        <v>26</v>
      </c>
      <c r="F2750">
        <v>25</v>
      </c>
    </row>
    <row r="2751" spans="1:6" x14ac:dyDescent="0.25">
      <c r="A2751" t="s">
        <v>2877</v>
      </c>
      <c r="B2751" s="4">
        <v>189.68</v>
      </c>
      <c r="C2751" s="4">
        <v>0</v>
      </c>
      <c r="D2751" s="4">
        <v>189.68</v>
      </c>
      <c r="E2751">
        <v>14</v>
      </c>
      <c r="F2751">
        <v>13</v>
      </c>
    </row>
    <row r="2752" spans="1:6" x14ac:dyDescent="0.25">
      <c r="A2752" t="s">
        <v>2878</v>
      </c>
      <c r="B2752" s="4">
        <v>189.42</v>
      </c>
      <c r="C2752" s="4">
        <v>0</v>
      </c>
      <c r="D2752" s="4">
        <v>189.42</v>
      </c>
      <c r="E2752">
        <v>35</v>
      </c>
      <c r="F2752">
        <v>30</v>
      </c>
    </row>
    <row r="2753" spans="1:6" x14ac:dyDescent="0.25">
      <c r="A2753" t="s">
        <v>2879</v>
      </c>
      <c r="B2753" s="4">
        <v>188.87</v>
      </c>
      <c r="C2753" s="4">
        <v>7.83</v>
      </c>
      <c r="D2753" s="4">
        <v>181.04</v>
      </c>
      <c r="E2753">
        <v>55</v>
      </c>
      <c r="F2753">
        <v>51</v>
      </c>
    </row>
    <row r="2754" spans="1:6" x14ac:dyDescent="0.25">
      <c r="A2754" t="s">
        <v>2880</v>
      </c>
      <c r="B2754" s="4">
        <v>188.81</v>
      </c>
      <c r="C2754" s="4">
        <v>0</v>
      </c>
      <c r="D2754" s="4">
        <v>188.81</v>
      </c>
      <c r="E2754">
        <v>22</v>
      </c>
      <c r="F2754">
        <v>22</v>
      </c>
    </row>
    <row r="2755" spans="1:6" x14ac:dyDescent="0.25">
      <c r="A2755" t="s">
        <v>2881</v>
      </c>
      <c r="B2755" s="4">
        <v>188.37</v>
      </c>
      <c r="C2755" s="4">
        <v>0</v>
      </c>
      <c r="D2755" s="4">
        <v>188.37</v>
      </c>
      <c r="E2755">
        <v>6</v>
      </c>
      <c r="F2755">
        <v>6</v>
      </c>
    </row>
    <row r="2756" spans="1:6" x14ac:dyDescent="0.25">
      <c r="A2756" t="s">
        <v>2882</v>
      </c>
      <c r="B2756" s="4">
        <v>187.54</v>
      </c>
      <c r="C2756" s="4">
        <v>0</v>
      </c>
      <c r="D2756" s="4">
        <v>187.54</v>
      </c>
      <c r="E2756">
        <v>17</v>
      </c>
      <c r="F2756">
        <v>16</v>
      </c>
    </row>
    <row r="2757" spans="1:6" x14ac:dyDescent="0.25">
      <c r="A2757" t="s">
        <v>2883</v>
      </c>
      <c r="B2757" s="4">
        <v>186.64</v>
      </c>
      <c r="C2757" s="4">
        <v>0</v>
      </c>
      <c r="D2757" s="4">
        <v>186.64</v>
      </c>
      <c r="E2757">
        <v>13</v>
      </c>
      <c r="F2757">
        <v>13</v>
      </c>
    </row>
    <row r="2758" spans="1:6" x14ac:dyDescent="0.25">
      <c r="A2758" t="s">
        <v>2884</v>
      </c>
      <c r="B2758" s="4">
        <v>186.56</v>
      </c>
      <c r="C2758" s="4">
        <v>0</v>
      </c>
      <c r="D2758" s="4">
        <v>186.56</v>
      </c>
      <c r="E2758">
        <v>21</v>
      </c>
      <c r="F2758">
        <v>21</v>
      </c>
    </row>
    <row r="2759" spans="1:6" x14ac:dyDescent="0.25">
      <c r="A2759" t="s">
        <v>2885</v>
      </c>
      <c r="B2759" s="4">
        <v>186.43</v>
      </c>
      <c r="C2759" s="4">
        <v>5</v>
      </c>
      <c r="D2759" s="4">
        <v>181.43</v>
      </c>
      <c r="E2759">
        <v>38</v>
      </c>
      <c r="F2759">
        <v>35</v>
      </c>
    </row>
    <row r="2760" spans="1:6" x14ac:dyDescent="0.25">
      <c r="A2760" t="s">
        <v>2886</v>
      </c>
      <c r="B2760" s="4">
        <v>185.52</v>
      </c>
      <c r="C2760" s="4">
        <v>0</v>
      </c>
      <c r="D2760" s="4">
        <v>185.52</v>
      </c>
      <c r="E2760">
        <v>92</v>
      </c>
      <c r="F2760">
        <v>92</v>
      </c>
    </row>
    <row r="2761" spans="1:6" x14ac:dyDescent="0.25">
      <c r="A2761" t="s">
        <v>2887</v>
      </c>
      <c r="B2761" s="4">
        <v>185.45</v>
      </c>
      <c r="C2761" s="4">
        <v>0</v>
      </c>
      <c r="D2761" s="4">
        <v>185.45</v>
      </c>
      <c r="E2761">
        <v>22</v>
      </c>
      <c r="F2761">
        <v>21</v>
      </c>
    </row>
    <row r="2762" spans="1:6" x14ac:dyDescent="0.25">
      <c r="A2762" t="s">
        <v>2888</v>
      </c>
      <c r="B2762" s="4">
        <v>185.42</v>
      </c>
      <c r="C2762" s="4">
        <v>17.7</v>
      </c>
      <c r="D2762" s="4">
        <v>167.72</v>
      </c>
      <c r="E2762">
        <v>21</v>
      </c>
      <c r="F2762">
        <v>21</v>
      </c>
    </row>
    <row r="2763" spans="1:6" x14ac:dyDescent="0.25">
      <c r="A2763" t="s">
        <v>2889</v>
      </c>
      <c r="B2763" s="4">
        <v>185.3</v>
      </c>
      <c r="C2763" s="4">
        <v>17.850000000000001</v>
      </c>
      <c r="D2763" s="4">
        <v>167.45</v>
      </c>
      <c r="E2763">
        <v>8</v>
      </c>
      <c r="F2763">
        <v>8</v>
      </c>
    </row>
    <row r="2764" spans="1:6" x14ac:dyDescent="0.25">
      <c r="A2764" t="s">
        <v>2890</v>
      </c>
      <c r="B2764" s="4">
        <v>184.7</v>
      </c>
      <c r="C2764" s="4">
        <v>0</v>
      </c>
      <c r="D2764" s="4">
        <v>184.7</v>
      </c>
      <c r="E2764">
        <v>44</v>
      </c>
      <c r="F2764">
        <v>44</v>
      </c>
    </row>
    <row r="2765" spans="1:6" x14ac:dyDescent="0.25">
      <c r="A2765" t="s">
        <v>2891</v>
      </c>
      <c r="B2765" s="4">
        <v>184.68</v>
      </c>
      <c r="C2765" s="4">
        <v>0</v>
      </c>
      <c r="D2765" s="4">
        <v>184.68</v>
      </c>
      <c r="E2765">
        <v>25</v>
      </c>
      <c r="F2765">
        <v>25</v>
      </c>
    </row>
    <row r="2766" spans="1:6" x14ac:dyDescent="0.25">
      <c r="A2766" t="s">
        <v>2892</v>
      </c>
      <c r="B2766" s="4">
        <v>184.66</v>
      </c>
      <c r="C2766" s="4">
        <v>0</v>
      </c>
      <c r="D2766" s="4">
        <v>184.66</v>
      </c>
      <c r="E2766">
        <v>19</v>
      </c>
      <c r="F2766">
        <v>19</v>
      </c>
    </row>
    <row r="2767" spans="1:6" x14ac:dyDescent="0.25">
      <c r="A2767" t="s">
        <v>2893</v>
      </c>
      <c r="B2767" s="4">
        <v>183.71</v>
      </c>
      <c r="C2767" s="4">
        <v>0</v>
      </c>
      <c r="D2767" s="4">
        <v>183.71</v>
      </c>
      <c r="E2767">
        <v>16</v>
      </c>
      <c r="F2767">
        <v>16</v>
      </c>
    </row>
    <row r="2768" spans="1:6" x14ac:dyDescent="0.25">
      <c r="A2768" t="s">
        <v>2894</v>
      </c>
      <c r="B2768" s="4">
        <v>183.45</v>
      </c>
      <c r="C2768" s="4">
        <v>0</v>
      </c>
      <c r="D2768" s="4">
        <v>183.45</v>
      </c>
      <c r="E2768">
        <v>23</v>
      </c>
      <c r="F2768">
        <v>23</v>
      </c>
    </row>
    <row r="2769" spans="1:6" x14ac:dyDescent="0.25">
      <c r="A2769" t="s">
        <v>2895</v>
      </c>
      <c r="B2769" s="4">
        <v>182.95</v>
      </c>
      <c r="C2769" s="4">
        <v>1.95</v>
      </c>
      <c r="D2769" s="4">
        <v>181</v>
      </c>
      <c r="E2769">
        <v>46</v>
      </c>
      <c r="F2769">
        <v>44</v>
      </c>
    </row>
    <row r="2770" spans="1:6" x14ac:dyDescent="0.25">
      <c r="A2770" t="s">
        <v>2896</v>
      </c>
      <c r="B2770" s="4">
        <v>181.98</v>
      </c>
      <c r="C2770" s="4">
        <v>0</v>
      </c>
      <c r="D2770" s="4">
        <v>181.98</v>
      </c>
      <c r="E2770">
        <v>60</v>
      </c>
      <c r="F2770">
        <v>60</v>
      </c>
    </row>
    <row r="2771" spans="1:6" x14ac:dyDescent="0.25">
      <c r="A2771" t="s">
        <v>2897</v>
      </c>
      <c r="B2771" s="4">
        <v>180.93</v>
      </c>
      <c r="C2771" s="4">
        <v>0</v>
      </c>
      <c r="D2771" s="4">
        <v>180.93</v>
      </c>
      <c r="E2771">
        <v>23</v>
      </c>
      <c r="F2771">
        <v>23</v>
      </c>
    </row>
    <row r="2772" spans="1:6" x14ac:dyDescent="0.25">
      <c r="A2772" t="s">
        <v>2898</v>
      </c>
      <c r="B2772" s="4">
        <v>180.71</v>
      </c>
      <c r="C2772" s="4">
        <v>0</v>
      </c>
      <c r="D2772" s="4">
        <v>180.71</v>
      </c>
      <c r="E2772">
        <v>18</v>
      </c>
      <c r="F2772">
        <v>18</v>
      </c>
    </row>
    <row r="2773" spans="1:6" x14ac:dyDescent="0.25">
      <c r="A2773" t="s">
        <v>2899</v>
      </c>
      <c r="B2773" s="4">
        <v>180.65</v>
      </c>
      <c r="C2773" s="4">
        <v>0</v>
      </c>
      <c r="D2773" s="4">
        <v>180.65</v>
      </c>
      <c r="E2773">
        <v>19</v>
      </c>
      <c r="F2773">
        <v>19</v>
      </c>
    </row>
    <row r="2774" spans="1:6" x14ac:dyDescent="0.25">
      <c r="A2774" t="s">
        <v>2900</v>
      </c>
      <c r="B2774" s="4">
        <v>180.58</v>
      </c>
      <c r="C2774" s="4">
        <v>0</v>
      </c>
      <c r="D2774" s="4">
        <v>180.58</v>
      </c>
      <c r="E2774">
        <v>8</v>
      </c>
      <c r="F2774">
        <v>8</v>
      </c>
    </row>
    <row r="2775" spans="1:6" x14ac:dyDescent="0.25">
      <c r="A2775" t="s">
        <v>2901</v>
      </c>
      <c r="B2775" s="4">
        <v>180.52</v>
      </c>
      <c r="C2775" s="4">
        <v>0</v>
      </c>
      <c r="D2775" s="4">
        <v>180.52</v>
      </c>
      <c r="E2775">
        <v>22</v>
      </c>
      <c r="F2775">
        <v>22</v>
      </c>
    </row>
    <row r="2776" spans="1:6" x14ac:dyDescent="0.25">
      <c r="A2776" t="s">
        <v>2902</v>
      </c>
      <c r="B2776" s="4">
        <v>180.2</v>
      </c>
      <c r="C2776" s="4">
        <v>0</v>
      </c>
      <c r="D2776" s="4">
        <v>180.2</v>
      </c>
      <c r="E2776">
        <v>11</v>
      </c>
      <c r="F2776">
        <v>11</v>
      </c>
    </row>
    <row r="2777" spans="1:6" x14ac:dyDescent="0.25">
      <c r="A2777" t="s">
        <v>2903</v>
      </c>
      <c r="B2777" s="4">
        <v>179.46</v>
      </c>
      <c r="C2777" s="4">
        <v>0</v>
      </c>
      <c r="D2777" s="4">
        <v>179.46</v>
      </c>
      <c r="E2777">
        <v>35</v>
      </c>
      <c r="F2777">
        <v>33</v>
      </c>
    </row>
    <row r="2778" spans="1:6" x14ac:dyDescent="0.25">
      <c r="A2778" t="s">
        <v>2904</v>
      </c>
      <c r="B2778" s="4">
        <v>179.36</v>
      </c>
      <c r="C2778" s="4">
        <v>1.26</v>
      </c>
      <c r="D2778" s="4">
        <v>178.1</v>
      </c>
      <c r="E2778">
        <v>63</v>
      </c>
      <c r="F2778">
        <v>63</v>
      </c>
    </row>
    <row r="2779" spans="1:6" x14ac:dyDescent="0.25">
      <c r="A2779" t="s">
        <v>2905</v>
      </c>
      <c r="B2779" s="4">
        <v>179.23</v>
      </c>
      <c r="C2779" s="4">
        <v>0</v>
      </c>
      <c r="D2779" s="4">
        <v>179.23</v>
      </c>
      <c r="E2779">
        <v>15</v>
      </c>
      <c r="F2779">
        <v>15</v>
      </c>
    </row>
    <row r="2780" spans="1:6" x14ac:dyDescent="0.25">
      <c r="A2780" t="s">
        <v>2906</v>
      </c>
      <c r="B2780" s="4">
        <v>178.97</v>
      </c>
      <c r="C2780" s="4">
        <v>0.42</v>
      </c>
      <c r="D2780" s="4">
        <v>178.55</v>
      </c>
      <c r="E2780">
        <v>59</v>
      </c>
      <c r="F2780">
        <v>59</v>
      </c>
    </row>
    <row r="2781" spans="1:6" x14ac:dyDescent="0.25">
      <c r="A2781" t="s">
        <v>2907</v>
      </c>
      <c r="B2781" s="4">
        <v>178.89</v>
      </c>
      <c r="C2781" s="4">
        <v>0</v>
      </c>
      <c r="D2781" s="4">
        <v>178.89</v>
      </c>
      <c r="E2781">
        <v>33</v>
      </c>
      <c r="F2781">
        <v>33</v>
      </c>
    </row>
    <row r="2782" spans="1:6" x14ac:dyDescent="0.25">
      <c r="A2782" t="s">
        <v>2908</v>
      </c>
      <c r="B2782" s="4">
        <v>178.85</v>
      </c>
      <c r="C2782" s="4">
        <v>0</v>
      </c>
      <c r="D2782" s="4">
        <v>178.85</v>
      </c>
      <c r="E2782">
        <v>50</v>
      </c>
      <c r="F2782">
        <v>50</v>
      </c>
    </row>
    <row r="2783" spans="1:6" x14ac:dyDescent="0.25">
      <c r="A2783" t="s">
        <v>2909</v>
      </c>
      <c r="B2783" s="4">
        <v>177.46</v>
      </c>
      <c r="C2783" s="4">
        <v>0</v>
      </c>
      <c r="D2783" s="4">
        <v>177.46</v>
      </c>
      <c r="E2783">
        <v>30</v>
      </c>
      <c r="F2783">
        <v>30</v>
      </c>
    </row>
    <row r="2784" spans="1:6" x14ac:dyDescent="0.25">
      <c r="A2784" t="s">
        <v>2910</v>
      </c>
      <c r="B2784" s="4">
        <v>177.33</v>
      </c>
      <c r="C2784" s="4">
        <v>3.75</v>
      </c>
      <c r="D2784" s="4">
        <v>173.58</v>
      </c>
      <c r="E2784">
        <v>21</v>
      </c>
      <c r="F2784">
        <v>21</v>
      </c>
    </row>
    <row r="2785" spans="1:6" x14ac:dyDescent="0.25">
      <c r="A2785" t="s">
        <v>2911</v>
      </c>
      <c r="B2785" s="4">
        <v>175.78</v>
      </c>
      <c r="C2785" s="4">
        <v>1.65</v>
      </c>
      <c r="D2785" s="4">
        <v>174.13</v>
      </c>
      <c r="E2785">
        <v>19</v>
      </c>
      <c r="F2785">
        <v>19</v>
      </c>
    </row>
    <row r="2786" spans="1:6" x14ac:dyDescent="0.25">
      <c r="A2786" t="s">
        <v>2912</v>
      </c>
      <c r="B2786" s="4">
        <v>175.73</v>
      </c>
      <c r="C2786" s="4">
        <v>17.850000000000001</v>
      </c>
      <c r="D2786" s="4">
        <v>157.88</v>
      </c>
      <c r="E2786">
        <v>29</v>
      </c>
      <c r="F2786">
        <v>28</v>
      </c>
    </row>
    <row r="2787" spans="1:6" x14ac:dyDescent="0.25">
      <c r="A2787" t="s">
        <v>2913</v>
      </c>
      <c r="B2787" s="4">
        <v>175.16</v>
      </c>
      <c r="C2787" s="4">
        <v>1.58</v>
      </c>
      <c r="D2787" s="4">
        <v>173.58</v>
      </c>
      <c r="E2787">
        <v>26</v>
      </c>
      <c r="F2787">
        <v>24</v>
      </c>
    </row>
    <row r="2788" spans="1:6" x14ac:dyDescent="0.25">
      <c r="A2788" t="s">
        <v>2914</v>
      </c>
      <c r="B2788" s="4">
        <v>174.77</v>
      </c>
      <c r="C2788" s="4">
        <v>24.95</v>
      </c>
      <c r="D2788" s="4">
        <v>149.82</v>
      </c>
      <c r="E2788">
        <v>3</v>
      </c>
      <c r="F2788">
        <v>3</v>
      </c>
    </row>
    <row r="2789" spans="1:6" x14ac:dyDescent="0.25">
      <c r="A2789" t="s">
        <v>2915</v>
      </c>
      <c r="B2789" s="4">
        <v>174.73</v>
      </c>
      <c r="C2789" s="4">
        <v>0</v>
      </c>
      <c r="D2789" s="4">
        <v>174.73</v>
      </c>
      <c r="E2789">
        <v>27</v>
      </c>
      <c r="F2789">
        <v>27</v>
      </c>
    </row>
    <row r="2790" spans="1:6" x14ac:dyDescent="0.25">
      <c r="A2790" t="s">
        <v>2916</v>
      </c>
      <c r="B2790" s="4">
        <v>174.5</v>
      </c>
      <c r="C2790" s="4">
        <v>0</v>
      </c>
      <c r="D2790" s="4">
        <v>174.5</v>
      </c>
      <c r="E2790">
        <v>4</v>
      </c>
      <c r="F2790">
        <v>4</v>
      </c>
    </row>
    <row r="2791" spans="1:6" x14ac:dyDescent="0.25">
      <c r="A2791" t="s">
        <v>2917</v>
      </c>
      <c r="B2791" s="4">
        <v>174.31</v>
      </c>
      <c r="C2791" s="4">
        <v>5.07</v>
      </c>
      <c r="D2791" s="4">
        <v>169.24</v>
      </c>
      <c r="E2791">
        <v>11</v>
      </c>
      <c r="F2791">
        <v>11</v>
      </c>
    </row>
    <row r="2792" spans="1:6" x14ac:dyDescent="0.25">
      <c r="A2792" t="s">
        <v>2918</v>
      </c>
      <c r="B2792" s="4">
        <v>174.09</v>
      </c>
      <c r="C2792" s="4">
        <v>10.79</v>
      </c>
      <c r="D2792" s="4">
        <v>163.30000000000001</v>
      </c>
      <c r="E2792">
        <v>26</v>
      </c>
      <c r="F2792">
        <v>26</v>
      </c>
    </row>
    <row r="2793" spans="1:6" x14ac:dyDescent="0.25">
      <c r="A2793" t="s">
        <v>2919</v>
      </c>
      <c r="B2793" s="4">
        <v>173.48</v>
      </c>
      <c r="C2793" s="4">
        <v>0</v>
      </c>
      <c r="D2793" s="4">
        <v>173.48</v>
      </c>
      <c r="E2793">
        <v>20</v>
      </c>
      <c r="F2793">
        <v>20</v>
      </c>
    </row>
    <row r="2794" spans="1:6" x14ac:dyDescent="0.25">
      <c r="A2794" t="s">
        <v>2920</v>
      </c>
      <c r="B2794" s="4">
        <v>173.37</v>
      </c>
      <c r="C2794" s="4">
        <v>5.04</v>
      </c>
      <c r="D2794" s="4">
        <v>168.33</v>
      </c>
      <c r="E2794">
        <v>40</v>
      </c>
      <c r="F2794">
        <v>39</v>
      </c>
    </row>
    <row r="2795" spans="1:6" x14ac:dyDescent="0.25">
      <c r="A2795" t="s">
        <v>2921</v>
      </c>
      <c r="B2795" s="4">
        <v>173.12</v>
      </c>
      <c r="C2795" s="4">
        <v>0</v>
      </c>
      <c r="D2795" s="4">
        <v>173.12</v>
      </c>
      <c r="E2795">
        <v>41</v>
      </c>
      <c r="F2795">
        <v>41</v>
      </c>
    </row>
    <row r="2796" spans="1:6" x14ac:dyDescent="0.25">
      <c r="A2796" t="s">
        <v>2922</v>
      </c>
      <c r="B2796" s="4">
        <v>172.78</v>
      </c>
      <c r="C2796" s="4">
        <v>1.95</v>
      </c>
      <c r="D2796" s="4">
        <v>170.83</v>
      </c>
      <c r="E2796">
        <v>28</v>
      </c>
      <c r="F2796">
        <v>28</v>
      </c>
    </row>
    <row r="2797" spans="1:6" x14ac:dyDescent="0.25">
      <c r="A2797" t="s">
        <v>2923</v>
      </c>
      <c r="B2797" s="4">
        <v>172.64</v>
      </c>
      <c r="C2797" s="4">
        <v>0</v>
      </c>
      <c r="D2797" s="4">
        <v>172.64</v>
      </c>
      <c r="E2797">
        <v>24</v>
      </c>
      <c r="F2797">
        <v>23</v>
      </c>
    </row>
    <row r="2798" spans="1:6" x14ac:dyDescent="0.25">
      <c r="A2798" t="s">
        <v>2924</v>
      </c>
      <c r="B2798" s="4">
        <v>172.2</v>
      </c>
      <c r="C2798" s="4">
        <v>0</v>
      </c>
      <c r="D2798" s="4">
        <v>172.2</v>
      </c>
      <c r="E2798">
        <v>35</v>
      </c>
      <c r="F2798">
        <v>33</v>
      </c>
    </row>
    <row r="2799" spans="1:6" x14ac:dyDescent="0.25">
      <c r="A2799" t="s">
        <v>2925</v>
      </c>
      <c r="B2799" s="4">
        <v>172.05</v>
      </c>
      <c r="C2799" s="4">
        <v>0</v>
      </c>
      <c r="D2799" s="4">
        <v>172.05</v>
      </c>
      <c r="E2799">
        <v>20</v>
      </c>
      <c r="F2799">
        <v>20</v>
      </c>
    </row>
    <row r="2800" spans="1:6" x14ac:dyDescent="0.25">
      <c r="A2800" t="s">
        <v>2926</v>
      </c>
      <c r="B2800" s="4">
        <v>171.8</v>
      </c>
      <c r="C2800" s="4">
        <v>0</v>
      </c>
      <c r="D2800" s="4">
        <v>171.8</v>
      </c>
      <c r="E2800">
        <v>1</v>
      </c>
      <c r="F2800">
        <v>1</v>
      </c>
    </row>
    <row r="2801" spans="1:6" x14ac:dyDescent="0.25">
      <c r="A2801" t="s">
        <v>2927</v>
      </c>
      <c r="B2801" s="4">
        <v>171.6</v>
      </c>
      <c r="C2801" s="4">
        <v>0</v>
      </c>
      <c r="D2801" s="4">
        <v>171.6</v>
      </c>
      <c r="E2801">
        <v>14</v>
      </c>
      <c r="F2801">
        <v>14</v>
      </c>
    </row>
    <row r="2802" spans="1:6" x14ac:dyDescent="0.25">
      <c r="A2802" t="s">
        <v>2928</v>
      </c>
      <c r="B2802" s="4">
        <v>171.45</v>
      </c>
      <c r="C2802" s="4">
        <v>0</v>
      </c>
      <c r="D2802" s="4">
        <v>171.45</v>
      </c>
      <c r="E2802">
        <v>12</v>
      </c>
      <c r="F2802">
        <v>10</v>
      </c>
    </row>
    <row r="2803" spans="1:6" x14ac:dyDescent="0.25">
      <c r="A2803" t="s">
        <v>2929</v>
      </c>
      <c r="B2803" s="4">
        <v>171.11</v>
      </c>
      <c r="C2803" s="4">
        <v>0</v>
      </c>
      <c r="D2803" s="4">
        <v>171.11</v>
      </c>
      <c r="E2803">
        <v>10</v>
      </c>
      <c r="F2803">
        <v>9</v>
      </c>
    </row>
    <row r="2804" spans="1:6" x14ac:dyDescent="0.25">
      <c r="A2804" t="s">
        <v>2930</v>
      </c>
      <c r="B2804" s="4">
        <v>169.75</v>
      </c>
      <c r="C2804" s="4">
        <v>0</v>
      </c>
      <c r="D2804" s="4">
        <v>169.75</v>
      </c>
      <c r="E2804">
        <v>4</v>
      </c>
      <c r="F2804">
        <v>4</v>
      </c>
    </row>
    <row r="2805" spans="1:6" x14ac:dyDescent="0.25">
      <c r="A2805" t="s">
        <v>2931</v>
      </c>
      <c r="B2805" s="4">
        <v>168.59</v>
      </c>
      <c r="C2805" s="4">
        <v>0</v>
      </c>
      <c r="D2805" s="4">
        <v>168.59</v>
      </c>
      <c r="E2805">
        <v>31</v>
      </c>
      <c r="F2805">
        <v>31</v>
      </c>
    </row>
    <row r="2806" spans="1:6" x14ac:dyDescent="0.25">
      <c r="A2806" t="s">
        <v>2932</v>
      </c>
      <c r="B2806" s="4">
        <v>168.16</v>
      </c>
      <c r="C2806" s="4">
        <v>0</v>
      </c>
      <c r="D2806" s="4">
        <v>168.16</v>
      </c>
      <c r="E2806">
        <v>16</v>
      </c>
      <c r="F2806">
        <v>16</v>
      </c>
    </row>
    <row r="2807" spans="1:6" x14ac:dyDescent="0.25">
      <c r="A2807" t="s">
        <v>2933</v>
      </c>
      <c r="B2807" s="4">
        <v>168</v>
      </c>
      <c r="C2807" s="4">
        <v>0</v>
      </c>
      <c r="D2807" s="4">
        <v>168</v>
      </c>
      <c r="E2807">
        <v>18</v>
      </c>
      <c r="F2807">
        <v>18</v>
      </c>
    </row>
    <row r="2808" spans="1:6" x14ac:dyDescent="0.25">
      <c r="A2808" t="s">
        <v>2934</v>
      </c>
      <c r="B2808" s="4">
        <v>167.79</v>
      </c>
      <c r="C2808" s="4">
        <v>0</v>
      </c>
      <c r="D2808" s="4">
        <v>167.79</v>
      </c>
      <c r="E2808">
        <v>20</v>
      </c>
      <c r="F2808">
        <v>20</v>
      </c>
    </row>
    <row r="2809" spans="1:6" x14ac:dyDescent="0.25">
      <c r="A2809" t="s">
        <v>2935</v>
      </c>
      <c r="B2809" s="4">
        <v>167.7</v>
      </c>
      <c r="C2809" s="4">
        <v>0</v>
      </c>
      <c r="D2809" s="4">
        <v>167.7</v>
      </c>
      <c r="E2809">
        <v>14</v>
      </c>
      <c r="F2809">
        <v>13</v>
      </c>
    </row>
    <row r="2810" spans="1:6" x14ac:dyDescent="0.25">
      <c r="A2810" t="s">
        <v>2936</v>
      </c>
      <c r="B2810" s="4">
        <v>167.3</v>
      </c>
      <c r="C2810" s="4">
        <v>0</v>
      </c>
      <c r="D2810" s="4">
        <v>167.3</v>
      </c>
      <c r="E2810">
        <v>15</v>
      </c>
      <c r="F2810">
        <v>15</v>
      </c>
    </row>
    <row r="2811" spans="1:6" x14ac:dyDescent="0.25">
      <c r="A2811" t="s">
        <v>2937</v>
      </c>
      <c r="B2811" s="4">
        <v>165.89</v>
      </c>
      <c r="C2811" s="4">
        <v>0</v>
      </c>
      <c r="D2811" s="4">
        <v>165.89</v>
      </c>
      <c r="E2811">
        <v>25</v>
      </c>
      <c r="F2811">
        <v>25</v>
      </c>
    </row>
    <row r="2812" spans="1:6" x14ac:dyDescent="0.25">
      <c r="A2812" t="s">
        <v>2938</v>
      </c>
      <c r="B2812" s="4">
        <v>165.75</v>
      </c>
      <c r="C2812" s="4">
        <v>0</v>
      </c>
      <c r="D2812" s="4">
        <v>165.75</v>
      </c>
      <c r="E2812">
        <v>12</v>
      </c>
      <c r="F2812">
        <v>12</v>
      </c>
    </row>
    <row r="2813" spans="1:6" x14ac:dyDescent="0.25">
      <c r="A2813" t="s">
        <v>2939</v>
      </c>
      <c r="B2813" s="4">
        <v>165.74</v>
      </c>
      <c r="C2813" s="4">
        <v>0</v>
      </c>
      <c r="D2813" s="4">
        <v>165.74</v>
      </c>
      <c r="E2813">
        <v>8</v>
      </c>
      <c r="F2813">
        <v>8</v>
      </c>
    </row>
    <row r="2814" spans="1:6" x14ac:dyDescent="0.25">
      <c r="A2814" t="s">
        <v>2940</v>
      </c>
      <c r="B2814" s="4">
        <v>165.6</v>
      </c>
      <c r="C2814" s="4">
        <v>0</v>
      </c>
      <c r="D2814" s="4">
        <v>165.6</v>
      </c>
      <c r="E2814">
        <v>17</v>
      </c>
      <c r="F2814">
        <v>17</v>
      </c>
    </row>
    <row r="2815" spans="1:6" x14ac:dyDescent="0.25">
      <c r="A2815" t="s">
        <v>2941</v>
      </c>
      <c r="B2815" s="4">
        <v>165.08</v>
      </c>
      <c r="C2815" s="4">
        <v>0</v>
      </c>
      <c r="D2815" s="4">
        <v>165.08</v>
      </c>
      <c r="E2815">
        <v>41</v>
      </c>
      <c r="F2815">
        <v>41</v>
      </c>
    </row>
    <row r="2816" spans="1:6" x14ac:dyDescent="0.25">
      <c r="A2816" t="s">
        <v>2942</v>
      </c>
      <c r="B2816" s="4">
        <v>164.84</v>
      </c>
      <c r="C2816" s="4">
        <v>0</v>
      </c>
      <c r="D2816" s="4">
        <v>164.84</v>
      </c>
      <c r="E2816">
        <v>41</v>
      </c>
      <c r="F2816">
        <v>40</v>
      </c>
    </row>
    <row r="2817" spans="1:6" x14ac:dyDescent="0.25">
      <c r="A2817" t="s">
        <v>2943</v>
      </c>
      <c r="B2817" s="4">
        <v>164.17</v>
      </c>
      <c r="C2817" s="4">
        <v>0</v>
      </c>
      <c r="D2817" s="4">
        <v>164.17</v>
      </c>
      <c r="E2817">
        <v>45</v>
      </c>
      <c r="F2817">
        <v>45</v>
      </c>
    </row>
    <row r="2818" spans="1:6" x14ac:dyDescent="0.25">
      <c r="A2818" t="s">
        <v>2944</v>
      </c>
      <c r="B2818" s="4">
        <v>164.12</v>
      </c>
      <c r="C2818" s="4">
        <v>0</v>
      </c>
      <c r="D2818" s="4">
        <v>164.12</v>
      </c>
      <c r="E2818">
        <v>15</v>
      </c>
      <c r="F2818">
        <v>15</v>
      </c>
    </row>
    <row r="2819" spans="1:6" x14ac:dyDescent="0.25">
      <c r="A2819" t="s">
        <v>2945</v>
      </c>
      <c r="B2819" s="4">
        <v>163.82</v>
      </c>
      <c r="C2819" s="4">
        <v>0</v>
      </c>
      <c r="D2819" s="4">
        <v>163.82</v>
      </c>
      <c r="E2819">
        <v>10</v>
      </c>
      <c r="F2819">
        <v>10</v>
      </c>
    </row>
    <row r="2820" spans="1:6" x14ac:dyDescent="0.25">
      <c r="A2820" t="s">
        <v>2946</v>
      </c>
      <c r="B2820" s="4">
        <v>163.80000000000001</v>
      </c>
      <c r="C2820" s="4">
        <v>12.6</v>
      </c>
      <c r="D2820" s="4">
        <v>151.19999999999999</v>
      </c>
      <c r="E2820">
        <v>4</v>
      </c>
      <c r="F2820">
        <v>4</v>
      </c>
    </row>
    <row r="2821" spans="1:6" x14ac:dyDescent="0.25">
      <c r="A2821" t="s">
        <v>2947</v>
      </c>
      <c r="B2821" s="4">
        <v>163.69</v>
      </c>
      <c r="C2821" s="4">
        <v>0</v>
      </c>
      <c r="D2821" s="4">
        <v>163.69</v>
      </c>
      <c r="E2821">
        <v>30</v>
      </c>
      <c r="F2821">
        <v>29</v>
      </c>
    </row>
    <row r="2822" spans="1:6" x14ac:dyDescent="0.25">
      <c r="A2822" t="s">
        <v>2948</v>
      </c>
      <c r="B2822" s="4">
        <v>163.35</v>
      </c>
      <c r="C2822" s="4">
        <v>0</v>
      </c>
      <c r="D2822" s="4">
        <v>163.35</v>
      </c>
      <c r="E2822">
        <v>25</v>
      </c>
      <c r="F2822">
        <v>25</v>
      </c>
    </row>
    <row r="2823" spans="1:6" x14ac:dyDescent="0.25">
      <c r="A2823" t="s">
        <v>2949</v>
      </c>
      <c r="B2823" s="4">
        <v>163.1</v>
      </c>
      <c r="C2823" s="4">
        <v>0</v>
      </c>
      <c r="D2823" s="4">
        <v>163.1</v>
      </c>
      <c r="E2823">
        <v>34</v>
      </c>
      <c r="F2823">
        <v>34</v>
      </c>
    </row>
    <row r="2824" spans="1:6" x14ac:dyDescent="0.25">
      <c r="A2824" t="s">
        <v>2950</v>
      </c>
      <c r="B2824" s="4">
        <v>162.21</v>
      </c>
      <c r="C2824" s="4">
        <v>0</v>
      </c>
      <c r="D2824" s="4">
        <v>162.21</v>
      </c>
      <c r="E2824">
        <v>27</v>
      </c>
      <c r="F2824">
        <v>27</v>
      </c>
    </row>
    <row r="2825" spans="1:6" x14ac:dyDescent="0.25">
      <c r="A2825" t="s">
        <v>2951</v>
      </c>
      <c r="B2825" s="4">
        <v>162.19999999999999</v>
      </c>
      <c r="C2825" s="4">
        <v>0</v>
      </c>
      <c r="D2825" s="4">
        <v>162.19999999999999</v>
      </c>
      <c r="E2825">
        <v>12</v>
      </c>
      <c r="F2825">
        <v>12</v>
      </c>
    </row>
    <row r="2826" spans="1:6" x14ac:dyDescent="0.25">
      <c r="A2826" t="s">
        <v>2952</v>
      </c>
      <c r="B2826" s="4">
        <v>161.69999999999999</v>
      </c>
      <c r="C2826" s="4">
        <v>0</v>
      </c>
      <c r="D2826" s="4">
        <v>161.69999999999999</v>
      </c>
      <c r="E2826">
        <v>15</v>
      </c>
      <c r="F2826">
        <v>15</v>
      </c>
    </row>
    <row r="2827" spans="1:6" x14ac:dyDescent="0.25">
      <c r="A2827" t="s">
        <v>2953</v>
      </c>
      <c r="B2827" s="4">
        <v>161.49</v>
      </c>
      <c r="C2827" s="4">
        <v>0</v>
      </c>
      <c r="D2827" s="4">
        <v>161.49</v>
      </c>
      <c r="E2827">
        <v>16</v>
      </c>
      <c r="F2827">
        <v>16</v>
      </c>
    </row>
    <row r="2828" spans="1:6" x14ac:dyDescent="0.25">
      <c r="A2828" t="s">
        <v>2954</v>
      </c>
      <c r="B2828" s="4">
        <v>160.5</v>
      </c>
      <c r="C2828" s="4">
        <v>9.75</v>
      </c>
      <c r="D2828" s="4">
        <v>150.75</v>
      </c>
      <c r="E2828">
        <v>18</v>
      </c>
      <c r="F2828">
        <v>18</v>
      </c>
    </row>
    <row r="2829" spans="1:6" x14ac:dyDescent="0.25">
      <c r="A2829" t="s">
        <v>2955</v>
      </c>
      <c r="B2829" s="4">
        <v>160.47999999999999</v>
      </c>
      <c r="C2829" s="4">
        <v>35.159999999999997</v>
      </c>
      <c r="D2829" s="4">
        <v>125.32</v>
      </c>
      <c r="E2829">
        <v>10</v>
      </c>
      <c r="F2829">
        <v>10</v>
      </c>
    </row>
    <row r="2830" spans="1:6" x14ac:dyDescent="0.25">
      <c r="A2830" t="s">
        <v>2956</v>
      </c>
      <c r="B2830" s="4">
        <v>160.09</v>
      </c>
      <c r="C2830" s="4">
        <v>29.85</v>
      </c>
      <c r="D2830" s="4">
        <v>130.24</v>
      </c>
      <c r="E2830">
        <v>6</v>
      </c>
      <c r="F2830">
        <v>6</v>
      </c>
    </row>
    <row r="2831" spans="1:6" x14ac:dyDescent="0.25">
      <c r="A2831" t="s">
        <v>2957</v>
      </c>
      <c r="B2831" s="4">
        <v>159.9</v>
      </c>
      <c r="C2831" s="4">
        <v>0</v>
      </c>
      <c r="D2831" s="4">
        <v>159.9</v>
      </c>
      <c r="E2831">
        <v>9</v>
      </c>
      <c r="F2831">
        <v>9</v>
      </c>
    </row>
    <row r="2832" spans="1:6" x14ac:dyDescent="0.25">
      <c r="A2832" t="s">
        <v>2958</v>
      </c>
      <c r="B2832" s="4">
        <v>159.69</v>
      </c>
      <c r="C2832" s="4">
        <v>0</v>
      </c>
      <c r="D2832" s="4">
        <v>159.69</v>
      </c>
      <c r="E2832">
        <v>55</v>
      </c>
      <c r="F2832">
        <v>55</v>
      </c>
    </row>
    <row r="2833" spans="1:6" x14ac:dyDescent="0.25">
      <c r="A2833" t="s">
        <v>2959</v>
      </c>
      <c r="B2833" s="4">
        <v>158.74</v>
      </c>
      <c r="C2833" s="4">
        <v>0</v>
      </c>
      <c r="D2833" s="4">
        <v>158.74</v>
      </c>
      <c r="E2833">
        <v>15</v>
      </c>
      <c r="F2833">
        <v>15</v>
      </c>
    </row>
    <row r="2834" spans="1:6" x14ac:dyDescent="0.25">
      <c r="A2834" t="s">
        <v>2960</v>
      </c>
      <c r="B2834" s="4">
        <v>158.63</v>
      </c>
      <c r="C2834" s="4">
        <v>0</v>
      </c>
      <c r="D2834" s="4">
        <v>158.63</v>
      </c>
      <c r="E2834">
        <v>32</v>
      </c>
      <c r="F2834">
        <v>32</v>
      </c>
    </row>
    <row r="2835" spans="1:6" x14ac:dyDescent="0.25">
      <c r="A2835" t="s">
        <v>2961</v>
      </c>
      <c r="B2835" s="4">
        <v>158.08000000000001</v>
      </c>
      <c r="C2835" s="4">
        <v>0</v>
      </c>
      <c r="D2835" s="4">
        <v>158.08000000000001</v>
      </c>
      <c r="E2835">
        <v>28</v>
      </c>
      <c r="F2835">
        <v>28</v>
      </c>
    </row>
    <row r="2836" spans="1:6" x14ac:dyDescent="0.25">
      <c r="A2836" t="s">
        <v>2962</v>
      </c>
      <c r="B2836" s="4">
        <v>158.06</v>
      </c>
      <c r="C2836" s="4">
        <v>0</v>
      </c>
      <c r="D2836" s="4">
        <v>158.06</v>
      </c>
      <c r="E2836">
        <v>34</v>
      </c>
      <c r="F2836">
        <v>34</v>
      </c>
    </row>
    <row r="2837" spans="1:6" x14ac:dyDescent="0.25">
      <c r="A2837" t="s">
        <v>2963</v>
      </c>
      <c r="B2837" s="4">
        <v>157.5</v>
      </c>
      <c r="C2837" s="4">
        <v>0</v>
      </c>
      <c r="D2837" s="4">
        <v>157.5</v>
      </c>
      <c r="E2837">
        <v>28</v>
      </c>
      <c r="F2837">
        <v>27</v>
      </c>
    </row>
    <row r="2838" spans="1:6" x14ac:dyDescent="0.25">
      <c r="A2838" t="s">
        <v>2964</v>
      </c>
      <c r="B2838" s="4">
        <v>157.5</v>
      </c>
      <c r="C2838" s="4">
        <v>0</v>
      </c>
      <c r="D2838" s="4">
        <v>157.5</v>
      </c>
      <c r="E2838">
        <v>26</v>
      </c>
      <c r="F2838">
        <v>25</v>
      </c>
    </row>
    <row r="2839" spans="1:6" x14ac:dyDescent="0.25">
      <c r="A2839" t="s">
        <v>2965</v>
      </c>
      <c r="B2839" s="4">
        <v>157.5</v>
      </c>
      <c r="C2839" s="4">
        <v>0</v>
      </c>
      <c r="D2839" s="4">
        <v>157.5</v>
      </c>
      <c r="E2839">
        <v>45</v>
      </c>
      <c r="F2839">
        <v>45</v>
      </c>
    </row>
    <row r="2840" spans="1:6" x14ac:dyDescent="0.25">
      <c r="A2840" t="s">
        <v>2966</v>
      </c>
      <c r="B2840" s="4">
        <v>157.34</v>
      </c>
      <c r="C2840" s="4">
        <v>0</v>
      </c>
      <c r="D2840" s="4">
        <v>157.34</v>
      </c>
      <c r="E2840">
        <v>18</v>
      </c>
      <c r="F2840">
        <v>18</v>
      </c>
    </row>
    <row r="2841" spans="1:6" x14ac:dyDescent="0.25">
      <c r="A2841" t="s">
        <v>2967</v>
      </c>
      <c r="B2841" s="4">
        <v>156.85</v>
      </c>
      <c r="C2841" s="4">
        <v>0</v>
      </c>
      <c r="D2841" s="4">
        <v>156.85</v>
      </c>
      <c r="E2841">
        <v>36</v>
      </c>
      <c r="F2841">
        <v>35</v>
      </c>
    </row>
    <row r="2842" spans="1:6" x14ac:dyDescent="0.25">
      <c r="A2842" t="s">
        <v>2968</v>
      </c>
      <c r="B2842" s="4">
        <v>156.75</v>
      </c>
      <c r="C2842" s="4">
        <v>0</v>
      </c>
      <c r="D2842" s="4">
        <v>156.75</v>
      </c>
      <c r="E2842">
        <v>11</v>
      </c>
      <c r="F2842">
        <v>11</v>
      </c>
    </row>
    <row r="2843" spans="1:6" x14ac:dyDescent="0.25">
      <c r="A2843" t="s">
        <v>2969</v>
      </c>
      <c r="B2843" s="4">
        <v>156.63</v>
      </c>
      <c r="C2843" s="4">
        <v>0</v>
      </c>
      <c r="D2843" s="4">
        <v>156.63</v>
      </c>
      <c r="E2843">
        <v>66</v>
      </c>
      <c r="F2843">
        <v>66</v>
      </c>
    </row>
    <row r="2844" spans="1:6" x14ac:dyDescent="0.25">
      <c r="A2844" t="s">
        <v>2970</v>
      </c>
      <c r="B2844" s="4">
        <v>155.82</v>
      </c>
      <c r="C2844" s="4">
        <v>0.42</v>
      </c>
      <c r="D2844" s="4">
        <v>155.4</v>
      </c>
      <c r="E2844">
        <v>37</v>
      </c>
      <c r="F2844">
        <v>33</v>
      </c>
    </row>
    <row r="2845" spans="1:6" x14ac:dyDescent="0.25">
      <c r="A2845" t="s">
        <v>2971</v>
      </c>
      <c r="B2845" s="4">
        <v>155.6</v>
      </c>
      <c r="C2845" s="4">
        <v>27</v>
      </c>
      <c r="D2845" s="4">
        <v>128.6</v>
      </c>
      <c r="E2845">
        <v>11</v>
      </c>
      <c r="F2845">
        <v>11</v>
      </c>
    </row>
    <row r="2846" spans="1:6" x14ac:dyDescent="0.25">
      <c r="A2846" t="s">
        <v>2972</v>
      </c>
      <c r="B2846" s="4">
        <v>155.55000000000001</v>
      </c>
      <c r="C2846" s="4">
        <v>0</v>
      </c>
      <c r="D2846" s="4">
        <v>155.55000000000001</v>
      </c>
      <c r="E2846">
        <v>25</v>
      </c>
      <c r="F2846">
        <v>24</v>
      </c>
    </row>
    <row r="2847" spans="1:6" x14ac:dyDescent="0.25">
      <c r="A2847" t="s">
        <v>2973</v>
      </c>
      <c r="B2847" s="4">
        <v>154.68</v>
      </c>
      <c r="C2847" s="4">
        <v>3.29</v>
      </c>
      <c r="D2847" s="4">
        <v>151.38999999999999</v>
      </c>
      <c r="E2847">
        <v>22</v>
      </c>
      <c r="F2847">
        <v>22</v>
      </c>
    </row>
    <row r="2848" spans="1:6" x14ac:dyDescent="0.25">
      <c r="A2848" t="s">
        <v>2974</v>
      </c>
      <c r="B2848" s="4">
        <v>154.52000000000001</v>
      </c>
      <c r="C2848" s="4">
        <v>0</v>
      </c>
      <c r="D2848" s="4">
        <v>154.52000000000001</v>
      </c>
      <c r="E2848">
        <v>31</v>
      </c>
      <c r="F2848">
        <v>31</v>
      </c>
    </row>
    <row r="2849" spans="1:6" x14ac:dyDescent="0.25">
      <c r="A2849" t="s">
        <v>2975</v>
      </c>
      <c r="B2849" s="4">
        <v>154.38999999999999</v>
      </c>
      <c r="C2849" s="4">
        <v>0</v>
      </c>
      <c r="D2849" s="4">
        <v>154.38999999999999</v>
      </c>
      <c r="E2849">
        <v>18</v>
      </c>
      <c r="F2849">
        <v>14</v>
      </c>
    </row>
    <row r="2850" spans="1:6" x14ac:dyDescent="0.25">
      <c r="A2850" t="s">
        <v>2976</v>
      </c>
      <c r="B2850" s="4">
        <v>153.29</v>
      </c>
      <c r="C2850" s="4">
        <v>0</v>
      </c>
      <c r="D2850" s="4">
        <v>153.29</v>
      </c>
      <c r="E2850">
        <v>9</v>
      </c>
      <c r="F2850">
        <v>9</v>
      </c>
    </row>
    <row r="2851" spans="1:6" x14ac:dyDescent="0.25">
      <c r="A2851" t="s">
        <v>2977</v>
      </c>
      <c r="B2851" s="4">
        <v>152.5</v>
      </c>
      <c r="C2851" s="4">
        <v>0</v>
      </c>
      <c r="D2851" s="4">
        <v>152.5</v>
      </c>
      <c r="E2851">
        <v>8</v>
      </c>
      <c r="F2851">
        <v>8</v>
      </c>
    </row>
    <row r="2852" spans="1:6" x14ac:dyDescent="0.25">
      <c r="A2852" t="s">
        <v>2978</v>
      </c>
      <c r="B2852" s="4">
        <v>152.4</v>
      </c>
      <c r="C2852" s="4">
        <v>0</v>
      </c>
      <c r="D2852" s="4">
        <v>152.4</v>
      </c>
      <c r="E2852">
        <v>17</v>
      </c>
      <c r="F2852">
        <v>17</v>
      </c>
    </row>
    <row r="2853" spans="1:6" x14ac:dyDescent="0.25">
      <c r="A2853" t="s">
        <v>2979</v>
      </c>
      <c r="B2853" s="4">
        <v>152.18</v>
      </c>
      <c r="C2853" s="4">
        <v>0</v>
      </c>
      <c r="D2853" s="4">
        <v>152.18</v>
      </c>
      <c r="E2853">
        <v>19</v>
      </c>
      <c r="F2853">
        <v>18</v>
      </c>
    </row>
    <row r="2854" spans="1:6" x14ac:dyDescent="0.25">
      <c r="A2854" t="s">
        <v>2980</v>
      </c>
      <c r="B2854" s="4">
        <v>152.11000000000001</v>
      </c>
      <c r="C2854" s="4">
        <v>0</v>
      </c>
      <c r="D2854" s="4">
        <v>152.11000000000001</v>
      </c>
      <c r="E2854">
        <v>15</v>
      </c>
      <c r="F2854">
        <v>14</v>
      </c>
    </row>
    <row r="2855" spans="1:6" x14ac:dyDescent="0.25">
      <c r="A2855" t="s">
        <v>2981</v>
      </c>
      <c r="B2855" s="4">
        <v>152.05000000000001</v>
      </c>
      <c r="C2855" s="4">
        <v>0</v>
      </c>
      <c r="D2855" s="4">
        <v>152.05000000000001</v>
      </c>
      <c r="E2855">
        <v>36</v>
      </c>
      <c r="F2855">
        <v>36</v>
      </c>
    </row>
    <row r="2856" spans="1:6" x14ac:dyDescent="0.25">
      <c r="A2856" t="s">
        <v>2982</v>
      </c>
      <c r="B2856" s="4">
        <v>151.19</v>
      </c>
      <c r="C2856" s="4">
        <v>0</v>
      </c>
      <c r="D2856" s="4">
        <v>151.19</v>
      </c>
      <c r="E2856">
        <v>83</v>
      </c>
      <c r="F2856">
        <v>82</v>
      </c>
    </row>
    <row r="2857" spans="1:6" x14ac:dyDescent="0.25">
      <c r="A2857" t="s">
        <v>2983</v>
      </c>
      <c r="B2857" s="4">
        <v>151.05000000000001</v>
      </c>
      <c r="C2857" s="4">
        <v>0</v>
      </c>
      <c r="D2857" s="4">
        <v>151.05000000000001</v>
      </c>
      <c r="E2857">
        <v>13</v>
      </c>
      <c r="F2857">
        <v>13</v>
      </c>
    </row>
    <row r="2858" spans="1:6" x14ac:dyDescent="0.25">
      <c r="A2858" t="s">
        <v>2984</v>
      </c>
      <c r="B2858" s="4">
        <v>151.05000000000001</v>
      </c>
      <c r="C2858" s="4">
        <v>0</v>
      </c>
      <c r="D2858" s="4">
        <v>151.05000000000001</v>
      </c>
      <c r="E2858">
        <v>8</v>
      </c>
      <c r="F2858">
        <v>8</v>
      </c>
    </row>
    <row r="2859" spans="1:6" x14ac:dyDescent="0.25">
      <c r="A2859" t="s">
        <v>2985</v>
      </c>
      <c r="B2859" s="4">
        <v>150.81</v>
      </c>
      <c r="C2859" s="4">
        <v>0</v>
      </c>
      <c r="D2859" s="4">
        <v>150.81</v>
      </c>
      <c r="E2859">
        <v>22</v>
      </c>
      <c r="F2859">
        <v>21</v>
      </c>
    </row>
    <row r="2860" spans="1:6" x14ac:dyDescent="0.25">
      <c r="A2860" t="s">
        <v>2986</v>
      </c>
      <c r="B2860" s="4">
        <v>150.55000000000001</v>
      </c>
      <c r="C2860" s="4">
        <v>0</v>
      </c>
      <c r="D2860" s="4">
        <v>150.55000000000001</v>
      </c>
      <c r="E2860">
        <v>11</v>
      </c>
      <c r="F2860">
        <v>11</v>
      </c>
    </row>
    <row r="2861" spans="1:6" x14ac:dyDescent="0.25">
      <c r="A2861" t="s">
        <v>2987</v>
      </c>
      <c r="B2861" s="4">
        <v>150.47999999999999</v>
      </c>
      <c r="C2861" s="4">
        <v>0</v>
      </c>
      <c r="D2861" s="4">
        <v>150.47999999999999</v>
      </c>
      <c r="E2861">
        <v>25</v>
      </c>
      <c r="F2861">
        <v>21</v>
      </c>
    </row>
    <row r="2862" spans="1:6" x14ac:dyDescent="0.25">
      <c r="A2862" t="s">
        <v>2988</v>
      </c>
      <c r="B2862" s="4">
        <v>150.38</v>
      </c>
      <c r="C2862" s="4">
        <v>15.6</v>
      </c>
      <c r="D2862" s="4">
        <v>134.78</v>
      </c>
      <c r="E2862">
        <v>19</v>
      </c>
      <c r="F2862">
        <v>19</v>
      </c>
    </row>
    <row r="2863" spans="1:6" x14ac:dyDescent="0.25">
      <c r="A2863" t="s">
        <v>2989</v>
      </c>
      <c r="B2863" s="4">
        <v>150</v>
      </c>
      <c r="C2863" s="4">
        <v>4.95</v>
      </c>
      <c r="D2863" s="4">
        <v>145.05000000000001</v>
      </c>
      <c r="E2863">
        <v>10</v>
      </c>
      <c r="F2863">
        <v>10</v>
      </c>
    </row>
    <row r="2864" spans="1:6" x14ac:dyDescent="0.25">
      <c r="A2864" t="s">
        <v>2990</v>
      </c>
      <c r="B2864" s="4">
        <v>149.85</v>
      </c>
      <c r="C2864" s="4">
        <v>0</v>
      </c>
      <c r="D2864" s="4">
        <v>149.85</v>
      </c>
      <c r="E2864">
        <v>1</v>
      </c>
      <c r="F2864">
        <v>1</v>
      </c>
    </row>
    <row r="2865" spans="1:6" x14ac:dyDescent="0.25">
      <c r="A2865" t="s">
        <v>2991</v>
      </c>
      <c r="B2865" s="4">
        <v>149.41</v>
      </c>
      <c r="C2865" s="4">
        <v>0</v>
      </c>
      <c r="D2865" s="4">
        <v>149.41</v>
      </c>
      <c r="E2865">
        <v>31</v>
      </c>
      <c r="F2865">
        <v>31</v>
      </c>
    </row>
    <row r="2866" spans="1:6" x14ac:dyDescent="0.25">
      <c r="A2866" t="s">
        <v>2992</v>
      </c>
      <c r="B2866" s="4">
        <v>149.35</v>
      </c>
      <c r="C2866" s="4">
        <v>0</v>
      </c>
      <c r="D2866" s="4">
        <v>149.35</v>
      </c>
      <c r="E2866">
        <v>38</v>
      </c>
      <c r="F2866">
        <v>38</v>
      </c>
    </row>
    <row r="2867" spans="1:6" x14ac:dyDescent="0.25">
      <c r="A2867" t="s">
        <v>2993</v>
      </c>
      <c r="B2867" s="4">
        <v>149.25</v>
      </c>
      <c r="C2867" s="4">
        <v>0</v>
      </c>
      <c r="D2867" s="4">
        <v>149.25</v>
      </c>
      <c r="E2867">
        <v>17</v>
      </c>
      <c r="F2867">
        <v>14</v>
      </c>
    </row>
    <row r="2868" spans="1:6" x14ac:dyDescent="0.25">
      <c r="A2868" t="s">
        <v>2994</v>
      </c>
      <c r="B2868" s="4">
        <v>149.09</v>
      </c>
      <c r="C2868" s="4">
        <v>0</v>
      </c>
      <c r="D2868" s="4">
        <v>149.09</v>
      </c>
      <c r="E2868">
        <v>25</v>
      </c>
      <c r="F2868">
        <v>25</v>
      </c>
    </row>
    <row r="2869" spans="1:6" x14ac:dyDescent="0.25">
      <c r="A2869" t="s">
        <v>2995</v>
      </c>
      <c r="B2869" s="4">
        <v>148.63</v>
      </c>
      <c r="C2869" s="4">
        <v>0</v>
      </c>
      <c r="D2869" s="4">
        <v>148.63</v>
      </c>
      <c r="E2869">
        <v>11</v>
      </c>
      <c r="F2869">
        <v>11</v>
      </c>
    </row>
    <row r="2870" spans="1:6" x14ac:dyDescent="0.25">
      <c r="A2870" t="s">
        <v>2996</v>
      </c>
      <c r="B2870" s="4">
        <v>148.32</v>
      </c>
      <c r="C2870" s="4">
        <v>0</v>
      </c>
      <c r="D2870" s="4">
        <v>148.32</v>
      </c>
      <c r="E2870">
        <v>17</v>
      </c>
      <c r="F2870">
        <v>17</v>
      </c>
    </row>
    <row r="2871" spans="1:6" x14ac:dyDescent="0.25">
      <c r="A2871" t="s">
        <v>2997</v>
      </c>
      <c r="B2871" s="4">
        <v>147.88</v>
      </c>
      <c r="C2871" s="4">
        <v>0</v>
      </c>
      <c r="D2871" s="4">
        <v>147.88</v>
      </c>
      <c r="E2871">
        <v>11</v>
      </c>
      <c r="F2871">
        <v>11</v>
      </c>
    </row>
    <row r="2872" spans="1:6" x14ac:dyDescent="0.25">
      <c r="A2872" t="s">
        <v>2998</v>
      </c>
      <c r="B2872" s="4">
        <v>146.91</v>
      </c>
      <c r="C2872" s="4">
        <v>0</v>
      </c>
      <c r="D2872" s="4">
        <v>146.91</v>
      </c>
      <c r="E2872">
        <v>35</v>
      </c>
      <c r="F2872">
        <v>32</v>
      </c>
    </row>
    <row r="2873" spans="1:6" x14ac:dyDescent="0.25">
      <c r="A2873" t="s">
        <v>2999</v>
      </c>
      <c r="B2873" s="4">
        <v>146.85</v>
      </c>
      <c r="C2873" s="4">
        <v>0</v>
      </c>
      <c r="D2873" s="4">
        <v>146.85</v>
      </c>
      <c r="E2873">
        <v>21</v>
      </c>
      <c r="F2873">
        <v>21</v>
      </c>
    </row>
    <row r="2874" spans="1:6" x14ac:dyDescent="0.25">
      <c r="A2874" t="s">
        <v>3000</v>
      </c>
      <c r="B2874" s="4">
        <v>146.6</v>
      </c>
      <c r="C2874" s="4">
        <v>0</v>
      </c>
      <c r="D2874" s="4">
        <v>146.6</v>
      </c>
      <c r="E2874">
        <v>21</v>
      </c>
      <c r="F2874">
        <v>20</v>
      </c>
    </row>
    <row r="2875" spans="1:6" x14ac:dyDescent="0.25">
      <c r="A2875" t="s">
        <v>3001</v>
      </c>
      <c r="B2875" s="4">
        <v>146.43</v>
      </c>
      <c r="C2875" s="4">
        <v>0</v>
      </c>
      <c r="D2875" s="4">
        <v>146.43</v>
      </c>
      <c r="E2875">
        <v>25</v>
      </c>
      <c r="F2875">
        <v>25</v>
      </c>
    </row>
    <row r="2876" spans="1:6" x14ac:dyDescent="0.25">
      <c r="A2876" t="s">
        <v>3002</v>
      </c>
      <c r="B2876" s="4">
        <v>146.08000000000001</v>
      </c>
      <c r="C2876" s="4">
        <v>3.75</v>
      </c>
      <c r="D2876" s="4">
        <v>142.33000000000001</v>
      </c>
      <c r="E2876">
        <v>25</v>
      </c>
      <c r="F2876">
        <v>25</v>
      </c>
    </row>
    <row r="2877" spans="1:6" x14ac:dyDescent="0.25">
      <c r="A2877" t="s">
        <v>3003</v>
      </c>
      <c r="B2877" s="4">
        <v>146.05000000000001</v>
      </c>
      <c r="C2877" s="4">
        <v>0</v>
      </c>
      <c r="D2877" s="4">
        <v>146.05000000000001</v>
      </c>
      <c r="E2877">
        <v>28</v>
      </c>
      <c r="F2877">
        <v>28</v>
      </c>
    </row>
    <row r="2878" spans="1:6" x14ac:dyDescent="0.25">
      <c r="A2878" t="s">
        <v>3004</v>
      </c>
      <c r="B2878" s="4">
        <v>145.52000000000001</v>
      </c>
      <c r="C2878" s="4">
        <v>0</v>
      </c>
      <c r="D2878" s="4">
        <v>145.52000000000001</v>
      </c>
      <c r="E2878">
        <v>45</v>
      </c>
      <c r="F2878">
        <v>45</v>
      </c>
    </row>
    <row r="2879" spans="1:6" x14ac:dyDescent="0.25">
      <c r="A2879" t="s">
        <v>3005</v>
      </c>
      <c r="B2879" s="4">
        <v>145.5</v>
      </c>
      <c r="C2879" s="4">
        <v>0</v>
      </c>
      <c r="D2879" s="4">
        <v>145.5</v>
      </c>
      <c r="E2879">
        <v>26</v>
      </c>
      <c r="F2879">
        <v>26</v>
      </c>
    </row>
    <row r="2880" spans="1:6" x14ac:dyDescent="0.25">
      <c r="A2880" t="s">
        <v>3006</v>
      </c>
      <c r="B2880" s="4">
        <v>145.35</v>
      </c>
      <c r="C2880" s="4">
        <v>15.3</v>
      </c>
      <c r="D2880" s="4">
        <v>130.05000000000001</v>
      </c>
      <c r="E2880">
        <v>31</v>
      </c>
      <c r="F2880">
        <v>30</v>
      </c>
    </row>
    <row r="2881" spans="1:6" x14ac:dyDescent="0.25">
      <c r="A2881" t="s">
        <v>3007</v>
      </c>
      <c r="B2881" s="4">
        <v>145.16999999999999</v>
      </c>
      <c r="C2881" s="4">
        <v>0</v>
      </c>
      <c r="D2881" s="4">
        <v>145.16999999999999</v>
      </c>
      <c r="E2881">
        <v>14</v>
      </c>
      <c r="F2881">
        <v>14</v>
      </c>
    </row>
    <row r="2882" spans="1:6" x14ac:dyDescent="0.25">
      <c r="A2882" t="s">
        <v>3008</v>
      </c>
      <c r="B2882" s="4">
        <v>144.52000000000001</v>
      </c>
      <c r="C2882" s="4">
        <v>16.25</v>
      </c>
      <c r="D2882" s="4">
        <v>128.27000000000001</v>
      </c>
      <c r="E2882">
        <v>10</v>
      </c>
      <c r="F2882">
        <v>10</v>
      </c>
    </row>
    <row r="2883" spans="1:6" x14ac:dyDescent="0.25">
      <c r="A2883" t="s">
        <v>3009</v>
      </c>
      <c r="B2883" s="4">
        <v>144.43</v>
      </c>
      <c r="C2883" s="4">
        <v>0</v>
      </c>
      <c r="D2883" s="4">
        <v>144.43</v>
      </c>
      <c r="E2883">
        <v>13</v>
      </c>
      <c r="F2883">
        <v>13</v>
      </c>
    </row>
    <row r="2884" spans="1:6" x14ac:dyDescent="0.25">
      <c r="A2884" t="s">
        <v>3010</v>
      </c>
      <c r="B2884" s="4">
        <v>144.29</v>
      </c>
      <c r="C2884" s="4">
        <v>0</v>
      </c>
      <c r="D2884" s="4">
        <v>144.29</v>
      </c>
      <c r="E2884">
        <v>36</v>
      </c>
      <c r="F2884">
        <v>33</v>
      </c>
    </row>
    <row r="2885" spans="1:6" x14ac:dyDescent="0.25">
      <c r="A2885" t="s">
        <v>3011</v>
      </c>
      <c r="B2885" s="4">
        <v>144.03</v>
      </c>
      <c r="C2885" s="4">
        <v>0</v>
      </c>
      <c r="D2885" s="4">
        <v>144.03</v>
      </c>
      <c r="E2885">
        <v>34</v>
      </c>
      <c r="F2885">
        <v>33</v>
      </c>
    </row>
    <row r="2886" spans="1:6" x14ac:dyDescent="0.25">
      <c r="A2886" t="s">
        <v>3012</v>
      </c>
      <c r="B2886" s="4">
        <v>143.75</v>
      </c>
      <c r="C2886" s="4">
        <v>0</v>
      </c>
      <c r="D2886" s="4">
        <v>143.75</v>
      </c>
      <c r="E2886">
        <v>28</v>
      </c>
      <c r="F2886">
        <v>25</v>
      </c>
    </row>
    <row r="2887" spans="1:6" x14ac:dyDescent="0.25">
      <c r="A2887" t="s">
        <v>3013</v>
      </c>
      <c r="B2887" s="4">
        <v>143.44</v>
      </c>
      <c r="C2887" s="4">
        <v>0</v>
      </c>
      <c r="D2887" s="4">
        <v>143.44</v>
      </c>
      <c r="E2887">
        <v>25</v>
      </c>
      <c r="F2887">
        <v>25</v>
      </c>
    </row>
    <row r="2888" spans="1:6" x14ac:dyDescent="0.25">
      <c r="A2888" t="s">
        <v>3014</v>
      </c>
      <c r="B2888" s="4">
        <v>142.47</v>
      </c>
      <c r="C2888" s="4">
        <v>0</v>
      </c>
      <c r="D2888" s="4">
        <v>142.47</v>
      </c>
      <c r="E2888">
        <v>15</v>
      </c>
      <c r="F2888">
        <v>15</v>
      </c>
    </row>
    <row r="2889" spans="1:6" x14ac:dyDescent="0.25">
      <c r="A2889" t="s">
        <v>3015</v>
      </c>
      <c r="B2889" s="4">
        <v>141.94999999999999</v>
      </c>
      <c r="C2889" s="4">
        <v>0</v>
      </c>
      <c r="D2889" s="4">
        <v>141.94999999999999</v>
      </c>
      <c r="E2889">
        <v>22</v>
      </c>
      <c r="F2889">
        <v>22</v>
      </c>
    </row>
    <row r="2890" spans="1:6" x14ac:dyDescent="0.25">
      <c r="A2890" t="s">
        <v>3016</v>
      </c>
      <c r="B2890" s="4">
        <v>141.24</v>
      </c>
      <c r="C2890" s="4">
        <v>0</v>
      </c>
      <c r="D2890" s="4">
        <v>141.24</v>
      </c>
      <c r="E2890">
        <v>45</v>
      </c>
      <c r="F2890">
        <v>44</v>
      </c>
    </row>
    <row r="2891" spans="1:6" x14ac:dyDescent="0.25">
      <c r="A2891" t="s">
        <v>3017</v>
      </c>
      <c r="B2891" s="4">
        <v>141.15</v>
      </c>
      <c r="C2891" s="4">
        <v>0</v>
      </c>
      <c r="D2891" s="4">
        <v>141.15</v>
      </c>
      <c r="E2891">
        <v>33</v>
      </c>
      <c r="F2891">
        <v>33</v>
      </c>
    </row>
    <row r="2892" spans="1:6" x14ac:dyDescent="0.25">
      <c r="A2892" t="s">
        <v>3018</v>
      </c>
      <c r="B2892" s="4">
        <v>141.11000000000001</v>
      </c>
      <c r="C2892" s="4">
        <v>0</v>
      </c>
      <c r="D2892" s="4">
        <v>141.11000000000001</v>
      </c>
      <c r="E2892">
        <v>12</v>
      </c>
      <c r="F2892">
        <v>12</v>
      </c>
    </row>
    <row r="2893" spans="1:6" x14ac:dyDescent="0.25">
      <c r="A2893" t="s">
        <v>3019</v>
      </c>
      <c r="B2893" s="4">
        <v>141.1</v>
      </c>
      <c r="C2893" s="4">
        <v>9.9600000000000009</v>
      </c>
      <c r="D2893" s="4">
        <v>131.13999999999999</v>
      </c>
      <c r="E2893">
        <v>17</v>
      </c>
      <c r="F2893">
        <v>17</v>
      </c>
    </row>
    <row r="2894" spans="1:6" x14ac:dyDescent="0.25">
      <c r="A2894" t="s">
        <v>3020</v>
      </c>
      <c r="B2894" s="4">
        <v>140.97999999999999</v>
      </c>
      <c r="C2894" s="4">
        <v>0</v>
      </c>
      <c r="D2894" s="4">
        <v>140.97999999999999</v>
      </c>
      <c r="E2894">
        <v>15</v>
      </c>
      <c r="F2894">
        <v>15</v>
      </c>
    </row>
    <row r="2895" spans="1:6" x14ac:dyDescent="0.25">
      <c r="A2895" t="s">
        <v>3021</v>
      </c>
      <c r="B2895" s="4">
        <v>140.52000000000001</v>
      </c>
      <c r="C2895" s="4">
        <v>12.96</v>
      </c>
      <c r="D2895" s="4">
        <v>127.56</v>
      </c>
      <c r="E2895">
        <v>33</v>
      </c>
      <c r="F2895">
        <v>33</v>
      </c>
    </row>
    <row r="2896" spans="1:6" x14ac:dyDescent="0.25">
      <c r="A2896" t="s">
        <v>3022</v>
      </c>
      <c r="B2896" s="4">
        <v>140.33000000000001</v>
      </c>
      <c r="C2896" s="4">
        <v>19.8</v>
      </c>
      <c r="D2896" s="4">
        <v>120.53</v>
      </c>
      <c r="E2896">
        <v>37</v>
      </c>
      <c r="F2896">
        <v>37</v>
      </c>
    </row>
    <row r="2897" spans="1:6" x14ac:dyDescent="0.25">
      <c r="A2897" t="s">
        <v>3023</v>
      </c>
      <c r="B2897" s="4">
        <v>140.02000000000001</v>
      </c>
      <c r="C2897" s="4">
        <v>0</v>
      </c>
      <c r="D2897" s="4">
        <v>140.02000000000001</v>
      </c>
      <c r="E2897">
        <v>20</v>
      </c>
      <c r="F2897">
        <v>20</v>
      </c>
    </row>
    <row r="2898" spans="1:6" x14ac:dyDescent="0.25">
      <c r="A2898" t="s">
        <v>3024</v>
      </c>
      <c r="B2898" s="4">
        <v>139.86000000000001</v>
      </c>
      <c r="C2898" s="4">
        <v>0</v>
      </c>
      <c r="D2898" s="4">
        <v>139.86000000000001</v>
      </c>
      <c r="E2898">
        <v>3</v>
      </c>
      <c r="F2898">
        <v>3</v>
      </c>
    </row>
    <row r="2899" spans="1:6" x14ac:dyDescent="0.25">
      <c r="A2899" t="s">
        <v>3025</v>
      </c>
      <c r="B2899" s="4">
        <v>139.4</v>
      </c>
      <c r="C2899" s="4">
        <v>0</v>
      </c>
      <c r="D2899" s="4">
        <v>139.4</v>
      </c>
      <c r="E2899">
        <v>8</v>
      </c>
      <c r="F2899">
        <v>8</v>
      </c>
    </row>
    <row r="2900" spans="1:6" x14ac:dyDescent="0.25">
      <c r="A2900" t="s">
        <v>3026</v>
      </c>
      <c r="B2900" s="4">
        <v>138.81</v>
      </c>
      <c r="C2900" s="4">
        <v>0</v>
      </c>
      <c r="D2900" s="4">
        <v>138.81</v>
      </c>
      <c r="E2900">
        <v>20</v>
      </c>
      <c r="F2900">
        <v>20</v>
      </c>
    </row>
    <row r="2901" spans="1:6" x14ac:dyDescent="0.25">
      <c r="A2901" t="s">
        <v>3027</v>
      </c>
      <c r="B2901" s="4">
        <v>138.76</v>
      </c>
      <c r="C2901" s="4">
        <v>0</v>
      </c>
      <c r="D2901" s="4">
        <v>138.76</v>
      </c>
      <c r="E2901">
        <v>12</v>
      </c>
      <c r="F2901">
        <v>12</v>
      </c>
    </row>
    <row r="2902" spans="1:6" x14ac:dyDescent="0.25">
      <c r="A2902" t="s">
        <v>3028</v>
      </c>
      <c r="B2902" s="4">
        <v>138.6</v>
      </c>
      <c r="C2902" s="4">
        <v>0</v>
      </c>
      <c r="D2902" s="4">
        <v>138.6</v>
      </c>
      <c r="E2902">
        <v>10</v>
      </c>
      <c r="F2902">
        <v>10</v>
      </c>
    </row>
    <row r="2903" spans="1:6" x14ac:dyDescent="0.25">
      <c r="A2903" t="s">
        <v>3029</v>
      </c>
      <c r="B2903" s="4">
        <v>138.44999999999999</v>
      </c>
      <c r="C2903" s="4">
        <v>0</v>
      </c>
      <c r="D2903" s="4">
        <v>138.44999999999999</v>
      </c>
      <c r="E2903">
        <v>9</v>
      </c>
      <c r="F2903">
        <v>9</v>
      </c>
    </row>
    <row r="2904" spans="1:6" x14ac:dyDescent="0.25">
      <c r="A2904" t="s">
        <v>3030</v>
      </c>
      <c r="B2904" s="4">
        <v>138.30000000000001</v>
      </c>
      <c r="C2904" s="4">
        <v>10.199999999999999</v>
      </c>
      <c r="D2904" s="4">
        <v>128.1</v>
      </c>
      <c r="E2904">
        <v>30</v>
      </c>
      <c r="F2904">
        <v>30</v>
      </c>
    </row>
    <row r="2905" spans="1:6" x14ac:dyDescent="0.25">
      <c r="A2905" t="s">
        <v>3031</v>
      </c>
      <c r="B2905" s="4">
        <v>138.11000000000001</v>
      </c>
      <c r="C2905" s="4">
        <v>1.95</v>
      </c>
      <c r="D2905" s="4">
        <v>136.16</v>
      </c>
      <c r="E2905">
        <v>19</v>
      </c>
      <c r="F2905">
        <v>19</v>
      </c>
    </row>
    <row r="2906" spans="1:6" x14ac:dyDescent="0.25">
      <c r="A2906" t="s">
        <v>3032</v>
      </c>
      <c r="B2906" s="4">
        <v>137.69999999999999</v>
      </c>
      <c r="C2906" s="4">
        <v>0</v>
      </c>
      <c r="D2906" s="4">
        <v>137.69999999999999</v>
      </c>
      <c r="E2906">
        <v>45</v>
      </c>
      <c r="F2906">
        <v>42</v>
      </c>
    </row>
    <row r="2907" spans="1:6" x14ac:dyDescent="0.25">
      <c r="A2907" t="s">
        <v>3033</v>
      </c>
      <c r="B2907" s="4">
        <v>137.63</v>
      </c>
      <c r="C2907" s="4">
        <v>0</v>
      </c>
      <c r="D2907" s="4">
        <v>137.63</v>
      </c>
      <c r="E2907">
        <v>14</v>
      </c>
      <c r="F2907">
        <v>14</v>
      </c>
    </row>
    <row r="2908" spans="1:6" x14ac:dyDescent="0.25">
      <c r="A2908" t="s">
        <v>3034</v>
      </c>
      <c r="B2908" s="4">
        <v>137.22</v>
      </c>
      <c r="C2908" s="4">
        <v>1.17</v>
      </c>
      <c r="D2908" s="4">
        <v>136.05000000000001</v>
      </c>
      <c r="E2908">
        <v>6</v>
      </c>
      <c r="F2908">
        <v>5</v>
      </c>
    </row>
    <row r="2909" spans="1:6" x14ac:dyDescent="0.25">
      <c r="A2909" t="s">
        <v>3035</v>
      </c>
      <c r="B2909" s="4">
        <v>136.25</v>
      </c>
      <c r="C2909" s="4">
        <v>0</v>
      </c>
      <c r="D2909" s="4">
        <v>136.25</v>
      </c>
      <c r="E2909">
        <v>6</v>
      </c>
      <c r="F2909">
        <v>6</v>
      </c>
    </row>
    <row r="2910" spans="1:6" x14ac:dyDescent="0.25">
      <c r="A2910" t="s">
        <v>3036</v>
      </c>
      <c r="B2910" s="4">
        <v>134.91999999999999</v>
      </c>
      <c r="C2910" s="4">
        <v>0</v>
      </c>
      <c r="D2910" s="4">
        <v>134.91999999999999</v>
      </c>
      <c r="E2910">
        <v>16</v>
      </c>
      <c r="F2910">
        <v>16</v>
      </c>
    </row>
    <row r="2911" spans="1:6" x14ac:dyDescent="0.25">
      <c r="A2911" t="s">
        <v>3037</v>
      </c>
      <c r="B2911" s="4">
        <v>134.69999999999999</v>
      </c>
      <c r="C2911" s="4">
        <v>0</v>
      </c>
      <c r="D2911" s="4">
        <v>134.69999999999999</v>
      </c>
      <c r="E2911">
        <v>18</v>
      </c>
      <c r="F2911">
        <v>18</v>
      </c>
    </row>
    <row r="2912" spans="1:6" x14ac:dyDescent="0.25">
      <c r="A2912" t="s">
        <v>3038</v>
      </c>
      <c r="B2912" s="4">
        <v>134.53</v>
      </c>
      <c r="C2912" s="4">
        <v>0</v>
      </c>
      <c r="D2912" s="4">
        <v>134.53</v>
      </c>
      <c r="E2912">
        <v>31</v>
      </c>
      <c r="F2912">
        <v>31</v>
      </c>
    </row>
    <row r="2913" spans="1:6" x14ac:dyDescent="0.25">
      <c r="A2913" t="s">
        <v>3039</v>
      </c>
      <c r="B2913" s="4">
        <v>134.49</v>
      </c>
      <c r="C2913" s="4">
        <v>0</v>
      </c>
      <c r="D2913" s="4">
        <v>134.49</v>
      </c>
      <c r="E2913">
        <v>50</v>
      </c>
      <c r="F2913">
        <v>50</v>
      </c>
    </row>
    <row r="2914" spans="1:6" x14ac:dyDescent="0.25">
      <c r="A2914" t="s">
        <v>3040</v>
      </c>
      <c r="B2914" s="4">
        <v>134.16</v>
      </c>
      <c r="C2914" s="4">
        <v>0</v>
      </c>
      <c r="D2914" s="4">
        <v>134.16</v>
      </c>
      <c r="E2914">
        <v>14</v>
      </c>
      <c r="F2914">
        <v>14</v>
      </c>
    </row>
    <row r="2915" spans="1:6" x14ac:dyDescent="0.25">
      <c r="A2915" t="s">
        <v>3041</v>
      </c>
      <c r="B2915" s="4">
        <v>133.75</v>
      </c>
      <c r="C2915" s="4">
        <v>0</v>
      </c>
      <c r="D2915" s="4">
        <v>133.75</v>
      </c>
      <c r="E2915">
        <v>26</v>
      </c>
      <c r="F2915">
        <v>26</v>
      </c>
    </row>
    <row r="2916" spans="1:6" x14ac:dyDescent="0.25">
      <c r="A2916" t="s">
        <v>3042</v>
      </c>
      <c r="B2916" s="4">
        <v>133.34</v>
      </c>
      <c r="C2916" s="4">
        <v>0</v>
      </c>
      <c r="D2916" s="4">
        <v>133.34</v>
      </c>
      <c r="E2916">
        <v>28</v>
      </c>
      <c r="F2916">
        <v>27</v>
      </c>
    </row>
    <row r="2917" spans="1:6" x14ac:dyDescent="0.25">
      <c r="A2917" t="s">
        <v>3043</v>
      </c>
      <c r="B2917" s="4">
        <v>133.22999999999999</v>
      </c>
      <c r="C2917" s="4">
        <v>1.25</v>
      </c>
      <c r="D2917" s="4">
        <v>131.97999999999999</v>
      </c>
      <c r="E2917">
        <v>23</v>
      </c>
      <c r="F2917">
        <v>23</v>
      </c>
    </row>
    <row r="2918" spans="1:6" x14ac:dyDescent="0.25">
      <c r="A2918" t="s">
        <v>3044</v>
      </c>
      <c r="B2918" s="4">
        <v>132.72</v>
      </c>
      <c r="C2918" s="4">
        <v>0</v>
      </c>
      <c r="D2918" s="4">
        <v>132.72</v>
      </c>
      <c r="E2918">
        <v>9</v>
      </c>
      <c r="F2918">
        <v>8</v>
      </c>
    </row>
    <row r="2919" spans="1:6" x14ac:dyDescent="0.25">
      <c r="A2919" t="s">
        <v>3045</v>
      </c>
      <c r="B2919" s="4">
        <v>132.69999999999999</v>
      </c>
      <c r="C2919" s="4">
        <v>15.3</v>
      </c>
      <c r="D2919" s="4">
        <v>117.4</v>
      </c>
      <c r="E2919">
        <v>37</v>
      </c>
      <c r="F2919">
        <v>37</v>
      </c>
    </row>
    <row r="2920" spans="1:6" x14ac:dyDescent="0.25">
      <c r="A2920" t="s">
        <v>3046</v>
      </c>
      <c r="B2920" s="4">
        <v>132.5</v>
      </c>
      <c r="C2920" s="4">
        <v>0</v>
      </c>
      <c r="D2920" s="4">
        <v>132.5</v>
      </c>
      <c r="E2920">
        <v>8</v>
      </c>
      <c r="F2920">
        <v>8</v>
      </c>
    </row>
    <row r="2921" spans="1:6" x14ac:dyDescent="0.25">
      <c r="A2921" t="s">
        <v>3047</v>
      </c>
      <c r="B2921" s="4">
        <v>132.44</v>
      </c>
      <c r="C2921" s="4">
        <v>0</v>
      </c>
      <c r="D2921" s="4">
        <v>132.44</v>
      </c>
      <c r="E2921">
        <v>38</v>
      </c>
      <c r="F2921">
        <v>38</v>
      </c>
    </row>
    <row r="2922" spans="1:6" x14ac:dyDescent="0.25">
      <c r="A2922" t="s">
        <v>3048</v>
      </c>
      <c r="B2922" s="4">
        <v>132.05000000000001</v>
      </c>
      <c r="C2922" s="4">
        <v>0</v>
      </c>
      <c r="D2922" s="4">
        <v>132.05000000000001</v>
      </c>
      <c r="E2922">
        <v>8</v>
      </c>
      <c r="F2922">
        <v>8</v>
      </c>
    </row>
    <row r="2923" spans="1:6" x14ac:dyDescent="0.25">
      <c r="A2923" t="s">
        <v>3049</v>
      </c>
      <c r="B2923" s="4">
        <v>131.81</v>
      </c>
      <c r="C2923" s="4">
        <v>0</v>
      </c>
      <c r="D2923" s="4">
        <v>131.81</v>
      </c>
      <c r="E2923">
        <v>29</v>
      </c>
      <c r="F2923">
        <v>29</v>
      </c>
    </row>
    <row r="2924" spans="1:6" x14ac:dyDescent="0.25">
      <c r="A2924" t="s">
        <v>3050</v>
      </c>
      <c r="B2924" s="4">
        <v>131.03</v>
      </c>
      <c r="C2924" s="4">
        <v>25.5</v>
      </c>
      <c r="D2924" s="4">
        <v>105.53</v>
      </c>
      <c r="E2924">
        <v>13</v>
      </c>
      <c r="F2924">
        <v>13</v>
      </c>
    </row>
    <row r="2925" spans="1:6" x14ac:dyDescent="0.25">
      <c r="A2925" t="s">
        <v>3051</v>
      </c>
      <c r="B2925" s="4">
        <v>130.66999999999999</v>
      </c>
      <c r="C2925" s="4">
        <v>0</v>
      </c>
      <c r="D2925" s="4">
        <v>130.66999999999999</v>
      </c>
      <c r="E2925">
        <v>14</v>
      </c>
      <c r="F2925">
        <v>14</v>
      </c>
    </row>
    <row r="2926" spans="1:6" x14ac:dyDescent="0.25">
      <c r="A2926" t="s">
        <v>3052</v>
      </c>
      <c r="B2926" s="4">
        <v>130.51</v>
      </c>
      <c r="C2926" s="4">
        <v>0</v>
      </c>
      <c r="D2926" s="4">
        <v>130.51</v>
      </c>
      <c r="E2926">
        <v>10</v>
      </c>
      <c r="F2926">
        <v>10</v>
      </c>
    </row>
    <row r="2927" spans="1:6" x14ac:dyDescent="0.25">
      <c r="A2927" t="s">
        <v>3053</v>
      </c>
      <c r="B2927" s="4">
        <v>130.47999999999999</v>
      </c>
      <c r="C2927" s="4">
        <v>0</v>
      </c>
      <c r="D2927" s="4">
        <v>130.47999999999999</v>
      </c>
      <c r="E2927">
        <v>40</v>
      </c>
      <c r="F2927">
        <v>40</v>
      </c>
    </row>
    <row r="2928" spans="1:6" x14ac:dyDescent="0.25">
      <c r="A2928" t="s">
        <v>3054</v>
      </c>
      <c r="B2928" s="4">
        <v>130.27000000000001</v>
      </c>
      <c r="C2928" s="4">
        <v>0</v>
      </c>
      <c r="D2928" s="4">
        <v>130.27000000000001</v>
      </c>
      <c r="E2928">
        <v>17</v>
      </c>
      <c r="F2928">
        <v>17</v>
      </c>
    </row>
    <row r="2929" spans="1:6" x14ac:dyDescent="0.25">
      <c r="A2929" t="s">
        <v>3055</v>
      </c>
      <c r="B2929" s="4">
        <v>129.85</v>
      </c>
      <c r="C2929" s="4">
        <v>0</v>
      </c>
      <c r="D2929" s="4">
        <v>129.85</v>
      </c>
      <c r="E2929">
        <v>14</v>
      </c>
      <c r="F2929">
        <v>14</v>
      </c>
    </row>
    <row r="2930" spans="1:6" x14ac:dyDescent="0.25">
      <c r="A2930" t="s">
        <v>3056</v>
      </c>
      <c r="B2930" s="4">
        <v>129.63</v>
      </c>
      <c r="C2930" s="4">
        <v>0</v>
      </c>
      <c r="D2930" s="4">
        <v>129.63</v>
      </c>
      <c r="E2930">
        <v>14</v>
      </c>
      <c r="F2930">
        <v>14</v>
      </c>
    </row>
    <row r="2931" spans="1:6" x14ac:dyDescent="0.25">
      <c r="A2931" t="s">
        <v>3057</v>
      </c>
      <c r="B2931" s="4">
        <v>129.47999999999999</v>
      </c>
      <c r="C2931" s="4">
        <v>0</v>
      </c>
      <c r="D2931" s="4">
        <v>129.47999999999999</v>
      </c>
      <c r="E2931">
        <v>9</v>
      </c>
      <c r="F2931">
        <v>9</v>
      </c>
    </row>
    <row r="2932" spans="1:6" x14ac:dyDescent="0.25">
      <c r="A2932" t="s">
        <v>3058</v>
      </c>
      <c r="B2932" s="4">
        <v>129.47</v>
      </c>
      <c r="C2932" s="4">
        <v>0</v>
      </c>
      <c r="D2932" s="4">
        <v>129.47</v>
      </c>
      <c r="E2932">
        <v>19</v>
      </c>
      <c r="F2932">
        <v>19</v>
      </c>
    </row>
    <row r="2933" spans="1:6" x14ac:dyDescent="0.25">
      <c r="A2933" t="s">
        <v>3059</v>
      </c>
      <c r="B2933" s="4">
        <v>128.63</v>
      </c>
      <c r="C2933" s="4">
        <v>0</v>
      </c>
      <c r="D2933" s="4">
        <v>128.63</v>
      </c>
      <c r="E2933">
        <v>72</v>
      </c>
      <c r="F2933">
        <v>72</v>
      </c>
    </row>
    <row r="2934" spans="1:6" x14ac:dyDescent="0.25">
      <c r="A2934" t="s">
        <v>3060</v>
      </c>
      <c r="B2934" s="4">
        <v>128.4</v>
      </c>
      <c r="C2934" s="4">
        <v>0</v>
      </c>
      <c r="D2934" s="4">
        <v>128.4</v>
      </c>
      <c r="E2934">
        <v>8</v>
      </c>
      <c r="F2934">
        <v>8</v>
      </c>
    </row>
    <row r="2935" spans="1:6" x14ac:dyDescent="0.25">
      <c r="A2935" t="s">
        <v>3061</v>
      </c>
      <c r="B2935" s="4">
        <v>128.33000000000001</v>
      </c>
      <c r="C2935" s="4">
        <v>0</v>
      </c>
      <c r="D2935" s="4">
        <v>128.33000000000001</v>
      </c>
      <c r="E2935">
        <v>5</v>
      </c>
      <c r="F2935">
        <v>5</v>
      </c>
    </row>
    <row r="2936" spans="1:6" x14ac:dyDescent="0.25">
      <c r="A2936" t="s">
        <v>3062</v>
      </c>
      <c r="B2936" s="4">
        <v>128.13999999999999</v>
      </c>
      <c r="C2936" s="4">
        <v>0</v>
      </c>
      <c r="D2936" s="4">
        <v>128.13999999999999</v>
      </c>
      <c r="E2936">
        <v>14</v>
      </c>
      <c r="F2936">
        <v>13</v>
      </c>
    </row>
    <row r="2937" spans="1:6" x14ac:dyDescent="0.25">
      <c r="A2937" t="s">
        <v>3063</v>
      </c>
      <c r="B2937" s="4">
        <v>127.57</v>
      </c>
      <c r="C2937" s="4">
        <v>2.5</v>
      </c>
      <c r="D2937" s="4">
        <v>125.07</v>
      </c>
      <c r="E2937">
        <v>10</v>
      </c>
      <c r="F2937">
        <v>9</v>
      </c>
    </row>
    <row r="2938" spans="1:6" x14ac:dyDescent="0.25">
      <c r="A2938" t="s">
        <v>3064</v>
      </c>
      <c r="B2938" s="4">
        <v>127.24</v>
      </c>
      <c r="C2938" s="4">
        <v>0</v>
      </c>
      <c r="D2938" s="4">
        <v>127.24</v>
      </c>
      <c r="E2938">
        <v>9</v>
      </c>
      <c r="F2938">
        <v>9</v>
      </c>
    </row>
    <row r="2939" spans="1:6" x14ac:dyDescent="0.25">
      <c r="A2939" t="s">
        <v>3065</v>
      </c>
      <c r="B2939" s="4">
        <v>127.05</v>
      </c>
      <c r="C2939" s="4">
        <v>0</v>
      </c>
      <c r="D2939" s="4">
        <v>127.05</v>
      </c>
      <c r="E2939">
        <v>10</v>
      </c>
      <c r="F2939">
        <v>10</v>
      </c>
    </row>
    <row r="2940" spans="1:6" x14ac:dyDescent="0.25">
      <c r="A2940" t="s">
        <v>3066</v>
      </c>
      <c r="B2940" s="4">
        <v>126.98</v>
      </c>
      <c r="C2940" s="4">
        <v>0</v>
      </c>
      <c r="D2940" s="4">
        <v>126.98</v>
      </c>
      <c r="E2940">
        <v>47</v>
      </c>
      <c r="F2940">
        <v>47</v>
      </c>
    </row>
    <row r="2941" spans="1:6" x14ac:dyDescent="0.25">
      <c r="A2941" t="s">
        <v>3067</v>
      </c>
      <c r="B2941" s="4">
        <v>126.78</v>
      </c>
      <c r="C2941" s="4">
        <v>0</v>
      </c>
      <c r="D2941" s="4">
        <v>126.78</v>
      </c>
      <c r="E2941">
        <v>23</v>
      </c>
      <c r="F2941">
        <v>23</v>
      </c>
    </row>
    <row r="2942" spans="1:6" x14ac:dyDescent="0.25">
      <c r="A2942" t="s">
        <v>3068</v>
      </c>
      <c r="B2942" s="4">
        <v>126.75</v>
      </c>
      <c r="C2942" s="4">
        <v>0</v>
      </c>
      <c r="D2942" s="4">
        <v>126.75</v>
      </c>
      <c r="E2942">
        <v>6</v>
      </c>
      <c r="F2942">
        <v>6</v>
      </c>
    </row>
    <row r="2943" spans="1:6" x14ac:dyDescent="0.25">
      <c r="A2943" t="s">
        <v>3069</v>
      </c>
      <c r="B2943" s="4">
        <v>126.65</v>
      </c>
      <c r="C2943" s="4">
        <v>0</v>
      </c>
      <c r="D2943" s="4">
        <v>126.65</v>
      </c>
      <c r="E2943">
        <v>5</v>
      </c>
      <c r="F2943">
        <v>5</v>
      </c>
    </row>
    <row r="2944" spans="1:6" x14ac:dyDescent="0.25">
      <c r="A2944" t="s">
        <v>3070</v>
      </c>
      <c r="B2944" s="4">
        <v>126.64</v>
      </c>
      <c r="C2944" s="4">
        <v>12.7</v>
      </c>
      <c r="D2944" s="4">
        <v>113.94</v>
      </c>
      <c r="E2944">
        <v>13</v>
      </c>
      <c r="F2944">
        <v>10</v>
      </c>
    </row>
    <row r="2945" spans="1:6" x14ac:dyDescent="0.25">
      <c r="A2945" t="s">
        <v>3071</v>
      </c>
      <c r="B2945" s="4">
        <v>125.72</v>
      </c>
      <c r="C2945" s="4">
        <v>0</v>
      </c>
      <c r="D2945" s="4">
        <v>125.72</v>
      </c>
      <c r="E2945">
        <v>14</v>
      </c>
      <c r="F2945">
        <v>14</v>
      </c>
    </row>
    <row r="2946" spans="1:6" x14ac:dyDescent="0.25">
      <c r="A2946" t="s">
        <v>3072</v>
      </c>
      <c r="B2946" s="4">
        <v>125.33</v>
      </c>
      <c r="C2946" s="4">
        <v>0</v>
      </c>
      <c r="D2946" s="4">
        <v>125.33</v>
      </c>
      <c r="E2946">
        <v>3</v>
      </c>
      <c r="F2946">
        <v>3</v>
      </c>
    </row>
    <row r="2947" spans="1:6" x14ac:dyDescent="0.25">
      <c r="A2947" t="s">
        <v>3073</v>
      </c>
      <c r="B2947" s="4">
        <v>124.98</v>
      </c>
      <c r="C2947" s="4">
        <v>0</v>
      </c>
      <c r="D2947" s="4">
        <v>124.98</v>
      </c>
      <c r="E2947">
        <v>21</v>
      </c>
      <c r="F2947">
        <v>21</v>
      </c>
    </row>
    <row r="2948" spans="1:6" x14ac:dyDescent="0.25">
      <c r="A2948" t="s">
        <v>3074</v>
      </c>
      <c r="B2948" s="4">
        <v>124.09</v>
      </c>
      <c r="C2948" s="4">
        <v>0.42</v>
      </c>
      <c r="D2948" s="4">
        <v>123.67</v>
      </c>
      <c r="E2948">
        <v>27</v>
      </c>
      <c r="F2948">
        <v>27</v>
      </c>
    </row>
    <row r="2949" spans="1:6" x14ac:dyDescent="0.25">
      <c r="A2949" t="s">
        <v>3075</v>
      </c>
      <c r="B2949" s="4">
        <v>123.66</v>
      </c>
      <c r="C2949" s="4">
        <v>0</v>
      </c>
      <c r="D2949" s="4">
        <v>123.66</v>
      </c>
      <c r="E2949">
        <v>21</v>
      </c>
      <c r="F2949">
        <v>19</v>
      </c>
    </row>
    <row r="2950" spans="1:6" x14ac:dyDescent="0.25">
      <c r="A2950" t="s">
        <v>3076</v>
      </c>
      <c r="B2950" s="4">
        <v>123.47</v>
      </c>
      <c r="C2950" s="4">
        <v>0</v>
      </c>
      <c r="D2950" s="4">
        <v>123.47</v>
      </c>
      <c r="E2950">
        <v>13</v>
      </c>
      <c r="F2950">
        <v>13</v>
      </c>
    </row>
    <row r="2951" spans="1:6" x14ac:dyDescent="0.25">
      <c r="A2951" t="s">
        <v>3077</v>
      </c>
      <c r="B2951" s="4">
        <v>123.3</v>
      </c>
      <c r="C2951" s="4">
        <v>0</v>
      </c>
      <c r="D2951" s="4">
        <v>123.3</v>
      </c>
      <c r="E2951">
        <v>13</v>
      </c>
      <c r="F2951">
        <v>13</v>
      </c>
    </row>
    <row r="2952" spans="1:6" x14ac:dyDescent="0.25">
      <c r="A2952" t="s">
        <v>3078</v>
      </c>
      <c r="B2952" s="4">
        <v>123.12</v>
      </c>
      <c r="C2952" s="4">
        <v>13.68</v>
      </c>
      <c r="D2952" s="4">
        <v>109.44</v>
      </c>
      <c r="E2952">
        <v>7</v>
      </c>
      <c r="F2952">
        <v>7</v>
      </c>
    </row>
    <row r="2953" spans="1:6" x14ac:dyDescent="0.25">
      <c r="A2953" t="s">
        <v>3079</v>
      </c>
      <c r="B2953" s="4">
        <v>123.02</v>
      </c>
      <c r="C2953" s="4">
        <v>1.95</v>
      </c>
      <c r="D2953" s="4">
        <v>121.07</v>
      </c>
      <c r="E2953">
        <v>12</v>
      </c>
      <c r="F2953">
        <v>12</v>
      </c>
    </row>
    <row r="2954" spans="1:6" x14ac:dyDescent="0.25">
      <c r="A2954" t="s">
        <v>3080</v>
      </c>
      <c r="B2954" s="4">
        <v>122.84</v>
      </c>
      <c r="C2954" s="4">
        <v>0</v>
      </c>
      <c r="D2954" s="4">
        <v>122.84</v>
      </c>
      <c r="E2954">
        <v>10</v>
      </c>
      <c r="F2954">
        <v>10</v>
      </c>
    </row>
    <row r="2955" spans="1:6" x14ac:dyDescent="0.25">
      <c r="A2955" t="s">
        <v>3081</v>
      </c>
      <c r="B2955" s="4">
        <v>122.64</v>
      </c>
      <c r="C2955" s="4">
        <v>17.850000000000001</v>
      </c>
      <c r="D2955" s="4">
        <v>104.79</v>
      </c>
      <c r="E2955">
        <v>14</v>
      </c>
      <c r="F2955">
        <v>14</v>
      </c>
    </row>
    <row r="2956" spans="1:6" x14ac:dyDescent="0.25">
      <c r="A2956" t="s">
        <v>3082</v>
      </c>
      <c r="B2956" s="4">
        <v>122.08</v>
      </c>
      <c r="C2956" s="4">
        <v>0</v>
      </c>
      <c r="D2956" s="4">
        <v>122.08</v>
      </c>
      <c r="E2956">
        <v>50</v>
      </c>
      <c r="F2956">
        <v>50</v>
      </c>
    </row>
    <row r="2957" spans="1:6" x14ac:dyDescent="0.25">
      <c r="A2957" t="s">
        <v>3083</v>
      </c>
      <c r="B2957" s="4">
        <v>121.38</v>
      </c>
      <c r="C2957" s="4">
        <v>0</v>
      </c>
      <c r="D2957" s="4">
        <v>121.38</v>
      </c>
      <c r="E2957">
        <v>20</v>
      </c>
      <c r="F2957">
        <v>20</v>
      </c>
    </row>
    <row r="2958" spans="1:6" x14ac:dyDescent="0.25">
      <c r="A2958" t="s">
        <v>3084</v>
      </c>
      <c r="B2958" s="4">
        <v>120.99</v>
      </c>
      <c r="C2958" s="4">
        <v>0</v>
      </c>
      <c r="D2958" s="4">
        <v>120.99</v>
      </c>
      <c r="E2958">
        <v>17</v>
      </c>
      <c r="F2958">
        <v>17</v>
      </c>
    </row>
    <row r="2959" spans="1:6" x14ac:dyDescent="0.25">
      <c r="A2959" t="s">
        <v>3085</v>
      </c>
      <c r="B2959" s="4">
        <v>120.65</v>
      </c>
      <c r="C2959" s="4">
        <v>0</v>
      </c>
      <c r="D2959" s="4">
        <v>120.65</v>
      </c>
      <c r="E2959">
        <v>11</v>
      </c>
      <c r="F2959">
        <v>11</v>
      </c>
    </row>
    <row r="2960" spans="1:6" x14ac:dyDescent="0.25">
      <c r="A2960" t="s">
        <v>3086</v>
      </c>
      <c r="B2960" s="4">
        <v>120.34</v>
      </c>
      <c r="C2960" s="4">
        <v>0</v>
      </c>
      <c r="D2960" s="4">
        <v>120.34</v>
      </c>
      <c r="E2960">
        <v>17</v>
      </c>
      <c r="F2960">
        <v>17</v>
      </c>
    </row>
    <row r="2961" spans="1:6" x14ac:dyDescent="0.25">
      <c r="A2961" t="s">
        <v>3087</v>
      </c>
      <c r="B2961" s="4">
        <v>120.08</v>
      </c>
      <c r="C2961" s="4">
        <v>0</v>
      </c>
      <c r="D2961" s="4">
        <v>120.08</v>
      </c>
      <c r="E2961">
        <v>11</v>
      </c>
      <c r="F2961">
        <v>11</v>
      </c>
    </row>
    <row r="2962" spans="1:6" x14ac:dyDescent="0.25">
      <c r="A2962" t="s">
        <v>3088</v>
      </c>
      <c r="B2962" s="4">
        <v>120</v>
      </c>
      <c r="C2962" s="4">
        <v>0</v>
      </c>
      <c r="D2962" s="4">
        <v>120</v>
      </c>
      <c r="E2962">
        <v>17</v>
      </c>
      <c r="F2962">
        <v>16</v>
      </c>
    </row>
    <row r="2963" spans="1:6" x14ac:dyDescent="0.25">
      <c r="A2963" t="s">
        <v>3089</v>
      </c>
      <c r="B2963" s="4">
        <v>119.91</v>
      </c>
      <c r="C2963" s="4">
        <v>0</v>
      </c>
      <c r="D2963" s="4">
        <v>119.91</v>
      </c>
      <c r="E2963">
        <v>21</v>
      </c>
      <c r="F2963">
        <v>21</v>
      </c>
    </row>
    <row r="2964" spans="1:6" x14ac:dyDescent="0.25">
      <c r="A2964" t="s">
        <v>3090</v>
      </c>
      <c r="B2964" s="4">
        <v>119.89</v>
      </c>
      <c r="C2964" s="4">
        <v>0</v>
      </c>
      <c r="D2964" s="4">
        <v>119.89</v>
      </c>
      <c r="E2964">
        <v>11</v>
      </c>
      <c r="F2964">
        <v>11</v>
      </c>
    </row>
    <row r="2965" spans="1:6" x14ac:dyDescent="0.25">
      <c r="A2965" t="s">
        <v>3091</v>
      </c>
      <c r="B2965" s="4">
        <v>119.84</v>
      </c>
      <c r="C2965" s="4">
        <v>15</v>
      </c>
      <c r="D2965" s="4">
        <v>104.84</v>
      </c>
      <c r="E2965">
        <v>24</v>
      </c>
      <c r="F2965">
        <v>24</v>
      </c>
    </row>
    <row r="2966" spans="1:6" x14ac:dyDescent="0.25">
      <c r="A2966" t="s">
        <v>3092</v>
      </c>
      <c r="B2966" s="4">
        <v>119.65</v>
      </c>
      <c r="C2966" s="4">
        <v>0</v>
      </c>
      <c r="D2966" s="4">
        <v>119.65</v>
      </c>
      <c r="E2966">
        <v>20</v>
      </c>
      <c r="F2966">
        <v>19</v>
      </c>
    </row>
    <row r="2967" spans="1:6" x14ac:dyDescent="0.25">
      <c r="A2967" t="s">
        <v>3093</v>
      </c>
      <c r="B2967" s="4">
        <v>119.23</v>
      </c>
      <c r="C2967" s="4">
        <v>0</v>
      </c>
      <c r="D2967" s="4">
        <v>119.23</v>
      </c>
      <c r="E2967">
        <v>11</v>
      </c>
      <c r="F2967">
        <v>11</v>
      </c>
    </row>
    <row r="2968" spans="1:6" x14ac:dyDescent="0.25">
      <c r="A2968" t="s">
        <v>3094</v>
      </c>
      <c r="B2968" s="4">
        <v>119.09</v>
      </c>
      <c r="C2968" s="4">
        <v>0</v>
      </c>
      <c r="D2968" s="4">
        <v>119.09</v>
      </c>
      <c r="E2968">
        <v>22</v>
      </c>
      <c r="F2968">
        <v>22</v>
      </c>
    </row>
    <row r="2969" spans="1:6" x14ac:dyDescent="0.25">
      <c r="A2969" t="s">
        <v>3095</v>
      </c>
      <c r="B2969" s="4">
        <v>119.03</v>
      </c>
      <c r="C2969" s="4">
        <v>0</v>
      </c>
      <c r="D2969" s="4">
        <v>119.03</v>
      </c>
      <c r="E2969">
        <v>31</v>
      </c>
      <c r="F2969">
        <v>30</v>
      </c>
    </row>
    <row r="2970" spans="1:6" x14ac:dyDescent="0.25">
      <c r="A2970" t="s">
        <v>3096</v>
      </c>
      <c r="B2970" s="4">
        <v>119</v>
      </c>
      <c r="C2970" s="4">
        <v>0</v>
      </c>
      <c r="D2970" s="4">
        <v>119</v>
      </c>
      <c r="E2970">
        <v>11</v>
      </c>
      <c r="F2970">
        <v>11</v>
      </c>
    </row>
    <row r="2971" spans="1:6" x14ac:dyDescent="0.25">
      <c r="A2971" t="s">
        <v>3097</v>
      </c>
      <c r="B2971" s="4">
        <v>118.86</v>
      </c>
      <c r="C2971" s="4">
        <v>0</v>
      </c>
      <c r="D2971" s="4">
        <v>118.86</v>
      </c>
      <c r="E2971">
        <v>14</v>
      </c>
      <c r="F2971">
        <v>14</v>
      </c>
    </row>
    <row r="2972" spans="1:6" x14ac:dyDescent="0.25">
      <c r="A2972" t="s">
        <v>3098</v>
      </c>
      <c r="B2972" s="4">
        <v>118.73</v>
      </c>
      <c r="C2972" s="4">
        <v>0</v>
      </c>
      <c r="D2972" s="4">
        <v>118.73</v>
      </c>
      <c r="E2972">
        <v>14</v>
      </c>
      <c r="F2972">
        <v>14</v>
      </c>
    </row>
    <row r="2973" spans="1:6" x14ac:dyDescent="0.25">
      <c r="A2973" t="s">
        <v>3099</v>
      </c>
      <c r="B2973" s="4">
        <v>118.73</v>
      </c>
      <c r="C2973" s="4">
        <v>0</v>
      </c>
      <c r="D2973" s="4">
        <v>118.73</v>
      </c>
      <c r="E2973">
        <v>22</v>
      </c>
      <c r="F2973">
        <v>22</v>
      </c>
    </row>
    <row r="2974" spans="1:6" x14ac:dyDescent="0.25">
      <c r="A2974" t="s">
        <v>3100</v>
      </c>
      <c r="B2974" s="4">
        <v>117.73</v>
      </c>
      <c r="C2974" s="4">
        <v>0</v>
      </c>
      <c r="D2974" s="4">
        <v>117.73</v>
      </c>
      <c r="E2974">
        <v>9</v>
      </c>
      <c r="F2974">
        <v>9</v>
      </c>
    </row>
    <row r="2975" spans="1:6" x14ac:dyDescent="0.25">
      <c r="A2975" t="s">
        <v>3101</v>
      </c>
      <c r="B2975" s="4">
        <v>117.57</v>
      </c>
      <c r="C2975" s="4">
        <v>0</v>
      </c>
      <c r="D2975" s="4">
        <v>117.57</v>
      </c>
      <c r="E2975">
        <v>18</v>
      </c>
      <c r="F2975">
        <v>15</v>
      </c>
    </row>
    <row r="2976" spans="1:6" x14ac:dyDescent="0.25">
      <c r="A2976" t="s">
        <v>3102</v>
      </c>
      <c r="B2976" s="4">
        <v>117.24</v>
      </c>
      <c r="C2976" s="4">
        <v>17.7</v>
      </c>
      <c r="D2976" s="4">
        <v>99.54</v>
      </c>
      <c r="E2976">
        <v>23</v>
      </c>
      <c r="F2976">
        <v>23</v>
      </c>
    </row>
    <row r="2977" spans="1:6" x14ac:dyDescent="0.25">
      <c r="A2977" t="s">
        <v>3103</v>
      </c>
      <c r="B2977" s="4">
        <v>117</v>
      </c>
      <c r="C2977" s="4">
        <v>0</v>
      </c>
      <c r="D2977" s="4">
        <v>117</v>
      </c>
      <c r="E2977">
        <v>14</v>
      </c>
      <c r="F2977">
        <v>14</v>
      </c>
    </row>
    <row r="2978" spans="1:6" x14ac:dyDescent="0.25">
      <c r="A2978" t="s">
        <v>3104</v>
      </c>
      <c r="B2978" s="4">
        <v>116.82</v>
      </c>
      <c r="C2978" s="4">
        <v>0</v>
      </c>
      <c r="D2978" s="4">
        <v>116.82</v>
      </c>
      <c r="E2978">
        <v>22</v>
      </c>
      <c r="F2978">
        <v>21</v>
      </c>
    </row>
    <row r="2979" spans="1:6" x14ac:dyDescent="0.25">
      <c r="A2979" t="s">
        <v>3105</v>
      </c>
      <c r="B2979" s="4">
        <v>116.59</v>
      </c>
      <c r="C2979" s="4">
        <v>0.28999999999999998</v>
      </c>
      <c r="D2979" s="4">
        <v>116.3</v>
      </c>
      <c r="E2979">
        <v>32</v>
      </c>
      <c r="F2979">
        <v>30</v>
      </c>
    </row>
    <row r="2980" spans="1:6" x14ac:dyDescent="0.25">
      <c r="A2980" t="s">
        <v>3106</v>
      </c>
      <c r="B2980" s="4">
        <v>116.45</v>
      </c>
      <c r="C2980" s="4">
        <v>0</v>
      </c>
      <c r="D2980" s="4">
        <v>116.45</v>
      </c>
      <c r="E2980">
        <v>20</v>
      </c>
      <c r="F2980">
        <v>20</v>
      </c>
    </row>
    <row r="2981" spans="1:6" x14ac:dyDescent="0.25">
      <c r="A2981" t="s">
        <v>3107</v>
      </c>
      <c r="B2981" s="4">
        <v>116.33</v>
      </c>
      <c r="C2981" s="4">
        <v>0.57999999999999996</v>
      </c>
      <c r="D2981" s="4">
        <v>115.75</v>
      </c>
      <c r="E2981">
        <v>18</v>
      </c>
      <c r="F2981">
        <v>18</v>
      </c>
    </row>
    <row r="2982" spans="1:6" x14ac:dyDescent="0.25">
      <c r="A2982" t="s">
        <v>3108</v>
      </c>
      <c r="B2982" s="4">
        <v>116.06</v>
      </c>
      <c r="C2982" s="4">
        <v>0</v>
      </c>
      <c r="D2982" s="4">
        <v>116.06</v>
      </c>
      <c r="E2982">
        <v>11</v>
      </c>
      <c r="F2982">
        <v>11</v>
      </c>
    </row>
    <row r="2983" spans="1:6" x14ac:dyDescent="0.25">
      <c r="A2983" t="s">
        <v>3109</v>
      </c>
      <c r="B2983" s="4">
        <v>115.5</v>
      </c>
      <c r="C2983" s="4">
        <v>4.2</v>
      </c>
      <c r="D2983" s="4">
        <v>111.3</v>
      </c>
      <c r="E2983">
        <v>8</v>
      </c>
      <c r="F2983">
        <v>8</v>
      </c>
    </row>
    <row r="2984" spans="1:6" x14ac:dyDescent="0.25">
      <c r="A2984" t="s">
        <v>3110</v>
      </c>
      <c r="B2984" s="4">
        <v>115.3</v>
      </c>
      <c r="C2984" s="4">
        <v>0</v>
      </c>
      <c r="D2984" s="4">
        <v>115.3</v>
      </c>
      <c r="E2984">
        <v>13</v>
      </c>
      <c r="F2984">
        <v>13</v>
      </c>
    </row>
    <row r="2985" spans="1:6" x14ac:dyDescent="0.25">
      <c r="A2985" t="s">
        <v>3111</v>
      </c>
      <c r="B2985" s="4">
        <v>114.48</v>
      </c>
      <c r="C2985" s="4">
        <v>25.5</v>
      </c>
      <c r="D2985" s="4">
        <v>88.98</v>
      </c>
      <c r="E2985">
        <v>7</v>
      </c>
      <c r="F2985">
        <v>6</v>
      </c>
    </row>
    <row r="2986" spans="1:6" x14ac:dyDescent="0.25">
      <c r="A2986" t="s">
        <v>3112</v>
      </c>
      <c r="B2986" s="4">
        <v>113.97</v>
      </c>
      <c r="C2986" s="4">
        <v>0</v>
      </c>
      <c r="D2986" s="4">
        <v>113.97</v>
      </c>
      <c r="E2986">
        <v>31</v>
      </c>
      <c r="F2986">
        <v>31</v>
      </c>
    </row>
    <row r="2987" spans="1:6" x14ac:dyDescent="0.25">
      <c r="A2987" t="s">
        <v>3113</v>
      </c>
      <c r="B2987" s="4">
        <v>113.64</v>
      </c>
      <c r="C2987" s="4">
        <v>0</v>
      </c>
      <c r="D2987" s="4">
        <v>113.64</v>
      </c>
      <c r="E2987">
        <v>28</v>
      </c>
      <c r="F2987">
        <v>28</v>
      </c>
    </row>
    <row r="2988" spans="1:6" x14ac:dyDescent="0.25">
      <c r="A2988" t="s">
        <v>3114</v>
      </c>
      <c r="B2988" s="4">
        <v>113.41</v>
      </c>
      <c r="C2988" s="4">
        <v>0</v>
      </c>
      <c r="D2988" s="4">
        <v>113.41</v>
      </c>
      <c r="E2988">
        <v>28</v>
      </c>
      <c r="F2988">
        <v>26</v>
      </c>
    </row>
    <row r="2989" spans="1:6" x14ac:dyDescent="0.25">
      <c r="A2989" t="s">
        <v>3115</v>
      </c>
      <c r="B2989" s="4">
        <v>113.21</v>
      </c>
      <c r="C2989" s="4">
        <v>0</v>
      </c>
      <c r="D2989" s="4">
        <v>113.21</v>
      </c>
      <c r="E2989">
        <v>18</v>
      </c>
      <c r="F2989">
        <v>18</v>
      </c>
    </row>
    <row r="2990" spans="1:6" x14ac:dyDescent="0.25">
      <c r="A2990" t="s">
        <v>3116</v>
      </c>
      <c r="B2990" s="4">
        <v>113.05</v>
      </c>
      <c r="C2990" s="4">
        <v>12.6</v>
      </c>
      <c r="D2990" s="4">
        <v>100.45</v>
      </c>
      <c r="E2990">
        <v>11</v>
      </c>
      <c r="F2990">
        <v>11</v>
      </c>
    </row>
    <row r="2991" spans="1:6" x14ac:dyDescent="0.25">
      <c r="A2991" t="s">
        <v>3117</v>
      </c>
      <c r="B2991" s="4">
        <v>112.81</v>
      </c>
      <c r="C2991" s="4">
        <v>0</v>
      </c>
      <c r="D2991" s="4">
        <v>112.81</v>
      </c>
      <c r="E2991">
        <v>41</v>
      </c>
      <c r="F2991">
        <v>37</v>
      </c>
    </row>
    <row r="2992" spans="1:6" x14ac:dyDescent="0.25">
      <c r="A2992" t="s">
        <v>3118</v>
      </c>
      <c r="B2992" s="4">
        <v>112.48</v>
      </c>
      <c r="C2992" s="4">
        <v>0</v>
      </c>
      <c r="D2992" s="4">
        <v>112.48</v>
      </c>
      <c r="E2992">
        <v>15</v>
      </c>
      <c r="F2992">
        <v>14</v>
      </c>
    </row>
    <row r="2993" spans="1:6" x14ac:dyDescent="0.25">
      <c r="A2993" t="s">
        <v>3119</v>
      </c>
      <c r="B2993" s="4">
        <v>112.26</v>
      </c>
      <c r="C2993" s="4">
        <v>15</v>
      </c>
      <c r="D2993" s="4">
        <v>97.26</v>
      </c>
      <c r="E2993">
        <v>16</v>
      </c>
      <c r="F2993">
        <v>16</v>
      </c>
    </row>
    <row r="2994" spans="1:6" x14ac:dyDescent="0.25">
      <c r="A2994" t="s">
        <v>3120</v>
      </c>
      <c r="B2994" s="4">
        <v>112.21</v>
      </c>
      <c r="C2994" s="4">
        <v>0</v>
      </c>
      <c r="D2994" s="4">
        <v>112.21</v>
      </c>
      <c r="E2994">
        <v>26</v>
      </c>
      <c r="F2994">
        <v>26</v>
      </c>
    </row>
    <row r="2995" spans="1:6" x14ac:dyDescent="0.25">
      <c r="A2995" t="s">
        <v>3121</v>
      </c>
      <c r="B2995" s="4">
        <v>111.86</v>
      </c>
      <c r="C2995" s="4">
        <v>0</v>
      </c>
      <c r="D2995" s="4">
        <v>111.86</v>
      </c>
      <c r="E2995">
        <v>32</v>
      </c>
      <c r="F2995">
        <v>32</v>
      </c>
    </row>
    <row r="2996" spans="1:6" x14ac:dyDescent="0.25">
      <c r="A2996" t="s">
        <v>3122</v>
      </c>
      <c r="B2996" s="4">
        <v>111.66</v>
      </c>
      <c r="C2996" s="4">
        <v>0</v>
      </c>
      <c r="D2996" s="4">
        <v>111.66</v>
      </c>
      <c r="E2996">
        <v>56</v>
      </c>
      <c r="F2996">
        <v>56</v>
      </c>
    </row>
    <row r="2997" spans="1:6" x14ac:dyDescent="0.25">
      <c r="A2997" t="s">
        <v>3123</v>
      </c>
      <c r="B2997" s="4">
        <v>110.95</v>
      </c>
      <c r="C2997" s="4">
        <v>0</v>
      </c>
      <c r="D2997" s="4">
        <v>110.95</v>
      </c>
      <c r="E2997">
        <v>11</v>
      </c>
      <c r="F2997">
        <v>11</v>
      </c>
    </row>
    <row r="2998" spans="1:6" x14ac:dyDescent="0.25">
      <c r="A2998" t="s">
        <v>3124</v>
      </c>
      <c r="B2998" s="4">
        <v>110.09</v>
      </c>
      <c r="C2998" s="4">
        <v>68</v>
      </c>
      <c r="D2998" s="4">
        <v>42.09</v>
      </c>
      <c r="E2998">
        <v>10</v>
      </c>
      <c r="F2998">
        <v>10</v>
      </c>
    </row>
    <row r="2999" spans="1:6" x14ac:dyDescent="0.25">
      <c r="A2999" t="s">
        <v>3125</v>
      </c>
      <c r="B2999" s="4">
        <v>110.03</v>
      </c>
      <c r="C2999" s="4">
        <v>0</v>
      </c>
      <c r="D2999" s="4">
        <v>110.03</v>
      </c>
      <c r="E2999">
        <v>19</v>
      </c>
      <c r="F2999">
        <v>19</v>
      </c>
    </row>
    <row r="3000" spans="1:6" x14ac:dyDescent="0.25">
      <c r="A3000" t="s">
        <v>3126</v>
      </c>
      <c r="B3000" s="4">
        <v>109.96</v>
      </c>
      <c r="C3000" s="4">
        <v>0</v>
      </c>
      <c r="D3000" s="4">
        <v>109.96</v>
      </c>
      <c r="E3000">
        <v>16</v>
      </c>
      <c r="F3000">
        <v>16</v>
      </c>
    </row>
    <row r="3001" spans="1:6" x14ac:dyDescent="0.25">
      <c r="A3001" t="s">
        <v>3127</v>
      </c>
      <c r="B3001" s="4">
        <v>109.94</v>
      </c>
      <c r="C3001" s="4">
        <v>0</v>
      </c>
      <c r="D3001" s="4">
        <v>109.94</v>
      </c>
      <c r="E3001">
        <v>8</v>
      </c>
      <c r="F3001">
        <v>8</v>
      </c>
    </row>
    <row r="3002" spans="1:6" x14ac:dyDescent="0.25">
      <c r="A3002" t="s">
        <v>3128</v>
      </c>
      <c r="B3002" s="4">
        <v>109.65</v>
      </c>
      <c r="C3002" s="4">
        <v>0</v>
      </c>
      <c r="D3002" s="4">
        <v>109.65</v>
      </c>
      <c r="E3002">
        <v>9</v>
      </c>
      <c r="F3002">
        <v>7</v>
      </c>
    </row>
    <row r="3003" spans="1:6" x14ac:dyDescent="0.25">
      <c r="A3003" t="s">
        <v>3129</v>
      </c>
      <c r="B3003" s="4">
        <v>109.54</v>
      </c>
      <c r="C3003" s="4">
        <v>0</v>
      </c>
      <c r="D3003" s="4">
        <v>109.54</v>
      </c>
      <c r="E3003">
        <v>8</v>
      </c>
      <c r="F3003">
        <v>8</v>
      </c>
    </row>
    <row r="3004" spans="1:6" x14ac:dyDescent="0.25">
      <c r="A3004" t="s">
        <v>3130</v>
      </c>
      <c r="B3004" s="4">
        <v>109.48</v>
      </c>
      <c r="C3004" s="4">
        <v>0</v>
      </c>
      <c r="D3004" s="4">
        <v>109.48</v>
      </c>
      <c r="E3004">
        <v>15</v>
      </c>
      <c r="F3004">
        <v>14</v>
      </c>
    </row>
    <row r="3005" spans="1:6" x14ac:dyDescent="0.25">
      <c r="A3005" t="s">
        <v>3131</v>
      </c>
      <c r="B3005" s="4">
        <v>109.23</v>
      </c>
      <c r="C3005" s="4">
        <v>0</v>
      </c>
      <c r="D3005" s="4">
        <v>109.23</v>
      </c>
      <c r="E3005">
        <v>17</v>
      </c>
      <c r="F3005">
        <v>16</v>
      </c>
    </row>
    <row r="3006" spans="1:6" x14ac:dyDescent="0.25">
      <c r="A3006" t="s">
        <v>3132</v>
      </c>
      <c r="B3006" s="4">
        <v>108.71</v>
      </c>
      <c r="C3006" s="4">
        <v>0</v>
      </c>
      <c r="D3006" s="4">
        <v>108.71</v>
      </c>
      <c r="E3006">
        <v>15</v>
      </c>
      <c r="F3006">
        <v>15</v>
      </c>
    </row>
    <row r="3007" spans="1:6" x14ac:dyDescent="0.25">
      <c r="A3007" t="s">
        <v>3133</v>
      </c>
      <c r="B3007" s="4">
        <v>107.75</v>
      </c>
      <c r="C3007" s="4">
        <v>0</v>
      </c>
      <c r="D3007" s="4">
        <v>107.75</v>
      </c>
      <c r="E3007">
        <v>33</v>
      </c>
      <c r="F3007">
        <v>33</v>
      </c>
    </row>
    <row r="3008" spans="1:6" x14ac:dyDescent="0.25">
      <c r="A3008" t="s">
        <v>3134</v>
      </c>
      <c r="B3008" s="4">
        <v>107.72</v>
      </c>
      <c r="C3008" s="4">
        <v>0</v>
      </c>
      <c r="D3008" s="4">
        <v>107.72</v>
      </c>
      <c r="E3008">
        <v>20</v>
      </c>
      <c r="F3008">
        <v>20</v>
      </c>
    </row>
    <row r="3009" spans="1:6" x14ac:dyDescent="0.25">
      <c r="A3009" t="s">
        <v>3135</v>
      </c>
      <c r="B3009" s="4">
        <v>107.45</v>
      </c>
      <c r="C3009" s="4">
        <v>0</v>
      </c>
      <c r="D3009" s="4">
        <v>107.45</v>
      </c>
      <c r="E3009">
        <v>10</v>
      </c>
      <c r="F3009">
        <v>10</v>
      </c>
    </row>
    <row r="3010" spans="1:6" x14ac:dyDescent="0.25">
      <c r="A3010" t="s">
        <v>3136</v>
      </c>
      <c r="B3010" s="4">
        <v>107.31</v>
      </c>
      <c r="C3010" s="4">
        <v>0</v>
      </c>
      <c r="D3010" s="4">
        <v>107.31</v>
      </c>
      <c r="E3010">
        <v>15</v>
      </c>
      <c r="F3010">
        <v>15</v>
      </c>
    </row>
    <row r="3011" spans="1:6" x14ac:dyDescent="0.25">
      <c r="A3011" t="s">
        <v>3137</v>
      </c>
      <c r="B3011" s="4">
        <v>107.1</v>
      </c>
      <c r="C3011" s="4">
        <v>0</v>
      </c>
      <c r="D3011" s="4">
        <v>107.1</v>
      </c>
      <c r="E3011">
        <v>25</v>
      </c>
      <c r="F3011">
        <v>23</v>
      </c>
    </row>
    <row r="3012" spans="1:6" x14ac:dyDescent="0.25">
      <c r="A3012" t="s">
        <v>3138</v>
      </c>
      <c r="B3012" s="4">
        <v>107.07</v>
      </c>
      <c r="C3012" s="4">
        <v>0</v>
      </c>
      <c r="D3012" s="4">
        <v>107.07</v>
      </c>
      <c r="E3012">
        <v>16</v>
      </c>
      <c r="F3012">
        <v>16</v>
      </c>
    </row>
    <row r="3013" spans="1:6" x14ac:dyDescent="0.25">
      <c r="A3013" t="s">
        <v>3139</v>
      </c>
      <c r="B3013" s="4">
        <v>106.97</v>
      </c>
      <c r="C3013" s="4">
        <v>0</v>
      </c>
      <c r="D3013" s="4">
        <v>106.97</v>
      </c>
      <c r="E3013">
        <v>20</v>
      </c>
      <c r="F3013">
        <v>19</v>
      </c>
    </row>
    <row r="3014" spans="1:6" x14ac:dyDescent="0.25">
      <c r="A3014" t="s">
        <v>3140</v>
      </c>
      <c r="B3014" s="4">
        <v>106.81</v>
      </c>
      <c r="C3014" s="4">
        <v>0</v>
      </c>
      <c r="D3014" s="4">
        <v>106.81</v>
      </c>
      <c r="E3014">
        <v>29</v>
      </c>
      <c r="F3014">
        <v>24</v>
      </c>
    </row>
    <row r="3015" spans="1:6" x14ac:dyDescent="0.25">
      <c r="A3015" t="s">
        <v>3141</v>
      </c>
      <c r="B3015" s="4">
        <v>106.24</v>
      </c>
      <c r="C3015" s="4">
        <v>0</v>
      </c>
      <c r="D3015" s="4">
        <v>106.24</v>
      </c>
      <c r="E3015">
        <v>10</v>
      </c>
      <c r="F3015">
        <v>10</v>
      </c>
    </row>
    <row r="3016" spans="1:6" x14ac:dyDescent="0.25">
      <c r="A3016" t="s">
        <v>3142</v>
      </c>
      <c r="B3016" s="4">
        <v>105.91</v>
      </c>
      <c r="C3016" s="4">
        <v>0</v>
      </c>
      <c r="D3016" s="4">
        <v>105.91</v>
      </c>
      <c r="E3016">
        <v>33</v>
      </c>
      <c r="F3016">
        <v>33</v>
      </c>
    </row>
    <row r="3017" spans="1:6" x14ac:dyDescent="0.25">
      <c r="A3017" t="s">
        <v>3143</v>
      </c>
      <c r="B3017" s="4">
        <v>105.73</v>
      </c>
      <c r="C3017" s="4">
        <v>17.7</v>
      </c>
      <c r="D3017" s="4">
        <v>88.03</v>
      </c>
      <c r="E3017">
        <v>14</v>
      </c>
      <c r="F3017">
        <v>13</v>
      </c>
    </row>
    <row r="3018" spans="1:6" x14ac:dyDescent="0.25">
      <c r="A3018" t="s">
        <v>3144</v>
      </c>
      <c r="B3018" s="4">
        <v>105.71</v>
      </c>
      <c r="C3018" s="4">
        <v>0</v>
      </c>
      <c r="D3018" s="4">
        <v>105.71</v>
      </c>
      <c r="E3018">
        <v>7</v>
      </c>
      <c r="F3018">
        <v>7</v>
      </c>
    </row>
    <row r="3019" spans="1:6" x14ac:dyDescent="0.25">
      <c r="A3019" t="s">
        <v>3145</v>
      </c>
      <c r="B3019" s="4">
        <v>105.28</v>
      </c>
      <c r="C3019" s="4">
        <v>0</v>
      </c>
      <c r="D3019" s="4">
        <v>105.28</v>
      </c>
      <c r="E3019">
        <v>21</v>
      </c>
      <c r="F3019">
        <v>21</v>
      </c>
    </row>
    <row r="3020" spans="1:6" x14ac:dyDescent="0.25">
      <c r="A3020" t="s">
        <v>3146</v>
      </c>
      <c r="B3020" s="4">
        <v>105</v>
      </c>
      <c r="C3020" s="4">
        <v>10.5</v>
      </c>
      <c r="D3020" s="4">
        <v>94.5</v>
      </c>
      <c r="E3020">
        <v>7</v>
      </c>
      <c r="F3020">
        <v>7</v>
      </c>
    </row>
    <row r="3021" spans="1:6" x14ac:dyDescent="0.25">
      <c r="A3021" t="s">
        <v>3147</v>
      </c>
      <c r="B3021" s="4">
        <v>105</v>
      </c>
      <c r="C3021" s="4">
        <v>15</v>
      </c>
      <c r="D3021" s="4">
        <v>90</v>
      </c>
      <c r="E3021">
        <v>14</v>
      </c>
      <c r="F3021">
        <v>14</v>
      </c>
    </row>
    <row r="3022" spans="1:6" x14ac:dyDescent="0.25">
      <c r="A3022" t="s">
        <v>3148</v>
      </c>
      <c r="B3022" s="4">
        <v>104.84</v>
      </c>
      <c r="C3022" s="4">
        <v>0</v>
      </c>
      <c r="D3022" s="4">
        <v>104.84</v>
      </c>
      <c r="E3022">
        <v>15</v>
      </c>
      <c r="F3022">
        <v>15</v>
      </c>
    </row>
    <row r="3023" spans="1:6" x14ac:dyDescent="0.25">
      <c r="A3023" t="s">
        <v>3149</v>
      </c>
      <c r="B3023" s="4">
        <v>104.84</v>
      </c>
      <c r="C3023" s="4">
        <v>0</v>
      </c>
      <c r="D3023" s="4">
        <v>104.84</v>
      </c>
      <c r="E3023">
        <v>14</v>
      </c>
      <c r="F3023">
        <v>14</v>
      </c>
    </row>
    <row r="3024" spans="1:6" x14ac:dyDescent="0.25">
      <c r="A3024" t="s">
        <v>3150</v>
      </c>
      <c r="B3024" s="4">
        <v>104.55</v>
      </c>
      <c r="C3024" s="4">
        <v>15.3</v>
      </c>
      <c r="D3024" s="4">
        <v>89.25</v>
      </c>
      <c r="E3024">
        <v>14</v>
      </c>
      <c r="F3024">
        <v>14</v>
      </c>
    </row>
    <row r="3025" spans="1:6" x14ac:dyDescent="0.25">
      <c r="A3025" t="s">
        <v>3151</v>
      </c>
      <c r="B3025" s="4">
        <v>104.44</v>
      </c>
      <c r="C3025" s="4">
        <v>0</v>
      </c>
      <c r="D3025" s="4">
        <v>104.44</v>
      </c>
      <c r="E3025">
        <v>39</v>
      </c>
      <c r="F3025">
        <v>39</v>
      </c>
    </row>
    <row r="3026" spans="1:6" x14ac:dyDescent="0.25">
      <c r="A3026" t="s">
        <v>3152</v>
      </c>
      <c r="B3026" s="4">
        <v>103.94</v>
      </c>
      <c r="C3026" s="4">
        <v>0</v>
      </c>
      <c r="D3026" s="4">
        <v>103.94</v>
      </c>
      <c r="E3026">
        <v>9</v>
      </c>
      <c r="F3026">
        <v>9</v>
      </c>
    </row>
    <row r="3027" spans="1:6" x14ac:dyDescent="0.25">
      <c r="A3027" t="s">
        <v>3153</v>
      </c>
      <c r="B3027" s="4">
        <v>103.65</v>
      </c>
      <c r="C3027" s="4">
        <v>0</v>
      </c>
      <c r="D3027" s="4">
        <v>103.65</v>
      </c>
      <c r="E3027">
        <v>54</v>
      </c>
      <c r="F3027">
        <v>53</v>
      </c>
    </row>
    <row r="3028" spans="1:6" x14ac:dyDescent="0.25">
      <c r="A3028" t="s">
        <v>3154</v>
      </c>
      <c r="B3028" s="4">
        <v>103.13</v>
      </c>
      <c r="C3028" s="4">
        <v>0</v>
      </c>
      <c r="D3028" s="4">
        <v>103.13</v>
      </c>
      <c r="E3028">
        <v>8</v>
      </c>
      <c r="F3028">
        <v>8</v>
      </c>
    </row>
    <row r="3029" spans="1:6" x14ac:dyDescent="0.25">
      <c r="A3029" t="s">
        <v>3155</v>
      </c>
      <c r="B3029" s="4">
        <v>102.46</v>
      </c>
      <c r="C3029" s="4">
        <v>0</v>
      </c>
      <c r="D3029" s="4">
        <v>102.46</v>
      </c>
      <c r="E3029">
        <v>16</v>
      </c>
      <c r="F3029">
        <v>16</v>
      </c>
    </row>
    <row r="3030" spans="1:6" x14ac:dyDescent="0.25">
      <c r="A3030" t="s">
        <v>3156</v>
      </c>
      <c r="B3030" s="4">
        <v>102</v>
      </c>
      <c r="C3030" s="4">
        <v>0</v>
      </c>
      <c r="D3030" s="4">
        <v>102</v>
      </c>
      <c r="E3030">
        <v>8</v>
      </c>
      <c r="F3030">
        <v>8</v>
      </c>
    </row>
    <row r="3031" spans="1:6" x14ac:dyDescent="0.25">
      <c r="A3031" t="s">
        <v>3157</v>
      </c>
      <c r="B3031" s="4">
        <v>102</v>
      </c>
      <c r="C3031" s="4">
        <v>0</v>
      </c>
      <c r="D3031" s="4">
        <v>102</v>
      </c>
      <c r="E3031">
        <v>5</v>
      </c>
      <c r="F3031">
        <v>5</v>
      </c>
    </row>
    <row r="3032" spans="1:6" x14ac:dyDescent="0.25">
      <c r="A3032" t="s">
        <v>3158</v>
      </c>
      <c r="B3032" s="4">
        <v>100.97</v>
      </c>
      <c r="C3032" s="4">
        <v>0</v>
      </c>
      <c r="D3032" s="4">
        <v>100.97</v>
      </c>
      <c r="E3032">
        <v>18</v>
      </c>
      <c r="F3032">
        <v>18</v>
      </c>
    </row>
    <row r="3033" spans="1:6" x14ac:dyDescent="0.25">
      <c r="A3033" t="s">
        <v>3159</v>
      </c>
      <c r="B3033" s="4">
        <v>100.86</v>
      </c>
      <c r="C3033" s="4">
        <v>0</v>
      </c>
      <c r="D3033" s="4">
        <v>100.86</v>
      </c>
      <c r="E3033">
        <v>9</v>
      </c>
      <c r="F3033">
        <v>9</v>
      </c>
    </row>
    <row r="3034" spans="1:6" x14ac:dyDescent="0.25">
      <c r="A3034" t="s">
        <v>3160</v>
      </c>
      <c r="B3034" s="4">
        <v>100.8</v>
      </c>
      <c r="C3034" s="4">
        <v>0</v>
      </c>
      <c r="D3034" s="4">
        <v>100.8</v>
      </c>
      <c r="E3034">
        <v>4</v>
      </c>
      <c r="F3034">
        <v>4</v>
      </c>
    </row>
    <row r="3035" spans="1:6" x14ac:dyDescent="0.25">
      <c r="A3035" t="s">
        <v>3161</v>
      </c>
      <c r="B3035" s="4">
        <v>100.76</v>
      </c>
      <c r="C3035" s="4">
        <v>0</v>
      </c>
      <c r="D3035" s="4">
        <v>100.76</v>
      </c>
      <c r="E3035">
        <v>15</v>
      </c>
      <c r="F3035">
        <v>15</v>
      </c>
    </row>
    <row r="3036" spans="1:6" x14ac:dyDescent="0.25">
      <c r="A3036" t="s">
        <v>3162</v>
      </c>
      <c r="B3036" s="4">
        <v>100.66</v>
      </c>
      <c r="C3036" s="4">
        <v>0</v>
      </c>
      <c r="D3036" s="4">
        <v>100.66</v>
      </c>
      <c r="E3036">
        <v>9</v>
      </c>
      <c r="F3036">
        <v>9</v>
      </c>
    </row>
    <row r="3037" spans="1:6" x14ac:dyDescent="0.25">
      <c r="A3037" t="s">
        <v>3163</v>
      </c>
      <c r="B3037" s="4">
        <v>100.53</v>
      </c>
      <c r="C3037" s="4">
        <v>0</v>
      </c>
      <c r="D3037" s="4">
        <v>100.53</v>
      </c>
      <c r="E3037">
        <v>25</v>
      </c>
      <c r="F3037">
        <v>24</v>
      </c>
    </row>
    <row r="3038" spans="1:6" x14ac:dyDescent="0.25">
      <c r="A3038" t="s">
        <v>3164</v>
      </c>
      <c r="B3038" s="4">
        <v>100.09</v>
      </c>
      <c r="C3038" s="4">
        <v>0</v>
      </c>
      <c r="D3038" s="4">
        <v>100.09</v>
      </c>
      <c r="E3038">
        <v>7</v>
      </c>
      <c r="F3038">
        <v>7</v>
      </c>
    </row>
    <row r="3039" spans="1:6" x14ac:dyDescent="0.25">
      <c r="A3039" t="s">
        <v>3165</v>
      </c>
      <c r="B3039" s="4">
        <v>99.6</v>
      </c>
      <c r="C3039" s="4">
        <v>0</v>
      </c>
      <c r="D3039" s="4">
        <v>99.6</v>
      </c>
      <c r="E3039">
        <v>16</v>
      </c>
      <c r="F3039">
        <v>16</v>
      </c>
    </row>
    <row r="3040" spans="1:6" x14ac:dyDescent="0.25">
      <c r="A3040" t="s">
        <v>3166</v>
      </c>
      <c r="B3040" s="4">
        <v>99.6</v>
      </c>
      <c r="C3040" s="4">
        <v>0</v>
      </c>
      <c r="D3040" s="4">
        <v>99.6</v>
      </c>
      <c r="E3040">
        <v>15</v>
      </c>
      <c r="F3040">
        <v>15</v>
      </c>
    </row>
    <row r="3041" spans="1:6" x14ac:dyDescent="0.25">
      <c r="A3041" t="s">
        <v>3167</v>
      </c>
      <c r="B3041" s="4">
        <v>99.29</v>
      </c>
      <c r="C3041" s="4">
        <v>0</v>
      </c>
      <c r="D3041" s="4">
        <v>99.29</v>
      </c>
      <c r="E3041">
        <v>26</v>
      </c>
      <c r="F3041">
        <v>25</v>
      </c>
    </row>
    <row r="3042" spans="1:6" x14ac:dyDescent="0.25">
      <c r="A3042" t="s">
        <v>3168</v>
      </c>
      <c r="B3042" s="4">
        <v>99.2</v>
      </c>
      <c r="C3042" s="4">
        <v>0</v>
      </c>
      <c r="D3042" s="4">
        <v>99.2</v>
      </c>
      <c r="E3042">
        <v>8</v>
      </c>
      <c r="F3042">
        <v>8</v>
      </c>
    </row>
    <row r="3043" spans="1:6" x14ac:dyDescent="0.25">
      <c r="A3043" t="s">
        <v>3169</v>
      </c>
      <c r="B3043" s="4">
        <v>98.7</v>
      </c>
      <c r="C3043" s="4">
        <v>0</v>
      </c>
      <c r="D3043" s="4">
        <v>98.7</v>
      </c>
      <c r="E3043">
        <v>23</v>
      </c>
      <c r="F3043">
        <v>23</v>
      </c>
    </row>
    <row r="3044" spans="1:6" x14ac:dyDescent="0.25">
      <c r="A3044" t="s">
        <v>3170</v>
      </c>
      <c r="B3044" s="4">
        <v>98.63</v>
      </c>
      <c r="C3044" s="4">
        <v>0</v>
      </c>
      <c r="D3044" s="4">
        <v>98.63</v>
      </c>
      <c r="E3044">
        <v>19</v>
      </c>
      <c r="F3044">
        <v>19</v>
      </c>
    </row>
    <row r="3045" spans="1:6" x14ac:dyDescent="0.25">
      <c r="A3045" t="s">
        <v>3171</v>
      </c>
      <c r="B3045" s="4">
        <v>98.54</v>
      </c>
      <c r="C3045" s="4">
        <v>0</v>
      </c>
      <c r="D3045" s="4">
        <v>98.54</v>
      </c>
      <c r="E3045">
        <v>52</v>
      </c>
      <c r="F3045">
        <v>51</v>
      </c>
    </row>
    <row r="3046" spans="1:6" x14ac:dyDescent="0.25">
      <c r="A3046" t="s">
        <v>3172</v>
      </c>
      <c r="B3046" s="4">
        <v>98.07</v>
      </c>
      <c r="C3046" s="4">
        <v>15.3</v>
      </c>
      <c r="D3046" s="4">
        <v>82.77</v>
      </c>
      <c r="E3046">
        <v>17</v>
      </c>
      <c r="F3046">
        <v>17</v>
      </c>
    </row>
    <row r="3047" spans="1:6" x14ac:dyDescent="0.25">
      <c r="A3047" t="s">
        <v>3173</v>
      </c>
      <c r="B3047" s="4">
        <v>97.95</v>
      </c>
      <c r="C3047" s="4">
        <v>0</v>
      </c>
      <c r="D3047" s="4">
        <v>97.95</v>
      </c>
      <c r="E3047">
        <v>6</v>
      </c>
      <c r="F3047">
        <v>6</v>
      </c>
    </row>
    <row r="3048" spans="1:6" x14ac:dyDescent="0.25">
      <c r="A3048" t="s">
        <v>3174</v>
      </c>
      <c r="B3048" s="4">
        <v>97.13</v>
      </c>
      <c r="C3048" s="4">
        <v>0</v>
      </c>
      <c r="D3048" s="4">
        <v>97.13</v>
      </c>
      <c r="E3048">
        <v>22</v>
      </c>
      <c r="F3048">
        <v>22</v>
      </c>
    </row>
    <row r="3049" spans="1:6" x14ac:dyDescent="0.25">
      <c r="A3049" t="s">
        <v>3175</v>
      </c>
      <c r="B3049" s="4">
        <v>97.02</v>
      </c>
      <c r="C3049" s="4">
        <v>38.25</v>
      </c>
      <c r="D3049" s="4">
        <v>58.77</v>
      </c>
      <c r="E3049">
        <v>12</v>
      </c>
      <c r="F3049">
        <v>12</v>
      </c>
    </row>
    <row r="3050" spans="1:6" x14ac:dyDescent="0.25">
      <c r="A3050" t="s">
        <v>3176</v>
      </c>
      <c r="B3050" s="4">
        <v>96.89</v>
      </c>
      <c r="C3050" s="4">
        <v>0</v>
      </c>
      <c r="D3050" s="4">
        <v>96.89</v>
      </c>
      <c r="E3050">
        <v>11</v>
      </c>
      <c r="F3050">
        <v>11</v>
      </c>
    </row>
    <row r="3051" spans="1:6" x14ac:dyDescent="0.25">
      <c r="A3051" t="s">
        <v>3177</v>
      </c>
      <c r="B3051" s="4">
        <v>96.86</v>
      </c>
      <c r="C3051" s="4">
        <v>13.4</v>
      </c>
      <c r="D3051" s="4">
        <v>83.46</v>
      </c>
      <c r="E3051">
        <v>18</v>
      </c>
      <c r="F3051">
        <v>18</v>
      </c>
    </row>
    <row r="3052" spans="1:6" x14ac:dyDescent="0.25">
      <c r="A3052" t="s">
        <v>3178</v>
      </c>
      <c r="B3052" s="4">
        <v>96.6</v>
      </c>
      <c r="C3052" s="4">
        <v>0</v>
      </c>
      <c r="D3052" s="4">
        <v>96.6</v>
      </c>
      <c r="E3052">
        <v>5</v>
      </c>
      <c r="F3052">
        <v>5</v>
      </c>
    </row>
    <row r="3053" spans="1:6" x14ac:dyDescent="0.25">
      <c r="A3053" t="s">
        <v>3179</v>
      </c>
      <c r="B3053" s="4">
        <v>96.52</v>
      </c>
      <c r="C3053" s="4">
        <v>0</v>
      </c>
      <c r="D3053" s="4">
        <v>96.52</v>
      </c>
      <c r="E3053">
        <v>18</v>
      </c>
      <c r="F3053">
        <v>18</v>
      </c>
    </row>
    <row r="3054" spans="1:6" x14ac:dyDescent="0.25">
      <c r="A3054" t="s">
        <v>3180</v>
      </c>
      <c r="B3054" s="4">
        <v>95.94</v>
      </c>
      <c r="C3054" s="4">
        <v>0</v>
      </c>
      <c r="D3054" s="4">
        <v>95.94</v>
      </c>
      <c r="E3054">
        <v>25</v>
      </c>
      <c r="F3054">
        <v>25</v>
      </c>
    </row>
    <row r="3055" spans="1:6" x14ac:dyDescent="0.25">
      <c r="A3055" t="s">
        <v>3181</v>
      </c>
      <c r="B3055" s="4">
        <v>95.53</v>
      </c>
      <c r="C3055" s="4">
        <v>0.85</v>
      </c>
      <c r="D3055" s="4">
        <v>94.68</v>
      </c>
      <c r="E3055">
        <v>36</v>
      </c>
      <c r="F3055">
        <v>36</v>
      </c>
    </row>
    <row r="3056" spans="1:6" x14ac:dyDescent="0.25">
      <c r="A3056" t="s">
        <v>3182</v>
      </c>
      <c r="B3056" s="4">
        <v>95.42</v>
      </c>
      <c r="C3056" s="4">
        <v>30.6</v>
      </c>
      <c r="D3056" s="4">
        <v>64.819999999999993</v>
      </c>
      <c r="E3056">
        <v>21</v>
      </c>
      <c r="F3056">
        <v>21</v>
      </c>
    </row>
    <row r="3057" spans="1:6" x14ac:dyDescent="0.25">
      <c r="A3057" t="s">
        <v>3183</v>
      </c>
      <c r="B3057" s="4">
        <v>95.4</v>
      </c>
      <c r="C3057" s="4">
        <v>39.75</v>
      </c>
      <c r="D3057" s="4">
        <v>55.65</v>
      </c>
      <c r="E3057">
        <v>6</v>
      </c>
      <c r="F3057">
        <v>6</v>
      </c>
    </row>
    <row r="3058" spans="1:6" x14ac:dyDescent="0.25">
      <c r="A3058" t="s">
        <v>3184</v>
      </c>
      <c r="B3058" s="4">
        <v>95.35</v>
      </c>
      <c r="C3058" s="4">
        <v>0</v>
      </c>
      <c r="D3058" s="4">
        <v>95.35</v>
      </c>
      <c r="E3058">
        <v>5</v>
      </c>
      <c r="F3058">
        <v>5</v>
      </c>
    </row>
    <row r="3059" spans="1:6" x14ac:dyDescent="0.25">
      <c r="A3059" t="s">
        <v>3185</v>
      </c>
      <c r="B3059" s="4">
        <v>95.35</v>
      </c>
      <c r="C3059" s="4">
        <v>0</v>
      </c>
      <c r="D3059" s="4">
        <v>95.35</v>
      </c>
      <c r="E3059">
        <v>7</v>
      </c>
      <c r="F3059">
        <v>7</v>
      </c>
    </row>
    <row r="3060" spans="1:6" x14ac:dyDescent="0.25">
      <c r="A3060" t="s">
        <v>3186</v>
      </c>
      <c r="B3060" s="4">
        <v>95.25</v>
      </c>
      <c r="C3060" s="4">
        <v>0</v>
      </c>
      <c r="D3060" s="4">
        <v>95.25</v>
      </c>
      <c r="E3060">
        <v>8</v>
      </c>
      <c r="F3060">
        <v>8</v>
      </c>
    </row>
    <row r="3061" spans="1:6" x14ac:dyDescent="0.25">
      <c r="A3061" t="s">
        <v>3187</v>
      </c>
      <c r="B3061" s="4">
        <v>95.18</v>
      </c>
      <c r="C3061" s="4">
        <v>0</v>
      </c>
      <c r="D3061" s="4">
        <v>95.18</v>
      </c>
      <c r="E3061">
        <v>33</v>
      </c>
      <c r="F3061">
        <v>33</v>
      </c>
    </row>
    <row r="3062" spans="1:6" x14ac:dyDescent="0.25">
      <c r="A3062" t="s">
        <v>3188</v>
      </c>
      <c r="B3062" s="4">
        <v>95.1</v>
      </c>
      <c r="C3062" s="4">
        <v>0</v>
      </c>
      <c r="D3062" s="4">
        <v>95.1</v>
      </c>
      <c r="E3062">
        <v>8</v>
      </c>
      <c r="F3062">
        <v>8</v>
      </c>
    </row>
    <row r="3063" spans="1:6" x14ac:dyDescent="0.25">
      <c r="A3063" t="s">
        <v>3189</v>
      </c>
      <c r="B3063" s="4">
        <v>94.8</v>
      </c>
      <c r="C3063" s="4">
        <v>0</v>
      </c>
      <c r="D3063" s="4">
        <v>94.8</v>
      </c>
      <c r="E3063">
        <v>4</v>
      </c>
      <c r="F3063">
        <v>4</v>
      </c>
    </row>
    <row r="3064" spans="1:6" x14ac:dyDescent="0.25">
      <c r="A3064" t="s">
        <v>3190</v>
      </c>
      <c r="B3064" s="4">
        <v>94.43</v>
      </c>
      <c r="C3064" s="4">
        <v>0</v>
      </c>
      <c r="D3064" s="4">
        <v>94.43</v>
      </c>
      <c r="E3064">
        <v>13</v>
      </c>
      <c r="F3064">
        <v>13</v>
      </c>
    </row>
    <row r="3065" spans="1:6" x14ac:dyDescent="0.25">
      <c r="A3065" t="s">
        <v>3191</v>
      </c>
      <c r="B3065" s="4">
        <v>93.63</v>
      </c>
      <c r="C3065" s="4">
        <v>0</v>
      </c>
      <c r="D3065" s="4">
        <v>93.63</v>
      </c>
      <c r="E3065">
        <v>19</v>
      </c>
      <c r="F3065">
        <v>18</v>
      </c>
    </row>
    <row r="3066" spans="1:6" x14ac:dyDescent="0.25">
      <c r="A3066" t="s">
        <v>3192</v>
      </c>
      <c r="B3066" s="4">
        <v>93.19</v>
      </c>
      <c r="C3066" s="4">
        <v>0</v>
      </c>
      <c r="D3066" s="4">
        <v>93.19</v>
      </c>
      <c r="E3066">
        <v>20</v>
      </c>
      <c r="F3066">
        <v>20</v>
      </c>
    </row>
    <row r="3067" spans="1:6" x14ac:dyDescent="0.25">
      <c r="A3067" t="s">
        <v>3193</v>
      </c>
      <c r="B3067" s="4">
        <v>92.4</v>
      </c>
      <c r="C3067" s="4">
        <v>0</v>
      </c>
      <c r="D3067" s="4">
        <v>92.4</v>
      </c>
      <c r="E3067">
        <v>24</v>
      </c>
      <c r="F3067">
        <v>23</v>
      </c>
    </row>
    <row r="3068" spans="1:6" x14ac:dyDescent="0.25">
      <c r="A3068" t="s">
        <v>3194</v>
      </c>
      <c r="B3068" s="4">
        <v>92.28</v>
      </c>
      <c r="C3068" s="4">
        <v>0</v>
      </c>
      <c r="D3068" s="4">
        <v>92.28</v>
      </c>
      <c r="E3068">
        <v>17</v>
      </c>
      <c r="F3068">
        <v>17</v>
      </c>
    </row>
    <row r="3069" spans="1:6" x14ac:dyDescent="0.25">
      <c r="A3069" t="s">
        <v>3195</v>
      </c>
      <c r="B3069" s="4">
        <v>92.21</v>
      </c>
      <c r="C3069" s="4">
        <v>0</v>
      </c>
      <c r="D3069" s="4">
        <v>92.21</v>
      </c>
      <c r="E3069">
        <v>19</v>
      </c>
      <c r="F3069">
        <v>19</v>
      </c>
    </row>
    <row r="3070" spans="1:6" x14ac:dyDescent="0.25">
      <c r="A3070" t="s">
        <v>3196</v>
      </c>
      <c r="B3070" s="4">
        <v>92.2</v>
      </c>
      <c r="C3070" s="4">
        <v>0</v>
      </c>
      <c r="D3070" s="4">
        <v>92.2</v>
      </c>
      <c r="E3070">
        <v>8</v>
      </c>
      <c r="F3070">
        <v>8</v>
      </c>
    </row>
    <row r="3071" spans="1:6" x14ac:dyDescent="0.25">
      <c r="A3071" t="s">
        <v>3197</v>
      </c>
      <c r="B3071" s="4">
        <v>91.8</v>
      </c>
      <c r="C3071" s="4">
        <v>0</v>
      </c>
      <c r="D3071" s="4">
        <v>91.8</v>
      </c>
      <c r="E3071">
        <v>1</v>
      </c>
      <c r="F3071">
        <v>1</v>
      </c>
    </row>
    <row r="3072" spans="1:6" x14ac:dyDescent="0.25">
      <c r="A3072" t="s">
        <v>3198</v>
      </c>
      <c r="B3072" s="4">
        <v>91.7</v>
      </c>
      <c r="C3072" s="4">
        <v>0</v>
      </c>
      <c r="D3072" s="4">
        <v>91.7</v>
      </c>
      <c r="E3072">
        <v>11</v>
      </c>
      <c r="F3072">
        <v>11</v>
      </c>
    </row>
    <row r="3073" spans="1:6" x14ac:dyDescent="0.25">
      <c r="A3073" t="s">
        <v>3199</v>
      </c>
      <c r="B3073" s="4">
        <v>91.68</v>
      </c>
      <c r="C3073" s="4">
        <v>0</v>
      </c>
      <c r="D3073" s="4">
        <v>91.68</v>
      </c>
      <c r="E3073">
        <v>9</v>
      </c>
      <c r="F3073">
        <v>9</v>
      </c>
    </row>
    <row r="3074" spans="1:6" x14ac:dyDescent="0.25">
      <c r="A3074" t="s">
        <v>3200</v>
      </c>
      <c r="B3074" s="4">
        <v>91.48</v>
      </c>
      <c r="C3074" s="4">
        <v>12.7</v>
      </c>
      <c r="D3074" s="4">
        <v>78.78</v>
      </c>
      <c r="E3074">
        <v>16</v>
      </c>
      <c r="F3074">
        <v>15</v>
      </c>
    </row>
    <row r="3075" spans="1:6" x14ac:dyDescent="0.25">
      <c r="A3075" t="s">
        <v>3201</v>
      </c>
      <c r="B3075" s="4">
        <v>90.42</v>
      </c>
      <c r="C3075" s="4">
        <v>0</v>
      </c>
      <c r="D3075" s="4">
        <v>90.42</v>
      </c>
      <c r="E3075">
        <v>20</v>
      </c>
      <c r="F3075">
        <v>20</v>
      </c>
    </row>
    <row r="3076" spans="1:6" x14ac:dyDescent="0.25">
      <c r="A3076" t="s">
        <v>3202</v>
      </c>
      <c r="B3076" s="4">
        <v>90.34</v>
      </c>
      <c r="C3076" s="4">
        <v>0</v>
      </c>
      <c r="D3076" s="4">
        <v>90.34</v>
      </c>
      <c r="E3076">
        <v>12</v>
      </c>
      <c r="F3076">
        <v>12</v>
      </c>
    </row>
    <row r="3077" spans="1:6" x14ac:dyDescent="0.25">
      <c r="A3077" t="s">
        <v>3203</v>
      </c>
      <c r="B3077" s="4">
        <v>90.32</v>
      </c>
      <c r="C3077" s="4">
        <v>0</v>
      </c>
      <c r="D3077" s="4">
        <v>90.32</v>
      </c>
      <c r="E3077">
        <v>9</v>
      </c>
      <c r="F3077">
        <v>9</v>
      </c>
    </row>
    <row r="3078" spans="1:6" x14ac:dyDescent="0.25">
      <c r="A3078" t="s">
        <v>3204</v>
      </c>
      <c r="B3078" s="4">
        <v>90.2</v>
      </c>
      <c r="C3078" s="4">
        <v>15</v>
      </c>
      <c r="D3078" s="4">
        <v>75.2</v>
      </c>
      <c r="E3078">
        <v>20</v>
      </c>
      <c r="F3078">
        <v>20</v>
      </c>
    </row>
    <row r="3079" spans="1:6" x14ac:dyDescent="0.25">
      <c r="A3079" t="s">
        <v>3205</v>
      </c>
      <c r="B3079" s="4">
        <v>90</v>
      </c>
      <c r="C3079" s="4">
        <v>0</v>
      </c>
      <c r="D3079" s="4">
        <v>90</v>
      </c>
      <c r="E3079">
        <v>9</v>
      </c>
      <c r="F3079">
        <v>7</v>
      </c>
    </row>
    <row r="3080" spans="1:6" x14ac:dyDescent="0.25">
      <c r="A3080" t="s">
        <v>3206</v>
      </c>
      <c r="B3080" s="4">
        <v>89.95</v>
      </c>
      <c r="C3080" s="4">
        <v>0</v>
      </c>
      <c r="D3080" s="4">
        <v>89.95</v>
      </c>
      <c r="E3080">
        <v>14</v>
      </c>
      <c r="F3080">
        <v>13</v>
      </c>
    </row>
    <row r="3081" spans="1:6" x14ac:dyDescent="0.25">
      <c r="A3081" t="s">
        <v>3207</v>
      </c>
      <c r="B3081" s="4">
        <v>89.72</v>
      </c>
      <c r="C3081" s="4">
        <v>0</v>
      </c>
      <c r="D3081" s="4">
        <v>89.72</v>
      </c>
      <c r="E3081">
        <v>23</v>
      </c>
      <c r="F3081">
        <v>22</v>
      </c>
    </row>
    <row r="3082" spans="1:6" x14ac:dyDescent="0.25">
      <c r="A3082" t="s">
        <v>3208</v>
      </c>
      <c r="B3082" s="4">
        <v>89.5</v>
      </c>
      <c r="C3082" s="4">
        <v>135.19999999999999</v>
      </c>
      <c r="D3082" s="4">
        <v>-45.7</v>
      </c>
      <c r="E3082">
        <v>5</v>
      </c>
      <c r="F3082">
        <v>5</v>
      </c>
    </row>
    <row r="3083" spans="1:6" x14ac:dyDescent="0.25">
      <c r="A3083" t="s">
        <v>3209</v>
      </c>
      <c r="B3083" s="4">
        <v>89.22</v>
      </c>
      <c r="C3083" s="4">
        <v>0</v>
      </c>
      <c r="D3083" s="4">
        <v>89.22</v>
      </c>
      <c r="E3083">
        <v>3</v>
      </c>
      <c r="F3083">
        <v>3</v>
      </c>
    </row>
    <row r="3084" spans="1:6" x14ac:dyDescent="0.25">
      <c r="A3084" t="s">
        <v>3210</v>
      </c>
      <c r="B3084" s="4">
        <v>89.12</v>
      </c>
      <c r="C3084" s="4">
        <v>0</v>
      </c>
      <c r="D3084" s="4">
        <v>89.12</v>
      </c>
      <c r="E3084">
        <v>9</v>
      </c>
      <c r="F3084">
        <v>9</v>
      </c>
    </row>
    <row r="3085" spans="1:6" x14ac:dyDescent="0.25">
      <c r="A3085" t="s">
        <v>3211</v>
      </c>
      <c r="B3085" s="4">
        <v>88.35</v>
      </c>
      <c r="C3085" s="4">
        <v>0</v>
      </c>
      <c r="D3085" s="4">
        <v>88.35</v>
      </c>
      <c r="E3085">
        <v>6</v>
      </c>
      <c r="F3085">
        <v>6</v>
      </c>
    </row>
    <row r="3086" spans="1:6" x14ac:dyDescent="0.25">
      <c r="A3086" t="s">
        <v>3212</v>
      </c>
      <c r="B3086" s="4">
        <v>88.22</v>
      </c>
      <c r="C3086" s="4">
        <v>0</v>
      </c>
      <c r="D3086" s="4">
        <v>88.22</v>
      </c>
      <c r="E3086">
        <v>9</v>
      </c>
      <c r="F3086">
        <v>9</v>
      </c>
    </row>
    <row r="3087" spans="1:6" x14ac:dyDescent="0.25">
      <c r="A3087" t="s">
        <v>3213</v>
      </c>
      <c r="B3087" s="4">
        <v>88.04</v>
      </c>
      <c r="C3087" s="4">
        <v>0</v>
      </c>
      <c r="D3087" s="4">
        <v>88.04</v>
      </c>
      <c r="E3087">
        <v>15</v>
      </c>
      <c r="F3087">
        <v>15</v>
      </c>
    </row>
    <row r="3088" spans="1:6" x14ac:dyDescent="0.25">
      <c r="A3088" t="s">
        <v>3214</v>
      </c>
      <c r="B3088" s="4">
        <v>88.03</v>
      </c>
      <c r="C3088" s="4">
        <v>0</v>
      </c>
      <c r="D3088" s="4">
        <v>88.03</v>
      </c>
      <c r="E3088">
        <v>16</v>
      </c>
      <c r="F3088">
        <v>16</v>
      </c>
    </row>
    <row r="3089" spans="1:6" x14ac:dyDescent="0.25">
      <c r="A3089" t="s">
        <v>3215</v>
      </c>
      <c r="B3089" s="4">
        <v>87.56</v>
      </c>
      <c r="C3089" s="4">
        <v>0</v>
      </c>
      <c r="D3089" s="4">
        <v>87.56</v>
      </c>
      <c r="E3089">
        <v>29</v>
      </c>
      <c r="F3089">
        <v>28</v>
      </c>
    </row>
    <row r="3090" spans="1:6" x14ac:dyDescent="0.25">
      <c r="A3090" t="s">
        <v>3216</v>
      </c>
      <c r="B3090" s="4">
        <v>87.51</v>
      </c>
      <c r="C3090" s="4">
        <v>0</v>
      </c>
      <c r="D3090" s="4">
        <v>87.51</v>
      </c>
      <c r="E3090">
        <v>25</v>
      </c>
      <c r="F3090">
        <v>25</v>
      </c>
    </row>
    <row r="3091" spans="1:6" x14ac:dyDescent="0.25">
      <c r="A3091" t="s">
        <v>3217</v>
      </c>
      <c r="B3091" s="4">
        <v>87.36</v>
      </c>
      <c r="C3091" s="4">
        <v>0</v>
      </c>
      <c r="D3091" s="4">
        <v>87.36</v>
      </c>
      <c r="E3091">
        <v>10</v>
      </c>
      <c r="F3091">
        <v>7</v>
      </c>
    </row>
    <row r="3092" spans="1:6" x14ac:dyDescent="0.25">
      <c r="A3092" t="s">
        <v>3218</v>
      </c>
      <c r="B3092" s="4">
        <v>86.76</v>
      </c>
      <c r="C3092" s="4">
        <v>0</v>
      </c>
      <c r="D3092" s="4">
        <v>86.76</v>
      </c>
      <c r="E3092">
        <v>30</v>
      </c>
      <c r="F3092">
        <v>29</v>
      </c>
    </row>
    <row r="3093" spans="1:6" x14ac:dyDescent="0.25">
      <c r="A3093" t="s">
        <v>3219</v>
      </c>
      <c r="B3093" s="4">
        <v>86.75</v>
      </c>
      <c r="C3093" s="4">
        <v>5.9</v>
      </c>
      <c r="D3093" s="4">
        <v>80.849999999999994</v>
      </c>
      <c r="E3093">
        <v>23</v>
      </c>
      <c r="F3093">
        <v>23</v>
      </c>
    </row>
    <row r="3094" spans="1:6" x14ac:dyDescent="0.25">
      <c r="A3094" t="s">
        <v>3220</v>
      </c>
      <c r="B3094" s="4">
        <v>86.58</v>
      </c>
      <c r="C3094" s="4">
        <v>0</v>
      </c>
      <c r="D3094" s="4">
        <v>86.58</v>
      </c>
      <c r="E3094">
        <v>11</v>
      </c>
      <c r="F3094">
        <v>11</v>
      </c>
    </row>
    <row r="3095" spans="1:6" x14ac:dyDescent="0.25">
      <c r="A3095" t="s">
        <v>3221</v>
      </c>
      <c r="B3095" s="4">
        <v>86.11</v>
      </c>
      <c r="C3095" s="4">
        <v>15</v>
      </c>
      <c r="D3095" s="4">
        <v>71.11</v>
      </c>
      <c r="E3095">
        <v>14</v>
      </c>
      <c r="F3095">
        <v>14</v>
      </c>
    </row>
    <row r="3096" spans="1:6" x14ac:dyDescent="0.25">
      <c r="A3096" t="s">
        <v>3222</v>
      </c>
      <c r="B3096" s="4">
        <v>85.52</v>
      </c>
      <c r="C3096" s="4">
        <v>0</v>
      </c>
      <c r="D3096" s="4">
        <v>85.52</v>
      </c>
      <c r="E3096">
        <v>15</v>
      </c>
      <c r="F3096">
        <v>15</v>
      </c>
    </row>
    <row r="3097" spans="1:6" x14ac:dyDescent="0.25">
      <c r="A3097" t="s">
        <v>3223</v>
      </c>
      <c r="B3097" s="4">
        <v>85.31</v>
      </c>
      <c r="C3097" s="4">
        <v>0</v>
      </c>
      <c r="D3097" s="4">
        <v>85.31</v>
      </c>
      <c r="E3097">
        <v>8</v>
      </c>
      <c r="F3097">
        <v>8</v>
      </c>
    </row>
    <row r="3098" spans="1:6" x14ac:dyDescent="0.25">
      <c r="A3098" t="s">
        <v>3224</v>
      </c>
      <c r="B3098" s="4">
        <v>84.15</v>
      </c>
      <c r="C3098" s="4">
        <v>59.4</v>
      </c>
      <c r="D3098" s="4">
        <v>24.75</v>
      </c>
      <c r="E3098">
        <v>6</v>
      </c>
      <c r="F3098">
        <v>6</v>
      </c>
    </row>
    <row r="3099" spans="1:6" x14ac:dyDescent="0.25">
      <c r="A3099" t="s">
        <v>3225</v>
      </c>
      <c r="B3099" s="4">
        <v>84</v>
      </c>
      <c r="C3099" s="4">
        <v>0</v>
      </c>
      <c r="D3099" s="4">
        <v>84</v>
      </c>
      <c r="E3099">
        <v>8</v>
      </c>
      <c r="F3099">
        <v>8</v>
      </c>
    </row>
    <row r="3100" spans="1:6" x14ac:dyDescent="0.25">
      <c r="A3100" t="s">
        <v>3226</v>
      </c>
      <c r="B3100" s="4">
        <v>83.78</v>
      </c>
      <c r="C3100" s="4">
        <v>2.5</v>
      </c>
      <c r="D3100" s="4">
        <v>81.28</v>
      </c>
      <c r="E3100">
        <v>20</v>
      </c>
      <c r="F3100">
        <v>19</v>
      </c>
    </row>
    <row r="3101" spans="1:6" x14ac:dyDescent="0.25">
      <c r="A3101" t="s">
        <v>3227</v>
      </c>
      <c r="B3101" s="4">
        <v>83.42</v>
      </c>
      <c r="C3101" s="4">
        <v>0</v>
      </c>
      <c r="D3101" s="4">
        <v>83.42</v>
      </c>
      <c r="E3101">
        <v>14</v>
      </c>
      <c r="F3101">
        <v>14</v>
      </c>
    </row>
    <row r="3102" spans="1:6" x14ac:dyDescent="0.25">
      <c r="A3102" t="s">
        <v>3228</v>
      </c>
      <c r="B3102" s="4">
        <v>83.33</v>
      </c>
      <c r="C3102" s="4">
        <v>0</v>
      </c>
      <c r="D3102" s="4">
        <v>83.33</v>
      </c>
      <c r="E3102">
        <v>1</v>
      </c>
      <c r="F3102">
        <v>1</v>
      </c>
    </row>
    <row r="3103" spans="1:6" x14ac:dyDescent="0.25">
      <c r="A3103" t="s">
        <v>3229</v>
      </c>
      <c r="B3103" s="4">
        <v>83.29</v>
      </c>
      <c r="C3103" s="4">
        <v>0</v>
      </c>
      <c r="D3103" s="4">
        <v>83.29</v>
      </c>
      <c r="E3103">
        <v>6</v>
      </c>
      <c r="F3103">
        <v>6</v>
      </c>
    </row>
    <row r="3104" spans="1:6" x14ac:dyDescent="0.25">
      <c r="A3104" t="s">
        <v>3230</v>
      </c>
      <c r="B3104" s="4">
        <v>82.98</v>
      </c>
      <c r="C3104" s="4">
        <v>0</v>
      </c>
      <c r="D3104" s="4">
        <v>82.98</v>
      </c>
      <c r="E3104">
        <v>20</v>
      </c>
      <c r="F3104">
        <v>20</v>
      </c>
    </row>
    <row r="3105" spans="1:6" x14ac:dyDescent="0.25">
      <c r="A3105" t="s">
        <v>3231</v>
      </c>
      <c r="B3105" s="4">
        <v>82.57</v>
      </c>
      <c r="C3105" s="4">
        <v>6.35</v>
      </c>
      <c r="D3105" s="4">
        <v>76.22</v>
      </c>
      <c r="E3105">
        <v>6</v>
      </c>
      <c r="F3105">
        <v>6</v>
      </c>
    </row>
    <row r="3106" spans="1:6" x14ac:dyDescent="0.25">
      <c r="A3106" t="s">
        <v>3232</v>
      </c>
      <c r="B3106" s="4">
        <v>82.1</v>
      </c>
      <c r="C3106" s="4">
        <v>0</v>
      </c>
      <c r="D3106" s="4">
        <v>82.1</v>
      </c>
      <c r="E3106">
        <v>5</v>
      </c>
      <c r="F3106">
        <v>5</v>
      </c>
    </row>
    <row r="3107" spans="1:6" x14ac:dyDescent="0.25">
      <c r="A3107" t="s">
        <v>3233</v>
      </c>
      <c r="B3107" s="4">
        <v>82.1</v>
      </c>
      <c r="C3107" s="4">
        <v>0</v>
      </c>
      <c r="D3107" s="4">
        <v>82.1</v>
      </c>
      <c r="E3107">
        <v>19</v>
      </c>
      <c r="F3107">
        <v>19</v>
      </c>
    </row>
    <row r="3108" spans="1:6" x14ac:dyDescent="0.25">
      <c r="A3108" t="s">
        <v>3234</v>
      </c>
      <c r="B3108" s="4">
        <v>82.08</v>
      </c>
      <c r="C3108" s="4">
        <v>0</v>
      </c>
      <c r="D3108" s="4">
        <v>82.08</v>
      </c>
      <c r="E3108">
        <v>5</v>
      </c>
      <c r="F3108">
        <v>5</v>
      </c>
    </row>
    <row r="3109" spans="1:6" x14ac:dyDescent="0.25">
      <c r="A3109" t="s">
        <v>3235</v>
      </c>
      <c r="B3109" s="4">
        <v>81.96</v>
      </c>
      <c r="C3109" s="4">
        <v>10.5</v>
      </c>
      <c r="D3109" s="4">
        <v>71.459999999999994</v>
      </c>
      <c r="E3109">
        <v>12</v>
      </c>
      <c r="F3109">
        <v>12</v>
      </c>
    </row>
    <row r="3110" spans="1:6" x14ac:dyDescent="0.25">
      <c r="A3110" t="s">
        <v>3236</v>
      </c>
      <c r="B3110" s="4">
        <v>81.8</v>
      </c>
      <c r="C3110" s="4">
        <v>0</v>
      </c>
      <c r="D3110" s="4">
        <v>81.8</v>
      </c>
      <c r="E3110">
        <v>21</v>
      </c>
      <c r="F3110">
        <v>20</v>
      </c>
    </row>
    <row r="3111" spans="1:6" x14ac:dyDescent="0.25">
      <c r="A3111" t="s">
        <v>3237</v>
      </c>
      <c r="B3111" s="4">
        <v>81.66</v>
      </c>
      <c r="C3111" s="4">
        <v>0</v>
      </c>
      <c r="D3111" s="4">
        <v>81.66</v>
      </c>
      <c r="E3111">
        <v>18</v>
      </c>
      <c r="F3111">
        <v>18</v>
      </c>
    </row>
    <row r="3112" spans="1:6" x14ac:dyDescent="0.25">
      <c r="A3112" t="s">
        <v>3238</v>
      </c>
      <c r="B3112" s="4">
        <v>80.959999999999994</v>
      </c>
      <c r="C3112" s="4">
        <v>0</v>
      </c>
      <c r="D3112" s="4">
        <v>80.959999999999994</v>
      </c>
      <c r="E3112">
        <v>12</v>
      </c>
      <c r="F3112">
        <v>12</v>
      </c>
    </row>
    <row r="3113" spans="1:6" x14ac:dyDescent="0.25">
      <c r="A3113" t="s">
        <v>3239</v>
      </c>
      <c r="B3113" s="4">
        <v>80.55</v>
      </c>
      <c r="C3113" s="4">
        <v>0</v>
      </c>
      <c r="D3113" s="4">
        <v>80.55</v>
      </c>
      <c r="E3113">
        <v>6</v>
      </c>
      <c r="F3113">
        <v>6</v>
      </c>
    </row>
    <row r="3114" spans="1:6" x14ac:dyDescent="0.25">
      <c r="A3114" t="s">
        <v>3240</v>
      </c>
      <c r="B3114" s="4">
        <v>80.459999999999994</v>
      </c>
      <c r="C3114" s="4">
        <v>0</v>
      </c>
      <c r="D3114" s="4">
        <v>80.459999999999994</v>
      </c>
      <c r="E3114">
        <v>27</v>
      </c>
      <c r="F3114">
        <v>27</v>
      </c>
    </row>
    <row r="3115" spans="1:6" x14ac:dyDescent="0.25">
      <c r="A3115" t="s">
        <v>3241</v>
      </c>
      <c r="B3115" s="4">
        <v>80.16</v>
      </c>
      <c r="C3115" s="4">
        <v>4.2</v>
      </c>
      <c r="D3115" s="4">
        <v>75.959999999999994</v>
      </c>
      <c r="E3115">
        <v>14</v>
      </c>
      <c r="F3115">
        <v>13</v>
      </c>
    </row>
    <row r="3116" spans="1:6" x14ac:dyDescent="0.25">
      <c r="A3116" t="s">
        <v>3242</v>
      </c>
      <c r="B3116" s="4">
        <v>79.760000000000005</v>
      </c>
      <c r="C3116" s="4">
        <v>0</v>
      </c>
      <c r="D3116" s="4">
        <v>79.760000000000005</v>
      </c>
      <c r="E3116">
        <v>16</v>
      </c>
      <c r="F3116">
        <v>16</v>
      </c>
    </row>
    <row r="3117" spans="1:6" x14ac:dyDescent="0.25">
      <c r="A3117" t="s">
        <v>3243</v>
      </c>
      <c r="B3117" s="4">
        <v>79.66</v>
      </c>
      <c r="C3117" s="4">
        <v>0</v>
      </c>
      <c r="D3117" s="4">
        <v>79.66</v>
      </c>
      <c r="E3117">
        <v>6</v>
      </c>
      <c r="F3117">
        <v>6</v>
      </c>
    </row>
    <row r="3118" spans="1:6" x14ac:dyDescent="0.25">
      <c r="A3118" t="s">
        <v>3244</v>
      </c>
      <c r="B3118" s="4">
        <v>79.650000000000006</v>
      </c>
      <c r="C3118" s="4">
        <v>2.95</v>
      </c>
      <c r="D3118" s="4">
        <v>76.7</v>
      </c>
      <c r="E3118">
        <v>10</v>
      </c>
      <c r="F3118">
        <v>10</v>
      </c>
    </row>
    <row r="3119" spans="1:6" x14ac:dyDescent="0.25">
      <c r="A3119" t="s">
        <v>3245</v>
      </c>
      <c r="B3119" s="4">
        <v>79.05</v>
      </c>
      <c r="C3119" s="4">
        <v>0</v>
      </c>
      <c r="D3119" s="4">
        <v>79.05</v>
      </c>
      <c r="E3119">
        <v>5</v>
      </c>
      <c r="F3119">
        <v>5</v>
      </c>
    </row>
    <row r="3120" spans="1:6" x14ac:dyDescent="0.25">
      <c r="A3120" t="s">
        <v>3246</v>
      </c>
      <c r="B3120" s="4">
        <v>78.930000000000007</v>
      </c>
      <c r="C3120" s="4">
        <v>0</v>
      </c>
      <c r="D3120" s="4">
        <v>78.930000000000007</v>
      </c>
      <c r="E3120">
        <v>8</v>
      </c>
      <c r="F3120">
        <v>8</v>
      </c>
    </row>
    <row r="3121" spans="1:6" x14ac:dyDescent="0.25">
      <c r="A3121" t="s">
        <v>3247</v>
      </c>
      <c r="B3121" s="4">
        <v>78.75</v>
      </c>
      <c r="C3121" s="4">
        <v>0</v>
      </c>
      <c r="D3121" s="4">
        <v>78.75</v>
      </c>
      <c r="E3121">
        <v>12</v>
      </c>
      <c r="F3121">
        <v>11</v>
      </c>
    </row>
    <row r="3122" spans="1:6" x14ac:dyDescent="0.25">
      <c r="A3122" t="s">
        <v>3248</v>
      </c>
      <c r="B3122" s="4">
        <v>78.69</v>
      </c>
      <c r="C3122" s="4">
        <v>0</v>
      </c>
      <c r="D3122" s="4">
        <v>78.69</v>
      </c>
      <c r="E3122">
        <v>9</v>
      </c>
      <c r="F3122">
        <v>9</v>
      </c>
    </row>
    <row r="3123" spans="1:6" x14ac:dyDescent="0.25">
      <c r="A3123" t="s">
        <v>3249</v>
      </c>
      <c r="B3123" s="4">
        <v>78.09</v>
      </c>
      <c r="C3123" s="4">
        <v>0</v>
      </c>
      <c r="D3123" s="4">
        <v>78.09</v>
      </c>
      <c r="E3123">
        <v>21</v>
      </c>
      <c r="F3123">
        <v>21</v>
      </c>
    </row>
    <row r="3124" spans="1:6" x14ac:dyDescent="0.25">
      <c r="A3124" t="s">
        <v>3250</v>
      </c>
      <c r="B3124" s="4">
        <v>77.91</v>
      </c>
      <c r="C3124" s="4">
        <v>0</v>
      </c>
      <c r="D3124" s="4">
        <v>77.91</v>
      </c>
      <c r="E3124">
        <v>8</v>
      </c>
      <c r="F3124">
        <v>8</v>
      </c>
    </row>
    <row r="3125" spans="1:6" x14ac:dyDescent="0.25">
      <c r="A3125" t="s">
        <v>3251</v>
      </c>
      <c r="B3125" s="4">
        <v>77.790000000000006</v>
      </c>
      <c r="C3125" s="4">
        <v>0</v>
      </c>
      <c r="D3125" s="4">
        <v>77.790000000000006</v>
      </c>
      <c r="E3125">
        <v>28</v>
      </c>
      <c r="F3125">
        <v>28</v>
      </c>
    </row>
    <row r="3126" spans="1:6" x14ac:dyDescent="0.25">
      <c r="A3126" t="s">
        <v>3252</v>
      </c>
      <c r="B3126" s="4">
        <v>77.040000000000006</v>
      </c>
      <c r="C3126" s="4">
        <v>0</v>
      </c>
      <c r="D3126" s="4">
        <v>77.040000000000006</v>
      </c>
      <c r="E3126">
        <v>14</v>
      </c>
      <c r="F3126">
        <v>14</v>
      </c>
    </row>
    <row r="3127" spans="1:6" x14ac:dyDescent="0.25">
      <c r="A3127" t="s">
        <v>3253</v>
      </c>
      <c r="B3127" s="4">
        <v>76.91</v>
      </c>
      <c r="C3127" s="4">
        <v>11.25</v>
      </c>
      <c r="D3127" s="4">
        <v>65.66</v>
      </c>
      <c r="E3127">
        <v>20</v>
      </c>
      <c r="F3127">
        <v>20</v>
      </c>
    </row>
    <row r="3128" spans="1:6" x14ac:dyDescent="0.25">
      <c r="A3128" t="s">
        <v>3254</v>
      </c>
      <c r="B3128" s="4">
        <v>76.69</v>
      </c>
      <c r="C3128" s="4">
        <v>0</v>
      </c>
      <c r="D3128" s="4">
        <v>76.69</v>
      </c>
      <c r="E3128">
        <v>30</v>
      </c>
      <c r="F3128">
        <v>29</v>
      </c>
    </row>
    <row r="3129" spans="1:6" x14ac:dyDescent="0.25">
      <c r="A3129" t="s">
        <v>3255</v>
      </c>
      <c r="B3129" s="4">
        <v>76.680000000000007</v>
      </c>
      <c r="C3129" s="4">
        <v>0</v>
      </c>
      <c r="D3129" s="4">
        <v>76.680000000000007</v>
      </c>
      <c r="E3129">
        <v>32</v>
      </c>
      <c r="F3129">
        <v>32</v>
      </c>
    </row>
    <row r="3130" spans="1:6" x14ac:dyDescent="0.25">
      <c r="A3130" t="s">
        <v>3256</v>
      </c>
      <c r="B3130" s="4">
        <v>76.5</v>
      </c>
      <c r="C3130" s="4">
        <v>0</v>
      </c>
      <c r="D3130" s="4">
        <v>76.5</v>
      </c>
      <c r="E3130">
        <v>6</v>
      </c>
      <c r="F3130">
        <v>6</v>
      </c>
    </row>
    <row r="3131" spans="1:6" x14ac:dyDescent="0.25">
      <c r="A3131" t="s">
        <v>3257</v>
      </c>
      <c r="B3131" s="4">
        <v>76.44</v>
      </c>
      <c r="C3131" s="4">
        <v>17</v>
      </c>
      <c r="D3131" s="4">
        <v>59.44</v>
      </c>
      <c r="E3131">
        <v>6</v>
      </c>
      <c r="F3131">
        <v>6</v>
      </c>
    </row>
    <row r="3132" spans="1:6" x14ac:dyDescent="0.25">
      <c r="A3132" t="s">
        <v>3258</v>
      </c>
      <c r="B3132" s="4">
        <v>76.38</v>
      </c>
      <c r="C3132" s="4">
        <v>0</v>
      </c>
      <c r="D3132" s="4">
        <v>76.38</v>
      </c>
      <c r="E3132">
        <v>16</v>
      </c>
      <c r="F3132">
        <v>16</v>
      </c>
    </row>
    <row r="3133" spans="1:6" x14ac:dyDescent="0.25">
      <c r="A3133" t="s">
        <v>3259</v>
      </c>
      <c r="B3133" s="4">
        <v>76.319999999999993</v>
      </c>
      <c r="C3133" s="4">
        <v>0</v>
      </c>
      <c r="D3133" s="4">
        <v>76.319999999999993</v>
      </c>
      <c r="E3133">
        <v>6</v>
      </c>
      <c r="F3133">
        <v>6</v>
      </c>
    </row>
    <row r="3134" spans="1:6" x14ac:dyDescent="0.25">
      <c r="A3134" t="s">
        <v>3260</v>
      </c>
      <c r="B3134" s="4">
        <v>76.23</v>
      </c>
      <c r="C3134" s="4">
        <v>17.7</v>
      </c>
      <c r="D3134" s="4">
        <v>58.53</v>
      </c>
      <c r="E3134">
        <v>14</v>
      </c>
      <c r="F3134">
        <v>14</v>
      </c>
    </row>
    <row r="3135" spans="1:6" x14ac:dyDescent="0.25">
      <c r="A3135" t="s">
        <v>3261</v>
      </c>
      <c r="B3135" s="4">
        <v>76.14</v>
      </c>
      <c r="C3135" s="4">
        <v>0</v>
      </c>
      <c r="D3135" s="4">
        <v>76.14</v>
      </c>
      <c r="E3135">
        <v>18</v>
      </c>
      <c r="F3135">
        <v>18</v>
      </c>
    </row>
    <row r="3136" spans="1:6" x14ac:dyDescent="0.25">
      <c r="A3136" t="s">
        <v>3262</v>
      </c>
      <c r="B3136" s="4">
        <v>75.599999999999994</v>
      </c>
      <c r="C3136" s="4">
        <v>6.6</v>
      </c>
      <c r="D3136" s="4">
        <v>69</v>
      </c>
      <c r="E3136">
        <v>5</v>
      </c>
      <c r="F3136">
        <v>5</v>
      </c>
    </row>
    <row r="3137" spans="1:6" x14ac:dyDescent="0.25">
      <c r="A3137" t="s">
        <v>3263</v>
      </c>
      <c r="B3137" s="4">
        <v>75.349999999999994</v>
      </c>
      <c r="C3137" s="4">
        <v>0</v>
      </c>
      <c r="D3137" s="4">
        <v>75.349999999999994</v>
      </c>
      <c r="E3137">
        <v>25</v>
      </c>
      <c r="F3137">
        <v>25</v>
      </c>
    </row>
    <row r="3138" spans="1:6" x14ac:dyDescent="0.25">
      <c r="A3138" t="s">
        <v>3264</v>
      </c>
      <c r="B3138" s="4">
        <v>75.02</v>
      </c>
      <c r="C3138" s="4">
        <v>0</v>
      </c>
      <c r="D3138" s="4">
        <v>75.02</v>
      </c>
      <c r="E3138">
        <v>17</v>
      </c>
      <c r="F3138">
        <v>17</v>
      </c>
    </row>
    <row r="3139" spans="1:6" x14ac:dyDescent="0.25">
      <c r="A3139" t="s">
        <v>3265</v>
      </c>
      <c r="B3139" s="4">
        <v>74.88</v>
      </c>
      <c r="C3139" s="4">
        <v>0</v>
      </c>
      <c r="D3139" s="4">
        <v>74.88</v>
      </c>
      <c r="E3139">
        <v>3</v>
      </c>
      <c r="F3139">
        <v>3</v>
      </c>
    </row>
    <row r="3140" spans="1:6" x14ac:dyDescent="0.25">
      <c r="A3140" t="s">
        <v>3266</v>
      </c>
      <c r="B3140" s="4">
        <v>74.7</v>
      </c>
      <c r="C3140" s="4">
        <v>0</v>
      </c>
      <c r="D3140" s="4">
        <v>74.7</v>
      </c>
      <c r="E3140">
        <v>53</v>
      </c>
      <c r="F3140">
        <v>53</v>
      </c>
    </row>
    <row r="3141" spans="1:6" x14ac:dyDescent="0.25">
      <c r="A3141" t="s">
        <v>3267</v>
      </c>
      <c r="B3141" s="4">
        <v>74.64</v>
      </c>
      <c r="C3141" s="4">
        <v>0</v>
      </c>
      <c r="D3141" s="4">
        <v>74.64</v>
      </c>
      <c r="E3141">
        <v>11</v>
      </c>
      <c r="F3141">
        <v>10</v>
      </c>
    </row>
    <row r="3142" spans="1:6" x14ac:dyDescent="0.25">
      <c r="A3142" t="s">
        <v>3268</v>
      </c>
      <c r="B3142" s="4">
        <v>74.64</v>
      </c>
      <c r="C3142" s="4">
        <v>15.3</v>
      </c>
      <c r="D3142" s="4">
        <v>59.34</v>
      </c>
      <c r="E3142">
        <v>19</v>
      </c>
      <c r="F3142">
        <v>19</v>
      </c>
    </row>
    <row r="3143" spans="1:6" x14ac:dyDescent="0.25">
      <c r="A3143" t="s">
        <v>3269</v>
      </c>
      <c r="B3143" s="4">
        <v>74.61</v>
      </c>
      <c r="C3143" s="4">
        <v>0</v>
      </c>
      <c r="D3143" s="4">
        <v>74.61</v>
      </c>
      <c r="E3143">
        <v>9</v>
      </c>
      <c r="F3143">
        <v>9</v>
      </c>
    </row>
    <row r="3144" spans="1:6" x14ac:dyDescent="0.25">
      <c r="A3144" t="s">
        <v>3270</v>
      </c>
      <c r="B3144" s="4">
        <v>74.58</v>
      </c>
      <c r="C3144" s="4">
        <v>0</v>
      </c>
      <c r="D3144" s="4">
        <v>74.58</v>
      </c>
      <c r="E3144">
        <v>9</v>
      </c>
      <c r="F3144">
        <v>9</v>
      </c>
    </row>
    <row r="3145" spans="1:6" x14ac:dyDescent="0.25">
      <c r="A3145" t="s">
        <v>3271</v>
      </c>
      <c r="B3145" s="4">
        <v>74.569999999999993</v>
      </c>
      <c r="C3145" s="4">
        <v>0</v>
      </c>
      <c r="D3145" s="4">
        <v>74.569999999999993</v>
      </c>
      <c r="E3145">
        <v>16</v>
      </c>
      <c r="F3145">
        <v>16</v>
      </c>
    </row>
    <row r="3146" spans="1:6" x14ac:dyDescent="0.25">
      <c r="A3146" t="s">
        <v>3272</v>
      </c>
      <c r="B3146" s="4">
        <v>74.53</v>
      </c>
      <c r="C3146" s="4">
        <v>9.9</v>
      </c>
      <c r="D3146" s="4">
        <v>64.63</v>
      </c>
      <c r="E3146">
        <v>27</v>
      </c>
      <c r="F3146">
        <v>27</v>
      </c>
    </row>
    <row r="3147" spans="1:6" x14ac:dyDescent="0.25">
      <c r="A3147" t="s">
        <v>3273</v>
      </c>
      <c r="B3147" s="4">
        <v>74.25</v>
      </c>
      <c r="C3147" s="4">
        <v>0</v>
      </c>
      <c r="D3147" s="4">
        <v>74.25</v>
      </c>
      <c r="E3147">
        <v>8</v>
      </c>
      <c r="F3147">
        <v>8</v>
      </c>
    </row>
    <row r="3148" spans="1:6" x14ac:dyDescent="0.25">
      <c r="A3148" t="s">
        <v>3274</v>
      </c>
      <c r="B3148" s="4">
        <v>73.95</v>
      </c>
      <c r="C3148" s="4">
        <v>15.3</v>
      </c>
      <c r="D3148" s="4">
        <v>58.65</v>
      </c>
      <c r="E3148">
        <v>10</v>
      </c>
      <c r="F3148">
        <v>10</v>
      </c>
    </row>
    <row r="3149" spans="1:6" x14ac:dyDescent="0.25">
      <c r="A3149" t="s">
        <v>3275</v>
      </c>
      <c r="B3149" s="4">
        <v>73.53</v>
      </c>
      <c r="C3149" s="4">
        <v>17.7</v>
      </c>
      <c r="D3149" s="4">
        <v>55.83</v>
      </c>
      <c r="E3149">
        <v>14</v>
      </c>
      <c r="F3149">
        <v>14</v>
      </c>
    </row>
    <row r="3150" spans="1:6" x14ac:dyDescent="0.25">
      <c r="A3150" t="s">
        <v>3276</v>
      </c>
      <c r="B3150" s="4">
        <v>73.5</v>
      </c>
      <c r="C3150" s="4">
        <v>0</v>
      </c>
      <c r="D3150" s="4">
        <v>73.5</v>
      </c>
      <c r="E3150">
        <v>20</v>
      </c>
      <c r="F3150">
        <v>19</v>
      </c>
    </row>
    <row r="3151" spans="1:6" x14ac:dyDescent="0.25">
      <c r="A3151" t="s">
        <v>3277</v>
      </c>
      <c r="B3151" s="4">
        <v>72.77</v>
      </c>
      <c r="C3151" s="4">
        <v>0</v>
      </c>
      <c r="D3151" s="4">
        <v>72.77</v>
      </c>
      <c r="E3151">
        <v>33</v>
      </c>
      <c r="F3151">
        <v>33</v>
      </c>
    </row>
    <row r="3152" spans="1:6" x14ac:dyDescent="0.25">
      <c r="A3152" t="s">
        <v>3278</v>
      </c>
      <c r="B3152" s="4">
        <v>72.66</v>
      </c>
      <c r="C3152" s="4">
        <v>0</v>
      </c>
      <c r="D3152" s="4">
        <v>72.66</v>
      </c>
      <c r="E3152">
        <v>16</v>
      </c>
      <c r="F3152">
        <v>16</v>
      </c>
    </row>
    <row r="3153" spans="1:6" x14ac:dyDescent="0.25">
      <c r="A3153" t="s">
        <v>3279</v>
      </c>
      <c r="B3153" s="4">
        <v>72.63</v>
      </c>
      <c r="C3153" s="4">
        <v>0</v>
      </c>
      <c r="D3153" s="4">
        <v>72.63</v>
      </c>
      <c r="E3153">
        <v>21</v>
      </c>
      <c r="F3153">
        <v>20</v>
      </c>
    </row>
    <row r="3154" spans="1:6" x14ac:dyDescent="0.25">
      <c r="A3154" t="s">
        <v>3280</v>
      </c>
      <c r="B3154" s="4">
        <v>72.489999999999995</v>
      </c>
      <c r="C3154" s="4">
        <v>0</v>
      </c>
      <c r="D3154" s="4">
        <v>72.489999999999995</v>
      </c>
      <c r="E3154">
        <v>10</v>
      </c>
      <c r="F3154">
        <v>10</v>
      </c>
    </row>
    <row r="3155" spans="1:6" x14ac:dyDescent="0.25">
      <c r="A3155" t="s">
        <v>3281</v>
      </c>
      <c r="B3155" s="4">
        <v>72.459999999999994</v>
      </c>
      <c r="C3155" s="4">
        <v>0</v>
      </c>
      <c r="D3155" s="4">
        <v>72.459999999999994</v>
      </c>
      <c r="E3155">
        <v>14</v>
      </c>
      <c r="F3155">
        <v>13</v>
      </c>
    </row>
    <row r="3156" spans="1:6" x14ac:dyDescent="0.25">
      <c r="A3156" t="s">
        <v>3282</v>
      </c>
      <c r="B3156" s="4">
        <v>72</v>
      </c>
      <c r="C3156" s="4">
        <v>0</v>
      </c>
      <c r="D3156" s="4">
        <v>72</v>
      </c>
      <c r="E3156">
        <v>7</v>
      </c>
      <c r="F3156">
        <v>7</v>
      </c>
    </row>
    <row r="3157" spans="1:6" x14ac:dyDescent="0.25">
      <c r="A3157" t="s">
        <v>3283</v>
      </c>
      <c r="B3157" s="4">
        <v>71.400000000000006</v>
      </c>
      <c r="C3157" s="4">
        <v>0</v>
      </c>
      <c r="D3157" s="4">
        <v>71.400000000000006</v>
      </c>
      <c r="E3157">
        <v>5</v>
      </c>
      <c r="F3157">
        <v>5</v>
      </c>
    </row>
    <row r="3158" spans="1:6" x14ac:dyDescent="0.25">
      <c r="A3158" t="s">
        <v>3284</v>
      </c>
      <c r="B3158" s="4">
        <v>71.19</v>
      </c>
      <c r="C3158" s="4">
        <v>0</v>
      </c>
      <c r="D3158" s="4">
        <v>71.19</v>
      </c>
      <c r="E3158">
        <v>8</v>
      </c>
      <c r="F3158">
        <v>8</v>
      </c>
    </row>
    <row r="3159" spans="1:6" x14ac:dyDescent="0.25">
      <c r="A3159" t="s">
        <v>3285</v>
      </c>
      <c r="B3159" s="4">
        <v>71.05</v>
      </c>
      <c r="C3159" s="4">
        <v>0</v>
      </c>
      <c r="D3159" s="4">
        <v>71.05</v>
      </c>
      <c r="E3159">
        <v>9</v>
      </c>
      <c r="F3159">
        <v>9</v>
      </c>
    </row>
    <row r="3160" spans="1:6" x14ac:dyDescent="0.25">
      <c r="A3160" t="s">
        <v>3286</v>
      </c>
      <c r="B3160" s="4">
        <v>71</v>
      </c>
      <c r="C3160" s="4">
        <v>0</v>
      </c>
      <c r="D3160" s="4">
        <v>71</v>
      </c>
      <c r="E3160">
        <v>41</v>
      </c>
      <c r="F3160">
        <v>41</v>
      </c>
    </row>
    <row r="3161" spans="1:6" x14ac:dyDescent="0.25">
      <c r="A3161" t="s">
        <v>3287</v>
      </c>
      <c r="B3161" s="4">
        <v>70.97</v>
      </c>
      <c r="C3161" s="4">
        <v>0</v>
      </c>
      <c r="D3161" s="4">
        <v>70.97</v>
      </c>
      <c r="E3161">
        <v>8</v>
      </c>
      <c r="F3161">
        <v>8</v>
      </c>
    </row>
    <row r="3162" spans="1:6" x14ac:dyDescent="0.25">
      <c r="A3162" t="s">
        <v>3288</v>
      </c>
      <c r="B3162" s="4">
        <v>70.849999999999994</v>
      </c>
      <c r="C3162" s="4">
        <v>0</v>
      </c>
      <c r="D3162" s="4">
        <v>70.849999999999994</v>
      </c>
      <c r="E3162">
        <v>3</v>
      </c>
      <c r="F3162">
        <v>3</v>
      </c>
    </row>
    <row r="3163" spans="1:6" x14ac:dyDescent="0.25">
      <c r="A3163" t="s">
        <v>3289</v>
      </c>
      <c r="B3163" s="4">
        <v>70.78</v>
      </c>
      <c r="C3163" s="4">
        <v>2.2799999999999998</v>
      </c>
      <c r="D3163" s="4">
        <v>68.5</v>
      </c>
      <c r="E3163">
        <v>53</v>
      </c>
      <c r="F3163">
        <v>53</v>
      </c>
    </row>
    <row r="3164" spans="1:6" x14ac:dyDescent="0.25">
      <c r="A3164" t="s">
        <v>3290</v>
      </c>
      <c r="B3164" s="4">
        <v>70.569999999999993</v>
      </c>
      <c r="C3164" s="4">
        <v>0.28999999999999998</v>
      </c>
      <c r="D3164" s="4">
        <v>70.28</v>
      </c>
      <c r="E3164">
        <v>15</v>
      </c>
      <c r="F3164">
        <v>15</v>
      </c>
    </row>
    <row r="3165" spans="1:6" x14ac:dyDescent="0.25">
      <c r="A3165" t="s">
        <v>3291</v>
      </c>
      <c r="B3165" s="4">
        <v>70.45</v>
      </c>
      <c r="C3165" s="4">
        <v>0.39</v>
      </c>
      <c r="D3165" s="4">
        <v>70.06</v>
      </c>
      <c r="E3165">
        <v>18</v>
      </c>
      <c r="F3165">
        <v>18</v>
      </c>
    </row>
    <row r="3166" spans="1:6" x14ac:dyDescent="0.25">
      <c r="A3166" t="s">
        <v>3292</v>
      </c>
      <c r="B3166" s="4">
        <v>70.27</v>
      </c>
      <c r="C3166" s="4">
        <v>0</v>
      </c>
      <c r="D3166" s="4">
        <v>70.27</v>
      </c>
      <c r="E3166">
        <v>11</v>
      </c>
      <c r="F3166">
        <v>11</v>
      </c>
    </row>
    <row r="3167" spans="1:6" x14ac:dyDescent="0.25">
      <c r="A3167" t="s">
        <v>3293</v>
      </c>
      <c r="B3167" s="4">
        <v>70.16</v>
      </c>
      <c r="C3167" s="4">
        <v>0</v>
      </c>
      <c r="D3167" s="4">
        <v>70.16</v>
      </c>
      <c r="E3167">
        <v>7</v>
      </c>
      <c r="F3167">
        <v>7</v>
      </c>
    </row>
    <row r="3168" spans="1:6" x14ac:dyDescent="0.25">
      <c r="A3168" t="s">
        <v>3294</v>
      </c>
      <c r="B3168" s="4">
        <v>70</v>
      </c>
      <c r="C3168" s="4">
        <v>0</v>
      </c>
      <c r="D3168" s="4">
        <v>70</v>
      </c>
      <c r="E3168">
        <v>22</v>
      </c>
      <c r="F3168">
        <v>22</v>
      </c>
    </row>
    <row r="3169" spans="1:6" x14ac:dyDescent="0.25">
      <c r="A3169" t="s">
        <v>3295</v>
      </c>
      <c r="B3169" s="4">
        <v>69.900000000000006</v>
      </c>
      <c r="C3169" s="4">
        <v>0</v>
      </c>
      <c r="D3169" s="4">
        <v>69.900000000000006</v>
      </c>
      <c r="E3169">
        <v>17</v>
      </c>
      <c r="F3169">
        <v>17</v>
      </c>
    </row>
    <row r="3170" spans="1:6" x14ac:dyDescent="0.25">
      <c r="A3170" t="s">
        <v>3296</v>
      </c>
      <c r="B3170" s="4">
        <v>69.849999999999994</v>
      </c>
      <c r="C3170" s="4">
        <v>0</v>
      </c>
      <c r="D3170" s="4">
        <v>69.849999999999994</v>
      </c>
      <c r="E3170">
        <v>7</v>
      </c>
      <c r="F3170">
        <v>7</v>
      </c>
    </row>
    <row r="3171" spans="1:6" x14ac:dyDescent="0.25">
      <c r="A3171" t="s">
        <v>3297</v>
      </c>
      <c r="B3171" s="4">
        <v>69.84</v>
      </c>
      <c r="C3171" s="4">
        <v>0</v>
      </c>
      <c r="D3171" s="4">
        <v>69.84</v>
      </c>
      <c r="E3171">
        <v>8</v>
      </c>
      <c r="F3171">
        <v>8</v>
      </c>
    </row>
    <row r="3172" spans="1:6" x14ac:dyDescent="0.25">
      <c r="A3172" t="s">
        <v>3298</v>
      </c>
      <c r="B3172" s="4">
        <v>69.73</v>
      </c>
      <c r="C3172" s="4">
        <v>0</v>
      </c>
      <c r="D3172" s="4">
        <v>69.73</v>
      </c>
      <c r="E3172">
        <v>27</v>
      </c>
      <c r="F3172">
        <v>24</v>
      </c>
    </row>
    <row r="3173" spans="1:6" x14ac:dyDescent="0.25">
      <c r="A3173" t="s">
        <v>3299</v>
      </c>
      <c r="B3173" s="4">
        <v>69.63</v>
      </c>
      <c r="C3173" s="4">
        <v>0</v>
      </c>
      <c r="D3173" s="4">
        <v>69.63</v>
      </c>
      <c r="E3173">
        <v>6</v>
      </c>
      <c r="F3173">
        <v>6</v>
      </c>
    </row>
    <row r="3174" spans="1:6" x14ac:dyDescent="0.25">
      <c r="A3174" t="s">
        <v>3300</v>
      </c>
      <c r="B3174" s="4">
        <v>69.38</v>
      </c>
      <c r="C3174" s="4">
        <v>0</v>
      </c>
      <c r="D3174" s="4">
        <v>69.38</v>
      </c>
      <c r="E3174">
        <v>7</v>
      </c>
      <c r="F3174">
        <v>7</v>
      </c>
    </row>
    <row r="3175" spans="1:6" x14ac:dyDescent="0.25">
      <c r="A3175" t="s">
        <v>3301</v>
      </c>
      <c r="B3175" s="4">
        <v>68.73</v>
      </c>
      <c r="C3175" s="4">
        <v>0</v>
      </c>
      <c r="D3175" s="4">
        <v>68.73</v>
      </c>
      <c r="E3175">
        <v>11</v>
      </c>
      <c r="F3175">
        <v>11</v>
      </c>
    </row>
    <row r="3176" spans="1:6" x14ac:dyDescent="0.25">
      <c r="A3176" t="s">
        <v>3302</v>
      </c>
      <c r="B3176" s="4">
        <v>68.7</v>
      </c>
      <c r="C3176" s="4">
        <v>0</v>
      </c>
      <c r="D3176" s="4">
        <v>68.7</v>
      </c>
      <c r="E3176">
        <v>10</v>
      </c>
      <c r="F3176">
        <v>10</v>
      </c>
    </row>
    <row r="3177" spans="1:6" x14ac:dyDescent="0.25">
      <c r="A3177" t="s">
        <v>3303</v>
      </c>
      <c r="B3177" s="4">
        <v>68</v>
      </c>
      <c r="C3177" s="4">
        <v>0</v>
      </c>
      <c r="D3177" s="4">
        <v>68</v>
      </c>
      <c r="E3177">
        <v>4</v>
      </c>
      <c r="F3177">
        <v>4</v>
      </c>
    </row>
    <row r="3178" spans="1:6" x14ac:dyDescent="0.25">
      <c r="A3178" t="s">
        <v>3304</v>
      </c>
      <c r="B3178" s="4">
        <v>67.87</v>
      </c>
      <c r="C3178" s="4">
        <v>0</v>
      </c>
      <c r="D3178" s="4">
        <v>67.87</v>
      </c>
      <c r="E3178">
        <v>10</v>
      </c>
      <c r="F3178">
        <v>10</v>
      </c>
    </row>
    <row r="3179" spans="1:6" x14ac:dyDescent="0.25">
      <c r="A3179" t="s">
        <v>3305</v>
      </c>
      <c r="B3179" s="4">
        <v>67.849999999999994</v>
      </c>
      <c r="C3179" s="4">
        <v>32.450000000000003</v>
      </c>
      <c r="D3179" s="4">
        <v>35.4</v>
      </c>
      <c r="E3179">
        <v>10</v>
      </c>
      <c r="F3179">
        <v>9</v>
      </c>
    </row>
    <row r="3180" spans="1:6" x14ac:dyDescent="0.25">
      <c r="A3180" t="s">
        <v>3306</v>
      </c>
      <c r="B3180" s="4">
        <v>67.83</v>
      </c>
      <c r="C3180" s="4">
        <v>0</v>
      </c>
      <c r="D3180" s="4">
        <v>67.83</v>
      </c>
      <c r="E3180">
        <v>7</v>
      </c>
      <c r="F3180">
        <v>7</v>
      </c>
    </row>
    <row r="3181" spans="1:6" x14ac:dyDescent="0.25">
      <c r="A3181" t="s">
        <v>3307</v>
      </c>
      <c r="B3181" s="4">
        <v>67.62</v>
      </c>
      <c r="C3181" s="4">
        <v>0</v>
      </c>
      <c r="D3181" s="4">
        <v>67.62</v>
      </c>
      <c r="E3181">
        <v>7</v>
      </c>
      <c r="F3181">
        <v>7</v>
      </c>
    </row>
    <row r="3182" spans="1:6" x14ac:dyDescent="0.25">
      <c r="A3182" t="s">
        <v>3308</v>
      </c>
      <c r="B3182" s="4">
        <v>67.510000000000005</v>
      </c>
      <c r="C3182" s="4">
        <v>0</v>
      </c>
      <c r="D3182" s="4">
        <v>67.510000000000005</v>
      </c>
      <c r="E3182">
        <v>14</v>
      </c>
      <c r="F3182">
        <v>14</v>
      </c>
    </row>
    <row r="3183" spans="1:6" x14ac:dyDescent="0.25">
      <c r="A3183" t="s">
        <v>3309</v>
      </c>
      <c r="B3183" s="4">
        <v>67.5</v>
      </c>
      <c r="C3183" s="4">
        <v>0</v>
      </c>
      <c r="D3183" s="4">
        <v>67.5</v>
      </c>
      <c r="E3183">
        <v>12</v>
      </c>
      <c r="F3183">
        <v>12</v>
      </c>
    </row>
    <row r="3184" spans="1:6" x14ac:dyDescent="0.25">
      <c r="A3184" t="s">
        <v>3310</v>
      </c>
      <c r="B3184" s="4">
        <v>67.5</v>
      </c>
      <c r="C3184" s="4">
        <v>0</v>
      </c>
      <c r="D3184" s="4">
        <v>67.5</v>
      </c>
      <c r="E3184">
        <v>13</v>
      </c>
      <c r="F3184">
        <v>13</v>
      </c>
    </row>
    <row r="3185" spans="1:6" x14ac:dyDescent="0.25">
      <c r="A3185" t="s">
        <v>3311</v>
      </c>
      <c r="B3185" s="4">
        <v>67.39</v>
      </c>
      <c r="C3185" s="4">
        <v>0</v>
      </c>
      <c r="D3185" s="4">
        <v>67.39</v>
      </c>
      <c r="E3185">
        <v>29</v>
      </c>
      <c r="F3185">
        <v>29</v>
      </c>
    </row>
    <row r="3186" spans="1:6" x14ac:dyDescent="0.25">
      <c r="A3186" t="s">
        <v>3312</v>
      </c>
      <c r="B3186" s="4">
        <v>67.36</v>
      </c>
      <c r="C3186" s="4">
        <v>0</v>
      </c>
      <c r="D3186" s="4">
        <v>67.36</v>
      </c>
      <c r="E3186">
        <v>14</v>
      </c>
      <c r="F3186">
        <v>14</v>
      </c>
    </row>
    <row r="3187" spans="1:6" x14ac:dyDescent="0.25">
      <c r="A3187" t="s">
        <v>3313</v>
      </c>
      <c r="B3187" s="4">
        <v>67.28</v>
      </c>
      <c r="C3187" s="4">
        <v>17</v>
      </c>
      <c r="D3187" s="4">
        <v>50.28</v>
      </c>
      <c r="E3187">
        <v>6</v>
      </c>
      <c r="F3187">
        <v>6</v>
      </c>
    </row>
    <row r="3188" spans="1:6" x14ac:dyDescent="0.25">
      <c r="A3188" t="s">
        <v>3314</v>
      </c>
      <c r="B3188" s="4">
        <v>67.13</v>
      </c>
      <c r="C3188" s="4">
        <v>0</v>
      </c>
      <c r="D3188" s="4">
        <v>67.13</v>
      </c>
      <c r="E3188">
        <v>20</v>
      </c>
      <c r="F3188">
        <v>18</v>
      </c>
    </row>
    <row r="3189" spans="1:6" x14ac:dyDescent="0.25">
      <c r="A3189" t="s">
        <v>3315</v>
      </c>
      <c r="B3189" s="4">
        <v>66.760000000000005</v>
      </c>
      <c r="C3189" s="4">
        <v>0</v>
      </c>
      <c r="D3189" s="4">
        <v>66.760000000000005</v>
      </c>
      <c r="E3189">
        <v>12</v>
      </c>
      <c r="F3189">
        <v>11</v>
      </c>
    </row>
    <row r="3190" spans="1:6" x14ac:dyDescent="0.25">
      <c r="A3190" t="s">
        <v>3316</v>
      </c>
      <c r="B3190" s="4">
        <v>66.7</v>
      </c>
      <c r="C3190" s="4">
        <v>0</v>
      </c>
      <c r="D3190" s="4">
        <v>66.7</v>
      </c>
      <c r="E3190">
        <v>11</v>
      </c>
      <c r="F3190">
        <v>11</v>
      </c>
    </row>
    <row r="3191" spans="1:6" x14ac:dyDescent="0.25">
      <c r="A3191" t="s">
        <v>3317</v>
      </c>
      <c r="B3191" s="4">
        <v>66.55</v>
      </c>
      <c r="C3191" s="4">
        <v>0</v>
      </c>
      <c r="D3191" s="4">
        <v>66.55</v>
      </c>
      <c r="E3191">
        <v>7</v>
      </c>
      <c r="F3191">
        <v>7</v>
      </c>
    </row>
    <row r="3192" spans="1:6" x14ac:dyDescent="0.25">
      <c r="A3192" t="s">
        <v>3318</v>
      </c>
      <c r="B3192" s="4">
        <v>66.39</v>
      </c>
      <c r="C3192" s="4">
        <v>0</v>
      </c>
      <c r="D3192" s="4">
        <v>66.39</v>
      </c>
      <c r="E3192">
        <v>8</v>
      </c>
      <c r="F3192">
        <v>8</v>
      </c>
    </row>
    <row r="3193" spans="1:6" x14ac:dyDescent="0.25">
      <c r="A3193" t="s">
        <v>3319</v>
      </c>
      <c r="B3193" s="4">
        <v>66.36</v>
      </c>
      <c r="C3193" s="4">
        <v>0</v>
      </c>
      <c r="D3193" s="4">
        <v>66.36</v>
      </c>
      <c r="E3193">
        <v>7</v>
      </c>
      <c r="F3193">
        <v>7</v>
      </c>
    </row>
    <row r="3194" spans="1:6" x14ac:dyDescent="0.25">
      <c r="A3194" t="s">
        <v>3320</v>
      </c>
      <c r="B3194" s="4">
        <v>66.319999999999993</v>
      </c>
      <c r="C3194" s="4">
        <v>0</v>
      </c>
      <c r="D3194" s="4">
        <v>66.319999999999993</v>
      </c>
      <c r="E3194">
        <v>5</v>
      </c>
      <c r="F3194">
        <v>5</v>
      </c>
    </row>
    <row r="3195" spans="1:6" x14ac:dyDescent="0.25">
      <c r="A3195" t="s">
        <v>3321</v>
      </c>
      <c r="B3195" s="4">
        <v>66.260000000000005</v>
      </c>
      <c r="C3195" s="4">
        <v>0</v>
      </c>
      <c r="D3195" s="4">
        <v>66.260000000000005</v>
      </c>
      <c r="E3195">
        <v>20</v>
      </c>
      <c r="F3195">
        <v>20</v>
      </c>
    </row>
    <row r="3196" spans="1:6" x14ac:dyDescent="0.25">
      <c r="A3196" t="s">
        <v>3322</v>
      </c>
      <c r="B3196" s="4">
        <v>66.12</v>
      </c>
      <c r="C3196" s="4">
        <v>0</v>
      </c>
      <c r="D3196" s="4">
        <v>66.12</v>
      </c>
      <c r="E3196">
        <v>8</v>
      </c>
      <c r="F3196">
        <v>8</v>
      </c>
    </row>
    <row r="3197" spans="1:6" x14ac:dyDescent="0.25">
      <c r="A3197" t="s">
        <v>3323</v>
      </c>
      <c r="B3197" s="4">
        <v>65.8</v>
      </c>
      <c r="C3197" s="4">
        <v>0</v>
      </c>
      <c r="D3197" s="4">
        <v>65.8</v>
      </c>
      <c r="E3197">
        <v>8</v>
      </c>
      <c r="F3197">
        <v>8</v>
      </c>
    </row>
    <row r="3198" spans="1:6" x14ac:dyDescent="0.25">
      <c r="A3198" t="s">
        <v>3324</v>
      </c>
      <c r="B3198" s="4">
        <v>65.489999999999995</v>
      </c>
      <c r="C3198" s="4">
        <v>0</v>
      </c>
      <c r="D3198" s="4">
        <v>65.489999999999995</v>
      </c>
      <c r="E3198">
        <v>20</v>
      </c>
      <c r="F3198">
        <v>19</v>
      </c>
    </row>
    <row r="3199" spans="1:6" x14ac:dyDescent="0.25">
      <c r="A3199" t="s">
        <v>3325</v>
      </c>
      <c r="B3199" s="4">
        <v>65.040000000000006</v>
      </c>
      <c r="C3199" s="4">
        <v>0</v>
      </c>
      <c r="D3199" s="4">
        <v>65.040000000000006</v>
      </c>
      <c r="E3199">
        <v>37</v>
      </c>
      <c r="F3199">
        <v>37</v>
      </c>
    </row>
    <row r="3200" spans="1:6" x14ac:dyDescent="0.25">
      <c r="A3200" t="s">
        <v>3326</v>
      </c>
      <c r="B3200" s="4">
        <v>64.900000000000006</v>
      </c>
      <c r="C3200" s="4">
        <v>0</v>
      </c>
      <c r="D3200" s="4">
        <v>64.900000000000006</v>
      </c>
      <c r="E3200">
        <v>18</v>
      </c>
      <c r="F3200">
        <v>18</v>
      </c>
    </row>
    <row r="3201" spans="1:6" x14ac:dyDescent="0.25">
      <c r="A3201" t="s">
        <v>3327</v>
      </c>
      <c r="B3201" s="4">
        <v>64.58</v>
      </c>
      <c r="C3201" s="4">
        <v>0</v>
      </c>
      <c r="D3201" s="4">
        <v>64.58</v>
      </c>
      <c r="E3201">
        <v>15</v>
      </c>
      <c r="F3201">
        <v>15</v>
      </c>
    </row>
    <row r="3202" spans="1:6" x14ac:dyDescent="0.25">
      <c r="A3202" t="s">
        <v>3328</v>
      </c>
      <c r="B3202" s="4">
        <v>64.459999999999994</v>
      </c>
      <c r="C3202" s="4">
        <v>17.7</v>
      </c>
      <c r="D3202" s="4">
        <v>46.76</v>
      </c>
      <c r="E3202">
        <v>11</v>
      </c>
      <c r="F3202">
        <v>11</v>
      </c>
    </row>
    <row r="3203" spans="1:6" x14ac:dyDescent="0.25">
      <c r="A3203" t="s">
        <v>3329</v>
      </c>
      <c r="B3203" s="4">
        <v>64.38</v>
      </c>
      <c r="C3203" s="4">
        <v>0</v>
      </c>
      <c r="D3203" s="4">
        <v>64.38</v>
      </c>
      <c r="E3203">
        <v>6</v>
      </c>
      <c r="F3203">
        <v>5</v>
      </c>
    </row>
    <row r="3204" spans="1:6" x14ac:dyDescent="0.25">
      <c r="A3204" t="s">
        <v>3330</v>
      </c>
      <c r="B3204" s="4">
        <v>64.28</v>
      </c>
      <c r="C3204" s="4">
        <v>17.7</v>
      </c>
      <c r="D3204" s="4">
        <v>46.58</v>
      </c>
      <c r="E3204">
        <v>15</v>
      </c>
      <c r="F3204">
        <v>15</v>
      </c>
    </row>
    <row r="3205" spans="1:6" x14ac:dyDescent="0.25">
      <c r="A3205" t="s">
        <v>3331</v>
      </c>
      <c r="B3205" s="4">
        <v>64.08</v>
      </c>
      <c r="C3205" s="4">
        <v>0</v>
      </c>
      <c r="D3205" s="4">
        <v>64.08</v>
      </c>
      <c r="E3205">
        <v>5</v>
      </c>
      <c r="F3205">
        <v>5</v>
      </c>
    </row>
    <row r="3206" spans="1:6" x14ac:dyDescent="0.25">
      <c r="A3206" t="s">
        <v>3332</v>
      </c>
      <c r="B3206" s="4">
        <v>64.040000000000006</v>
      </c>
      <c r="C3206" s="4">
        <v>0</v>
      </c>
      <c r="D3206" s="4">
        <v>64.040000000000006</v>
      </c>
      <c r="E3206">
        <v>7</v>
      </c>
      <c r="F3206">
        <v>7</v>
      </c>
    </row>
    <row r="3207" spans="1:6" x14ac:dyDescent="0.25">
      <c r="A3207" t="s">
        <v>3333</v>
      </c>
      <c r="B3207" s="4">
        <v>63.75</v>
      </c>
      <c r="C3207" s="4">
        <v>0</v>
      </c>
      <c r="D3207" s="4">
        <v>63.75</v>
      </c>
      <c r="E3207">
        <v>8</v>
      </c>
      <c r="F3207">
        <v>7</v>
      </c>
    </row>
    <row r="3208" spans="1:6" x14ac:dyDescent="0.25">
      <c r="A3208" t="s">
        <v>3334</v>
      </c>
      <c r="B3208" s="4">
        <v>63.75</v>
      </c>
      <c r="C3208" s="4">
        <v>0</v>
      </c>
      <c r="D3208" s="4">
        <v>63.75</v>
      </c>
      <c r="E3208">
        <v>8</v>
      </c>
      <c r="F3208">
        <v>8</v>
      </c>
    </row>
    <row r="3209" spans="1:6" x14ac:dyDescent="0.25">
      <c r="A3209" t="s">
        <v>3335</v>
      </c>
      <c r="B3209" s="4">
        <v>63.72</v>
      </c>
      <c r="C3209" s="4">
        <v>0</v>
      </c>
      <c r="D3209" s="4">
        <v>63.72</v>
      </c>
      <c r="E3209">
        <v>44</v>
      </c>
      <c r="F3209">
        <v>43</v>
      </c>
    </row>
    <row r="3210" spans="1:6" x14ac:dyDescent="0.25">
      <c r="A3210" t="s">
        <v>3336</v>
      </c>
      <c r="B3210" s="4">
        <v>63.51</v>
      </c>
      <c r="C3210" s="4">
        <v>0</v>
      </c>
      <c r="D3210" s="4">
        <v>63.51</v>
      </c>
      <c r="E3210">
        <v>17</v>
      </c>
      <c r="F3210">
        <v>16</v>
      </c>
    </row>
    <row r="3211" spans="1:6" x14ac:dyDescent="0.25">
      <c r="A3211" t="s">
        <v>3337</v>
      </c>
      <c r="B3211" s="4">
        <v>63.48</v>
      </c>
      <c r="C3211" s="4">
        <v>0</v>
      </c>
      <c r="D3211" s="4">
        <v>63.48</v>
      </c>
      <c r="E3211">
        <v>5</v>
      </c>
      <c r="F3211">
        <v>5</v>
      </c>
    </row>
    <row r="3212" spans="1:6" x14ac:dyDescent="0.25">
      <c r="A3212" t="s">
        <v>3338</v>
      </c>
      <c r="B3212" s="4">
        <v>63.28</v>
      </c>
      <c r="C3212" s="4">
        <v>0</v>
      </c>
      <c r="D3212" s="4">
        <v>63.28</v>
      </c>
      <c r="E3212">
        <v>5</v>
      </c>
      <c r="F3212">
        <v>5</v>
      </c>
    </row>
    <row r="3213" spans="1:6" x14ac:dyDescent="0.25">
      <c r="A3213" t="s">
        <v>3339</v>
      </c>
      <c r="B3213" s="4">
        <v>63.21</v>
      </c>
      <c r="C3213" s="4">
        <v>0</v>
      </c>
      <c r="D3213" s="4">
        <v>63.21</v>
      </c>
      <c r="E3213">
        <v>8</v>
      </c>
      <c r="F3213">
        <v>8</v>
      </c>
    </row>
    <row r="3214" spans="1:6" x14ac:dyDescent="0.25">
      <c r="A3214" t="s">
        <v>3340</v>
      </c>
      <c r="B3214" s="4">
        <v>63.11</v>
      </c>
      <c r="C3214" s="4">
        <v>0</v>
      </c>
      <c r="D3214" s="4">
        <v>63.11</v>
      </c>
      <c r="E3214">
        <v>10</v>
      </c>
      <c r="F3214">
        <v>10</v>
      </c>
    </row>
    <row r="3215" spans="1:6" x14ac:dyDescent="0.25">
      <c r="A3215" t="s">
        <v>3341</v>
      </c>
      <c r="B3215" s="4">
        <v>63</v>
      </c>
      <c r="C3215" s="4">
        <v>0</v>
      </c>
      <c r="D3215" s="4">
        <v>63</v>
      </c>
      <c r="E3215">
        <v>1</v>
      </c>
      <c r="F3215">
        <v>1</v>
      </c>
    </row>
    <row r="3216" spans="1:6" x14ac:dyDescent="0.25">
      <c r="A3216" t="s">
        <v>3342</v>
      </c>
      <c r="B3216" s="4">
        <v>62.9</v>
      </c>
      <c r="C3216" s="4">
        <v>3.4</v>
      </c>
      <c r="D3216" s="4">
        <v>59.5</v>
      </c>
      <c r="E3216">
        <v>16</v>
      </c>
      <c r="F3216">
        <v>16</v>
      </c>
    </row>
    <row r="3217" spans="1:6" x14ac:dyDescent="0.25">
      <c r="A3217" t="s">
        <v>3343</v>
      </c>
      <c r="B3217" s="4">
        <v>62.5</v>
      </c>
      <c r="C3217" s="4">
        <v>0</v>
      </c>
      <c r="D3217" s="4">
        <v>62.5</v>
      </c>
      <c r="E3217">
        <v>6</v>
      </c>
      <c r="F3217">
        <v>6</v>
      </c>
    </row>
    <row r="3218" spans="1:6" x14ac:dyDescent="0.25">
      <c r="A3218" t="s">
        <v>3344</v>
      </c>
      <c r="B3218" s="4">
        <v>62.35</v>
      </c>
      <c r="C3218" s="4">
        <v>0</v>
      </c>
      <c r="D3218" s="4">
        <v>62.35</v>
      </c>
      <c r="E3218">
        <v>9</v>
      </c>
      <c r="F3218">
        <v>8</v>
      </c>
    </row>
    <row r="3219" spans="1:6" x14ac:dyDescent="0.25">
      <c r="A3219" t="s">
        <v>3345</v>
      </c>
      <c r="B3219" s="4">
        <v>62.27</v>
      </c>
      <c r="C3219" s="4">
        <v>0</v>
      </c>
      <c r="D3219" s="4">
        <v>62.27</v>
      </c>
      <c r="E3219">
        <v>12</v>
      </c>
      <c r="F3219">
        <v>12</v>
      </c>
    </row>
    <row r="3220" spans="1:6" x14ac:dyDescent="0.25">
      <c r="A3220" t="s">
        <v>3346</v>
      </c>
      <c r="B3220" s="4">
        <v>62.24</v>
      </c>
      <c r="C3220" s="4">
        <v>0.78</v>
      </c>
      <c r="D3220" s="4">
        <v>61.46</v>
      </c>
      <c r="E3220">
        <v>17</v>
      </c>
      <c r="F3220">
        <v>16</v>
      </c>
    </row>
    <row r="3221" spans="1:6" x14ac:dyDescent="0.25">
      <c r="A3221" t="s">
        <v>3347</v>
      </c>
      <c r="B3221" s="4">
        <v>62.06</v>
      </c>
      <c r="C3221" s="4">
        <v>0</v>
      </c>
      <c r="D3221" s="4">
        <v>62.06</v>
      </c>
      <c r="E3221">
        <v>19</v>
      </c>
      <c r="F3221">
        <v>19</v>
      </c>
    </row>
    <row r="3222" spans="1:6" x14ac:dyDescent="0.25">
      <c r="A3222" t="s">
        <v>3348</v>
      </c>
      <c r="B3222" s="4">
        <v>61.95</v>
      </c>
      <c r="C3222" s="4">
        <v>0</v>
      </c>
      <c r="D3222" s="4">
        <v>61.95</v>
      </c>
      <c r="E3222">
        <v>8</v>
      </c>
      <c r="F3222">
        <v>8</v>
      </c>
    </row>
    <row r="3223" spans="1:6" x14ac:dyDescent="0.25">
      <c r="A3223" t="s">
        <v>3349</v>
      </c>
      <c r="B3223" s="4">
        <v>61.56</v>
      </c>
      <c r="C3223" s="4">
        <v>0</v>
      </c>
      <c r="D3223" s="4">
        <v>61.56</v>
      </c>
      <c r="E3223">
        <v>7</v>
      </c>
      <c r="F3223">
        <v>7</v>
      </c>
    </row>
    <row r="3224" spans="1:6" x14ac:dyDescent="0.25">
      <c r="A3224" t="s">
        <v>3350</v>
      </c>
      <c r="B3224" s="4">
        <v>61.46</v>
      </c>
      <c r="C3224" s="4">
        <v>0</v>
      </c>
      <c r="D3224" s="4">
        <v>61.46</v>
      </c>
      <c r="E3224">
        <v>25</v>
      </c>
      <c r="F3224">
        <v>25</v>
      </c>
    </row>
    <row r="3225" spans="1:6" x14ac:dyDescent="0.25">
      <c r="A3225" t="s">
        <v>3351</v>
      </c>
      <c r="B3225" s="4">
        <v>61.25</v>
      </c>
      <c r="C3225" s="4">
        <v>0</v>
      </c>
      <c r="D3225" s="4">
        <v>61.25</v>
      </c>
      <c r="E3225">
        <v>3</v>
      </c>
      <c r="F3225">
        <v>3</v>
      </c>
    </row>
    <row r="3226" spans="1:6" x14ac:dyDescent="0.25">
      <c r="A3226" t="s">
        <v>3352</v>
      </c>
      <c r="B3226" s="4">
        <v>61.08</v>
      </c>
      <c r="C3226" s="4">
        <v>0</v>
      </c>
      <c r="D3226" s="4">
        <v>61.08</v>
      </c>
      <c r="E3226">
        <v>17</v>
      </c>
      <c r="F3226">
        <v>17</v>
      </c>
    </row>
    <row r="3227" spans="1:6" x14ac:dyDescent="0.25">
      <c r="A3227" t="s">
        <v>3353</v>
      </c>
      <c r="B3227" s="4">
        <v>61.05</v>
      </c>
      <c r="C3227" s="4">
        <v>0</v>
      </c>
      <c r="D3227" s="4">
        <v>61.05</v>
      </c>
      <c r="E3227">
        <v>8</v>
      </c>
      <c r="F3227">
        <v>8</v>
      </c>
    </row>
    <row r="3228" spans="1:6" x14ac:dyDescent="0.25">
      <c r="A3228" t="s">
        <v>3354</v>
      </c>
      <c r="B3228" s="4">
        <v>60.9</v>
      </c>
      <c r="C3228" s="4">
        <v>7.25</v>
      </c>
      <c r="D3228" s="4">
        <v>53.65</v>
      </c>
      <c r="E3228">
        <v>20</v>
      </c>
      <c r="F3228">
        <v>18</v>
      </c>
    </row>
    <row r="3229" spans="1:6" x14ac:dyDescent="0.25">
      <c r="A3229" t="s">
        <v>3355</v>
      </c>
      <c r="B3229" s="4">
        <v>60.84</v>
      </c>
      <c r="C3229" s="4">
        <v>60.84</v>
      </c>
      <c r="D3229" s="4">
        <v>0</v>
      </c>
      <c r="E3229">
        <v>2</v>
      </c>
      <c r="F3229">
        <v>2</v>
      </c>
    </row>
    <row r="3230" spans="1:6" x14ac:dyDescent="0.25">
      <c r="A3230" t="s">
        <v>3356</v>
      </c>
      <c r="B3230" s="4">
        <v>60.75</v>
      </c>
      <c r="C3230" s="4">
        <v>0</v>
      </c>
      <c r="D3230" s="4">
        <v>60.75</v>
      </c>
      <c r="E3230">
        <v>5</v>
      </c>
      <c r="F3230">
        <v>4</v>
      </c>
    </row>
    <row r="3231" spans="1:6" x14ac:dyDescent="0.25">
      <c r="A3231" t="s">
        <v>3357</v>
      </c>
      <c r="B3231" s="4">
        <v>60.7</v>
      </c>
      <c r="C3231" s="4">
        <v>0</v>
      </c>
      <c r="D3231" s="4">
        <v>60.7</v>
      </c>
      <c r="E3231">
        <v>38</v>
      </c>
      <c r="F3231">
        <v>38</v>
      </c>
    </row>
    <row r="3232" spans="1:6" x14ac:dyDescent="0.25">
      <c r="A3232" t="s">
        <v>3358</v>
      </c>
      <c r="B3232" s="4">
        <v>60.45</v>
      </c>
      <c r="C3232" s="4">
        <v>0</v>
      </c>
      <c r="D3232" s="4">
        <v>60.45</v>
      </c>
      <c r="E3232">
        <v>4</v>
      </c>
      <c r="F3232">
        <v>4</v>
      </c>
    </row>
    <row r="3233" spans="1:6" x14ac:dyDescent="0.25">
      <c r="A3233" t="s">
        <v>3359</v>
      </c>
      <c r="B3233" s="4">
        <v>60</v>
      </c>
      <c r="C3233" s="4">
        <v>0</v>
      </c>
      <c r="D3233" s="4">
        <v>60</v>
      </c>
      <c r="E3233">
        <v>4</v>
      </c>
      <c r="F3233">
        <v>4</v>
      </c>
    </row>
    <row r="3234" spans="1:6" x14ac:dyDescent="0.25">
      <c r="A3234" t="s">
        <v>3360</v>
      </c>
      <c r="B3234" s="4">
        <v>59.89</v>
      </c>
      <c r="C3234" s="4">
        <v>0</v>
      </c>
      <c r="D3234" s="4">
        <v>59.89</v>
      </c>
      <c r="E3234">
        <v>7</v>
      </c>
      <c r="F3234">
        <v>7</v>
      </c>
    </row>
    <row r="3235" spans="1:6" x14ac:dyDescent="0.25">
      <c r="A3235" t="s">
        <v>3361</v>
      </c>
      <c r="B3235" s="4">
        <v>59.8</v>
      </c>
      <c r="C3235" s="4">
        <v>0</v>
      </c>
      <c r="D3235" s="4">
        <v>59.8</v>
      </c>
      <c r="E3235">
        <v>9</v>
      </c>
      <c r="F3235">
        <v>9</v>
      </c>
    </row>
    <row r="3236" spans="1:6" x14ac:dyDescent="0.25">
      <c r="A3236" t="s">
        <v>3362</v>
      </c>
      <c r="B3236" s="4">
        <v>59.76</v>
      </c>
      <c r="C3236" s="4">
        <v>0</v>
      </c>
      <c r="D3236" s="4">
        <v>59.76</v>
      </c>
      <c r="E3236">
        <v>10</v>
      </c>
      <c r="F3236">
        <v>10</v>
      </c>
    </row>
    <row r="3237" spans="1:6" x14ac:dyDescent="0.25">
      <c r="A3237" t="s">
        <v>3363</v>
      </c>
      <c r="B3237" s="4">
        <v>59.4</v>
      </c>
      <c r="C3237" s="4">
        <v>0</v>
      </c>
      <c r="D3237" s="4">
        <v>59.4</v>
      </c>
      <c r="E3237">
        <v>8</v>
      </c>
      <c r="F3237">
        <v>8</v>
      </c>
    </row>
    <row r="3238" spans="1:6" x14ac:dyDescent="0.25">
      <c r="A3238" t="s">
        <v>3364</v>
      </c>
      <c r="B3238" s="4">
        <v>59</v>
      </c>
      <c r="C3238" s="4">
        <v>0</v>
      </c>
      <c r="D3238" s="4">
        <v>59</v>
      </c>
      <c r="E3238">
        <v>11</v>
      </c>
      <c r="F3238">
        <v>11</v>
      </c>
    </row>
    <row r="3239" spans="1:6" x14ac:dyDescent="0.25">
      <c r="A3239" t="s">
        <v>3365</v>
      </c>
      <c r="B3239" s="4">
        <v>58.71</v>
      </c>
      <c r="C3239" s="4">
        <v>17.7</v>
      </c>
      <c r="D3239" s="4">
        <v>41.01</v>
      </c>
      <c r="E3239">
        <v>14</v>
      </c>
      <c r="F3239">
        <v>14</v>
      </c>
    </row>
    <row r="3240" spans="1:6" x14ac:dyDescent="0.25">
      <c r="A3240" t="s">
        <v>3366</v>
      </c>
      <c r="B3240" s="4">
        <v>58.65</v>
      </c>
      <c r="C3240" s="4">
        <v>0</v>
      </c>
      <c r="D3240" s="4">
        <v>58.65</v>
      </c>
      <c r="E3240">
        <v>22</v>
      </c>
      <c r="F3240">
        <v>21</v>
      </c>
    </row>
    <row r="3241" spans="1:6" x14ac:dyDescent="0.25">
      <c r="A3241" t="s">
        <v>3367</v>
      </c>
      <c r="B3241" s="4">
        <v>58.65</v>
      </c>
      <c r="C3241" s="4">
        <v>30.6</v>
      </c>
      <c r="D3241" s="4">
        <v>28.05</v>
      </c>
      <c r="E3241">
        <v>4</v>
      </c>
      <c r="F3241">
        <v>4</v>
      </c>
    </row>
    <row r="3242" spans="1:6" x14ac:dyDescent="0.25">
      <c r="A3242" t="s">
        <v>3368</v>
      </c>
      <c r="B3242" s="4">
        <v>58.62</v>
      </c>
      <c r="C3242" s="4">
        <v>0</v>
      </c>
      <c r="D3242" s="4">
        <v>58.62</v>
      </c>
      <c r="E3242">
        <v>11</v>
      </c>
      <c r="F3242">
        <v>11</v>
      </c>
    </row>
    <row r="3243" spans="1:6" x14ac:dyDescent="0.25">
      <c r="A3243" t="s">
        <v>3369</v>
      </c>
      <c r="B3243" s="4">
        <v>58.43</v>
      </c>
      <c r="C3243" s="4">
        <v>0</v>
      </c>
      <c r="D3243" s="4">
        <v>58.43</v>
      </c>
      <c r="E3243">
        <v>19</v>
      </c>
      <c r="F3243">
        <v>19</v>
      </c>
    </row>
    <row r="3244" spans="1:6" x14ac:dyDescent="0.25">
      <c r="A3244" t="s">
        <v>3370</v>
      </c>
      <c r="B3244" s="4">
        <v>58.16</v>
      </c>
      <c r="C3244" s="4">
        <v>0</v>
      </c>
      <c r="D3244" s="4">
        <v>58.16</v>
      </c>
      <c r="E3244">
        <v>4</v>
      </c>
      <c r="F3244">
        <v>4</v>
      </c>
    </row>
    <row r="3245" spans="1:6" x14ac:dyDescent="0.25">
      <c r="A3245" t="s">
        <v>3371</v>
      </c>
      <c r="B3245" s="4">
        <v>58.03</v>
      </c>
      <c r="C3245" s="4">
        <v>0</v>
      </c>
      <c r="D3245" s="4">
        <v>58.03</v>
      </c>
      <c r="E3245">
        <v>2</v>
      </c>
      <c r="F3245">
        <v>2</v>
      </c>
    </row>
    <row r="3246" spans="1:6" x14ac:dyDescent="0.25">
      <c r="A3246" t="s">
        <v>3372</v>
      </c>
      <c r="B3246" s="4">
        <v>57.96</v>
      </c>
      <c r="C3246" s="4">
        <v>0</v>
      </c>
      <c r="D3246" s="4">
        <v>57.96</v>
      </c>
      <c r="E3246">
        <v>21</v>
      </c>
      <c r="F3246">
        <v>21</v>
      </c>
    </row>
    <row r="3247" spans="1:6" x14ac:dyDescent="0.25">
      <c r="A3247" t="s">
        <v>3373</v>
      </c>
      <c r="B3247" s="4">
        <v>57.8</v>
      </c>
      <c r="C3247" s="4">
        <v>0</v>
      </c>
      <c r="D3247" s="4">
        <v>57.8</v>
      </c>
      <c r="E3247">
        <v>17</v>
      </c>
      <c r="F3247">
        <v>14</v>
      </c>
    </row>
    <row r="3248" spans="1:6" x14ac:dyDescent="0.25">
      <c r="A3248" t="s">
        <v>3374</v>
      </c>
      <c r="B3248" s="4">
        <v>57.55</v>
      </c>
      <c r="C3248" s="4">
        <v>0</v>
      </c>
      <c r="D3248" s="4">
        <v>57.55</v>
      </c>
      <c r="E3248">
        <v>10</v>
      </c>
      <c r="F3248">
        <v>10</v>
      </c>
    </row>
    <row r="3249" spans="1:6" x14ac:dyDescent="0.25">
      <c r="A3249" t="s">
        <v>3375</v>
      </c>
      <c r="B3249" s="4">
        <v>57.5</v>
      </c>
      <c r="C3249" s="4">
        <v>0</v>
      </c>
      <c r="D3249" s="4">
        <v>57.5</v>
      </c>
      <c r="E3249">
        <v>10</v>
      </c>
      <c r="F3249">
        <v>10</v>
      </c>
    </row>
    <row r="3250" spans="1:6" x14ac:dyDescent="0.25">
      <c r="A3250" t="s">
        <v>3376</v>
      </c>
      <c r="B3250" s="4">
        <v>57.5</v>
      </c>
      <c r="C3250" s="4">
        <v>0</v>
      </c>
      <c r="D3250" s="4">
        <v>57.5</v>
      </c>
      <c r="E3250">
        <v>13</v>
      </c>
      <c r="F3250">
        <v>13</v>
      </c>
    </row>
    <row r="3251" spans="1:6" x14ac:dyDescent="0.25">
      <c r="A3251" t="s">
        <v>3377</v>
      </c>
      <c r="B3251" s="4">
        <v>57.25</v>
      </c>
      <c r="C3251" s="4">
        <v>0</v>
      </c>
      <c r="D3251" s="4">
        <v>57.25</v>
      </c>
      <c r="E3251">
        <v>9</v>
      </c>
      <c r="F3251">
        <v>9</v>
      </c>
    </row>
    <row r="3252" spans="1:6" x14ac:dyDescent="0.25">
      <c r="A3252" t="s">
        <v>3378</v>
      </c>
      <c r="B3252" s="4">
        <v>57.21</v>
      </c>
      <c r="C3252" s="4">
        <v>0</v>
      </c>
      <c r="D3252" s="4">
        <v>57.21</v>
      </c>
      <c r="E3252">
        <v>41</v>
      </c>
      <c r="F3252">
        <v>41</v>
      </c>
    </row>
    <row r="3253" spans="1:6" x14ac:dyDescent="0.25">
      <c r="A3253" t="s">
        <v>3379</v>
      </c>
      <c r="B3253" s="4">
        <v>56.78</v>
      </c>
      <c r="C3253" s="4">
        <v>0</v>
      </c>
      <c r="D3253" s="4">
        <v>56.78</v>
      </c>
      <c r="E3253">
        <v>11</v>
      </c>
      <c r="F3253">
        <v>11</v>
      </c>
    </row>
    <row r="3254" spans="1:6" x14ac:dyDescent="0.25">
      <c r="A3254" t="s">
        <v>3380</v>
      </c>
      <c r="B3254" s="4">
        <v>56.59</v>
      </c>
      <c r="C3254" s="4">
        <v>0</v>
      </c>
      <c r="D3254" s="4">
        <v>56.59</v>
      </c>
      <c r="E3254">
        <v>8</v>
      </c>
      <c r="F3254">
        <v>8</v>
      </c>
    </row>
    <row r="3255" spans="1:6" x14ac:dyDescent="0.25">
      <c r="A3255" t="s">
        <v>3381</v>
      </c>
      <c r="B3255" s="4">
        <v>56.52</v>
      </c>
      <c r="C3255" s="4">
        <v>0</v>
      </c>
      <c r="D3255" s="4">
        <v>56.52</v>
      </c>
      <c r="E3255">
        <v>7</v>
      </c>
      <c r="F3255">
        <v>6</v>
      </c>
    </row>
    <row r="3256" spans="1:6" x14ac:dyDescent="0.25">
      <c r="A3256" t="s">
        <v>3382</v>
      </c>
      <c r="B3256" s="4">
        <v>56.31</v>
      </c>
      <c r="C3256" s="4">
        <v>15</v>
      </c>
      <c r="D3256" s="4">
        <v>41.31</v>
      </c>
      <c r="E3256">
        <v>10</v>
      </c>
      <c r="F3256">
        <v>10</v>
      </c>
    </row>
    <row r="3257" spans="1:6" x14ac:dyDescent="0.25">
      <c r="A3257" t="s">
        <v>3383</v>
      </c>
      <c r="B3257" s="4">
        <v>56.25</v>
      </c>
      <c r="C3257" s="4">
        <v>0</v>
      </c>
      <c r="D3257" s="4">
        <v>56.25</v>
      </c>
      <c r="E3257">
        <v>11</v>
      </c>
      <c r="F3257">
        <v>11</v>
      </c>
    </row>
    <row r="3258" spans="1:6" x14ac:dyDescent="0.25">
      <c r="A3258" t="s">
        <v>3384</v>
      </c>
      <c r="B3258" s="4">
        <v>56.15</v>
      </c>
      <c r="C3258" s="4">
        <v>0</v>
      </c>
      <c r="D3258" s="4">
        <v>56.15</v>
      </c>
      <c r="E3258">
        <v>10</v>
      </c>
      <c r="F3258">
        <v>10</v>
      </c>
    </row>
    <row r="3259" spans="1:6" x14ac:dyDescent="0.25">
      <c r="A3259" t="s">
        <v>3385</v>
      </c>
      <c r="B3259" s="4">
        <v>55.72</v>
      </c>
      <c r="C3259" s="4">
        <v>13.9</v>
      </c>
      <c r="D3259" s="4">
        <v>41.82</v>
      </c>
      <c r="E3259">
        <v>4</v>
      </c>
      <c r="F3259">
        <v>4</v>
      </c>
    </row>
    <row r="3260" spans="1:6" x14ac:dyDescent="0.25">
      <c r="A3260" t="s">
        <v>3386</v>
      </c>
      <c r="B3260" s="4">
        <v>55.7</v>
      </c>
      <c r="C3260" s="4">
        <v>0</v>
      </c>
      <c r="D3260" s="4">
        <v>55.7</v>
      </c>
      <c r="E3260">
        <v>2</v>
      </c>
      <c r="F3260">
        <v>2</v>
      </c>
    </row>
    <row r="3261" spans="1:6" x14ac:dyDescent="0.25">
      <c r="A3261" t="s">
        <v>3387</v>
      </c>
      <c r="B3261" s="4">
        <v>55.02</v>
      </c>
      <c r="C3261" s="4">
        <v>0</v>
      </c>
      <c r="D3261" s="4">
        <v>55.02</v>
      </c>
      <c r="E3261">
        <v>9</v>
      </c>
      <c r="F3261">
        <v>9</v>
      </c>
    </row>
    <row r="3262" spans="1:6" x14ac:dyDescent="0.25">
      <c r="A3262" t="s">
        <v>3388</v>
      </c>
      <c r="B3262" s="4">
        <v>54.99</v>
      </c>
      <c r="C3262" s="4">
        <v>0.39</v>
      </c>
      <c r="D3262" s="4">
        <v>54.6</v>
      </c>
      <c r="E3262">
        <v>12</v>
      </c>
      <c r="F3262">
        <v>12</v>
      </c>
    </row>
    <row r="3263" spans="1:6" x14ac:dyDescent="0.25">
      <c r="A3263" t="s">
        <v>3389</v>
      </c>
      <c r="B3263" s="4">
        <v>54.62</v>
      </c>
      <c r="C3263" s="4">
        <v>0</v>
      </c>
      <c r="D3263" s="4">
        <v>54.62</v>
      </c>
      <c r="E3263">
        <v>33</v>
      </c>
      <c r="F3263">
        <v>33</v>
      </c>
    </row>
    <row r="3264" spans="1:6" x14ac:dyDescent="0.25">
      <c r="A3264" t="s">
        <v>3390</v>
      </c>
      <c r="B3264" s="4">
        <v>54.6</v>
      </c>
      <c r="C3264" s="4">
        <v>0</v>
      </c>
      <c r="D3264" s="4">
        <v>54.6</v>
      </c>
      <c r="E3264">
        <v>12</v>
      </c>
      <c r="F3264">
        <v>12</v>
      </c>
    </row>
    <row r="3265" spans="1:6" x14ac:dyDescent="0.25">
      <c r="A3265" t="s">
        <v>3391</v>
      </c>
      <c r="B3265" s="4">
        <v>54.57</v>
      </c>
      <c r="C3265" s="4">
        <v>0</v>
      </c>
      <c r="D3265" s="4">
        <v>54.57</v>
      </c>
      <c r="E3265">
        <v>10</v>
      </c>
      <c r="F3265">
        <v>10</v>
      </c>
    </row>
    <row r="3266" spans="1:6" x14ac:dyDescent="0.25">
      <c r="A3266" t="s">
        <v>3392</v>
      </c>
      <c r="B3266" s="4">
        <v>54.42</v>
      </c>
      <c r="C3266" s="4">
        <v>0</v>
      </c>
      <c r="D3266" s="4">
        <v>54.42</v>
      </c>
      <c r="E3266">
        <v>10</v>
      </c>
      <c r="F3266">
        <v>10</v>
      </c>
    </row>
    <row r="3267" spans="1:6" x14ac:dyDescent="0.25">
      <c r="A3267" t="s">
        <v>3393</v>
      </c>
      <c r="B3267" s="4">
        <v>54.4</v>
      </c>
      <c r="C3267" s="4">
        <v>0</v>
      </c>
      <c r="D3267" s="4">
        <v>54.4</v>
      </c>
      <c r="E3267">
        <v>20</v>
      </c>
      <c r="F3267">
        <v>20</v>
      </c>
    </row>
    <row r="3268" spans="1:6" x14ac:dyDescent="0.25">
      <c r="A3268" t="s">
        <v>3394</v>
      </c>
      <c r="B3268" s="4">
        <v>54.29</v>
      </c>
      <c r="C3268" s="4">
        <v>0</v>
      </c>
      <c r="D3268" s="4">
        <v>54.29</v>
      </c>
      <c r="E3268">
        <v>5</v>
      </c>
      <c r="F3268">
        <v>5</v>
      </c>
    </row>
    <row r="3269" spans="1:6" x14ac:dyDescent="0.25">
      <c r="A3269" t="s">
        <v>3395</v>
      </c>
      <c r="B3269" s="4">
        <v>54</v>
      </c>
      <c r="C3269" s="4">
        <v>33.75</v>
      </c>
      <c r="D3269" s="4">
        <v>20.25</v>
      </c>
      <c r="E3269">
        <v>4</v>
      </c>
      <c r="F3269">
        <v>4</v>
      </c>
    </row>
    <row r="3270" spans="1:6" x14ac:dyDescent="0.25">
      <c r="A3270" t="s">
        <v>3396</v>
      </c>
      <c r="B3270" s="4">
        <v>54</v>
      </c>
      <c r="C3270" s="4">
        <v>54</v>
      </c>
      <c r="D3270" s="4">
        <v>0</v>
      </c>
      <c r="E3270">
        <v>1</v>
      </c>
      <c r="F3270">
        <v>1</v>
      </c>
    </row>
    <row r="3271" spans="1:6" x14ac:dyDescent="0.25">
      <c r="A3271" t="s">
        <v>3397</v>
      </c>
      <c r="B3271" s="4">
        <v>53.88</v>
      </c>
      <c r="C3271" s="4">
        <v>0</v>
      </c>
      <c r="D3271" s="4">
        <v>53.88</v>
      </c>
      <c r="E3271">
        <v>40</v>
      </c>
      <c r="F3271">
        <v>40</v>
      </c>
    </row>
    <row r="3272" spans="1:6" x14ac:dyDescent="0.25">
      <c r="A3272" t="s">
        <v>3398</v>
      </c>
      <c r="B3272" s="4">
        <v>53.76</v>
      </c>
      <c r="C3272" s="4">
        <v>0</v>
      </c>
      <c r="D3272" s="4">
        <v>53.76</v>
      </c>
      <c r="E3272">
        <v>5</v>
      </c>
      <c r="F3272">
        <v>5</v>
      </c>
    </row>
    <row r="3273" spans="1:6" x14ac:dyDescent="0.25">
      <c r="A3273" t="s">
        <v>3399</v>
      </c>
      <c r="B3273" s="4">
        <v>53.62</v>
      </c>
      <c r="C3273" s="4">
        <v>0</v>
      </c>
      <c r="D3273" s="4">
        <v>53.62</v>
      </c>
      <c r="E3273">
        <v>3</v>
      </c>
      <c r="F3273">
        <v>3</v>
      </c>
    </row>
    <row r="3274" spans="1:6" x14ac:dyDescent="0.25">
      <c r="A3274" t="s">
        <v>3400</v>
      </c>
      <c r="B3274" s="4">
        <v>53.55</v>
      </c>
      <c r="C3274" s="4">
        <v>0</v>
      </c>
      <c r="D3274" s="4">
        <v>53.55</v>
      </c>
      <c r="E3274">
        <v>13</v>
      </c>
      <c r="F3274">
        <v>11</v>
      </c>
    </row>
    <row r="3275" spans="1:6" x14ac:dyDescent="0.25">
      <c r="A3275" t="s">
        <v>3401</v>
      </c>
      <c r="B3275" s="4">
        <v>53.55</v>
      </c>
      <c r="C3275" s="4">
        <v>0</v>
      </c>
      <c r="D3275" s="4">
        <v>53.55</v>
      </c>
      <c r="E3275">
        <v>22</v>
      </c>
      <c r="F3275">
        <v>22</v>
      </c>
    </row>
    <row r="3276" spans="1:6" x14ac:dyDescent="0.25">
      <c r="A3276" t="s">
        <v>3402</v>
      </c>
      <c r="B3276" s="4">
        <v>53.55</v>
      </c>
      <c r="C3276" s="4">
        <v>0</v>
      </c>
      <c r="D3276" s="4">
        <v>53.55</v>
      </c>
      <c r="E3276">
        <v>7</v>
      </c>
      <c r="F3276">
        <v>7</v>
      </c>
    </row>
    <row r="3277" spans="1:6" x14ac:dyDescent="0.25">
      <c r="A3277" t="s">
        <v>3403</v>
      </c>
      <c r="B3277" s="4">
        <v>53.55</v>
      </c>
      <c r="C3277" s="4">
        <v>0</v>
      </c>
      <c r="D3277" s="4">
        <v>53.55</v>
      </c>
      <c r="E3277">
        <v>8</v>
      </c>
      <c r="F3277">
        <v>8</v>
      </c>
    </row>
    <row r="3278" spans="1:6" x14ac:dyDescent="0.25">
      <c r="A3278" t="s">
        <v>3404</v>
      </c>
      <c r="B3278" s="4">
        <v>53.42</v>
      </c>
      <c r="C3278" s="4">
        <v>0</v>
      </c>
      <c r="D3278" s="4">
        <v>53.42</v>
      </c>
      <c r="E3278">
        <v>5</v>
      </c>
      <c r="F3278">
        <v>5</v>
      </c>
    </row>
    <row r="3279" spans="1:6" x14ac:dyDescent="0.25">
      <c r="A3279" t="s">
        <v>3405</v>
      </c>
      <c r="B3279" s="4">
        <v>53.26</v>
      </c>
      <c r="C3279" s="4">
        <v>11.9</v>
      </c>
      <c r="D3279" s="4">
        <v>41.36</v>
      </c>
      <c r="E3279">
        <v>6</v>
      </c>
      <c r="F3279">
        <v>6</v>
      </c>
    </row>
    <row r="3280" spans="1:6" x14ac:dyDescent="0.25">
      <c r="A3280" t="s">
        <v>3406</v>
      </c>
      <c r="B3280" s="4">
        <v>53.2</v>
      </c>
      <c r="C3280" s="4">
        <v>0</v>
      </c>
      <c r="D3280" s="4">
        <v>53.2</v>
      </c>
      <c r="E3280">
        <v>30</v>
      </c>
      <c r="F3280">
        <v>30</v>
      </c>
    </row>
    <row r="3281" spans="1:6" x14ac:dyDescent="0.25">
      <c r="A3281" t="s">
        <v>3407</v>
      </c>
      <c r="B3281" s="4">
        <v>52.8</v>
      </c>
      <c r="C3281" s="4">
        <v>24.75</v>
      </c>
      <c r="D3281" s="4">
        <v>28.05</v>
      </c>
      <c r="E3281">
        <v>8</v>
      </c>
      <c r="F3281">
        <v>8</v>
      </c>
    </row>
    <row r="3282" spans="1:6" x14ac:dyDescent="0.25">
      <c r="A3282" t="s">
        <v>3408</v>
      </c>
      <c r="B3282" s="4">
        <v>52.72</v>
      </c>
      <c r="C3282" s="4">
        <v>0</v>
      </c>
      <c r="D3282" s="4">
        <v>52.72</v>
      </c>
      <c r="E3282">
        <v>5</v>
      </c>
      <c r="F3282">
        <v>5</v>
      </c>
    </row>
    <row r="3283" spans="1:6" x14ac:dyDescent="0.25">
      <c r="A3283" t="s">
        <v>3409</v>
      </c>
      <c r="B3283" s="4">
        <v>52.56</v>
      </c>
      <c r="C3283" s="4">
        <v>17.7</v>
      </c>
      <c r="D3283" s="4">
        <v>34.86</v>
      </c>
      <c r="E3283">
        <v>12</v>
      </c>
      <c r="F3283">
        <v>12</v>
      </c>
    </row>
    <row r="3284" spans="1:6" x14ac:dyDescent="0.25">
      <c r="A3284" t="s">
        <v>3410</v>
      </c>
      <c r="B3284" s="4">
        <v>52.5</v>
      </c>
      <c r="C3284" s="4">
        <v>0</v>
      </c>
      <c r="D3284" s="4">
        <v>52.5</v>
      </c>
      <c r="E3284">
        <v>3</v>
      </c>
      <c r="F3284">
        <v>3</v>
      </c>
    </row>
    <row r="3285" spans="1:6" x14ac:dyDescent="0.25">
      <c r="A3285" t="s">
        <v>3411</v>
      </c>
      <c r="B3285" s="4">
        <v>52.5</v>
      </c>
      <c r="C3285" s="4">
        <v>0</v>
      </c>
      <c r="D3285" s="4">
        <v>52.5</v>
      </c>
      <c r="E3285">
        <v>9</v>
      </c>
      <c r="F3285">
        <v>9</v>
      </c>
    </row>
    <row r="3286" spans="1:6" x14ac:dyDescent="0.25">
      <c r="A3286" t="s">
        <v>3412</v>
      </c>
      <c r="B3286" s="4">
        <v>52.5</v>
      </c>
      <c r="C3286" s="4">
        <v>7.5</v>
      </c>
      <c r="D3286" s="4">
        <v>45</v>
      </c>
      <c r="E3286">
        <v>4</v>
      </c>
      <c r="F3286">
        <v>4</v>
      </c>
    </row>
    <row r="3287" spans="1:6" x14ac:dyDescent="0.25">
      <c r="A3287" t="s">
        <v>3413</v>
      </c>
      <c r="B3287" s="4">
        <v>52.42</v>
      </c>
      <c r="C3287" s="4">
        <v>0</v>
      </c>
      <c r="D3287" s="4">
        <v>52.42</v>
      </c>
      <c r="E3287">
        <v>7</v>
      </c>
      <c r="F3287">
        <v>7</v>
      </c>
    </row>
    <row r="3288" spans="1:6" x14ac:dyDescent="0.25">
      <c r="A3288" t="s">
        <v>3414</v>
      </c>
      <c r="B3288" s="4">
        <v>52.31</v>
      </c>
      <c r="C3288" s="4">
        <v>0</v>
      </c>
      <c r="D3288" s="4">
        <v>52.31</v>
      </c>
      <c r="E3288">
        <v>8</v>
      </c>
      <c r="F3288">
        <v>8</v>
      </c>
    </row>
    <row r="3289" spans="1:6" x14ac:dyDescent="0.25">
      <c r="A3289" t="s">
        <v>3415</v>
      </c>
      <c r="B3289" s="4">
        <v>52.25</v>
      </c>
      <c r="C3289" s="4">
        <v>4.2</v>
      </c>
      <c r="D3289" s="4">
        <v>48.05</v>
      </c>
      <c r="E3289">
        <v>15</v>
      </c>
      <c r="F3289">
        <v>14</v>
      </c>
    </row>
    <row r="3290" spans="1:6" x14ac:dyDescent="0.25">
      <c r="A3290" t="s">
        <v>3416</v>
      </c>
      <c r="B3290" s="4">
        <v>52.2</v>
      </c>
      <c r="C3290" s="4">
        <v>0</v>
      </c>
      <c r="D3290" s="4">
        <v>52.2</v>
      </c>
      <c r="E3290">
        <v>12</v>
      </c>
      <c r="F3290">
        <v>12</v>
      </c>
    </row>
    <row r="3291" spans="1:6" x14ac:dyDescent="0.25">
      <c r="A3291" t="s">
        <v>3417</v>
      </c>
      <c r="B3291" s="4">
        <v>51.6</v>
      </c>
      <c r="C3291" s="4">
        <v>0</v>
      </c>
      <c r="D3291" s="4">
        <v>51.6</v>
      </c>
      <c r="E3291">
        <v>8</v>
      </c>
      <c r="F3291">
        <v>8</v>
      </c>
    </row>
    <row r="3292" spans="1:6" x14ac:dyDescent="0.25">
      <c r="A3292" t="s">
        <v>3418</v>
      </c>
      <c r="B3292" s="4">
        <v>51.51</v>
      </c>
      <c r="C3292" s="4">
        <v>0</v>
      </c>
      <c r="D3292" s="4">
        <v>51.51</v>
      </c>
      <c r="E3292">
        <v>16</v>
      </c>
      <c r="F3292">
        <v>16</v>
      </c>
    </row>
    <row r="3293" spans="1:6" x14ac:dyDescent="0.25">
      <c r="A3293" t="s">
        <v>3419</v>
      </c>
      <c r="B3293" s="4">
        <v>51.25</v>
      </c>
      <c r="C3293" s="4">
        <v>0</v>
      </c>
      <c r="D3293" s="4">
        <v>51.25</v>
      </c>
      <c r="E3293">
        <v>5</v>
      </c>
      <c r="F3293">
        <v>5</v>
      </c>
    </row>
    <row r="3294" spans="1:6" x14ac:dyDescent="0.25">
      <c r="A3294" t="s">
        <v>3420</v>
      </c>
      <c r="B3294" s="4">
        <v>50.8</v>
      </c>
      <c r="C3294" s="4">
        <v>0</v>
      </c>
      <c r="D3294" s="4">
        <v>50.8</v>
      </c>
      <c r="E3294">
        <v>3</v>
      </c>
      <c r="F3294">
        <v>3</v>
      </c>
    </row>
    <row r="3295" spans="1:6" x14ac:dyDescent="0.25">
      <c r="A3295" t="s">
        <v>3421</v>
      </c>
      <c r="B3295" s="4">
        <v>50.72</v>
      </c>
      <c r="C3295" s="4">
        <v>0</v>
      </c>
      <c r="D3295" s="4">
        <v>50.72</v>
      </c>
      <c r="E3295">
        <v>10</v>
      </c>
      <c r="F3295">
        <v>10</v>
      </c>
    </row>
    <row r="3296" spans="1:6" x14ac:dyDescent="0.25">
      <c r="A3296" t="s">
        <v>3422</v>
      </c>
      <c r="B3296" s="4">
        <v>50.4</v>
      </c>
      <c r="C3296" s="4">
        <v>0</v>
      </c>
      <c r="D3296" s="4">
        <v>50.4</v>
      </c>
      <c r="E3296">
        <v>2</v>
      </c>
      <c r="F3296">
        <v>2</v>
      </c>
    </row>
    <row r="3297" spans="1:6" x14ac:dyDescent="0.25">
      <c r="A3297" t="s">
        <v>3423</v>
      </c>
      <c r="B3297" s="4">
        <v>50.4</v>
      </c>
      <c r="C3297" s="4">
        <v>4.25</v>
      </c>
      <c r="D3297" s="4">
        <v>46.15</v>
      </c>
      <c r="E3297">
        <v>9</v>
      </c>
      <c r="F3297">
        <v>9</v>
      </c>
    </row>
    <row r="3298" spans="1:6" x14ac:dyDescent="0.25">
      <c r="A3298" t="s">
        <v>3424</v>
      </c>
      <c r="B3298" s="4">
        <v>50.31</v>
      </c>
      <c r="C3298" s="4">
        <v>0</v>
      </c>
      <c r="D3298" s="4">
        <v>50.31</v>
      </c>
      <c r="E3298">
        <v>15</v>
      </c>
      <c r="F3298">
        <v>15</v>
      </c>
    </row>
    <row r="3299" spans="1:6" x14ac:dyDescent="0.25">
      <c r="A3299" t="s">
        <v>3425</v>
      </c>
      <c r="B3299" s="4">
        <v>50.28</v>
      </c>
      <c r="C3299" s="4">
        <v>0</v>
      </c>
      <c r="D3299" s="4">
        <v>50.28</v>
      </c>
      <c r="E3299">
        <v>3</v>
      </c>
      <c r="F3299">
        <v>3</v>
      </c>
    </row>
    <row r="3300" spans="1:6" x14ac:dyDescent="0.25">
      <c r="A3300" t="s">
        <v>3426</v>
      </c>
      <c r="B3300" s="4">
        <v>49.9</v>
      </c>
      <c r="C3300" s="4">
        <v>0</v>
      </c>
      <c r="D3300" s="4">
        <v>49.9</v>
      </c>
      <c r="E3300">
        <v>32</v>
      </c>
      <c r="F3300">
        <v>32</v>
      </c>
    </row>
    <row r="3301" spans="1:6" x14ac:dyDescent="0.25">
      <c r="A3301" t="s">
        <v>3427</v>
      </c>
      <c r="B3301" s="4">
        <v>49.82</v>
      </c>
      <c r="C3301" s="4">
        <v>0</v>
      </c>
      <c r="D3301" s="4">
        <v>49.82</v>
      </c>
      <c r="E3301">
        <v>28</v>
      </c>
      <c r="F3301">
        <v>28</v>
      </c>
    </row>
    <row r="3302" spans="1:6" x14ac:dyDescent="0.25">
      <c r="A3302" t="s">
        <v>3428</v>
      </c>
      <c r="B3302" s="4">
        <v>49.81</v>
      </c>
      <c r="C3302" s="4">
        <v>0</v>
      </c>
      <c r="D3302" s="4">
        <v>49.81</v>
      </c>
      <c r="E3302">
        <v>5</v>
      </c>
      <c r="F3302">
        <v>5</v>
      </c>
    </row>
    <row r="3303" spans="1:6" x14ac:dyDescent="0.25">
      <c r="A3303" t="s">
        <v>3429</v>
      </c>
      <c r="B3303" s="4">
        <v>49.8</v>
      </c>
      <c r="C3303" s="4">
        <v>0</v>
      </c>
      <c r="D3303" s="4">
        <v>49.8</v>
      </c>
      <c r="E3303">
        <v>14</v>
      </c>
      <c r="F3303">
        <v>14</v>
      </c>
    </row>
    <row r="3304" spans="1:6" x14ac:dyDescent="0.25">
      <c r="A3304" t="s">
        <v>3430</v>
      </c>
      <c r="B3304" s="4">
        <v>49.76</v>
      </c>
      <c r="C3304" s="4">
        <v>0</v>
      </c>
      <c r="D3304" s="4">
        <v>49.76</v>
      </c>
      <c r="E3304">
        <v>4</v>
      </c>
      <c r="F3304">
        <v>4</v>
      </c>
    </row>
    <row r="3305" spans="1:6" x14ac:dyDescent="0.25">
      <c r="A3305" t="s">
        <v>3431</v>
      </c>
      <c r="B3305" s="4">
        <v>49.69</v>
      </c>
      <c r="C3305" s="4">
        <v>0</v>
      </c>
      <c r="D3305" s="4">
        <v>49.69</v>
      </c>
      <c r="E3305">
        <v>16</v>
      </c>
      <c r="F3305">
        <v>16</v>
      </c>
    </row>
    <row r="3306" spans="1:6" x14ac:dyDescent="0.25">
      <c r="A3306" t="s">
        <v>3432</v>
      </c>
      <c r="B3306" s="4">
        <v>49.65</v>
      </c>
      <c r="C3306" s="4">
        <v>17.7</v>
      </c>
      <c r="D3306" s="4">
        <v>31.95</v>
      </c>
      <c r="E3306">
        <v>10</v>
      </c>
      <c r="F3306">
        <v>10</v>
      </c>
    </row>
    <row r="3307" spans="1:6" x14ac:dyDescent="0.25">
      <c r="A3307" t="s">
        <v>3433</v>
      </c>
      <c r="B3307" s="4">
        <v>49.64</v>
      </c>
      <c r="C3307" s="4">
        <v>0</v>
      </c>
      <c r="D3307" s="4">
        <v>49.64</v>
      </c>
      <c r="E3307">
        <v>4</v>
      </c>
      <c r="F3307">
        <v>4</v>
      </c>
    </row>
    <row r="3308" spans="1:6" x14ac:dyDescent="0.25">
      <c r="A3308" t="s">
        <v>3434</v>
      </c>
      <c r="B3308" s="4">
        <v>49.59</v>
      </c>
      <c r="C3308" s="4">
        <v>0</v>
      </c>
      <c r="D3308" s="4">
        <v>49.59</v>
      </c>
      <c r="E3308">
        <v>5</v>
      </c>
      <c r="F3308">
        <v>5</v>
      </c>
    </row>
    <row r="3309" spans="1:6" x14ac:dyDescent="0.25">
      <c r="A3309" t="s">
        <v>3435</v>
      </c>
      <c r="B3309" s="4">
        <v>49.3</v>
      </c>
      <c r="C3309" s="4">
        <v>0</v>
      </c>
      <c r="D3309" s="4">
        <v>49.3</v>
      </c>
      <c r="E3309">
        <v>9</v>
      </c>
      <c r="F3309">
        <v>7</v>
      </c>
    </row>
    <row r="3310" spans="1:6" x14ac:dyDescent="0.25">
      <c r="A3310" t="s">
        <v>3436</v>
      </c>
      <c r="B3310" s="4">
        <v>48.99</v>
      </c>
      <c r="C3310" s="4">
        <v>0</v>
      </c>
      <c r="D3310" s="4">
        <v>48.99</v>
      </c>
      <c r="E3310">
        <v>25</v>
      </c>
      <c r="F3310">
        <v>25</v>
      </c>
    </row>
    <row r="3311" spans="1:6" x14ac:dyDescent="0.25">
      <c r="A3311" t="s">
        <v>3437</v>
      </c>
      <c r="B3311" s="4">
        <v>48.77</v>
      </c>
      <c r="C3311" s="4">
        <v>0</v>
      </c>
      <c r="D3311" s="4">
        <v>48.77</v>
      </c>
      <c r="E3311">
        <v>8</v>
      </c>
      <c r="F3311">
        <v>8</v>
      </c>
    </row>
    <row r="3312" spans="1:6" x14ac:dyDescent="0.25">
      <c r="A3312" t="s">
        <v>3438</v>
      </c>
      <c r="B3312" s="4">
        <v>48.75</v>
      </c>
      <c r="C3312" s="4">
        <v>0</v>
      </c>
      <c r="D3312" s="4">
        <v>48.75</v>
      </c>
      <c r="E3312">
        <v>7</v>
      </c>
      <c r="F3312">
        <v>7</v>
      </c>
    </row>
    <row r="3313" spans="1:6" x14ac:dyDescent="0.25">
      <c r="A3313" t="s">
        <v>3439</v>
      </c>
      <c r="B3313" s="4">
        <v>48.71</v>
      </c>
      <c r="C3313" s="4">
        <v>0</v>
      </c>
      <c r="D3313" s="4">
        <v>48.71</v>
      </c>
      <c r="E3313">
        <v>9</v>
      </c>
      <c r="F3313">
        <v>9</v>
      </c>
    </row>
    <row r="3314" spans="1:6" x14ac:dyDescent="0.25">
      <c r="A3314" t="s">
        <v>3440</v>
      </c>
      <c r="B3314" s="4">
        <v>48.45</v>
      </c>
      <c r="C3314" s="4">
        <v>0</v>
      </c>
      <c r="D3314" s="4">
        <v>48.45</v>
      </c>
      <c r="E3314">
        <v>8</v>
      </c>
      <c r="F3314">
        <v>8</v>
      </c>
    </row>
    <row r="3315" spans="1:6" x14ac:dyDescent="0.25">
      <c r="A3315" t="s">
        <v>3441</v>
      </c>
      <c r="B3315" s="4">
        <v>48.39</v>
      </c>
      <c r="C3315" s="4">
        <v>0</v>
      </c>
      <c r="D3315" s="4">
        <v>48.39</v>
      </c>
      <c r="E3315">
        <v>2</v>
      </c>
      <c r="F3315">
        <v>2</v>
      </c>
    </row>
    <row r="3316" spans="1:6" x14ac:dyDescent="0.25">
      <c r="A3316" t="s">
        <v>3442</v>
      </c>
      <c r="B3316" s="4">
        <v>48.38</v>
      </c>
      <c r="C3316" s="4">
        <v>0</v>
      </c>
      <c r="D3316" s="4">
        <v>48.38</v>
      </c>
      <c r="E3316">
        <v>22</v>
      </c>
      <c r="F3316">
        <v>22</v>
      </c>
    </row>
    <row r="3317" spans="1:6" x14ac:dyDescent="0.25">
      <c r="A3317" t="s">
        <v>3443</v>
      </c>
      <c r="B3317" s="4">
        <v>48.29</v>
      </c>
      <c r="C3317" s="4">
        <v>0</v>
      </c>
      <c r="D3317" s="4">
        <v>48.29</v>
      </c>
      <c r="E3317">
        <v>16</v>
      </c>
      <c r="F3317">
        <v>16</v>
      </c>
    </row>
    <row r="3318" spans="1:6" x14ac:dyDescent="0.25">
      <c r="A3318" t="s">
        <v>3444</v>
      </c>
      <c r="B3318" s="4">
        <v>48.21</v>
      </c>
      <c r="C3318" s="4">
        <v>0</v>
      </c>
      <c r="D3318" s="4">
        <v>48.21</v>
      </c>
      <c r="E3318">
        <v>15</v>
      </c>
      <c r="F3318">
        <v>15</v>
      </c>
    </row>
    <row r="3319" spans="1:6" x14ac:dyDescent="0.25">
      <c r="A3319" t="s">
        <v>3445</v>
      </c>
      <c r="B3319" s="4">
        <v>48.19</v>
      </c>
      <c r="C3319" s="4">
        <v>0</v>
      </c>
      <c r="D3319" s="4">
        <v>48.19</v>
      </c>
      <c r="E3319">
        <v>3</v>
      </c>
      <c r="F3319">
        <v>3</v>
      </c>
    </row>
    <row r="3320" spans="1:6" x14ac:dyDescent="0.25">
      <c r="A3320" t="s">
        <v>3446</v>
      </c>
      <c r="B3320" s="4">
        <v>48.06</v>
      </c>
      <c r="C3320" s="4">
        <v>0</v>
      </c>
      <c r="D3320" s="4">
        <v>48.06</v>
      </c>
      <c r="E3320">
        <v>12</v>
      </c>
      <c r="F3320">
        <v>12</v>
      </c>
    </row>
    <row r="3321" spans="1:6" x14ac:dyDescent="0.25">
      <c r="A3321" t="s">
        <v>3447</v>
      </c>
      <c r="B3321" s="4">
        <v>47.84</v>
      </c>
      <c r="C3321" s="4">
        <v>15.3</v>
      </c>
      <c r="D3321" s="4">
        <v>32.54</v>
      </c>
      <c r="E3321">
        <v>11</v>
      </c>
      <c r="F3321">
        <v>11</v>
      </c>
    </row>
    <row r="3322" spans="1:6" x14ac:dyDescent="0.25">
      <c r="A3322" t="s">
        <v>3448</v>
      </c>
      <c r="B3322" s="4">
        <v>47.7</v>
      </c>
      <c r="C3322" s="4">
        <v>0</v>
      </c>
      <c r="D3322" s="4">
        <v>47.7</v>
      </c>
      <c r="E3322">
        <v>4</v>
      </c>
      <c r="F3322">
        <v>4</v>
      </c>
    </row>
    <row r="3323" spans="1:6" x14ac:dyDescent="0.25">
      <c r="A3323" t="s">
        <v>3449</v>
      </c>
      <c r="B3323" s="4">
        <v>47.43</v>
      </c>
      <c r="C3323" s="4">
        <v>0</v>
      </c>
      <c r="D3323" s="4">
        <v>47.43</v>
      </c>
      <c r="E3323">
        <v>18</v>
      </c>
      <c r="F3323">
        <v>18</v>
      </c>
    </row>
    <row r="3324" spans="1:6" x14ac:dyDescent="0.25">
      <c r="A3324" t="s">
        <v>3450</v>
      </c>
      <c r="B3324" s="4">
        <v>47.25</v>
      </c>
      <c r="C3324" s="4">
        <v>0</v>
      </c>
      <c r="D3324" s="4">
        <v>47.25</v>
      </c>
      <c r="E3324">
        <v>8</v>
      </c>
      <c r="F3324">
        <v>8</v>
      </c>
    </row>
    <row r="3325" spans="1:6" x14ac:dyDescent="0.25">
      <c r="A3325" t="s">
        <v>3451</v>
      </c>
      <c r="B3325" s="4">
        <v>47.2</v>
      </c>
      <c r="C3325" s="4">
        <v>2.95</v>
      </c>
      <c r="D3325" s="4">
        <v>44.25</v>
      </c>
      <c r="E3325">
        <v>8</v>
      </c>
      <c r="F3325">
        <v>7</v>
      </c>
    </row>
    <row r="3326" spans="1:6" x14ac:dyDescent="0.25">
      <c r="A3326" t="s">
        <v>3452</v>
      </c>
      <c r="B3326" s="4">
        <v>47.2</v>
      </c>
      <c r="C3326" s="4">
        <v>0</v>
      </c>
      <c r="D3326" s="4">
        <v>47.2</v>
      </c>
      <c r="E3326">
        <v>10</v>
      </c>
      <c r="F3326">
        <v>10</v>
      </c>
    </row>
    <row r="3327" spans="1:6" x14ac:dyDescent="0.25">
      <c r="A3327" t="s">
        <v>3453</v>
      </c>
      <c r="B3327" s="4">
        <v>47.2</v>
      </c>
      <c r="C3327" s="4">
        <v>0</v>
      </c>
      <c r="D3327" s="4">
        <v>47.2</v>
      </c>
      <c r="E3327">
        <v>3</v>
      </c>
      <c r="F3327">
        <v>3</v>
      </c>
    </row>
    <row r="3328" spans="1:6" x14ac:dyDescent="0.25">
      <c r="A3328" t="s">
        <v>3454</v>
      </c>
      <c r="B3328" s="4">
        <v>46.8</v>
      </c>
      <c r="C3328" s="4">
        <v>52.65</v>
      </c>
      <c r="D3328" s="4">
        <v>-5.85</v>
      </c>
      <c r="E3328">
        <v>1</v>
      </c>
      <c r="F3328">
        <v>1</v>
      </c>
    </row>
    <row r="3329" spans="1:6" x14ac:dyDescent="0.25">
      <c r="A3329" t="s">
        <v>3455</v>
      </c>
      <c r="B3329" s="4">
        <v>46.8</v>
      </c>
      <c r="C3329" s="4">
        <v>3.9</v>
      </c>
      <c r="D3329" s="4">
        <v>42.9</v>
      </c>
      <c r="E3329">
        <v>1</v>
      </c>
      <c r="F3329">
        <v>1</v>
      </c>
    </row>
    <row r="3330" spans="1:6" x14ac:dyDescent="0.25">
      <c r="A3330" t="s">
        <v>3456</v>
      </c>
      <c r="B3330" s="4">
        <v>46.76</v>
      </c>
      <c r="C3330" s="4">
        <v>0</v>
      </c>
      <c r="D3330" s="4">
        <v>46.76</v>
      </c>
      <c r="E3330">
        <v>10</v>
      </c>
      <c r="F3330">
        <v>10</v>
      </c>
    </row>
    <row r="3331" spans="1:6" x14ac:dyDescent="0.25">
      <c r="A3331" t="s">
        <v>3457</v>
      </c>
      <c r="B3331" s="4">
        <v>46.39</v>
      </c>
      <c r="C3331" s="4">
        <v>0</v>
      </c>
      <c r="D3331" s="4">
        <v>46.39</v>
      </c>
      <c r="E3331">
        <v>8</v>
      </c>
      <c r="F3331">
        <v>7</v>
      </c>
    </row>
    <row r="3332" spans="1:6" x14ac:dyDescent="0.25">
      <c r="A3332" t="s">
        <v>3458</v>
      </c>
      <c r="B3332" s="4">
        <v>46.2</v>
      </c>
      <c r="C3332" s="4">
        <v>0</v>
      </c>
      <c r="D3332" s="4">
        <v>46.2</v>
      </c>
      <c r="E3332">
        <v>3</v>
      </c>
      <c r="F3332">
        <v>3</v>
      </c>
    </row>
    <row r="3333" spans="1:6" x14ac:dyDescent="0.25">
      <c r="A3333" t="s">
        <v>3459</v>
      </c>
      <c r="B3333" s="4">
        <v>45.9</v>
      </c>
      <c r="C3333" s="4">
        <v>0</v>
      </c>
      <c r="D3333" s="4">
        <v>45.9</v>
      </c>
      <c r="E3333">
        <v>7</v>
      </c>
      <c r="F3333">
        <v>7</v>
      </c>
    </row>
    <row r="3334" spans="1:6" x14ac:dyDescent="0.25">
      <c r="A3334" t="s">
        <v>3460</v>
      </c>
      <c r="B3334" s="4">
        <v>45.35</v>
      </c>
      <c r="C3334" s="4">
        <v>0</v>
      </c>
      <c r="D3334" s="4">
        <v>45.35</v>
      </c>
      <c r="E3334">
        <v>3</v>
      </c>
      <c r="F3334">
        <v>3</v>
      </c>
    </row>
    <row r="3335" spans="1:6" x14ac:dyDescent="0.25">
      <c r="A3335" t="s">
        <v>3461</v>
      </c>
      <c r="B3335" s="4">
        <v>45</v>
      </c>
      <c r="C3335" s="4">
        <v>3.75</v>
      </c>
      <c r="D3335" s="4">
        <v>41.25</v>
      </c>
      <c r="E3335">
        <v>7</v>
      </c>
      <c r="F3335">
        <v>7</v>
      </c>
    </row>
    <row r="3336" spans="1:6" x14ac:dyDescent="0.25">
      <c r="A3336" t="s">
        <v>3462</v>
      </c>
      <c r="B3336" s="4">
        <v>44.91</v>
      </c>
      <c r="C3336" s="4">
        <v>0</v>
      </c>
      <c r="D3336" s="4">
        <v>44.91</v>
      </c>
      <c r="E3336">
        <v>4</v>
      </c>
      <c r="F3336">
        <v>4</v>
      </c>
    </row>
    <row r="3337" spans="1:6" x14ac:dyDescent="0.25">
      <c r="A3337" t="s">
        <v>3463</v>
      </c>
      <c r="B3337" s="4">
        <v>44.86</v>
      </c>
      <c r="C3337" s="4">
        <v>0</v>
      </c>
      <c r="D3337" s="4">
        <v>44.86</v>
      </c>
      <c r="E3337">
        <v>5</v>
      </c>
      <c r="F3337">
        <v>5</v>
      </c>
    </row>
    <row r="3338" spans="1:6" x14ac:dyDescent="0.25">
      <c r="A3338" t="s">
        <v>3464</v>
      </c>
      <c r="B3338" s="4">
        <v>44.25</v>
      </c>
      <c r="C3338" s="4">
        <v>0</v>
      </c>
      <c r="D3338" s="4">
        <v>44.25</v>
      </c>
      <c r="E3338">
        <v>8</v>
      </c>
      <c r="F3338">
        <v>8</v>
      </c>
    </row>
    <row r="3339" spans="1:6" x14ac:dyDescent="0.25">
      <c r="A3339" t="s">
        <v>3465</v>
      </c>
      <c r="B3339" s="4">
        <v>44.04</v>
      </c>
      <c r="C3339" s="4">
        <v>0</v>
      </c>
      <c r="D3339" s="4">
        <v>44.04</v>
      </c>
      <c r="E3339">
        <v>11</v>
      </c>
      <c r="F3339">
        <v>11</v>
      </c>
    </row>
    <row r="3340" spans="1:6" x14ac:dyDescent="0.25">
      <c r="A3340" t="s">
        <v>3466</v>
      </c>
      <c r="B3340" s="4">
        <v>43.66</v>
      </c>
      <c r="C3340" s="4">
        <v>0</v>
      </c>
      <c r="D3340" s="4">
        <v>43.66</v>
      </c>
      <c r="E3340">
        <v>6</v>
      </c>
      <c r="F3340">
        <v>6</v>
      </c>
    </row>
    <row r="3341" spans="1:6" x14ac:dyDescent="0.25">
      <c r="A3341" t="s">
        <v>3467</v>
      </c>
      <c r="B3341" s="4">
        <v>43.65</v>
      </c>
      <c r="C3341" s="4">
        <v>0</v>
      </c>
      <c r="D3341" s="4">
        <v>43.65</v>
      </c>
      <c r="E3341">
        <v>14</v>
      </c>
      <c r="F3341">
        <v>14</v>
      </c>
    </row>
    <row r="3342" spans="1:6" x14ac:dyDescent="0.25">
      <c r="A3342" t="s">
        <v>3468</v>
      </c>
      <c r="B3342" s="4">
        <v>43.51</v>
      </c>
      <c r="C3342" s="4">
        <v>0</v>
      </c>
      <c r="D3342" s="4">
        <v>43.51</v>
      </c>
      <c r="E3342">
        <v>4</v>
      </c>
      <c r="F3342">
        <v>4</v>
      </c>
    </row>
    <row r="3343" spans="1:6" x14ac:dyDescent="0.25">
      <c r="A3343" t="s">
        <v>3469</v>
      </c>
      <c r="B3343" s="4">
        <v>43.35</v>
      </c>
      <c r="C3343" s="4">
        <v>0</v>
      </c>
      <c r="D3343" s="4">
        <v>43.35</v>
      </c>
      <c r="E3343">
        <v>9</v>
      </c>
      <c r="F3343">
        <v>8</v>
      </c>
    </row>
    <row r="3344" spans="1:6" x14ac:dyDescent="0.25">
      <c r="A3344" t="s">
        <v>3470</v>
      </c>
      <c r="B3344" s="4">
        <v>43.2</v>
      </c>
      <c r="C3344" s="4">
        <v>0</v>
      </c>
      <c r="D3344" s="4">
        <v>43.2</v>
      </c>
      <c r="E3344">
        <v>4</v>
      </c>
      <c r="F3344">
        <v>4</v>
      </c>
    </row>
    <row r="3345" spans="1:6" x14ac:dyDescent="0.25">
      <c r="A3345" t="s">
        <v>3471</v>
      </c>
      <c r="B3345" s="4">
        <v>43.15</v>
      </c>
      <c r="C3345" s="4">
        <v>11.05</v>
      </c>
      <c r="D3345" s="4">
        <v>32.1</v>
      </c>
      <c r="E3345">
        <v>12</v>
      </c>
      <c r="F3345">
        <v>12</v>
      </c>
    </row>
    <row r="3346" spans="1:6" x14ac:dyDescent="0.25">
      <c r="A3346" t="s">
        <v>3472</v>
      </c>
      <c r="B3346" s="4">
        <v>43.05</v>
      </c>
      <c r="C3346" s="4">
        <v>0</v>
      </c>
      <c r="D3346" s="4">
        <v>43.05</v>
      </c>
      <c r="E3346">
        <v>11</v>
      </c>
      <c r="F3346">
        <v>9</v>
      </c>
    </row>
    <row r="3347" spans="1:6" x14ac:dyDescent="0.25">
      <c r="A3347" t="s">
        <v>3473</v>
      </c>
      <c r="B3347" s="4">
        <v>42.92</v>
      </c>
      <c r="C3347" s="4">
        <v>0</v>
      </c>
      <c r="D3347" s="4">
        <v>42.92</v>
      </c>
      <c r="E3347">
        <v>8</v>
      </c>
      <c r="F3347">
        <v>8</v>
      </c>
    </row>
    <row r="3348" spans="1:6" x14ac:dyDescent="0.25">
      <c r="A3348" t="s">
        <v>3474</v>
      </c>
      <c r="B3348" s="4">
        <v>42.9</v>
      </c>
      <c r="C3348" s="4">
        <v>0</v>
      </c>
      <c r="D3348" s="4">
        <v>42.9</v>
      </c>
      <c r="E3348">
        <v>2</v>
      </c>
      <c r="F3348">
        <v>2</v>
      </c>
    </row>
    <row r="3349" spans="1:6" x14ac:dyDescent="0.25">
      <c r="A3349" t="s">
        <v>3475</v>
      </c>
      <c r="B3349" s="4">
        <v>42.84</v>
      </c>
      <c r="C3349" s="4">
        <v>0</v>
      </c>
      <c r="D3349" s="4">
        <v>42.84</v>
      </c>
      <c r="E3349">
        <v>5</v>
      </c>
      <c r="F3349">
        <v>5</v>
      </c>
    </row>
    <row r="3350" spans="1:6" x14ac:dyDescent="0.25">
      <c r="A3350" t="s">
        <v>3476</v>
      </c>
      <c r="B3350" s="4">
        <v>42.7</v>
      </c>
      <c r="C3350" s="4">
        <v>0</v>
      </c>
      <c r="D3350" s="4">
        <v>42.7</v>
      </c>
      <c r="E3350">
        <v>5</v>
      </c>
      <c r="F3350">
        <v>5</v>
      </c>
    </row>
    <row r="3351" spans="1:6" x14ac:dyDescent="0.25">
      <c r="A3351" t="s">
        <v>3477</v>
      </c>
      <c r="B3351" s="4">
        <v>42.58</v>
      </c>
      <c r="C3351" s="4">
        <v>0</v>
      </c>
      <c r="D3351" s="4">
        <v>42.58</v>
      </c>
      <c r="E3351">
        <v>17</v>
      </c>
      <c r="F3351">
        <v>17</v>
      </c>
    </row>
    <row r="3352" spans="1:6" x14ac:dyDescent="0.25">
      <c r="A3352" t="s">
        <v>3478</v>
      </c>
      <c r="B3352" s="4">
        <v>42.29</v>
      </c>
      <c r="C3352" s="4">
        <v>0</v>
      </c>
      <c r="D3352" s="4">
        <v>42.29</v>
      </c>
      <c r="E3352">
        <v>6</v>
      </c>
      <c r="F3352">
        <v>6</v>
      </c>
    </row>
    <row r="3353" spans="1:6" x14ac:dyDescent="0.25">
      <c r="A3353" t="s">
        <v>3479</v>
      </c>
      <c r="B3353" s="4">
        <v>42.14</v>
      </c>
      <c r="C3353" s="4">
        <v>0</v>
      </c>
      <c r="D3353" s="4">
        <v>42.14</v>
      </c>
      <c r="E3353">
        <v>4</v>
      </c>
      <c r="F3353">
        <v>4</v>
      </c>
    </row>
    <row r="3354" spans="1:6" x14ac:dyDescent="0.25">
      <c r="A3354" t="s">
        <v>3480</v>
      </c>
      <c r="B3354" s="4">
        <v>42.13</v>
      </c>
      <c r="C3354" s="4">
        <v>0</v>
      </c>
      <c r="D3354" s="4">
        <v>42.13</v>
      </c>
      <c r="E3354">
        <v>4</v>
      </c>
      <c r="F3354">
        <v>4</v>
      </c>
    </row>
    <row r="3355" spans="1:6" x14ac:dyDescent="0.25">
      <c r="A3355" t="s">
        <v>3481</v>
      </c>
      <c r="B3355" s="4">
        <v>42.02</v>
      </c>
      <c r="C3355" s="4">
        <v>0</v>
      </c>
      <c r="D3355" s="4">
        <v>42.02</v>
      </c>
      <c r="E3355">
        <v>2</v>
      </c>
      <c r="F3355">
        <v>2</v>
      </c>
    </row>
    <row r="3356" spans="1:6" x14ac:dyDescent="0.25">
      <c r="A3356" t="s">
        <v>3482</v>
      </c>
      <c r="B3356" s="4">
        <v>42</v>
      </c>
      <c r="C3356" s="4">
        <v>0</v>
      </c>
      <c r="D3356" s="4">
        <v>42</v>
      </c>
      <c r="E3356">
        <v>7</v>
      </c>
      <c r="F3356">
        <v>7</v>
      </c>
    </row>
    <row r="3357" spans="1:6" x14ac:dyDescent="0.25">
      <c r="A3357" t="s">
        <v>3483</v>
      </c>
      <c r="B3357" s="4">
        <v>41.79</v>
      </c>
      <c r="C3357" s="4">
        <v>0</v>
      </c>
      <c r="D3357" s="4">
        <v>41.79</v>
      </c>
      <c r="E3357">
        <v>5</v>
      </c>
      <c r="F3357">
        <v>5</v>
      </c>
    </row>
    <row r="3358" spans="1:6" x14ac:dyDescent="0.25">
      <c r="A3358" t="s">
        <v>3484</v>
      </c>
      <c r="B3358" s="4">
        <v>41.53</v>
      </c>
      <c r="C3358" s="4">
        <v>0</v>
      </c>
      <c r="D3358" s="4">
        <v>41.53</v>
      </c>
      <c r="E3358">
        <v>17</v>
      </c>
      <c r="F3358">
        <v>17</v>
      </c>
    </row>
    <row r="3359" spans="1:6" x14ac:dyDescent="0.25">
      <c r="A3359" t="s">
        <v>3485</v>
      </c>
      <c r="B3359" s="4">
        <v>41.47</v>
      </c>
      <c r="C3359" s="4">
        <v>0</v>
      </c>
      <c r="D3359" s="4">
        <v>41.47</v>
      </c>
      <c r="E3359">
        <v>13</v>
      </c>
      <c r="F3359">
        <v>12</v>
      </c>
    </row>
    <row r="3360" spans="1:6" x14ac:dyDescent="0.25">
      <c r="A3360" t="s">
        <v>3486</v>
      </c>
      <c r="B3360" s="4">
        <v>41.45</v>
      </c>
      <c r="C3360" s="4">
        <v>0</v>
      </c>
      <c r="D3360" s="4">
        <v>41.45</v>
      </c>
      <c r="E3360">
        <v>5</v>
      </c>
      <c r="F3360">
        <v>5</v>
      </c>
    </row>
    <row r="3361" spans="1:6" x14ac:dyDescent="0.25">
      <c r="A3361" t="s">
        <v>3487</v>
      </c>
      <c r="B3361" s="4">
        <v>41.45</v>
      </c>
      <c r="C3361" s="4">
        <v>9.9</v>
      </c>
      <c r="D3361" s="4">
        <v>31.55</v>
      </c>
      <c r="E3361">
        <v>19</v>
      </c>
      <c r="F3361">
        <v>19</v>
      </c>
    </row>
    <row r="3362" spans="1:6" x14ac:dyDescent="0.25">
      <c r="A3362" t="s">
        <v>3488</v>
      </c>
      <c r="B3362" s="4">
        <v>41.37</v>
      </c>
      <c r="C3362" s="4">
        <v>9.9</v>
      </c>
      <c r="D3362" s="4">
        <v>31.47</v>
      </c>
      <c r="E3362">
        <v>15</v>
      </c>
      <c r="F3362">
        <v>15</v>
      </c>
    </row>
    <row r="3363" spans="1:6" x14ac:dyDescent="0.25">
      <c r="A3363" t="s">
        <v>3489</v>
      </c>
      <c r="B3363" s="4">
        <v>41.31</v>
      </c>
      <c r="C3363" s="4">
        <v>0</v>
      </c>
      <c r="D3363" s="4">
        <v>41.31</v>
      </c>
      <c r="E3363">
        <v>6</v>
      </c>
      <c r="F3363">
        <v>6</v>
      </c>
    </row>
    <row r="3364" spans="1:6" x14ac:dyDescent="0.25">
      <c r="A3364" t="s">
        <v>3490</v>
      </c>
      <c r="B3364" s="4">
        <v>41.3</v>
      </c>
      <c r="C3364" s="4">
        <v>0</v>
      </c>
      <c r="D3364" s="4">
        <v>41.3</v>
      </c>
      <c r="E3364">
        <v>6</v>
      </c>
      <c r="F3364">
        <v>5</v>
      </c>
    </row>
    <row r="3365" spans="1:6" x14ac:dyDescent="0.25">
      <c r="A3365" t="s">
        <v>3491</v>
      </c>
      <c r="B3365" s="4">
        <v>41.3</v>
      </c>
      <c r="C3365" s="4">
        <v>0</v>
      </c>
      <c r="D3365" s="4">
        <v>41.3</v>
      </c>
      <c r="E3365">
        <v>7</v>
      </c>
      <c r="F3365">
        <v>7</v>
      </c>
    </row>
    <row r="3366" spans="1:6" x14ac:dyDescent="0.25">
      <c r="A3366" t="s">
        <v>3492</v>
      </c>
      <c r="B3366" s="4">
        <v>41.25</v>
      </c>
      <c r="C3366" s="4">
        <v>0</v>
      </c>
      <c r="D3366" s="4">
        <v>41.25</v>
      </c>
      <c r="E3366">
        <v>3</v>
      </c>
      <c r="F3366">
        <v>3</v>
      </c>
    </row>
    <row r="3367" spans="1:6" x14ac:dyDescent="0.25">
      <c r="A3367" t="s">
        <v>3493</v>
      </c>
      <c r="B3367" s="4">
        <v>41.25</v>
      </c>
      <c r="C3367" s="4">
        <v>0</v>
      </c>
      <c r="D3367" s="4">
        <v>41.25</v>
      </c>
      <c r="E3367">
        <v>7</v>
      </c>
      <c r="F3367">
        <v>6</v>
      </c>
    </row>
    <row r="3368" spans="1:6" x14ac:dyDescent="0.25">
      <c r="A3368" t="s">
        <v>3494</v>
      </c>
      <c r="B3368" s="4">
        <v>41.25</v>
      </c>
      <c r="C3368" s="4">
        <v>0</v>
      </c>
      <c r="D3368" s="4">
        <v>41.25</v>
      </c>
      <c r="E3368">
        <v>5</v>
      </c>
      <c r="F3368">
        <v>5</v>
      </c>
    </row>
    <row r="3369" spans="1:6" x14ac:dyDescent="0.25">
      <c r="A3369" t="s">
        <v>3495</v>
      </c>
      <c r="B3369" s="4">
        <v>41.15</v>
      </c>
      <c r="C3369" s="4">
        <v>0</v>
      </c>
      <c r="D3369" s="4">
        <v>41.15</v>
      </c>
      <c r="E3369">
        <v>7</v>
      </c>
      <c r="F3369">
        <v>7</v>
      </c>
    </row>
    <row r="3370" spans="1:6" x14ac:dyDescent="0.25">
      <c r="A3370" t="s">
        <v>3496</v>
      </c>
      <c r="B3370" s="4">
        <v>41.08</v>
      </c>
      <c r="C3370" s="4">
        <v>17.7</v>
      </c>
      <c r="D3370" s="4">
        <v>23.38</v>
      </c>
      <c r="E3370">
        <v>9</v>
      </c>
      <c r="F3370">
        <v>9</v>
      </c>
    </row>
    <row r="3371" spans="1:6" x14ac:dyDescent="0.25">
      <c r="A3371" t="s">
        <v>3497</v>
      </c>
      <c r="B3371" s="4">
        <v>41.01</v>
      </c>
      <c r="C3371" s="4">
        <v>0</v>
      </c>
      <c r="D3371" s="4">
        <v>41.01</v>
      </c>
      <c r="E3371">
        <v>7</v>
      </c>
      <c r="F3371">
        <v>7</v>
      </c>
    </row>
    <row r="3372" spans="1:6" x14ac:dyDescent="0.25">
      <c r="A3372" t="s">
        <v>3498</v>
      </c>
      <c r="B3372" s="4">
        <v>40.96</v>
      </c>
      <c r="C3372" s="4">
        <v>17.7</v>
      </c>
      <c r="D3372" s="4">
        <v>23.26</v>
      </c>
      <c r="E3372">
        <v>9</v>
      </c>
      <c r="F3372">
        <v>9</v>
      </c>
    </row>
    <row r="3373" spans="1:6" x14ac:dyDescent="0.25">
      <c r="A3373" t="s">
        <v>3499</v>
      </c>
      <c r="B3373" s="4">
        <v>40.950000000000003</v>
      </c>
      <c r="C3373" s="4">
        <v>0</v>
      </c>
      <c r="D3373" s="4">
        <v>40.950000000000003</v>
      </c>
      <c r="E3373">
        <v>13</v>
      </c>
      <c r="F3373">
        <v>13</v>
      </c>
    </row>
    <row r="3374" spans="1:6" x14ac:dyDescent="0.25">
      <c r="A3374" t="s">
        <v>3500</v>
      </c>
      <c r="B3374" s="4">
        <v>40.9</v>
      </c>
      <c r="C3374" s="4">
        <v>17.7</v>
      </c>
      <c r="D3374" s="4">
        <v>23.2</v>
      </c>
      <c r="E3374">
        <v>9</v>
      </c>
      <c r="F3374">
        <v>9</v>
      </c>
    </row>
    <row r="3375" spans="1:6" x14ac:dyDescent="0.25">
      <c r="A3375" t="s">
        <v>3501</v>
      </c>
      <c r="B3375" s="4">
        <v>40.53</v>
      </c>
      <c r="C3375" s="4">
        <v>0</v>
      </c>
      <c r="D3375" s="4">
        <v>40.53</v>
      </c>
      <c r="E3375">
        <v>30</v>
      </c>
      <c r="F3375">
        <v>29</v>
      </c>
    </row>
    <row r="3376" spans="1:6" x14ac:dyDescent="0.25">
      <c r="A3376" t="s">
        <v>3502</v>
      </c>
      <c r="B3376" s="4">
        <v>40.380000000000003</v>
      </c>
      <c r="C3376" s="4">
        <v>0</v>
      </c>
      <c r="D3376" s="4">
        <v>40.380000000000003</v>
      </c>
      <c r="E3376">
        <v>8</v>
      </c>
      <c r="F3376">
        <v>8</v>
      </c>
    </row>
    <row r="3377" spans="1:6" x14ac:dyDescent="0.25">
      <c r="A3377" t="s">
        <v>3503</v>
      </c>
      <c r="B3377" s="4">
        <v>40.200000000000003</v>
      </c>
      <c r="C3377" s="4">
        <v>0</v>
      </c>
      <c r="D3377" s="4">
        <v>40.200000000000003</v>
      </c>
      <c r="E3377">
        <v>30</v>
      </c>
      <c r="F3377">
        <v>30</v>
      </c>
    </row>
    <row r="3378" spans="1:6" x14ac:dyDescent="0.25">
      <c r="A3378" t="s">
        <v>3504</v>
      </c>
      <c r="B3378" s="4">
        <v>40.049999999999997</v>
      </c>
      <c r="C3378" s="4">
        <v>0</v>
      </c>
      <c r="D3378" s="4">
        <v>40.049999999999997</v>
      </c>
      <c r="E3378">
        <v>2</v>
      </c>
      <c r="F3378">
        <v>2</v>
      </c>
    </row>
    <row r="3379" spans="1:6" x14ac:dyDescent="0.25">
      <c r="A3379" t="s">
        <v>3505</v>
      </c>
      <c r="B3379" s="4">
        <v>40.03</v>
      </c>
      <c r="C3379" s="4">
        <v>0</v>
      </c>
      <c r="D3379" s="4">
        <v>40.03</v>
      </c>
      <c r="E3379">
        <v>8</v>
      </c>
      <c r="F3379">
        <v>8</v>
      </c>
    </row>
    <row r="3380" spans="1:6" x14ac:dyDescent="0.25">
      <c r="A3380" t="s">
        <v>3506</v>
      </c>
      <c r="B3380" s="4">
        <v>39.979999999999997</v>
      </c>
      <c r="C3380" s="4">
        <v>0</v>
      </c>
      <c r="D3380" s="4">
        <v>39.979999999999997</v>
      </c>
      <c r="E3380">
        <v>15</v>
      </c>
      <c r="F3380">
        <v>15</v>
      </c>
    </row>
    <row r="3381" spans="1:6" x14ac:dyDescent="0.25">
      <c r="A3381" t="s">
        <v>3507</v>
      </c>
      <c r="B3381" s="4">
        <v>39.92</v>
      </c>
      <c r="C3381" s="4">
        <v>0</v>
      </c>
      <c r="D3381" s="4">
        <v>39.92</v>
      </c>
      <c r="E3381">
        <v>6</v>
      </c>
      <c r="F3381">
        <v>5</v>
      </c>
    </row>
    <row r="3382" spans="1:6" x14ac:dyDescent="0.25">
      <c r="A3382" t="s">
        <v>3508</v>
      </c>
      <c r="B3382" s="4">
        <v>39.659999999999997</v>
      </c>
      <c r="C3382" s="4">
        <v>0</v>
      </c>
      <c r="D3382" s="4">
        <v>39.659999999999997</v>
      </c>
      <c r="E3382">
        <v>2</v>
      </c>
      <c r="F3382">
        <v>2</v>
      </c>
    </row>
    <row r="3383" spans="1:6" x14ac:dyDescent="0.25">
      <c r="A3383" t="s">
        <v>3509</v>
      </c>
      <c r="B3383" s="4">
        <v>39.65</v>
      </c>
      <c r="C3383" s="4">
        <v>0</v>
      </c>
      <c r="D3383" s="4">
        <v>39.65</v>
      </c>
      <c r="E3383">
        <v>18</v>
      </c>
      <c r="F3383">
        <v>18</v>
      </c>
    </row>
    <row r="3384" spans="1:6" x14ac:dyDescent="0.25">
      <c r="A3384" t="s">
        <v>3510</v>
      </c>
      <c r="B3384" s="4">
        <v>39.36</v>
      </c>
      <c r="C3384" s="4">
        <v>0</v>
      </c>
      <c r="D3384" s="4">
        <v>39.36</v>
      </c>
      <c r="E3384">
        <v>12</v>
      </c>
      <c r="F3384">
        <v>12</v>
      </c>
    </row>
    <row r="3385" spans="1:6" x14ac:dyDescent="0.25">
      <c r="A3385" t="s">
        <v>3511</v>
      </c>
      <c r="B3385" s="4">
        <v>39.299999999999997</v>
      </c>
      <c r="C3385" s="4">
        <v>5.95</v>
      </c>
      <c r="D3385" s="4">
        <v>33.35</v>
      </c>
      <c r="E3385">
        <v>4</v>
      </c>
      <c r="F3385">
        <v>4</v>
      </c>
    </row>
    <row r="3386" spans="1:6" x14ac:dyDescent="0.25">
      <c r="A3386" t="s">
        <v>3512</v>
      </c>
      <c r="B3386" s="4">
        <v>39.200000000000003</v>
      </c>
      <c r="C3386" s="4">
        <v>0</v>
      </c>
      <c r="D3386" s="4">
        <v>39.200000000000003</v>
      </c>
      <c r="E3386">
        <v>13</v>
      </c>
      <c r="F3386">
        <v>13</v>
      </c>
    </row>
    <row r="3387" spans="1:6" x14ac:dyDescent="0.25">
      <c r="A3387" t="s">
        <v>3513</v>
      </c>
      <c r="B3387" s="4">
        <v>39</v>
      </c>
      <c r="C3387" s="4">
        <v>0</v>
      </c>
      <c r="D3387" s="4">
        <v>39</v>
      </c>
      <c r="E3387">
        <v>4</v>
      </c>
      <c r="F3387">
        <v>4</v>
      </c>
    </row>
    <row r="3388" spans="1:6" x14ac:dyDescent="0.25">
      <c r="A3388" t="s">
        <v>3514</v>
      </c>
      <c r="B3388" s="4">
        <v>38.75</v>
      </c>
      <c r="C3388" s="4">
        <v>0</v>
      </c>
      <c r="D3388" s="4">
        <v>38.75</v>
      </c>
      <c r="E3388">
        <v>5</v>
      </c>
      <c r="F3388">
        <v>5</v>
      </c>
    </row>
    <row r="3389" spans="1:6" x14ac:dyDescent="0.25">
      <c r="A3389" t="s">
        <v>3515</v>
      </c>
      <c r="B3389" s="4">
        <v>38.700000000000003</v>
      </c>
      <c r="C3389" s="4">
        <v>0</v>
      </c>
      <c r="D3389" s="4">
        <v>38.700000000000003</v>
      </c>
      <c r="E3389">
        <v>6</v>
      </c>
      <c r="F3389">
        <v>6</v>
      </c>
    </row>
    <row r="3390" spans="1:6" x14ac:dyDescent="0.25">
      <c r="A3390" t="s">
        <v>3516</v>
      </c>
      <c r="B3390" s="4">
        <v>38.69</v>
      </c>
      <c r="C3390" s="4">
        <v>0.79</v>
      </c>
      <c r="D3390" s="4">
        <v>37.9</v>
      </c>
      <c r="E3390">
        <v>9</v>
      </c>
      <c r="F3390">
        <v>8</v>
      </c>
    </row>
    <row r="3391" spans="1:6" x14ac:dyDescent="0.25">
      <c r="A3391" t="s">
        <v>3517</v>
      </c>
      <c r="B3391" s="4">
        <v>38.67</v>
      </c>
      <c r="C3391" s="4">
        <v>0</v>
      </c>
      <c r="D3391" s="4">
        <v>38.67</v>
      </c>
      <c r="E3391">
        <v>8</v>
      </c>
      <c r="F3391">
        <v>7</v>
      </c>
    </row>
    <row r="3392" spans="1:6" x14ac:dyDescent="0.25">
      <c r="A3392" t="s">
        <v>3518</v>
      </c>
      <c r="B3392" s="4">
        <v>38.380000000000003</v>
      </c>
      <c r="C3392" s="4">
        <v>0</v>
      </c>
      <c r="D3392" s="4">
        <v>38.380000000000003</v>
      </c>
      <c r="E3392">
        <v>19</v>
      </c>
      <c r="F3392">
        <v>13</v>
      </c>
    </row>
    <row r="3393" spans="1:6" x14ac:dyDescent="0.25">
      <c r="A3393" t="s">
        <v>3519</v>
      </c>
      <c r="B3393" s="4">
        <v>38.33</v>
      </c>
      <c r="C3393" s="4">
        <v>0</v>
      </c>
      <c r="D3393" s="4">
        <v>38.33</v>
      </c>
      <c r="E3393">
        <v>20</v>
      </c>
      <c r="F3393">
        <v>20</v>
      </c>
    </row>
    <row r="3394" spans="1:6" x14ac:dyDescent="0.25">
      <c r="A3394" t="s">
        <v>3520</v>
      </c>
      <c r="B3394" s="4">
        <v>38.31</v>
      </c>
      <c r="C3394" s="4">
        <v>0</v>
      </c>
      <c r="D3394" s="4">
        <v>38.31</v>
      </c>
      <c r="E3394">
        <v>9</v>
      </c>
      <c r="F3394">
        <v>9</v>
      </c>
    </row>
    <row r="3395" spans="1:6" x14ac:dyDescent="0.25">
      <c r="A3395" t="s">
        <v>3521</v>
      </c>
      <c r="B3395" s="4">
        <v>38.25</v>
      </c>
      <c r="C3395" s="4">
        <v>0</v>
      </c>
      <c r="D3395" s="4">
        <v>38.25</v>
      </c>
      <c r="E3395">
        <v>3</v>
      </c>
      <c r="F3395">
        <v>3</v>
      </c>
    </row>
    <row r="3396" spans="1:6" x14ac:dyDescent="0.25">
      <c r="A3396" t="s">
        <v>3522</v>
      </c>
      <c r="B3396" s="4">
        <v>38.25</v>
      </c>
      <c r="C3396" s="4">
        <v>0</v>
      </c>
      <c r="D3396" s="4">
        <v>38.25</v>
      </c>
      <c r="E3396">
        <v>10</v>
      </c>
      <c r="F3396">
        <v>10</v>
      </c>
    </row>
    <row r="3397" spans="1:6" x14ac:dyDescent="0.25">
      <c r="A3397" t="s">
        <v>3523</v>
      </c>
      <c r="B3397" s="4">
        <v>38.18</v>
      </c>
      <c r="C3397" s="4">
        <v>0</v>
      </c>
      <c r="D3397" s="4">
        <v>38.18</v>
      </c>
      <c r="E3397">
        <v>7</v>
      </c>
      <c r="F3397">
        <v>7</v>
      </c>
    </row>
    <row r="3398" spans="1:6" x14ac:dyDescent="0.25">
      <c r="A3398" t="s">
        <v>3524</v>
      </c>
      <c r="B3398" s="4">
        <v>38</v>
      </c>
      <c r="C3398" s="4">
        <v>0</v>
      </c>
      <c r="D3398" s="4">
        <v>38</v>
      </c>
      <c r="E3398">
        <v>9</v>
      </c>
      <c r="F3398">
        <v>9</v>
      </c>
    </row>
    <row r="3399" spans="1:6" x14ac:dyDescent="0.25">
      <c r="A3399" t="s">
        <v>3525</v>
      </c>
      <c r="B3399" s="4">
        <v>37.950000000000003</v>
      </c>
      <c r="C3399" s="4">
        <v>0</v>
      </c>
      <c r="D3399" s="4">
        <v>37.950000000000003</v>
      </c>
      <c r="E3399">
        <v>7</v>
      </c>
      <c r="F3399">
        <v>7</v>
      </c>
    </row>
    <row r="3400" spans="1:6" x14ac:dyDescent="0.25">
      <c r="A3400" t="s">
        <v>3526</v>
      </c>
      <c r="B3400" s="4">
        <v>37.799999999999997</v>
      </c>
      <c r="C3400" s="4">
        <v>0</v>
      </c>
      <c r="D3400" s="4">
        <v>37.799999999999997</v>
      </c>
      <c r="E3400">
        <v>1</v>
      </c>
      <c r="F3400">
        <v>1</v>
      </c>
    </row>
    <row r="3401" spans="1:6" x14ac:dyDescent="0.25">
      <c r="A3401" t="s">
        <v>3527</v>
      </c>
      <c r="B3401" s="4">
        <v>37.659999999999997</v>
      </c>
      <c r="C3401" s="4">
        <v>0</v>
      </c>
      <c r="D3401" s="4">
        <v>37.659999999999997</v>
      </c>
      <c r="E3401">
        <v>3</v>
      </c>
      <c r="F3401">
        <v>3</v>
      </c>
    </row>
    <row r="3402" spans="1:6" x14ac:dyDescent="0.25">
      <c r="A3402" t="s">
        <v>3528</v>
      </c>
      <c r="B3402" s="4">
        <v>37.619999999999997</v>
      </c>
      <c r="C3402" s="4">
        <v>0</v>
      </c>
      <c r="D3402" s="4">
        <v>37.619999999999997</v>
      </c>
      <c r="E3402">
        <v>6</v>
      </c>
      <c r="F3402">
        <v>6</v>
      </c>
    </row>
    <row r="3403" spans="1:6" x14ac:dyDescent="0.25">
      <c r="A3403" t="s">
        <v>3529</v>
      </c>
      <c r="B3403" s="4">
        <v>37.619999999999997</v>
      </c>
      <c r="C3403" s="4">
        <v>0</v>
      </c>
      <c r="D3403" s="4">
        <v>37.619999999999997</v>
      </c>
      <c r="E3403">
        <v>8</v>
      </c>
      <c r="F3403">
        <v>8</v>
      </c>
    </row>
    <row r="3404" spans="1:6" x14ac:dyDescent="0.25">
      <c r="A3404" t="s">
        <v>3530</v>
      </c>
      <c r="B3404" s="4">
        <v>37.61</v>
      </c>
      <c r="C3404" s="4">
        <v>10.199999999999999</v>
      </c>
      <c r="D3404" s="4">
        <v>27.41</v>
      </c>
      <c r="E3404">
        <v>16</v>
      </c>
      <c r="F3404">
        <v>16</v>
      </c>
    </row>
    <row r="3405" spans="1:6" x14ac:dyDescent="0.25">
      <c r="A3405" t="s">
        <v>3531</v>
      </c>
      <c r="B3405" s="4">
        <v>37.4</v>
      </c>
      <c r="C3405" s="4">
        <v>0</v>
      </c>
      <c r="D3405" s="4">
        <v>37.4</v>
      </c>
      <c r="E3405">
        <v>7</v>
      </c>
      <c r="F3405">
        <v>7</v>
      </c>
    </row>
    <row r="3406" spans="1:6" x14ac:dyDescent="0.25">
      <c r="A3406" t="s">
        <v>3532</v>
      </c>
      <c r="B3406" s="4">
        <v>37.33</v>
      </c>
      <c r="C3406" s="4">
        <v>0</v>
      </c>
      <c r="D3406" s="4">
        <v>37.33</v>
      </c>
      <c r="E3406">
        <v>9</v>
      </c>
      <c r="F3406">
        <v>9</v>
      </c>
    </row>
    <row r="3407" spans="1:6" x14ac:dyDescent="0.25">
      <c r="A3407" t="s">
        <v>3533</v>
      </c>
      <c r="B3407" s="4">
        <v>37.299999999999997</v>
      </c>
      <c r="C3407" s="4">
        <v>0</v>
      </c>
      <c r="D3407" s="4">
        <v>37.299999999999997</v>
      </c>
      <c r="E3407">
        <v>4</v>
      </c>
      <c r="F3407">
        <v>4</v>
      </c>
    </row>
    <row r="3408" spans="1:6" x14ac:dyDescent="0.25">
      <c r="A3408" t="s">
        <v>3534</v>
      </c>
      <c r="B3408" s="4">
        <v>37.24</v>
      </c>
      <c r="C3408" s="4">
        <v>0</v>
      </c>
      <c r="D3408" s="4">
        <v>37.24</v>
      </c>
      <c r="E3408">
        <v>3</v>
      </c>
      <c r="F3408">
        <v>3</v>
      </c>
    </row>
    <row r="3409" spans="1:6" x14ac:dyDescent="0.25">
      <c r="A3409" t="s">
        <v>3535</v>
      </c>
      <c r="B3409" s="4">
        <v>36.76</v>
      </c>
      <c r="C3409" s="4">
        <v>0</v>
      </c>
      <c r="D3409" s="4">
        <v>36.76</v>
      </c>
      <c r="E3409">
        <v>12</v>
      </c>
      <c r="F3409">
        <v>12</v>
      </c>
    </row>
    <row r="3410" spans="1:6" x14ac:dyDescent="0.25">
      <c r="A3410" t="s">
        <v>3536</v>
      </c>
      <c r="B3410" s="4">
        <v>36.76</v>
      </c>
      <c r="C3410" s="4">
        <v>0</v>
      </c>
      <c r="D3410" s="4">
        <v>36.76</v>
      </c>
      <c r="E3410">
        <v>10</v>
      </c>
      <c r="F3410">
        <v>10</v>
      </c>
    </row>
    <row r="3411" spans="1:6" x14ac:dyDescent="0.25">
      <c r="A3411" t="s">
        <v>3537</v>
      </c>
      <c r="B3411" s="4">
        <v>36.76</v>
      </c>
      <c r="C3411" s="4">
        <v>0</v>
      </c>
      <c r="D3411" s="4">
        <v>36.76</v>
      </c>
      <c r="E3411">
        <v>30</v>
      </c>
      <c r="F3411">
        <v>30</v>
      </c>
    </row>
    <row r="3412" spans="1:6" x14ac:dyDescent="0.25">
      <c r="A3412" t="s">
        <v>3538</v>
      </c>
      <c r="B3412" s="4">
        <v>36.520000000000003</v>
      </c>
      <c r="C3412" s="4">
        <v>0</v>
      </c>
      <c r="D3412" s="4">
        <v>36.520000000000003</v>
      </c>
      <c r="E3412">
        <v>8</v>
      </c>
      <c r="F3412">
        <v>8</v>
      </c>
    </row>
    <row r="3413" spans="1:6" x14ac:dyDescent="0.25">
      <c r="A3413" t="s">
        <v>3539</v>
      </c>
      <c r="B3413" s="4">
        <v>36.33</v>
      </c>
      <c r="C3413" s="4">
        <v>0</v>
      </c>
      <c r="D3413" s="4">
        <v>36.33</v>
      </c>
      <c r="E3413">
        <v>11</v>
      </c>
      <c r="F3413">
        <v>10</v>
      </c>
    </row>
    <row r="3414" spans="1:6" x14ac:dyDescent="0.25">
      <c r="A3414" t="s">
        <v>3540</v>
      </c>
      <c r="B3414" s="4">
        <v>36.299999999999997</v>
      </c>
      <c r="C3414" s="4">
        <v>0</v>
      </c>
      <c r="D3414" s="4">
        <v>36.299999999999997</v>
      </c>
      <c r="E3414">
        <v>5</v>
      </c>
      <c r="F3414">
        <v>4</v>
      </c>
    </row>
    <row r="3415" spans="1:6" x14ac:dyDescent="0.25">
      <c r="A3415" t="s">
        <v>3541</v>
      </c>
      <c r="B3415" s="4">
        <v>36.25</v>
      </c>
      <c r="C3415" s="4">
        <v>0</v>
      </c>
      <c r="D3415" s="4">
        <v>36.25</v>
      </c>
      <c r="E3415">
        <v>13</v>
      </c>
      <c r="F3415">
        <v>12</v>
      </c>
    </row>
    <row r="3416" spans="1:6" x14ac:dyDescent="0.25">
      <c r="A3416" t="s">
        <v>3542</v>
      </c>
      <c r="B3416" s="4">
        <v>36.21</v>
      </c>
      <c r="C3416" s="4">
        <v>0</v>
      </c>
      <c r="D3416" s="4">
        <v>36.21</v>
      </c>
      <c r="E3416">
        <v>10</v>
      </c>
      <c r="F3416">
        <v>10</v>
      </c>
    </row>
    <row r="3417" spans="1:6" x14ac:dyDescent="0.25">
      <c r="A3417" t="s">
        <v>3543</v>
      </c>
      <c r="B3417" s="4">
        <v>35.75</v>
      </c>
      <c r="C3417" s="4">
        <v>0</v>
      </c>
      <c r="D3417" s="4">
        <v>35.75</v>
      </c>
      <c r="E3417">
        <v>8</v>
      </c>
      <c r="F3417">
        <v>8</v>
      </c>
    </row>
    <row r="3418" spans="1:6" x14ac:dyDescent="0.25">
      <c r="A3418" t="s">
        <v>3544</v>
      </c>
      <c r="B3418" s="4">
        <v>35.700000000000003</v>
      </c>
      <c r="C3418" s="4">
        <v>0</v>
      </c>
      <c r="D3418" s="4">
        <v>35.700000000000003</v>
      </c>
      <c r="E3418">
        <v>13</v>
      </c>
      <c r="F3418">
        <v>13</v>
      </c>
    </row>
    <row r="3419" spans="1:6" x14ac:dyDescent="0.25">
      <c r="A3419" t="s">
        <v>3545</v>
      </c>
      <c r="B3419" s="4">
        <v>35.44</v>
      </c>
      <c r="C3419" s="4">
        <v>0</v>
      </c>
      <c r="D3419" s="4">
        <v>35.44</v>
      </c>
      <c r="E3419">
        <v>6</v>
      </c>
      <c r="F3419">
        <v>6</v>
      </c>
    </row>
    <row r="3420" spans="1:6" x14ac:dyDescent="0.25">
      <c r="A3420" t="s">
        <v>3546</v>
      </c>
      <c r="B3420" s="4">
        <v>35.33</v>
      </c>
      <c r="C3420" s="4">
        <v>0</v>
      </c>
      <c r="D3420" s="4">
        <v>35.33</v>
      </c>
      <c r="E3420">
        <v>12</v>
      </c>
      <c r="F3420">
        <v>11</v>
      </c>
    </row>
    <row r="3421" spans="1:6" x14ac:dyDescent="0.25">
      <c r="A3421" t="s">
        <v>3547</v>
      </c>
      <c r="B3421" s="4">
        <v>35.31</v>
      </c>
      <c r="C3421" s="4">
        <v>0</v>
      </c>
      <c r="D3421" s="4">
        <v>35.31</v>
      </c>
      <c r="E3421">
        <v>5</v>
      </c>
      <c r="F3421">
        <v>5</v>
      </c>
    </row>
    <row r="3422" spans="1:6" x14ac:dyDescent="0.25">
      <c r="A3422" t="s">
        <v>3548</v>
      </c>
      <c r="B3422" s="4">
        <v>35.31</v>
      </c>
      <c r="C3422" s="4">
        <v>0</v>
      </c>
      <c r="D3422" s="4">
        <v>35.31</v>
      </c>
      <c r="E3422">
        <v>5</v>
      </c>
      <c r="F3422">
        <v>5</v>
      </c>
    </row>
    <row r="3423" spans="1:6" x14ac:dyDescent="0.25">
      <c r="A3423" t="s">
        <v>3549</v>
      </c>
      <c r="B3423" s="4">
        <v>35.270000000000003</v>
      </c>
      <c r="C3423" s="4">
        <v>0</v>
      </c>
      <c r="D3423" s="4">
        <v>35.270000000000003</v>
      </c>
      <c r="E3423">
        <v>7</v>
      </c>
      <c r="F3423">
        <v>7</v>
      </c>
    </row>
    <row r="3424" spans="1:6" x14ac:dyDescent="0.25">
      <c r="A3424" t="s">
        <v>3550</v>
      </c>
      <c r="B3424" s="4">
        <v>35.159999999999997</v>
      </c>
      <c r="C3424" s="4">
        <v>0</v>
      </c>
      <c r="D3424" s="4">
        <v>35.159999999999997</v>
      </c>
      <c r="E3424">
        <v>6</v>
      </c>
      <c r="F3424">
        <v>6</v>
      </c>
    </row>
    <row r="3425" spans="1:6" x14ac:dyDescent="0.25">
      <c r="A3425" t="s">
        <v>3551</v>
      </c>
      <c r="B3425" s="4">
        <v>35.11</v>
      </c>
      <c r="C3425" s="4">
        <v>0</v>
      </c>
      <c r="D3425" s="4">
        <v>35.11</v>
      </c>
      <c r="E3425">
        <v>10</v>
      </c>
      <c r="F3425">
        <v>9</v>
      </c>
    </row>
    <row r="3426" spans="1:6" x14ac:dyDescent="0.25">
      <c r="A3426" t="s">
        <v>3552</v>
      </c>
      <c r="B3426" s="4">
        <v>34.869999999999997</v>
      </c>
      <c r="C3426" s="4">
        <v>0</v>
      </c>
      <c r="D3426" s="4">
        <v>34.869999999999997</v>
      </c>
      <c r="E3426">
        <v>2</v>
      </c>
      <c r="F3426">
        <v>2</v>
      </c>
    </row>
    <row r="3427" spans="1:6" x14ac:dyDescent="0.25">
      <c r="A3427" t="s">
        <v>3553</v>
      </c>
      <c r="B3427" s="4">
        <v>34.770000000000003</v>
      </c>
      <c r="C3427" s="4">
        <v>0</v>
      </c>
      <c r="D3427" s="4">
        <v>34.770000000000003</v>
      </c>
      <c r="E3427">
        <v>3</v>
      </c>
      <c r="F3427">
        <v>3</v>
      </c>
    </row>
    <row r="3428" spans="1:6" x14ac:dyDescent="0.25">
      <c r="A3428" t="s">
        <v>3554</v>
      </c>
      <c r="B3428" s="4">
        <v>34.69</v>
      </c>
      <c r="C3428" s="4">
        <v>9.9</v>
      </c>
      <c r="D3428" s="4">
        <v>24.79</v>
      </c>
      <c r="E3428">
        <v>14</v>
      </c>
      <c r="F3428">
        <v>14</v>
      </c>
    </row>
    <row r="3429" spans="1:6" x14ac:dyDescent="0.25">
      <c r="A3429" t="s">
        <v>3555</v>
      </c>
      <c r="B3429" s="4">
        <v>34.32</v>
      </c>
      <c r="C3429" s="4">
        <v>0</v>
      </c>
      <c r="D3429" s="4">
        <v>34.32</v>
      </c>
      <c r="E3429">
        <v>2</v>
      </c>
      <c r="F3429">
        <v>2</v>
      </c>
    </row>
    <row r="3430" spans="1:6" x14ac:dyDescent="0.25">
      <c r="A3430" t="s">
        <v>3556</v>
      </c>
      <c r="B3430" s="4">
        <v>34.119999999999997</v>
      </c>
      <c r="C3430" s="4">
        <v>0</v>
      </c>
      <c r="D3430" s="4">
        <v>34.119999999999997</v>
      </c>
      <c r="E3430">
        <v>8</v>
      </c>
      <c r="F3430">
        <v>8</v>
      </c>
    </row>
    <row r="3431" spans="1:6" x14ac:dyDescent="0.25">
      <c r="A3431" t="s">
        <v>3557</v>
      </c>
      <c r="B3431" s="4">
        <v>33.93</v>
      </c>
      <c r="C3431" s="4">
        <v>0</v>
      </c>
      <c r="D3431" s="4">
        <v>33.93</v>
      </c>
      <c r="E3431">
        <v>10</v>
      </c>
      <c r="F3431">
        <v>8</v>
      </c>
    </row>
    <row r="3432" spans="1:6" x14ac:dyDescent="0.25">
      <c r="A3432" t="s">
        <v>3558</v>
      </c>
      <c r="B3432" s="4">
        <v>33.9</v>
      </c>
      <c r="C3432" s="4">
        <v>0</v>
      </c>
      <c r="D3432" s="4">
        <v>33.9</v>
      </c>
      <c r="E3432">
        <v>2</v>
      </c>
      <c r="F3432">
        <v>2</v>
      </c>
    </row>
    <row r="3433" spans="1:6" x14ac:dyDescent="0.25">
      <c r="A3433" t="s">
        <v>3559</v>
      </c>
      <c r="B3433" s="4">
        <v>33.82</v>
      </c>
      <c r="C3433" s="4">
        <v>0</v>
      </c>
      <c r="D3433" s="4">
        <v>33.82</v>
      </c>
      <c r="E3433">
        <v>3</v>
      </c>
      <c r="F3433">
        <v>3</v>
      </c>
    </row>
    <row r="3434" spans="1:6" x14ac:dyDescent="0.25">
      <c r="A3434" t="s">
        <v>3560</v>
      </c>
      <c r="B3434" s="4">
        <v>33.81</v>
      </c>
      <c r="C3434" s="4">
        <v>0</v>
      </c>
      <c r="D3434" s="4">
        <v>33.81</v>
      </c>
      <c r="E3434">
        <v>3</v>
      </c>
      <c r="F3434">
        <v>3</v>
      </c>
    </row>
    <row r="3435" spans="1:6" x14ac:dyDescent="0.25">
      <c r="A3435" t="s">
        <v>3561</v>
      </c>
      <c r="B3435" s="4">
        <v>33.75</v>
      </c>
      <c r="C3435" s="4">
        <v>0</v>
      </c>
      <c r="D3435" s="4">
        <v>33.75</v>
      </c>
      <c r="E3435">
        <v>20</v>
      </c>
      <c r="F3435">
        <v>17</v>
      </c>
    </row>
    <row r="3436" spans="1:6" x14ac:dyDescent="0.25">
      <c r="A3436" t="s">
        <v>3562</v>
      </c>
      <c r="B3436" s="4">
        <v>33.69</v>
      </c>
      <c r="C3436" s="4">
        <v>0</v>
      </c>
      <c r="D3436" s="4">
        <v>33.69</v>
      </c>
      <c r="E3436">
        <v>4</v>
      </c>
      <c r="F3436">
        <v>4</v>
      </c>
    </row>
    <row r="3437" spans="1:6" x14ac:dyDescent="0.25">
      <c r="A3437" t="s">
        <v>3563</v>
      </c>
      <c r="B3437" s="4">
        <v>33.6</v>
      </c>
      <c r="C3437" s="4">
        <v>0</v>
      </c>
      <c r="D3437" s="4">
        <v>33.6</v>
      </c>
      <c r="E3437">
        <v>2</v>
      </c>
      <c r="F3437">
        <v>2</v>
      </c>
    </row>
    <row r="3438" spans="1:6" x14ac:dyDescent="0.25">
      <c r="A3438" t="s">
        <v>3564</v>
      </c>
      <c r="B3438" s="4">
        <v>33.44</v>
      </c>
      <c r="C3438" s="4">
        <v>0</v>
      </c>
      <c r="D3438" s="4">
        <v>33.44</v>
      </c>
      <c r="E3438">
        <v>7</v>
      </c>
      <c r="F3438">
        <v>7</v>
      </c>
    </row>
    <row r="3439" spans="1:6" x14ac:dyDescent="0.25">
      <c r="A3439" t="s">
        <v>3565</v>
      </c>
      <c r="B3439" s="4">
        <v>33.18</v>
      </c>
      <c r="C3439" s="4">
        <v>0</v>
      </c>
      <c r="D3439" s="4">
        <v>33.18</v>
      </c>
      <c r="E3439">
        <v>3</v>
      </c>
      <c r="F3439">
        <v>3</v>
      </c>
    </row>
    <row r="3440" spans="1:6" x14ac:dyDescent="0.25">
      <c r="A3440" t="s">
        <v>3566</v>
      </c>
      <c r="B3440" s="4">
        <v>33.159999999999997</v>
      </c>
      <c r="C3440" s="4">
        <v>0</v>
      </c>
      <c r="D3440" s="4">
        <v>33.159999999999997</v>
      </c>
      <c r="E3440">
        <v>4</v>
      </c>
      <c r="F3440">
        <v>4</v>
      </c>
    </row>
    <row r="3441" spans="1:6" x14ac:dyDescent="0.25">
      <c r="A3441" t="s">
        <v>3567</v>
      </c>
      <c r="B3441" s="4">
        <v>32.51</v>
      </c>
      <c r="C3441" s="4">
        <v>0</v>
      </c>
      <c r="D3441" s="4">
        <v>32.51</v>
      </c>
      <c r="E3441">
        <v>2</v>
      </c>
      <c r="F3441">
        <v>2</v>
      </c>
    </row>
    <row r="3442" spans="1:6" x14ac:dyDescent="0.25">
      <c r="A3442" t="s">
        <v>3568</v>
      </c>
      <c r="B3442" s="4">
        <v>32.42</v>
      </c>
      <c r="C3442" s="4">
        <v>0</v>
      </c>
      <c r="D3442" s="4">
        <v>32.42</v>
      </c>
      <c r="E3442">
        <v>14</v>
      </c>
      <c r="F3442">
        <v>13</v>
      </c>
    </row>
    <row r="3443" spans="1:6" x14ac:dyDescent="0.25">
      <c r="A3443" t="s">
        <v>3569</v>
      </c>
      <c r="B3443" s="4">
        <v>32.35</v>
      </c>
      <c r="C3443" s="4">
        <v>0</v>
      </c>
      <c r="D3443" s="4">
        <v>32.35</v>
      </c>
      <c r="E3443">
        <v>5</v>
      </c>
      <c r="F3443">
        <v>5</v>
      </c>
    </row>
    <row r="3444" spans="1:6" x14ac:dyDescent="0.25">
      <c r="A3444" t="s">
        <v>3570</v>
      </c>
      <c r="B3444" s="4">
        <v>31.9</v>
      </c>
      <c r="C3444" s="4">
        <v>0</v>
      </c>
      <c r="D3444" s="4">
        <v>31.9</v>
      </c>
      <c r="E3444">
        <v>2</v>
      </c>
      <c r="F3444">
        <v>2</v>
      </c>
    </row>
    <row r="3445" spans="1:6" x14ac:dyDescent="0.25">
      <c r="A3445" t="s">
        <v>3571</v>
      </c>
      <c r="B3445" s="4">
        <v>31.8</v>
      </c>
      <c r="C3445" s="4">
        <v>0</v>
      </c>
      <c r="D3445" s="4">
        <v>31.8</v>
      </c>
      <c r="E3445">
        <v>2</v>
      </c>
      <c r="F3445">
        <v>2</v>
      </c>
    </row>
    <row r="3446" spans="1:6" x14ac:dyDescent="0.25">
      <c r="A3446" t="s">
        <v>3572</v>
      </c>
      <c r="B3446" s="4">
        <v>31.25</v>
      </c>
      <c r="C3446" s="4">
        <v>0</v>
      </c>
      <c r="D3446" s="4">
        <v>31.25</v>
      </c>
      <c r="E3446">
        <v>8</v>
      </c>
      <c r="F3446">
        <v>7</v>
      </c>
    </row>
    <row r="3447" spans="1:6" x14ac:dyDescent="0.25">
      <c r="A3447" t="s">
        <v>3573</v>
      </c>
      <c r="B3447" s="4">
        <v>31.2</v>
      </c>
      <c r="C3447" s="4">
        <v>0</v>
      </c>
      <c r="D3447" s="4">
        <v>31.2</v>
      </c>
      <c r="E3447">
        <v>10</v>
      </c>
      <c r="F3447">
        <v>10</v>
      </c>
    </row>
    <row r="3448" spans="1:6" x14ac:dyDescent="0.25">
      <c r="A3448" t="s">
        <v>3574</v>
      </c>
      <c r="B3448" s="4">
        <v>30.6</v>
      </c>
      <c r="C3448" s="4">
        <v>0</v>
      </c>
      <c r="D3448" s="4">
        <v>30.6</v>
      </c>
      <c r="E3448">
        <v>2</v>
      </c>
      <c r="F3448">
        <v>2</v>
      </c>
    </row>
    <row r="3449" spans="1:6" x14ac:dyDescent="0.25">
      <c r="A3449" t="s">
        <v>3575</v>
      </c>
      <c r="B3449" s="4">
        <v>30.6</v>
      </c>
      <c r="C3449" s="4">
        <v>0</v>
      </c>
      <c r="D3449" s="4">
        <v>30.6</v>
      </c>
      <c r="E3449">
        <v>7</v>
      </c>
      <c r="F3449">
        <v>7</v>
      </c>
    </row>
    <row r="3450" spans="1:6" x14ac:dyDescent="0.25">
      <c r="A3450" t="s">
        <v>3576</v>
      </c>
      <c r="B3450" s="4">
        <v>30.43</v>
      </c>
      <c r="C3450" s="4">
        <v>0</v>
      </c>
      <c r="D3450" s="4">
        <v>30.43</v>
      </c>
      <c r="E3450">
        <v>3</v>
      </c>
      <c r="F3450">
        <v>3</v>
      </c>
    </row>
    <row r="3451" spans="1:6" x14ac:dyDescent="0.25">
      <c r="A3451" t="s">
        <v>3577</v>
      </c>
      <c r="B3451" s="4">
        <v>30.12</v>
      </c>
      <c r="C3451" s="4">
        <v>0</v>
      </c>
      <c r="D3451" s="4">
        <v>30.12</v>
      </c>
      <c r="E3451">
        <v>3</v>
      </c>
      <c r="F3451">
        <v>3</v>
      </c>
    </row>
    <row r="3452" spans="1:6" x14ac:dyDescent="0.25">
      <c r="A3452" t="s">
        <v>3578</v>
      </c>
      <c r="B3452" s="4">
        <v>30</v>
      </c>
      <c r="C3452" s="4">
        <v>0</v>
      </c>
      <c r="D3452" s="4">
        <v>30</v>
      </c>
      <c r="E3452">
        <v>1</v>
      </c>
      <c r="F3452">
        <v>1</v>
      </c>
    </row>
    <row r="3453" spans="1:6" x14ac:dyDescent="0.25">
      <c r="A3453" t="s">
        <v>3579</v>
      </c>
      <c r="B3453" s="4">
        <v>29.98</v>
      </c>
      <c r="C3453" s="4">
        <v>0</v>
      </c>
      <c r="D3453" s="4">
        <v>29.98</v>
      </c>
      <c r="E3453">
        <v>3</v>
      </c>
      <c r="F3453">
        <v>3</v>
      </c>
    </row>
    <row r="3454" spans="1:6" x14ac:dyDescent="0.25">
      <c r="A3454" t="s">
        <v>3580</v>
      </c>
      <c r="B3454" s="4">
        <v>29.98</v>
      </c>
      <c r="C3454" s="4">
        <v>0</v>
      </c>
      <c r="D3454" s="4">
        <v>29.98</v>
      </c>
      <c r="E3454">
        <v>4</v>
      </c>
      <c r="F3454">
        <v>4</v>
      </c>
    </row>
    <row r="3455" spans="1:6" x14ac:dyDescent="0.25">
      <c r="A3455" t="s">
        <v>3581</v>
      </c>
      <c r="B3455" s="4">
        <v>29.96</v>
      </c>
      <c r="C3455" s="4">
        <v>0</v>
      </c>
      <c r="D3455" s="4">
        <v>29.96</v>
      </c>
      <c r="E3455">
        <v>3</v>
      </c>
      <c r="F3455">
        <v>3</v>
      </c>
    </row>
    <row r="3456" spans="1:6" x14ac:dyDescent="0.25">
      <c r="A3456" t="s">
        <v>3582</v>
      </c>
      <c r="B3456" s="4">
        <v>29.95</v>
      </c>
      <c r="C3456" s="4">
        <v>0</v>
      </c>
      <c r="D3456" s="4">
        <v>29.95</v>
      </c>
      <c r="E3456">
        <v>1</v>
      </c>
      <c r="F3456">
        <v>1</v>
      </c>
    </row>
    <row r="3457" spans="1:6" x14ac:dyDescent="0.25">
      <c r="A3457" t="s">
        <v>3583</v>
      </c>
      <c r="B3457" s="4">
        <v>29.93</v>
      </c>
      <c r="C3457" s="4">
        <v>0</v>
      </c>
      <c r="D3457" s="4">
        <v>29.93</v>
      </c>
      <c r="E3457">
        <v>6</v>
      </c>
      <c r="F3457">
        <v>6</v>
      </c>
    </row>
    <row r="3458" spans="1:6" x14ac:dyDescent="0.25">
      <c r="A3458" t="s">
        <v>3584</v>
      </c>
      <c r="B3458" s="4">
        <v>29.9</v>
      </c>
      <c r="C3458" s="4">
        <v>29.9</v>
      </c>
      <c r="D3458" s="4">
        <v>0</v>
      </c>
      <c r="E3458">
        <v>1</v>
      </c>
      <c r="F3458">
        <v>1</v>
      </c>
    </row>
    <row r="3459" spans="1:6" x14ac:dyDescent="0.25">
      <c r="A3459" t="s">
        <v>3585</v>
      </c>
      <c r="B3459" s="4">
        <v>29.85</v>
      </c>
      <c r="C3459" s="4">
        <v>0</v>
      </c>
      <c r="D3459" s="4">
        <v>29.85</v>
      </c>
      <c r="E3459">
        <v>2</v>
      </c>
      <c r="F3459">
        <v>2</v>
      </c>
    </row>
    <row r="3460" spans="1:6" x14ac:dyDescent="0.25">
      <c r="A3460" t="s">
        <v>3586</v>
      </c>
      <c r="B3460" s="4">
        <v>29.84</v>
      </c>
      <c r="C3460" s="4">
        <v>0</v>
      </c>
      <c r="D3460" s="4">
        <v>29.84</v>
      </c>
      <c r="E3460">
        <v>2</v>
      </c>
      <c r="F3460">
        <v>2</v>
      </c>
    </row>
    <row r="3461" spans="1:6" x14ac:dyDescent="0.25">
      <c r="A3461" t="s">
        <v>3587</v>
      </c>
      <c r="B3461" s="4">
        <v>29.79</v>
      </c>
      <c r="C3461" s="4">
        <v>0</v>
      </c>
      <c r="D3461" s="4">
        <v>29.79</v>
      </c>
      <c r="E3461">
        <v>5</v>
      </c>
      <c r="F3461">
        <v>5</v>
      </c>
    </row>
    <row r="3462" spans="1:6" x14ac:dyDescent="0.25">
      <c r="A3462" t="s">
        <v>3588</v>
      </c>
      <c r="B3462" s="4">
        <v>29.73</v>
      </c>
      <c r="C3462" s="4">
        <v>0</v>
      </c>
      <c r="D3462" s="4">
        <v>29.73</v>
      </c>
      <c r="E3462">
        <v>5</v>
      </c>
      <c r="F3462">
        <v>5</v>
      </c>
    </row>
    <row r="3463" spans="1:6" x14ac:dyDescent="0.25">
      <c r="A3463" t="s">
        <v>3589</v>
      </c>
      <c r="B3463" s="4">
        <v>29.73</v>
      </c>
      <c r="C3463" s="4">
        <v>0</v>
      </c>
      <c r="D3463" s="4">
        <v>29.73</v>
      </c>
      <c r="E3463">
        <v>3</v>
      </c>
      <c r="F3463">
        <v>3</v>
      </c>
    </row>
    <row r="3464" spans="1:6" x14ac:dyDescent="0.25">
      <c r="A3464" t="s">
        <v>3590</v>
      </c>
      <c r="B3464" s="4">
        <v>29.7</v>
      </c>
      <c r="C3464" s="4">
        <v>0</v>
      </c>
      <c r="D3464" s="4">
        <v>29.7</v>
      </c>
      <c r="E3464">
        <v>8</v>
      </c>
      <c r="F3464">
        <v>8</v>
      </c>
    </row>
    <row r="3465" spans="1:6" x14ac:dyDescent="0.25">
      <c r="A3465" t="s">
        <v>3591</v>
      </c>
      <c r="B3465" s="4">
        <v>29.7</v>
      </c>
      <c r="C3465" s="4">
        <v>0</v>
      </c>
      <c r="D3465" s="4">
        <v>29.7</v>
      </c>
      <c r="E3465">
        <v>3</v>
      </c>
      <c r="F3465">
        <v>3</v>
      </c>
    </row>
    <row r="3466" spans="1:6" x14ac:dyDescent="0.25">
      <c r="A3466" t="s">
        <v>3592</v>
      </c>
      <c r="B3466" s="4">
        <v>29.64</v>
      </c>
      <c r="C3466" s="4">
        <v>0</v>
      </c>
      <c r="D3466" s="4">
        <v>29.64</v>
      </c>
      <c r="E3466">
        <v>2</v>
      </c>
      <c r="F3466">
        <v>2</v>
      </c>
    </row>
    <row r="3467" spans="1:6" x14ac:dyDescent="0.25">
      <c r="A3467" t="s">
        <v>3593</v>
      </c>
      <c r="B3467" s="4">
        <v>29.62</v>
      </c>
      <c r="C3467" s="4">
        <v>0</v>
      </c>
      <c r="D3467" s="4">
        <v>29.62</v>
      </c>
      <c r="E3467">
        <v>13</v>
      </c>
      <c r="F3467">
        <v>13</v>
      </c>
    </row>
    <row r="3468" spans="1:6" x14ac:dyDescent="0.25">
      <c r="A3468" t="s">
        <v>3594</v>
      </c>
      <c r="B3468" s="4">
        <v>29.6</v>
      </c>
      <c r="C3468" s="4">
        <v>0</v>
      </c>
      <c r="D3468" s="4">
        <v>29.6</v>
      </c>
      <c r="E3468">
        <v>4</v>
      </c>
      <c r="F3468">
        <v>4</v>
      </c>
    </row>
    <row r="3469" spans="1:6" x14ac:dyDescent="0.25">
      <c r="A3469" t="s">
        <v>3595</v>
      </c>
      <c r="B3469" s="4">
        <v>29.5</v>
      </c>
      <c r="C3469" s="4">
        <v>0</v>
      </c>
      <c r="D3469" s="4">
        <v>29.5</v>
      </c>
      <c r="E3469">
        <v>7</v>
      </c>
      <c r="F3469">
        <v>7</v>
      </c>
    </row>
    <row r="3470" spans="1:6" x14ac:dyDescent="0.25">
      <c r="A3470" t="s">
        <v>3596</v>
      </c>
      <c r="B3470" s="4">
        <v>29.5</v>
      </c>
      <c r="C3470" s="4">
        <v>0</v>
      </c>
      <c r="D3470" s="4">
        <v>29.5</v>
      </c>
      <c r="E3470">
        <v>5</v>
      </c>
      <c r="F3470">
        <v>5</v>
      </c>
    </row>
    <row r="3471" spans="1:6" x14ac:dyDescent="0.25">
      <c r="A3471" t="s">
        <v>3597</v>
      </c>
      <c r="B3471" s="4">
        <v>29.4</v>
      </c>
      <c r="C3471" s="4">
        <v>0</v>
      </c>
      <c r="D3471" s="4">
        <v>29.4</v>
      </c>
      <c r="E3471">
        <v>3</v>
      </c>
      <c r="F3471">
        <v>3</v>
      </c>
    </row>
    <row r="3472" spans="1:6" x14ac:dyDescent="0.25">
      <c r="A3472" t="s">
        <v>3598</v>
      </c>
      <c r="B3472" s="4">
        <v>29.31</v>
      </c>
      <c r="C3472" s="4">
        <v>0</v>
      </c>
      <c r="D3472" s="4">
        <v>29.31</v>
      </c>
      <c r="E3472">
        <v>5</v>
      </c>
      <c r="F3472">
        <v>5</v>
      </c>
    </row>
    <row r="3473" spans="1:6" x14ac:dyDescent="0.25">
      <c r="A3473" t="s">
        <v>3599</v>
      </c>
      <c r="B3473" s="4">
        <v>29.25</v>
      </c>
      <c r="C3473" s="4">
        <v>0</v>
      </c>
      <c r="D3473" s="4">
        <v>29.25</v>
      </c>
      <c r="E3473">
        <v>6</v>
      </c>
      <c r="F3473">
        <v>6</v>
      </c>
    </row>
    <row r="3474" spans="1:6" x14ac:dyDescent="0.25">
      <c r="A3474" t="s">
        <v>3600</v>
      </c>
      <c r="B3474" s="4">
        <v>29.23</v>
      </c>
      <c r="C3474" s="4">
        <v>0</v>
      </c>
      <c r="D3474" s="4">
        <v>29.23</v>
      </c>
      <c r="E3474">
        <v>24</v>
      </c>
      <c r="F3474">
        <v>24</v>
      </c>
    </row>
    <row r="3475" spans="1:6" x14ac:dyDescent="0.25">
      <c r="A3475" t="s">
        <v>3601</v>
      </c>
      <c r="B3475" s="4">
        <v>29.19</v>
      </c>
      <c r="C3475" s="4">
        <v>0</v>
      </c>
      <c r="D3475" s="4">
        <v>29.19</v>
      </c>
      <c r="E3475">
        <v>33</v>
      </c>
      <c r="F3475">
        <v>31</v>
      </c>
    </row>
    <row r="3476" spans="1:6" x14ac:dyDescent="0.25">
      <c r="A3476" t="s">
        <v>3602</v>
      </c>
      <c r="B3476" s="4">
        <v>29</v>
      </c>
      <c r="C3476" s="4">
        <v>0</v>
      </c>
      <c r="D3476" s="4">
        <v>29</v>
      </c>
      <c r="E3476">
        <v>3</v>
      </c>
      <c r="F3476">
        <v>3</v>
      </c>
    </row>
    <row r="3477" spans="1:6" x14ac:dyDescent="0.25">
      <c r="A3477" t="s">
        <v>3603</v>
      </c>
      <c r="B3477" s="4">
        <v>28.91</v>
      </c>
      <c r="C3477" s="4">
        <v>0</v>
      </c>
      <c r="D3477" s="4">
        <v>28.91</v>
      </c>
      <c r="E3477">
        <v>1</v>
      </c>
      <c r="F3477">
        <v>1</v>
      </c>
    </row>
    <row r="3478" spans="1:6" x14ac:dyDescent="0.25">
      <c r="A3478" t="s">
        <v>3604</v>
      </c>
      <c r="B3478" s="4">
        <v>28.76</v>
      </c>
      <c r="C3478" s="4">
        <v>0</v>
      </c>
      <c r="D3478" s="4">
        <v>28.76</v>
      </c>
      <c r="E3478">
        <v>5</v>
      </c>
      <c r="F3478">
        <v>5</v>
      </c>
    </row>
    <row r="3479" spans="1:6" x14ac:dyDescent="0.25">
      <c r="A3479" t="s">
        <v>3605</v>
      </c>
      <c r="B3479" s="4">
        <v>28.73</v>
      </c>
      <c r="C3479" s="4">
        <v>5.07</v>
      </c>
      <c r="D3479" s="4">
        <v>23.66</v>
      </c>
      <c r="E3479">
        <v>4</v>
      </c>
      <c r="F3479">
        <v>4</v>
      </c>
    </row>
    <row r="3480" spans="1:6" x14ac:dyDescent="0.25">
      <c r="A3480" t="s">
        <v>3606</v>
      </c>
      <c r="B3480" s="4">
        <v>28.57</v>
      </c>
      <c r="C3480" s="4">
        <v>0</v>
      </c>
      <c r="D3480" s="4">
        <v>28.57</v>
      </c>
      <c r="E3480">
        <v>10</v>
      </c>
      <c r="F3480">
        <v>10</v>
      </c>
    </row>
    <row r="3481" spans="1:6" x14ac:dyDescent="0.25">
      <c r="A3481" t="s">
        <v>3607</v>
      </c>
      <c r="B3481" s="4">
        <v>28.4</v>
      </c>
      <c r="C3481" s="4">
        <v>0</v>
      </c>
      <c r="D3481" s="4">
        <v>28.4</v>
      </c>
      <c r="E3481">
        <v>6</v>
      </c>
      <c r="F3481">
        <v>6</v>
      </c>
    </row>
    <row r="3482" spans="1:6" x14ac:dyDescent="0.25">
      <c r="A3482" t="s">
        <v>3608</v>
      </c>
      <c r="B3482" s="4">
        <v>28.35</v>
      </c>
      <c r="C3482" s="4">
        <v>0</v>
      </c>
      <c r="D3482" s="4">
        <v>28.35</v>
      </c>
      <c r="E3482">
        <v>7</v>
      </c>
      <c r="F3482">
        <v>7</v>
      </c>
    </row>
    <row r="3483" spans="1:6" x14ac:dyDescent="0.25">
      <c r="A3483" t="s">
        <v>3609</v>
      </c>
      <c r="B3483" s="4">
        <v>28.05</v>
      </c>
      <c r="C3483" s="4">
        <v>10.199999999999999</v>
      </c>
      <c r="D3483" s="4">
        <v>17.850000000000001</v>
      </c>
      <c r="E3483">
        <v>3</v>
      </c>
      <c r="F3483">
        <v>3</v>
      </c>
    </row>
    <row r="3484" spans="1:6" x14ac:dyDescent="0.25">
      <c r="A3484" t="s">
        <v>3610</v>
      </c>
      <c r="B3484" s="4">
        <v>28.02</v>
      </c>
      <c r="C3484" s="4">
        <v>0</v>
      </c>
      <c r="D3484" s="4">
        <v>28.02</v>
      </c>
      <c r="E3484">
        <v>10</v>
      </c>
      <c r="F3484">
        <v>10</v>
      </c>
    </row>
    <row r="3485" spans="1:6" x14ac:dyDescent="0.25">
      <c r="A3485" t="s">
        <v>3611</v>
      </c>
      <c r="B3485" s="4">
        <v>28.01</v>
      </c>
      <c r="C3485" s="4">
        <v>0</v>
      </c>
      <c r="D3485" s="4">
        <v>28.01</v>
      </c>
      <c r="E3485">
        <v>25</v>
      </c>
      <c r="F3485">
        <v>25</v>
      </c>
    </row>
    <row r="3486" spans="1:6" x14ac:dyDescent="0.25">
      <c r="A3486" t="s">
        <v>3612</v>
      </c>
      <c r="B3486" s="4">
        <v>27.9</v>
      </c>
      <c r="C3486" s="4">
        <v>0</v>
      </c>
      <c r="D3486" s="4">
        <v>27.9</v>
      </c>
      <c r="E3486">
        <v>3</v>
      </c>
      <c r="F3486">
        <v>3</v>
      </c>
    </row>
    <row r="3487" spans="1:6" x14ac:dyDescent="0.25">
      <c r="A3487" t="s">
        <v>3613</v>
      </c>
      <c r="B3487" s="4">
        <v>27.77</v>
      </c>
      <c r="C3487" s="4">
        <v>0</v>
      </c>
      <c r="D3487" s="4">
        <v>27.77</v>
      </c>
      <c r="E3487">
        <v>10</v>
      </c>
      <c r="F3487">
        <v>10</v>
      </c>
    </row>
    <row r="3488" spans="1:6" x14ac:dyDescent="0.25">
      <c r="A3488" t="s">
        <v>3614</v>
      </c>
      <c r="B3488" s="4">
        <v>27.39</v>
      </c>
      <c r="C3488" s="4">
        <v>0</v>
      </c>
      <c r="D3488" s="4">
        <v>27.39</v>
      </c>
      <c r="E3488">
        <v>6</v>
      </c>
      <c r="F3488">
        <v>6</v>
      </c>
    </row>
    <row r="3489" spans="1:6" x14ac:dyDescent="0.25">
      <c r="A3489" t="s">
        <v>3615</v>
      </c>
      <c r="B3489" s="4">
        <v>27.39</v>
      </c>
      <c r="C3489" s="4">
        <v>0</v>
      </c>
      <c r="D3489" s="4">
        <v>27.39</v>
      </c>
      <c r="E3489">
        <v>9</v>
      </c>
      <c r="F3489">
        <v>9</v>
      </c>
    </row>
    <row r="3490" spans="1:6" x14ac:dyDescent="0.25">
      <c r="A3490" t="s">
        <v>3616</v>
      </c>
      <c r="B3490" s="4">
        <v>27.14</v>
      </c>
      <c r="C3490" s="4">
        <v>6.75</v>
      </c>
      <c r="D3490" s="4">
        <v>20.39</v>
      </c>
      <c r="E3490">
        <v>1</v>
      </c>
      <c r="F3490">
        <v>1</v>
      </c>
    </row>
    <row r="3491" spans="1:6" x14ac:dyDescent="0.25">
      <c r="A3491" t="s">
        <v>3617</v>
      </c>
      <c r="B3491" s="4">
        <v>27.02</v>
      </c>
      <c r="C3491" s="4">
        <v>0</v>
      </c>
      <c r="D3491" s="4">
        <v>27.02</v>
      </c>
      <c r="E3491">
        <v>12</v>
      </c>
      <c r="F3491">
        <v>10</v>
      </c>
    </row>
    <row r="3492" spans="1:6" x14ac:dyDescent="0.25">
      <c r="A3492" t="s">
        <v>3618</v>
      </c>
      <c r="B3492" s="4">
        <v>27</v>
      </c>
      <c r="C3492" s="4">
        <v>0</v>
      </c>
      <c r="D3492" s="4">
        <v>27</v>
      </c>
      <c r="E3492">
        <v>3</v>
      </c>
      <c r="F3492">
        <v>3</v>
      </c>
    </row>
    <row r="3493" spans="1:6" x14ac:dyDescent="0.25">
      <c r="A3493" t="s">
        <v>3619</v>
      </c>
      <c r="B3493" s="4">
        <v>27</v>
      </c>
      <c r="C3493" s="4">
        <v>54</v>
      </c>
      <c r="D3493" s="4">
        <v>-27</v>
      </c>
      <c r="E3493">
        <v>1</v>
      </c>
      <c r="F3493">
        <v>1</v>
      </c>
    </row>
    <row r="3494" spans="1:6" x14ac:dyDescent="0.25">
      <c r="A3494" t="s">
        <v>3620</v>
      </c>
      <c r="B3494" s="4">
        <v>26.56</v>
      </c>
      <c r="C3494" s="4">
        <v>0</v>
      </c>
      <c r="D3494" s="4">
        <v>26.56</v>
      </c>
      <c r="E3494">
        <v>19</v>
      </c>
      <c r="F3494">
        <v>19</v>
      </c>
    </row>
    <row r="3495" spans="1:6" x14ac:dyDescent="0.25">
      <c r="A3495" t="s">
        <v>3621</v>
      </c>
      <c r="B3495" s="4">
        <v>26.55</v>
      </c>
      <c r="C3495" s="4">
        <v>0</v>
      </c>
      <c r="D3495" s="4">
        <v>26.55</v>
      </c>
      <c r="E3495">
        <v>2</v>
      </c>
      <c r="F3495">
        <v>2</v>
      </c>
    </row>
    <row r="3496" spans="1:6" x14ac:dyDescent="0.25">
      <c r="A3496" t="s">
        <v>3622</v>
      </c>
      <c r="B3496" s="4">
        <v>26.55</v>
      </c>
      <c r="C3496" s="4">
        <v>0</v>
      </c>
      <c r="D3496" s="4">
        <v>26.55</v>
      </c>
      <c r="E3496">
        <v>2</v>
      </c>
      <c r="F3496">
        <v>2</v>
      </c>
    </row>
    <row r="3497" spans="1:6" x14ac:dyDescent="0.25">
      <c r="A3497" t="s">
        <v>3623</v>
      </c>
      <c r="B3497" s="4">
        <v>26.52</v>
      </c>
      <c r="C3497" s="4">
        <v>9.9</v>
      </c>
      <c r="D3497" s="4">
        <v>16.62</v>
      </c>
      <c r="E3497">
        <v>10</v>
      </c>
      <c r="F3497">
        <v>10</v>
      </c>
    </row>
    <row r="3498" spans="1:6" x14ac:dyDescent="0.25">
      <c r="A3498" t="s">
        <v>3624</v>
      </c>
      <c r="B3498" s="4">
        <v>26.49</v>
      </c>
      <c r="C3498" s="4">
        <v>0</v>
      </c>
      <c r="D3498" s="4">
        <v>26.49</v>
      </c>
      <c r="E3498">
        <v>3</v>
      </c>
      <c r="F3498">
        <v>3</v>
      </c>
    </row>
    <row r="3499" spans="1:6" x14ac:dyDescent="0.25">
      <c r="A3499" t="s">
        <v>3625</v>
      </c>
      <c r="B3499" s="4">
        <v>26.35</v>
      </c>
      <c r="C3499" s="4">
        <v>0.85</v>
      </c>
      <c r="D3499" s="4">
        <v>25.5</v>
      </c>
      <c r="E3499">
        <v>8</v>
      </c>
      <c r="F3499">
        <v>8</v>
      </c>
    </row>
    <row r="3500" spans="1:6" x14ac:dyDescent="0.25">
      <c r="A3500" t="s">
        <v>3626</v>
      </c>
      <c r="B3500" s="4">
        <v>26.25</v>
      </c>
      <c r="C3500" s="4">
        <v>0</v>
      </c>
      <c r="D3500" s="4">
        <v>26.25</v>
      </c>
      <c r="E3500">
        <v>3</v>
      </c>
      <c r="F3500">
        <v>3</v>
      </c>
    </row>
    <row r="3501" spans="1:6" x14ac:dyDescent="0.25">
      <c r="A3501" t="s">
        <v>3627</v>
      </c>
      <c r="B3501" s="4">
        <v>26.19</v>
      </c>
      <c r="C3501" s="4">
        <v>0</v>
      </c>
      <c r="D3501" s="4">
        <v>26.19</v>
      </c>
      <c r="E3501">
        <v>7</v>
      </c>
      <c r="F3501">
        <v>7</v>
      </c>
    </row>
    <row r="3502" spans="1:6" x14ac:dyDescent="0.25">
      <c r="A3502" t="s">
        <v>3628</v>
      </c>
      <c r="B3502" s="4">
        <v>26.15</v>
      </c>
      <c r="C3502" s="4">
        <v>0</v>
      </c>
      <c r="D3502" s="4">
        <v>26.15</v>
      </c>
      <c r="E3502">
        <v>9</v>
      </c>
      <c r="F3502">
        <v>9</v>
      </c>
    </row>
    <row r="3503" spans="1:6" x14ac:dyDescent="0.25">
      <c r="A3503" t="s">
        <v>3629</v>
      </c>
      <c r="B3503" s="4">
        <v>25.81</v>
      </c>
      <c r="C3503" s="4">
        <v>3.9</v>
      </c>
      <c r="D3503" s="4">
        <v>21.91</v>
      </c>
      <c r="E3503">
        <v>7</v>
      </c>
      <c r="F3503">
        <v>6</v>
      </c>
    </row>
    <row r="3504" spans="1:6" x14ac:dyDescent="0.25">
      <c r="A3504" t="s">
        <v>3630</v>
      </c>
      <c r="B3504" s="4">
        <v>25.5</v>
      </c>
      <c r="C3504" s="4">
        <v>0</v>
      </c>
      <c r="D3504" s="4">
        <v>25.5</v>
      </c>
      <c r="E3504">
        <v>2</v>
      </c>
      <c r="F3504">
        <v>2</v>
      </c>
    </row>
    <row r="3505" spans="1:6" x14ac:dyDescent="0.25">
      <c r="A3505" t="s">
        <v>3631</v>
      </c>
      <c r="B3505" s="4">
        <v>25.5</v>
      </c>
      <c r="C3505" s="4">
        <v>0</v>
      </c>
      <c r="D3505" s="4">
        <v>25.5</v>
      </c>
      <c r="E3505">
        <v>3</v>
      </c>
      <c r="F3505">
        <v>3</v>
      </c>
    </row>
    <row r="3506" spans="1:6" x14ac:dyDescent="0.25">
      <c r="A3506" t="s">
        <v>3632</v>
      </c>
      <c r="B3506" s="4">
        <v>25.49</v>
      </c>
      <c r="C3506" s="4">
        <v>0</v>
      </c>
      <c r="D3506" s="4">
        <v>25.49</v>
      </c>
      <c r="E3506">
        <v>1</v>
      </c>
      <c r="F3506">
        <v>1</v>
      </c>
    </row>
    <row r="3507" spans="1:6" x14ac:dyDescent="0.25">
      <c r="A3507" t="s">
        <v>3633</v>
      </c>
      <c r="B3507" s="4">
        <v>25.35</v>
      </c>
      <c r="C3507" s="4">
        <v>0</v>
      </c>
      <c r="D3507" s="4">
        <v>25.35</v>
      </c>
      <c r="E3507">
        <v>3</v>
      </c>
      <c r="F3507">
        <v>3</v>
      </c>
    </row>
    <row r="3508" spans="1:6" x14ac:dyDescent="0.25">
      <c r="A3508" t="s">
        <v>3634</v>
      </c>
      <c r="B3508" s="4">
        <v>25.32</v>
      </c>
      <c r="C3508" s="4">
        <v>0</v>
      </c>
      <c r="D3508" s="4">
        <v>25.32</v>
      </c>
      <c r="E3508">
        <v>3</v>
      </c>
      <c r="F3508">
        <v>3</v>
      </c>
    </row>
    <row r="3509" spans="1:6" x14ac:dyDescent="0.25">
      <c r="A3509" t="s">
        <v>3635</v>
      </c>
      <c r="B3509" s="4">
        <v>25.28</v>
      </c>
      <c r="C3509" s="4">
        <v>0</v>
      </c>
      <c r="D3509" s="4">
        <v>25.28</v>
      </c>
      <c r="E3509">
        <v>5</v>
      </c>
      <c r="F3509">
        <v>5</v>
      </c>
    </row>
    <row r="3510" spans="1:6" x14ac:dyDescent="0.25">
      <c r="A3510" t="s">
        <v>3636</v>
      </c>
      <c r="B3510" s="4">
        <v>25.17</v>
      </c>
      <c r="C3510" s="4">
        <v>0</v>
      </c>
      <c r="D3510" s="4">
        <v>25.17</v>
      </c>
      <c r="E3510">
        <v>3</v>
      </c>
      <c r="F3510">
        <v>3</v>
      </c>
    </row>
    <row r="3511" spans="1:6" x14ac:dyDescent="0.25">
      <c r="A3511" t="s">
        <v>3637</v>
      </c>
      <c r="B3511" s="4">
        <v>25.13</v>
      </c>
      <c r="C3511" s="4">
        <v>0</v>
      </c>
      <c r="D3511" s="4">
        <v>25.13</v>
      </c>
      <c r="E3511">
        <v>8</v>
      </c>
      <c r="F3511">
        <v>7</v>
      </c>
    </row>
    <row r="3512" spans="1:6" x14ac:dyDescent="0.25">
      <c r="A3512" t="s">
        <v>3638</v>
      </c>
      <c r="B3512" s="4">
        <v>25.1</v>
      </c>
      <c r="C3512" s="4">
        <v>0</v>
      </c>
      <c r="D3512" s="4">
        <v>25.1</v>
      </c>
      <c r="E3512">
        <v>6</v>
      </c>
      <c r="F3512">
        <v>6</v>
      </c>
    </row>
    <row r="3513" spans="1:6" x14ac:dyDescent="0.25">
      <c r="A3513" t="s">
        <v>3639</v>
      </c>
      <c r="B3513" s="4">
        <v>25.07</v>
      </c>
      <c r="C3513" s="4">
        <v>0</v>
      </c>
      <c r="D3513" s="4">
        <v>25.07</v>
      </c>
      <c r="E3513">
        <v>9</v>
      </c>
      <c r="F3513">
        <v>9</v>
      </c>
    </row>
    <row r="3514" spans="1:6" x14ac:dyDescent="0.25">
      <c r="A3514" t="s">
        <v>3640</v>
      </c>
      <c r="B3514" s="4">
        <v>24.96</v>
      </c>
      <c r="C3514" s="4">
        <v>0</v>
      </c>
      <c r="D3514" s="4">
        <v>24.96</v>
      </c>
      <c r="E3514">
        <v>3</v>
      </c>
      <c r="F3514">
        <v>3</v>
      </c>
    </row>
    <row r="3515" spans="1:6" x14ac:dyDescent="0.25">
      <c r="A3515" t="s">
        <v>3641</v>
      </c>
      <c r="B3515" s="4">
        <v>24.9</v>
      </c>
      <c r="C3515" s="4">
        <v>0</v>
      </c>
      <c r="D3515" s="4">
        <v>24.9</v>
      </c>
      <c r="E3515">
        <v>7</v>
      </c>
      <c r="F3515">
        <v>7</v>
      </c>
    </row>
    <row r="3516" spans="1:6" x14ac:dyDescent="0.25">
      <c r="A3516" t="s">
        <v>3642</v>
      </c>
      <c r="B3516" s="4">
        <v>24.87</v>
      </c>
      <c r="C3516" s="4">
        <v>0</v>
      </c>
      <c r="D3516" s="4">
        <v>24.87</v>
      </c>
      <c r="E3516">
        <v>3</v>
      </c>
      <c r="F3516">
        <v>3</v>
      </c>
    </row>
    <row r="3517" spans="1:6" x14ac:dyDescent="0.25">
      <c r="A3517" t="s">
        <v>3643</v>
      </c>
      <c r="B3517" s="4">
        <v>24.87</v>
      </c>
      <c r="C3517" s="4">
        <v>0</v>
      </c>
      <c r="D3517" s="4">
        <v>24.87</v>
      </c>
      <c r="E3517">
        <v>3</v>
      </c>
      <c r="F3517">
        <v>3</v>
      </c>
    </row>
    <row r="3518" spans="1:6" x14ac:dyDescent="0.25">
      <c r="A3518" t="s">
        <v>3644</v>
      </c>
      <c r="B3518" s="4">
        <v>24.87</v>
      </c>
      <c r="C3518" s="4">
        <v>0</v>
      </c>
      <c r="D3518" s="4">
        <v>24.87</v>
      </c>
      <c r="E3518">
        <v>1</v>
      </c>
      <c r="F3518">
        <v>1</v>
      </c>
    </row>
    <row r="3519" spans="1:6" x14ac:dyDescent="0.25">
      <c r="A3519" t="s">
        <v>3645</v>
      </c>
      <c r="B3519" s="4">
        <v>24.87</v>
      </c>
      <c r="C3519" s="4">
        <v>0</v>
      </c>
      <c r="D3519" s="4">
        <v>24.87</v>
      </c>
      <c r="E3519">
        <v>3</v>
      </c>
      <c r="F3519">
        <v>3</v>
      </c>
    </row>
    <row r="3520" spans="1:6" x14ac:dyDescent="0.25">
      <c r="A3520" t="s">
        <v>3646</v>
      </c>
      <c r="B3520" s="4">
        <v>24.81</v>
      </c>
      <c r="C3520" s="4">
        <v>0</v>
      </c>
      <c r="D3520" s="4">
        <v>24.81</v>
      </c>
      <c r="E3520">
        <v>2</v>
      </c>
      <c r="F3520">
        <v>2</v>
      </c>
    </row>
    <row r="3521" spans="1:6" x14ac:dyDescent="0.25">
      <c r="A3521" t="s">
        <v>3647</v>
      </c>
      <c r="B3521" s="4">
        <v>24.79</v>
      </c>
      <c r="C3521" s="4">
        <v>9.9</v>
      </c>
      <c r="D3521" s="4">
        <v>14.89</v>
      </c>
      <c r="E3521">
        <v>10</v>
      </c>
      <c r="F3521">
        <v>10</v>
      </c>
    </row>
    <row r="3522" spans="1:6" x14ac:dyDescent="0.25">
      <c r="A3522" t="s">
        <v>3648</v>
      </c>
      <c r="B3522" s="4">
        <v>24.77</v>
      </c>
      <c r="C3522" s="4">
        <v>0</v>
      </c>
      <c r="D3522" s="4">
        <v>24.77</v>
      </c>
      <c r="E3522">
        <v>22</v>
      </c>
      <c r="F3522">
        <v>22</v>
      </c>
    </row>
    <row r="3523" spans="1:6" x14ac:dyDescent="0.25">
      <c r="A3523" t="s">
        <v>3649</v>
      </c>
      <c r="B3523" s="4">
        <v>24.75</v>
      </c>
      <c r="C3523" s="4">
        <v>0</v>
      </c>
      <c r="D3523" s="4">
        <v>24.75</v>
      </c>
      <c r="E3523">
        <v>8</v>
      </c>
      <c r="F3523">
        <v>8</v>
      </c>
    </row>
    <row r="3524" spans="1:6" x14ac:dyDescent="0.25">
      <c r="A3524" t="s">
        <v>3650</v>
      </c>
      <c r="B3524" s="4">
        <v>24.75</v>
      </c>
      <c r="C3524" s="4">
        <v>0</v>
      </c>
      <c r="D3524" s="4">
        <v>24.75</v>
      </c>
      <c r="E3524">
        <v>2</v>
      </c>
      <c r="F3524">
        <v>2</v>
      </c>
    </row>
    <row r="3525" spans="1:6" x14ac:dyDescent="0.25">
      <c r="A3525" t="s">
        <v>3651</v>
      </c>
      <c r="B3525" s="4">
        <v>24.75</v>
      </c>
      <c r="C3525" s="4">
        <v>0</v>
      </c>
      <c r="D3525" s="4">
        <v>24.75</v>
      </c>
      <c r="E3525">
        <v>1</v>
      </c>
      <c r="F3525">
        <v>1</v>
      </c>
    </row>
    <row r="3526" spans="1:6" x14ac:dyDescent="0.25">
      <c r="A3526" t="s">
        <v>3652</v>
      </c>
      <c r="B3526" s="4">
        <v>24.75</v>
      </c>
      <c r="C3526" s="4">
        <v>0</v>
      </c>
      <c r="D3526" s="4">
        <v>24.75</v>
      </c>
      <c r="E3526">
        <v>2</v>
      </c>
      <c r="F3526">
        <v>2</v>
      </c>
    </row>
    <row r="3527" spans="1:6" x14ac:dyDescent="0.25">
      <c r="A3527" t="s">
        <v>3653</v>
      </c>
      <c r="B3527" s="4">
        <v>24.36</v>
      </c>
      <c r="C3527" s="4">
        <v>0</v>
      </c>
      <c r="D3527" s="4">
        <v>24.36</v>
      </c>
      <c r="E3527">
        <v>18</v>
      </c>
      <c r="F3527">
        <v>18</v>
      </c>
    </row>
    <row r="3528" spans="1:6" x14ac:dyDescent="0.25">
      <c r="A3528" t="s">
        <v>3654</v>
      </c>
      <c r="B3528" s="4">
        <v>24.12</v>
      </c>
      <c r="C3528" s="4">
        <v>2.5499999999999998</v>
      </c>
      <c r="D3528" s="4">
        <v>21.57</v>
      </c>
      <c r="E3528">
        <v>4</v>
      </c>
      <c r="F3528">
        <v>4</v>
      </c>
    </row>
    <row r="3529" spans="1:6" x14ac:dyDescent="0.25">
      <c r="A3529" t="s">
        <v>3655</v>
      </c>
      <c r="B3529" s="4">
        <v>23.85</v>
      </c>
      <c r="C3529" s="4">
        <v>0</v>
      </c>
      <c r="D3529" s="4">
        <v>23.85</v>
      </c>
      <c r="E3529">
        <v>2</v>
      </c>
      <c r="F3529">
        <v>2</v>
      </c>
    </row>
    <row r="3530" spans="1:6" x14ac:dyDescent="0.25">
      <c r="A3530" t="s">
        <v>3656</v>
      </c>
      <c r="B3530" s="4">
        <v>23.85</v>
      </c>
      <c r="C3530" s="4">
        <v>0</v>
      </c>
      <c r="D3530" s="4">
        <v>23.85</v>
      </c>
      <c r="E3530">
        <v>3</v>
      </c>
      <c r="F3530">
        <v>3</v>
      </c>
    </row>
    <row r="3531" spans="1:6" x14ac:dyDescent="0.25">
      <c r="A3531" t="s">
        <v>3657</v>
      </c>
      <c r="B3531" s="4">
        <v>23.75</v>
      </c>
      <c r="C3531" s="4">
        <v>0</v>
      </c>
      <c r="D3531" s="4">
        <v>23.75</v>
      </c>
      <c r="E3531">
        <v>11</v>
      </c>
      <c r="F3531">
        <v>10</v>
      </c>
    </row>
    <row r="3532" spans="1:6" x14ac:dyDescent="0.25">
      <c r="A3532" t="s">
        <v>3658</v>
      </c>
      <c r="B3532" s="4">
        <v>23.6</v>
      </c>
      <c r="C3532" s="4">
        <v>0</v>
      </c>
      <c r="D3532" s="4">
        <v>23.6</v>
      </c>
      <c r="E3532">
        <v>3</v>
      </c>
      <c r="F3532">
        <v>3</v>
      </c>
    </row>
    <row r="3533" spans="1:6" x14ac:dyDescent="0.25">
      <c r="A3533" t="s">
        <v>3659</v>
      </c>
      <c r="B3533" s="4">
        <v>23.6</v>
      </c>
      <c r="C3533" s="4">
        <v>0</v>
      </c>
      <c r="D3533" s="4">
        <v>23.6</v>
      </c>
      <c r="E3533">
        <v>2</v>
      </c>
      <c r="F3533">
        <v>2</v>
      </c>
    </row>
    <row r="3534" spans="1:6" x14ac:dyDescent="0.25">
      <c r="A3534" t="s">
        <v>3660</v>
      </c>
      <c r="B3534" s="4">
        <v>23.47</v>
      </c>
      <c r="C3534" s="4">
        <v>0</v>
      </c>
      <c r="D3534" s="4">
        <v>23.47</v>
      </c>
      <c r="E3534">
        <v>9</v>
      </c>
      <c r="F3534">
        <v>9</v>
      </c>
    </row>
    <row r="3535" spans="1:6" x14ac:dyDescent="0.25">
      <c r="A3535" t="s">
        <v>3661</v>
      </c>
      <c r="B3535" s="4">
        <v>23.32</v>
      </c>
      <c r="C3535" s="4">
        <v>0</v>
      </c>
      <c r="D3535" s="4">
        <v>23.32</v>
      </c>
      <c r="E3535">
        <v>2</v>
      </c>
      <c r="F3535">
        <v>2</v>
      </c>
    </row>
    <row r="3536" spans="1:6" x14ac:dyDescent="0.25">
      <c r="A3536" t="s">
        <v>3662</v>
      </c>
      <c r="B3536" s="4">
        <v>23.28</v>
      </c>
      <c r="C3536" s="4">
        <v>0</v>
      </c>
      <c r="D3536" s="4">
        <v>23.28</v>
      </c>
      <c r="E3536">
        <v>6</v>
      </c>
      <c r="F3536">
        <v>6</v>
      </c>
    </row>
    <row r="3537" spans="1:6" x14ac:dyDescent="0.25">
      <c r="A3537" t="s">
        <v>3663</v>
      </c>
      <c r="B3537" s="4">
        <v>23.2</v>
      </c>
      <c r="C3537" s="4">
        <v>0</v>
      </c>
      <c r="D3537" s="4">
        <v>23.2</v>
      </c>
      <c r="E3537">
        <v>8</v>
      </c>
      <c r="F3537">
        <v>8</v>
      </c>
    </row>
    <row r="3538" spans="1:6" x14ac:dyDescent="0.25">
      <c r="A3538" t="s">
        <v>3664</v>
      </c>
      <c r="B3538" s="4">
        <v>23.16</v>
      </c>
      <c r="C3538" s="4">
        <v>0</v>
      </c>
      <c r="D3538" s="4">
        <v>23.16</v>
      </c>
      <c r="E3538">
        <v>12</v>
      </c>
      <c r="F3538">
        <v>12</v>
      </c>
    </row>
    <row r="3539" spans="1:6" x14ac:dyDescent="0.25">
      <c r="A3539" t="s">
        <v>3665</v>
      </c>
      <c r="B3539" s="4">
        <v>23.1</v>
      </c>
      <c r="C3539" s="4">
        <v>0</v>
      </c>
      <c r="D3539" s="4">
        <v>23.1</v>
      </c>
      <c r="E3539">
        <v>3</v>
      </c>
      <c r="F3539">
        <v>3</v>
      </c>
    </row>
    <row r="3540" spans="1:6" x14ac:dyDescent="0.25">
      <c r="A3540" t="s">
        <v>3666</v>
      </c>
      <c r="B3540" s="4">
        <v>23.1</v>
      </c>
      <c r="C3540" s="4">
        <v>0</v>
      </c>
      <c r="D3540" s="4">
        <v>23.1</v>
      </c>
      <c r="E3540">
        <v>4</v>
      </c>
      <c r="F3540">
        <v>4</v>
      </c>
    </row>
    <row r="3541" spans="1:6" x14ac:dyDescent="0.25">
      <c r="A3541" t="s">
        <v>3667</v>
      </c>
      <c r="B3541" s="4">
        <v>23.09</v>
      </c>
      <c r="C3541" s="4">
        <v>0</v>
      </c>
      <c r="D3541" s="4">
        <v>23.09</v>
      </c>
      <c r="E3541">
        <v>2</v>
      </c>
      <c r="F3541">
        <v>2</v>
      </c>
    </row>
    <row r="3542" spans="1:6" x14ac:dyDescent="0.25">
      <c r="A3542" t="s">
        <v>3668</v>
      </c>
      <c r="B3542" s="4">
        <v>22.84</v>
      </c>
      <c r="C3542" s="4">
        <v>0</v>
      </c>
      <c r="D3542" s="4">
        <v>22.84</v>
      </c>
      <c r="E3542">
        <v>8</v>
      </c>
      <c r="F3542">
        <v>8</v>
      </c>
    </row>
    <row r="3543" spans="1:6" x14ac:dyDescent="0.25">
      <c r="A3543" t="s">
        <v>3669</v>
      </c>
      <c r="B3543" s="4">
        <v>22.58</v>
      </c>
      <c r="C3543" s="4">
        <v>0</v>
      </c>
      <c r="D3543" s="4">
        <v>22.58</v>
      </c>
      <c r="E3543">
        <v>9</v>
      </c>
      <c r="F3543">
        <v>9</v>
      </c>
    </row>
    <row r="3544" spans="1:6" x14ac:dyDescent="0.25">
      <c r="A3544" t="s">
        <v>3670</v>
      </c>
      <c r="B3544" s="4">
        <v>22.48</v>
      </c>
      <c r="C3544" s="4">
        <v>0</v>
      </c>
      <c r="D3544" s="4">
        <v>22.48</v>
      </c>
      <c r="E3544">
        <v>6</v>
      </c>
      <c r="F3544">
        <v>6</v>
      </c>
    </row>
    <row r="3545" spans="1:6" x14ac:dyDescent="0.25">
      <c r="A3545" t="s">
        <v>3671</v>
      </c>
      <c r="B3545" s="4">
        <v>22.48</v>
      </c>
      <c r="C3545" s="4">
        <v>7.5</v>
      </c>
      <c r="D3545" s="4">
        <v>14.98</v>
      </c>
      <c r="E3545">
        <v>2</v>
      </c>
      <c r="F3545">
        <v>2</v>
      </c>
    </row>
    <row r="3546" spans="1:6" x14ac:dyDescent="0.25">
      <c r="A3546" t="s">
        <v>3672</v>
      </c>
      <c r="B3546" s="4">
        <v>22.41</v>
      </c>
      <c r="C3546" s="4">
        <v>0</v>
      </c>
      <c r="D3546" s="4">
        <v>22.41</v>
      </c>
      <c r="E3546">
        <v>8</v>
      </c>
      <c r="F3546">
        <v>8</v>
      </c>
    </row>
    <row r="3547" spans="1:6" x14ac:dyDescent="0.25">
      <c r="A3547" t="s">
        <v>3673</v>
      </c>
      <c r="B3547" s="4">
        <v>22.41</v>
      </c>
      <c r="C3547" s="4">
        <v>0</v>
      </c>
      <c r="D3547" s="4">
        <v>22.41</v>
      </c>
      <c r="E3547">
        <v>4</v>
      </c>
      <c r="F3547">
        <v>4</v>
      </c>
    </row>
    <row r="3548" spans="1:6" x14ac:dyDescent="0.25">
      <c r="A3548" t="s">
        <v>3674</v>
      </c>
      <c r="B3548" s="4">
        <v>22.06</v>
      </c>
      <c r="C3548" s="4">
        <v>0</v>
      </c>
      <c r="D3548" s="4">
        <v>22.06</v>
      </c>
      <c r="E3548">
        <v>7</v>
      </c>
      <c r="F3548">
        <v>6</v>
      </c>
    </row>
    <row r="3549" spans="1:6" x14ac:dyDescent="0.25">
      <c r="A3549" t="s">
        <v>3675</v>
      </c>
      <c r="B3549" s="4">
        <v>21.5</v>
      </c>
      <c r="C3549" s="4">
        <v>0</v>
      </c>
      <c r="D3549" s="4">
        <v>21.5</v>
      </c>
      <c r="E3549">
        <v>1</v>
      </c>
      <c r="F3549">
        <v>1</v>
      </c>
    </row>
    <row r="3550" spans="1:6" x14ac:dyDescent="0.25">
      <c r="A3550" t="s">
        <v>3676</v>
      </c>
      <c r="B3550" s="4">
        <v>21.45</v>
      </c>
      <c r="C3550" s="4">
        <v>0</v>
      </c>
      <c r="D3550" s="4">
        <v>21.45</v>
      </c>
      <c r="E3550">
        <v>1</v>
      </c>
      <c r="F3550">
        <v>1</v>
      </c>
    </row>
    <row r="3551" spans="1:6" x14ac:dyDescent="0.25">
      <c r="A3551" t="s">
        <v>3677</v>
      </c>
      <c r="B3551" s="4">
        <v>21.45</v>
      </c>
      <c r="C3551" s="4">
        <v>0</v>
      </c>
      <c r="D3551" s="4">
        <v>21.45</v>
      </c>
      <c r="E3551">
        <v>2</v>
      </c>
      <c r="F3551">
        <v>2</v>
      </c>
    </row>
    <row r="3552" spans="1:6" x14ac:dyDescent="0.25">
      <c r="A3552" t="s">
        <v>3678</v>
      </c>
      <c r="B3552" s="4">
        <v>21.25</v>
      </c>
      <c r="C3552" s="4">
        <v>0</v>
      </c>
      <c r="D3552" s="4">
        <v>21.25</v>
      </c>
      <c r="E3552">
        <v>4</v>
      </c>
      <c r="F3552">
        <v>4</v>
      </c>
    </row>
    <row r="3553" spans="1:6" x14ac:dyDescent="0.25">
      <c r="A3553" t="s">
        <v>3679</v>
      </c>
      <c r="B3553" s="4">
        <v>21.15</v>
      </c>
      <c r="C3553" s="4">
        <v>0</v>
      </c>
      <c r="D3553" s="4">
        <v>21.15</v>
      </c>
      <c r="E3553">
        <v>3</v>
      </c>
      <c r="F3553">
        <v>3</v>
      </c>
    </row>
    <row r="3554" spans="1:6" x14ac:dyDescent="0.25">
      <c r="A3554" t="s">
        <v>3680</v>
      </c>
      <c r="B3554" s="4">
        <v>21.13</v>
      </c>
      <c r="C3554" s="4">
        <v>0</v>
      </c>
      <c r="D3554" s="4">
        <v>21.13</v>
      </c>
      <c r="E3554">
        <v>5</v>
      </c>
      <c r="F3554">
        <v>5</v>
      </c>
    </row>
    <row r="3555" spans="1:6" x14ac:dyDescent="0.25">
      <c r="A3555" t="s">
        <v>3681</v>
      </c>
      <c r="B3555" s="4">
        <v>21.05</v>
      </c>
      <c r="C3555" s="4">
        <v>0</v>
      </c>
      <c r="D3555" s="4">
        <v>21.05</v>
      </c>
      <c r="E3555">
        <v>10</v>
      </c>
      <c r="F3555">
        <v>10</v>
      </c>
    </row>
    <row r="3556" spans="1:6" x14ac:dyDescent="0.25">
      <c r="A3556" t="s">
        <v>3682</v>
      </c>
      <c r="B3556" s="4">
        <v>21</v>
      </c>
      <c r="C3556" s="4">
        <v>0</v>
      </c>
      <c r="D3556" s="4">
        <v>21</v>
      </c>
      <c r="E3556">
        <v>2</v>
      </c>
      <c r="F3556">
        <v>2</v>
      </c>
    </row>
    <row r="3557" spans="1:6" x14ac:dyDescent="0.25">
      <c r="A3557" t="s">
        <v>3683</v>
      </c>
      <c r="B3557" s="4">
        <v>21</v>
      </c>
      <c r="C3557" s="4">
        <v>0</v>
      </c>
      <c r="D3557" s="4">
        <v>21</v>
      </c>
      <c r="E3557">
        <v>2</v>
      </c>
      <c r="F3557">
        <v>2</v>
      </c>
    </row>
    <row r="3558" spans="1:6" x14ac:dyDescent="0.25">
      <c r="A3558" t="s">
        <v>3684</v>
      </c>
      <c r="B3558" s="4">
        <v>20.95</v>
      </c>
      <c r="C3558" s="4">
        <v>0</v>
      </c>
      <c r="D3558" s="4">
        <v>20.95</v>
      </c>
      <c r="E3558">
        <v>4</v>
      </c>
      <c r="F3558">
        <v>4</v>
      </c>
    </row>
    <row r="3559" spans="1:6" x14ac:dyDescent="0.25">
      <c r="A3559" t="s">
        <v>3685</v>
      </c>
      <c r="B3559" s="4">
        <v>20.88</v>
      </c>
      <c r="C3559" s="4">
        <v>0</v>
      </c>
      <c r="D3559" s="4">
        <v>20.88</v>
      </c>
      <c r="E3559">
        <v>1</v>
      </c>
      <c r="F3559">
        <v>1</v>
      </c>
    </row>
    <row r="3560" spans="1:6" x14ac:dyDescent="0.25">
      <c r="A3560" t="s">
        <v>3686</v>
      </c>
      <c r="B3560" s="4">
        <v>20.73</v>
      </c>
      <c r="C3560" s="4">
        <v>0</v>
      </c>
      <c r="D3560" s="4">
        <v>20.73</v>
      </c>
      <c r="E3560">
        <v>5</v>
      </c>
      <c r="F3560">
        <v>5</v>
      </c>
    </row>
    <row r="3561" spans="1:6" x14ac:dyDescent="0.25">
      <c r="A3561" t="s">
        <v>3687</v>
      </c>
      <c r="B3561" s="4">
        <v>20.65</v>
      </c>
      <c r="C3561" s="4">
        <v>0</v>
      </c>
      <c r="D3561" s="4">
        <v>20.65</v>
      </c>
      <c r="E3561">
        <v>1</v>
      </c>
      <c r="F3561">
        <v>1</v>
      </c>
    </row>
    <row r="3562" spans="1:6" x14ac:dyDescent="0.25">
      <c r="A3562" t="s">
        <v>3688</v>
      </c>
      <c r="B3562" s="4">
        <v>20.36</v>
      </c>
      <c r="C3562" s="4">
        <v>0</v>
      </c>
      <c r="D3562" s="4">
        <v>20.36</v>
      </c>
      <c r="E3562">
        <v>2</v>
      </c>
      <c r="F3562">
        <v>2</v>
      </c>
    </row>
    <row r="3563" spans="1:6" x14ac:dyDescent="0.25">
      <c r="A3563" t="s">
        <v>3689</v>
      </c>
      <c r="B3563" s="4">
        <v>20.23</v>
      </c>
      <c r="C3563" s="4">
        <v>0</v>
      </c>
      <c r="D3563" s="4">
        <v>20.23</v>
      </c>
      <c r="E3563">
        <v>16</v>
      </c>
      <c r="F3563">
        <v>16</v>
      </c>
    </row>
    <row r="3564" spans="1:6" x14ac:dyDescent="0.25">
      <c r="A3564" t="s">
        <v>3690</v>
      </c>
      <c r="B3564" s="4">
        <v>20.170000000000002</v>
      </c>
      <c r="C3564" s="4">
        <v>0</v>
      </c>
      <c r="D3564" s="4">
        <v>20.170000000000002</v>
      </c>
      <c r="E3564">
        <v>2</v>
      </c>
      <c r="F3564">
        <v>2</v>
      </c>
    </row>
    <row r="3565" spans="1:6" x14ac:dyDescent="0.25">
      <c r="A3565" t="s">
        <v>3691</v>
      </c>
      <c r="B3565" s="4">
        <v>20</v>
      </c>
      <c r="C3565" s="4">
        <v>0</v>
      </c>
      <c r="D3565" s="4">
        <v>20</v>
      </c>
      <c r="E3565">
        <v>3</v>
      </c>
      <c r="F3565">
        <v>3</v>
      </c>
    </row>
    <row r="3566" spans="1:6" x14ac:dyDescent="0.25">
      <c r="A3566" t="s">
        <v>3692</v>
      </c>
      <c r="B3566" s="4">
        <v>19.920000000000002</v>
      </c>
      <c r="C3566" s="4">
        <v>0</v>
      </c>
      <c r="D3566" s="4">
        <v>19.920000000000002</v>
      </c>
      <c r="E3566">
        <v>4</v>
      </c>
      <c r="F3566">
        <v>4</v>
      </c>
    </row>
    <row r="3567" spans="1:6" x14ac:dyDescent="0.25">
      <c r="A3567" t="s">
        <v>3693</v>
      </c>
      <c r="B3567" s="4">
        <v>19.920000000000002</v>
      </c>
      <c r="C3567" s="4">
        <v>0</v>
      </c>
      <c r="D3567" s="4">
        <v>19.920000000000002</v>
      </c>
      <c r="E3567">
        <v>7</v>
      </c>
      <c r="F3567">
        <v>7</v>
      </c>
    </row>
    <row r="3568" spans="1:6" x14ac:dyDescent="0.25">
      <c r="A3568" t="s">
        <v>3694</v>
      </c>
      <c r="B3568" s="4">
        <v>19.920000000000002</v>
      </c>
      <c r="C3568" s="4">
        <v>0</v>
      </c>
      <c r="D3568" s="4">
        <v>19.920000000000002</v>
      </c>
      <c r="E3568">
        <v>5</v>
      </c>
      <c r="F3568">
        <v>5</v>
      </c>
    </row>
    <row r="3569" spans="1:6" x14ac:dyDescent="0.25">
      <c r="A3569" t="s">
        <v>3695</v>
      </c>
      <c r="B3569" s="4">
        <v>19.899999999999999</v>
      </c>
      <c r="C3569" s="4">
        <v>0</v>
      </c>
      <c r="D3569" s="4">
        <v>19.899999999999999</v>
      </c>
      <c r="E3569">
        <v>2</v>
      </c>
      <c r="F3569">
        <v>2</v>
      </c>
    </row>
    <row r="3570" spans="1:6" x14ac:dyDescent="0.25">
      <c r="A3570" t="s">
        <v>3696</v>
      </c>
      <c r="B3570" s="4">
        <v>19.86</v>
      </c>
      <c r="C3570" s="4">
        <v>0</v>
      </c>
      <c r="D3570" s="4">
        <v>19.86</v>
      </c>
      <c r="E3570">
        <v>2</v>
      </c>
      <c r="F3570">
        <v>2</v>
      </c>
    </row>
    <row r="3571" spans="1:6" x14ac:dyDescent="0.25">
      <c r="A3571" t="s">
        <v>3697</v>
      </c>
      <c r="B3571" s="4">
        <v>19.809999999999999</v>
      </c>
      <c r="C3571" s="4">
        <v>0</v>
      </c>
      <c r="D3571" s="4">
        <v>19.809999999999999</v>
      </c>
      <c r="E3571">
        <v>4</v>
      </c>
      <c r="F3571">
        <v>4</v>
      </c>
    </row>
    <row r="3572" spans="1:6" x14ac:dyDescent="0.25">
      <c r="A3572" t="s">
        <v>3698</v>
      </c>
      <c r="B3572" s="4">
        <v>19.8</v>
      </c>
      <c r="C3572" s="4">
        <v>1.65</v>
      </c>
      <c r="D3572" s="4">
        <v>18.149999999999999</v>
      </c>
      <c r="E3572">
        <v>9</v>
      </c>
      <c r="F3572">
        <v>9</v>
      </c>
    </row>
    <row r="3573" spans="1:6" x14ac:dyDescent="0.25">
      <c r="A3573" t="s">
        <v>3699</v>
      </c>
      <c r="B3573" s="4">
        <v>19.8</v>
      </c>
      <c r="C3573" s="4">
        <v>0</v>
      </c>
      <c r="D3573" s="4">
        <v>19.8</v>
      </c>
      <c r="E3573">
        <v>3</v>
      </c>
      <c r="F3573">
        <v>3</v>
      </c>
    </row>
    <row r="3574" spans="1:6" x14ac:dyDescent="0.25">
      <c r="A3574" t="s">
        <v>3700</v>
      </c>
      <c r="B3574" s="4">
        <v>19.72</v>
      </c>
      <c r="C3574" s="4">
        <v>0</v>
      </c>
      <c r="D3574" s="4">
        <v>19.72</v>
      </c>
      <c r="E3574">
        <v>2</v>
      </c>
      <c r="F3574">
        <v>2</v>
      </c>
    </row>
    <row r="3575" spans="1:6" x14ac:dyDescent="0.25">
      <c r="A3575" t="s">
        <v>3701</v>
      </c>
      <c r="B3575" s="4">
        <v>19.5</v>
      </c>
      <c r="C3575" s="4">
        <v>0</v>
      </c>
      <c r="D3575" s="4">
        <v>19.5</v>
      </c>
      <c r="E3575">
        <v>4</v>
      </c>
      <c r="F3575">
        <v>4</v>
      </c>
    </row>
    <row r="3576" spans="1:6" x14ac:dyDescent="0.25">
      <c r="A3576" t="s">
        <v>3702</v>
      </c>
      <c r="B3576" s="4">
        <v>19.399999999999999</v>
      </c>
      <c r="C3576" s="4">
        <v>0</v>
      </c>
      <c r="D3576" s="4">
        <v>19.399999999999999</v>
      </c>
      <c r="E3576">
        <v>4</v>
      </c>
      <c r="F3576">
        <v>4</v>
      </c>
    </row>
    <row r="3577" spans="1:6" x14ac:dyDescent="0.25">
      <c r="A3577" t="s">
        <v>3703</v>
      </c>
      <c r="B3577" s="4">
        <v>19.05</v>
      </c>
      <c r="C3577" s="4">
        <v>18.25</v>
      </c>
      <c r="D3577" s="4">
        <v>0.8</v>
      </c>
      <c r="E3577">
        <v>2</v>
      </c>
      <c r="F3577">
        <v>2</v>
      </c>
    </row>
    <row r="3578" spans="1:6" x14ac:dyDescent="0.25">
      <c r="A3578" t="s">
        <v>3704</v>
      </c>
      <c r="B3578" s="4">
        <v>18.75</v>
      </c>
      <c r="C3578" s="4">
        <v>0</v>
      </c>
      <c r="D3578" s="4">
        <v>18.75</v>
      </c>
      <c r="E3578">
        <v>4</v>
      </c>
      <c r="F3578">
        <v>4</v>
      </c>
    </row>
    <row r="3579" spans="1:6" x14ac:dyDescent="0.25">
      <c r="A3579" t="s">
        <v>3705</v>
      </c>
      <c r="B3579" s="4">
        <v>18.75</v>
      </c>
      <c r="C3579" s="4">
        <v>0</v>
      </c>
      <c r="D3579" s="4">
        <v>18.75</v>
      </c>
      <c r="E3579">
        <v>2</v>
      </c>
      <c r="F3579">
        <v>2</v>
      </c>
    </row>
    <row r="3580" spans="1:6" x14ac:dyDescent="0.25">
      <c r="A3580" t="s">
        <v>3706</v>
      </c>
      <c r="B3580" s="4">
        <v>18.7</v>
      </c>
      <c r="C3580" s="4">
        <v>0</v>
      </c>
      <c r="D3580" s="4">
        <v>18.7</v>
      </c>
      <c r="E3580">
        <v>10</v>
      </c>
      <c r="F3580">
        <v>8</v>
      </c>
    </row>
    <row r="3581" spans="1:6" x14ac:dyDescent="0.25">
      <c r="A3581" t="s">
        <v>3707</v>
      </c>
      <c r="B3581" s="4">
        <v>18.600000000000001</v>
      </c>
      <c r="C3581" s="4">
        <v>3.81</v>
      </c>
      <c r="D3581" s="4">
        <v>14.79</v>
      </c>
      <c r="E3581">
        <v>1</v>
      </c>
      <c r="F3581">
        <v>1</v>
      </c>
    </row>
    <row r="3582" spans="1:6" x14ac:dyDescent="0.25">
      <c r="A3582" t="s">
        <v>3708</v>
      </c>
      <c r="B3582" s="4">
        <v>18.27</v>
      </c>
      <c r="C3582" s="4">
        <v>0</v>
      </c>
      <c r="D3582" s="4">
        <v>18.27</v>
      </c>
      <c r="E3582">
        <v>4</v>
      </c>
      <c r="F3582">
        <v>4</v>
      </c>
    </row>
    <row r="3583" spans="1:6" x14ac:dyDescent="0.25">
      <c r="A3583" t="s">
        <v>3709</v>
      </c>
      <c r="B3583" s="4">
        <v>18.239999999999998</v>
      </c>
      <c r="C3583" s="4">
        <v>0</v>
      </c>
      <c r="D3583" s="4">
        <v>18.239999999999998</v>
      </c>
      <c r="E3583">
        <v>7</v>
      </c>
      <c r="F3583">
        <v>7</v>
      </c>
    </row>
    <row r="3584" spans="1:6" x14ac:dyDescent="0.25">
      <c r="A3584" t="s">
        <v>3710</v>
      </c>
      <c r="B3584" s="4">
        <v>18.149999999999999</v>
      </c>
      <c r="C3584" s="4">
        <v>0</v>
      </c>
      <c r="D3584" s="4">
        <v>18.149999999999999</v>
      </c>
      <c r="E3584">
        <v>4</v>
      </c>
      <c r="F3584">
        <v>4</v>
      </c>
    </row>
    <row r="3585" spans="1:6" x14ac:dyDescent="0.25">
      <c r="A3585" t="s">
        <v>3711</v>
      </c>
      <c r="B3585" s="4">
        <v>17.850000000000001</v>
      </c>
      <c r="C3585" s="4">
        <v>0</v>
      </c>
      <c r="D3585" s="4">
        <v>17.850000000000001</v>
      </c>
      <c r="E3585">
        <v>3</v>
      </c>
      <c r="F3585">
        <v>3</v>
      </c>
    </row>
    <row r="3586" spans="1:6" x14ac:dyDescent="0.25">
      <c r="A3586" t="s">
        <v>3712</v>
      </c>
      <c r="B3586" s="4">
        <v>17.850000000000001</v>
      </c>
      <c r="C3586" s="4">
        <v>0</v>
      </c>
      <c r="D3586" s="4">
        <v>17.850000000000001</v>
      </c>
      <c r="E3586">
        <v>3</v>
      </c>
      <c r="F3586">
        <v>3</v>
      </c>
    </row>
    <row r="3587" spans="1:6" x14ac:dyDescent="0.25">
      <c r="A3587" t="s">
        <v>3713</v>
      </c>
      <c r="B3587" s="4">
        <v>17.82</v>
      </c>
      <c r="C3587" s="4">
        <v>0</v>
      </c>
      <c r="D3587" s="4">
        <v>17.82</v>
      </c>
      <c r="E3587">
        <v>2</v>
      </c>
      <c r="F3587">
        <v>2</v>
      </c>
    </row>
    <row r="3588" spans="1:6" x14ac:dyDescent="0.25">
      <c r="A3588" t="s">
        <v>3714</v>
      </c>
      <c r="B3588" s="4">
        <v>17.7</v>
      </c>
      <c r="C3588" s="4">
        <v>0</v>
      </c>
      <c r="D3588" s="4">
        <v>17.7</v>
      </c>
      <c r="E3588">
        <v>4</v>
      </c>
      <c r="F3588">
        <v>4</v>
      </c>
    </row>
    <row r="3589" spans="1:6" x14ac:dyDescent="0.25">
      <c r="A3589" t="s">
        <v>3715</v>
      </c>
      <c r="B3589" s="4">
        <v>17.7</v>
      </c>
      <c r="C3589" s="4">
        <v>0</v>
      </c>
      <c r="D3589" s="4">
        <v>17.7</v>
      </c>
      <c r="E3589">
        <v>1</v>
      </c>
      <c r="F3589">
        <v>1</v>
      </c>
    </row>
    <row r="3590" spans="1:6" x14ac:dyDescent="0.25">
      <c r="A3590" t="s">
        <v>3716</v>
      </c>
      <c r="B3590" s="4">
        <v>17.66</v>
      </c>
      <c r="C3590" s="4">
        <v>0</v>
      </c>
      <c r="D3590" s="4">
        <v>17.66</v>
      </c>
      <c r="E3590">
        <v>3</v>
      </c>
      <c r="F3590">
        <v>3</v>
      </c>
    </row>
    <row r="3591" spans="1:6" x14ac:dyDescent="0.25">
      <c r="A3591" t="s">
        <v>3717</v>
      </c>
      <c r="B3591" s="4">
        <v>17.59</v>
      </c>
      <c r="C3591" s="4">
        <v>0</v>
      </c>
      <c r="D3591" s="4">
        <v>17.59</v>
      </c>
      <c r="E3591">
        <v>3</v>
      </c>
      <c r="F3591">
        <v>3</v>
      </c>
    </row>
    <row r="3592" spans="1:6" x14ac:dyDescent="0.25">
      <c r="A3592" t="s">
        <v>3718</v>
      </c>
      <c r="B3592" s="4">
        <v>17.57</v>
      </c>
      <c r="C3592" s="4">
        <v>0</v>
      </c>
      <c r="D3592" s="4">
        <v>17.57</v>
      </c>
      <c r="E3592">
        <v>5</v>
      </c>
      <c r="F3592">
        <v>5</v>
      </c>
    </row>
    <row r="3593" spans="1:6" x14ac:dyDescent="0.25">
      <c r="A3593" t="s">
        <v>3719</v>
      </c>
      <c r="B3593" s="4">
        <v>17.510000000000002</v>
      </c>
      <c r="C3593" s="4">
        <v>0</v>
      </c>
      <c r="D3593" s="4">
        <v>17.510000000000002</v>
      </c>
      <c r="E3593">
        <v>6</v>
      </c>
      <c r="F3593">
        <v>6</v>
      </c>
    </row>
    <row r="3594" spans="1:6" x14ac:dyDescent="0.25">
      <c r="A3594" t="s">
        <v>3720</v>
      </c>
      <c r="B3594" s="4">
        <v>17.5</v>
      </c>
      <c r="C3594" s="4">
        <v>0</v>
      </c>
      <c r="D3594" s="4">
        <v>17.5</v>
      </c>
      <c r="E3594">
        <v>3</v>
      </c>
      <c r="F3594">
        <v>3</v>
      </c>
    </row>
    <row r="3595" spans="1:6" x14ac:dyDescent="0.25">
      <c r="A3595" t="s">
        <v>3721</v>
      </c>
      <c r="B3595" s="4">
        <v>17.5</v>
      </c>
      <c r="C3595" s="4">
        <v>0</v>
      </c>
      <c r="D3595" s="4">
        <v>17.5</v>
      </c>
      <c r="E3595">
        <v>6</v>
      </c>
      <c r="F3595">
        <v>6</v>
      </c>
    </row>
    <row r="3596" spans="1:6" x14ac:dyDescent="0.25">
      <c r="A3596" t="s">
        <v>3722</v>
      </c>
      <c r="B3596" s="4">
        <v>17.48</v>
      </c>
      <c r="C3596" s="4">
        <v>0</v>
      </c>
      <c r="D3596" s="4">
        <v>17.48</v>
      </c>
      <c r="E3596">
        <v>2</v>
      </c>
      <c r="F3596">
        <v>2</v>
      </c>
    </row>
    <row r="3597" spans="1:6" x14ac:dyDescent="0.25">
      <c r="A3597" t="s">
        <v>3723</v>
      </c>
      <c r="B3597" s="4">
        <v>17.43</v>
      </c>
      <c r="C3597" s="4">
        <v>0</v>
      </c>
      <c r="D3597" s="4">
        <v>17.43</v>
      </c>
      <c r="E3597">
        <v>2</v>
      </c>
      <c r="F3597">
        <v>2</v>
      </c>
    </row>
    <row r="3598" spans="1:6" x14ac:dyDescent="0.25">
      <c r="A3598" t="s">
        <v>3724</v>
      </c>
      <c r="B3598" s="4">
        <v>17.16</v>
      </c>
      <c r="C3598" s="4">
        <v>0</v>
      </c>
      <c r="D3598" s="4">
        <v>17.16</v>
      </c>
      <c r="E3598">
        <v>17</v>
      </c>
      <c r="F3598">
        <v>16</v>
      </c>
    </row>
    <row r="3599" spans="1:6" x14ac:dyDescent="0.25">
      <c r="A3599" t="s">
        <v>3725</v>
      </c>
      <c r="B3599" s="4">
        <v>17</v>
      </c>
      <c r="C3599" s="4">
        <v>0</v>
      </c>
      <c r="D3599" s="4">
        <v>17</v>
      </c>
      <c r="E3599">
        <v>3</v>
      </c>
      <c r="F3599">
        <v>3</v>
      </c>
    </row>
    <row r="3600" spans="1:6" x14ac:dyDescent="0.25">
      <c r="A3600" t="s">
        <v>3726</v>
      </c>
      <c r="B3600" s="4">
        <v>17</v>
      </c>
      <c r="C3600" s="4">
        <v>0</v>
      </c>
      <c r="D3600" s="4">
        <v>17</v>
      </c>
      <c r="E3600">
        <v>2</v>
      </c>
      <c r="F3600">
        <v>2</v>
      </c>
    </row>
    <row r="3601" spans="1:6" x14ac:dyDescent="0.25">
      <c r="A3601" t="s">
        <v>3727</v>
      </c>
      <c r="B3601" s="4">
        <v>17</v>
      </c>
      <c r="C3601" s="4">
        <v>0</v>
      </c>
      <c r="D3601" s="4">
        <v>17</v>
      </c>
      <c r="E3601">
        <v>7</v>
      </c>
      <c r="F3601">
        <v>7</v>
      </c>
    </row>
    <row r="3602" spans="1:6" x14ac:dyDescent="0.25">
      <c r="A3602" t="s">
        <v>3728</v>
      </c>
      <c r="B3602" s="4">
        <v>17</v>
      </c>
      <c r="C3602" s="4">
        <v>0</v>
      </c>
      <c r="D3602" s="4">
        <v>17</v>
      </c>
      <c r="E3602">
        <v>1</v>
      </c>
      <c r="F3602">
        <v>1</v>
      </c>
    </row>
    <row r="3603" spans="1:6" x14ac:dyDescent="0.25">
      <c r="A3603" t="s">
        <v>3729</v>
      </c>
      <c r="B3603" s="4">
        <v>16.98</v>
      </c>
      <c r="C3603" s="4">
        <v>0</v>
      </c>
      <c r="D3603" s="4">
        <v>16.98</v>
      </c>
      <c r="E3603">
        <v>1</v>
      </c>
      <c r="F3603">
        <v>1</v>
      </c>
    </row>
    <row r="3604" spans="1:6" x14ac:dyDescent="0.25">
      <c r="A3604" t="s">
        <v>3730</v>
      </c>
      <c r="B3604" s="4">
        <v>16.940000000000001</v>
      </c>
      <c r="C3604" s="4">
        <v>0</v>
      </c>
      <c r="D3604" s="4">
        <v>16.940000000000001</v>
      </c>
      <c r="E3604">
        <v>2</v>
      </c>
      <c r="F3604">
        <v>2</v>
      </c>
    </row>
    <row r="3605" spans="1:6" x14ac:dyDescent="0.25">
      <c r="A3605" t="s">
        <v>3731</v>
      </c>
      <c r="B3605" s="4">
        <v>16.940000000000001</v>
      </c>
      <c r="C3605" s="4">
        <v>0</v>
      </c>
      <c r="D3605" s="4">
        <v>16.940000000000001</v>
      </c>
      <c r="E3605">
        <v>2</v>
      </c>
      <c r="F3605">
        <v>2</v>
      </c>
    </row>
    <row r="3606" spans="1:6" x14ac:dyDescent="0.25">
      <c r="A3606" t="s">
        <v>3732</v>
      </c>
      <c r="B3606" s="4">
        <v>16.940000000000001</v>
      </c>
      <c r="C3606" s="4">
        <v>0</v>
      </c>
      <c r="D3606" s="4">
        <v>16.940000000000001</v>
      </c>
      <c r="E3606">
        <v>2</v>
      </c>
      <c r="F3606">
        <v>2</v>
      </c>
    </row>
    <row r="3607" spans="1:6" x14ac:dyDescent="0.25">
      <c r="A3607" t="s">
        <v>3733</v>
      </c>
      <c r="B3607" s="4">
        <v>16.82</v>
      </c>
      <c r="C3607" s="4">
        <v>0</v>
      </c>
      <c r="D3607" s="4">
        <v>16.82</v>
      </c>
      <c r="E3607">
        <v>2</v>
      </c>
      <c r="F3607">
        <v>2</v>
      </c>
    </row>
    <row r="3608" spans="1:6" x14ac:dyDescent="0.25">
      <c r="A3608" t="s">
        <v>3734</v>
      </c>
      <c r="B3608" s="4">
        <v>16.809999999999999</v>
      </c>
      <c r="C3608" s="4">
        <v>0</v>
      </c>
      <c r="D3608" s="4">
        <v>16.809999999999999</v>
      </c>
      <c r="E3608">
        <v>2</v>
      </c>
      <c r="F3608">
        <v>2</v>
      </c>
    </row>
    <row r="3609" spans="1:6" x14ac:dyDescent="0.25">
      <c r="A3609" t="s">
        <v>3735</v>
      </c>
      <c r="B3609" s="4">
        <v>16.8</v>
      </c>
      <c r="C3609" s="4">
        <v>4.5599999999999996</v>
      </c>
      <c r="D3609" s="4">
        <v>12.24</v>
      </c>
      <c r="E3609">
        <v>2</v>
      </c>
      <c r="F3609">
        <v>2</v>
      </c>
    </row>
    <row r="3610" spans="1:6" x14ac:dyDescent="0.25">
      <c r="A3610" t="s">
        <v>3736</v>
      </c>
      <c r="B3610" s="4">
        <v>16.77</v>
      </c>
      <c r="C3610" s="4">
        <v>0</v>
      </c>
      <c r="D3610" s="4">
        <v>16.77</v>
      </c>
      <c r="E3610">
        <v>12</v>
      </c>
      <c r="F3610">
        <v>12</v>
      </c>
    </row>
    <row r="3611" spans="1:6" x14ac:dyDescent="0.25">
      <c r="A3611" t="s">
        <v>3737</v>
      </c>
      <c r="B3611" s="4">
        <v>16.649999999999999</v>
      </c>
      <c r="C3611" s="4">
        <v>0</v>
      </c>
      <c r="D3611" s="4">
        <v>16.649999999999999</v>
      </c>
      <c r="E3611">
        <v>5</v>
      </c>
      <c r="F3611">
        <v>5</v>
      </c>
    </row>
    <row r="3612" spans="1:6" x14ac:dyDescent="0.25">
      <c r="A3612" t="s">
        <v>3738</v>
      </c>
      <c r="B3612" s="4">
        <v>16.63</v>
      </c>
      <c r="C3612" s="4">
        <v>0</v>
      </c>
      <c r="D3612" s="4">
        <v>16.63</v>
      </c>
      <c r="E3612">
        <v>1</v>
      </c>
      <c r="F3612">
        <v>1</v>
      </c>
    </row>
    <row r="3613" spans="1:6" x14ac:dyDescent="0.25">
      <c r="A3613" t="s">
        <v>3739</v>
      </c>
      <c r="B3613" s="4">
        <v>16.63</v>
      </c>
      <c r="C3613" s="4">
        <v>0</v>
      </c>
      <c r="D3613" s="4">
        <v>16.63</v>
      </c>
      <c r="E3613">
        <v>1</v>
      </c>
      <c r="F3613">
        <v>1</v>
      </c>
    </row>
    <row r="3614" spans="1:6" x14ac:dyDescent="0.25">
      <c r="A3614" t="s">
        <v>3740</v>
      </c>
      <c r="B3614" s="4">
        <v>16.63</v>
      </c>
      <c r="C3614" s="4">
        <v>0</v>
      </c>
      <c r="D3614" s="4">
        <v>16.63</v>
      </c>
      <c r="E3614">
        <v>1</v>
      </c>
      <c r="F3614">
        <v>1</v>
      </c>
    </row>
    <row r="3615" spans="1:6" x14ac:dyDescent="0.25">
      <c r="A3615" t="s">
        <v>3741</v>
      </c>
      <c r="B3615" s="4">
        <v>16.579999999999998</v>
      </c>
      <c r="C3615" s="4">
        <v>0</v>
      </c>
      <c r="D3615" s="4">
        <v>16.579999999999998</v>
      </c>
      <c r="E3615">
        <v>1</v>
      </c>
      <c r="F3615">
        <v>1</v>
      </c>
    </row>
    <row r="3616" spans="1:6" x14ac:dyDescent="0.25">
      <c r="A3616" t="s">
        <v>3742</v>
      </c>
      <c r="B3616" s="4">
        <v>16.309999999999999</v>
      </c>
      <c r="C3616" s="4">
        <v>0</v>
      </c>
      <c r="D3616" s="4">
        <v>16.309999999999999</v>
      </c>
      <c r="E3616">
        <v>3</v>
      </c>
      <c r="F3616">
        <v>3</v>
      </c>
    </row>
    <row r="3617" spans="1:6" x14ac:dyDescent="0.25">
      <c r="A3617" t="s">
        <v>3743</v>
      </c>
      <c r="B3617" s="4">
        <v>16.25</v>
      </c>
      <c r="C3617" s="4">
        <v>0</v>
      </c>
      <c r="D3617" s="4">
        <v>16.25</v>
      </c>
      <c r="E3617">
        <v>7</v>
      </c>
      <c r="F3617">
        <v>7</v>
      </c>
    </row>
    <row r="3618" spans="1:6" x14ac:dyDescent="0.25">
      <c r="A3618" t="s">
        <v>3744</v>
      </c>
      <c r="B3618" s="4">
        <v>16.25</v>
      </c>
      <c r="C3618" s="4">
        <v>0</v>
      </c>
      <c r="D3618" s="4">
        <v>16.25</v>
      </c>
      <c r="E3618">
        <v>2</v>
      </c>
      <c r="F3618">
        <v>2</v>
      </c>
    </row>
    <row r="3619" spans="1:6" x14ac:dyDescent="0.25">
      <c r="A3619" t="s">
        <v>3745</v>
      </c>
      <c r="B3619" s="4">
        <v>16.22</v>
      </c>
      <c r="C3619" s="4">
        <v>0</v>
      </c>
      <c r="D3619" s="4">
        <v>16.22</v>
      </c>
      <c r="E3619">
        <v>10</v>
      </c>
      <c r="F3619">
        <v>9</v>
      </c>
    </row>
    <row r="3620" spans="1:6" x14ac:dyDescent="0.25">
      <c r="A3620" t="s">
        <v>3746</v>
      </c>
      <c r="B3620" s="4">
        <v>16.13</v>
      </c>
      <c r="C3620" s="4">
        <v>0</v>
      </c>
      <c r="D3620" s="4">
        <v>16.13</v>
      </c>
      <c r="E3620">
        <v>1</v>
      </c>
      <c r="F3620">
        <v>1</v>
      </c>
    </row>
    <row r="3621" spans="1:6" x14ac:dyDescent="0.25">
      <c r="A3621" t="s">
        <v>3747</v>
      </c>
      <c r="B3621" s="4">
        <v>15.98</v>
      </c>
      <c r="C3621" s="4">
        <v>0</v>
      </c>
      <c r="D3621" s="4">
        <v>15.98</v>
      </c>
      <c r="E3621">
        <v>14</v>
      </c>
      <c r="F3621">
        <v>14</v>
      </c>
    </row>
    <row r="3622" spans="1:6" x14ac:dyDescent="0.25">
      <c r="A3622" t="s">
        <v>3748</v>
      </c>
      <c r="B3622" s="4">
        <v>15.97</v>
      </c>
      <c r="C3622" s="4">
        <v>15</v>
      </c>
      <c r="D3622" s="4">
        <v>0.97</v>
      </c>
      <c r="E3622">
        <v>2</v>
      </c>
      <c r="F3622">
        <v>2</v>
      </c>
    </row>
    <row r="3623" spans="1:6" x14ac:dyDescent="0.25">
      <c r="A3623" t="s">
        <v>3749</v>
      </c>
      <c r="B3623" s="4">
        <v>15.9</v>
      </c>
      <c r="C3623" s="4">
        <v>0</v>
      </c>
      <c r="D3623" s="4">
        <v>15.9</v>
      </c>
      <c r="E3623">
        <v>1</v>
      </c>
      <c r="F3623">
        <v>1</v>
      </c>
    </row>
    <row r="3624" spans="1:6" x14ac:dyDescent="0.25">
      <c r="A3624" t="s">
        <v>3750</v>
      </c>
      <c r="B3624" s="4">
        <v>15.9</v>
      </c>
      <c r="C3624" s="4">
        <v>0</v>
      </c>
      <c r="D3624" s="4">
        <v>15.9</v>
      </c>
      <c r="E3624">
        <v>2</v>
      </c>
      <c r="F3624">
        <v>2</v>
      </c>
    </row>
    <row r="3625" spans="1:6" x14ac:dyDescent="0.25">
      <c r="A3625" t="s">
        <v>3751</v>
      </c>
      <c r="B3625" s="4">
        <v>15.79</v>
      </c>
      <c r="C3625" s="4">
        <v>0</v>
      </c>
      <c r="D3625" s="4">
        <v>15.79</v>
      </c>
      <c r="E3625">
        <v>1</v>
      </c>
      <c r="F3625">
        <v>1</v>
      </c>
    </row>
    <row r="3626" spans="1:6" x14ac:dyDescent="0.25">
      <c r="A3626" t="s">
        <v>3752</v>
      </c>
      <c r="B3626" s="4">
        <v>15.6</v>
      </c>
      <c r="C3626" s="4">
        <v>0</v>
      </c>
      <c r="D3626" s="4">
        <v>15.6</v>
      </c>
      <c r="E3626">
        <v>2</v>
      </c>
      <c r="F3626">
        <v>2</v>
      </c>
    </row>
    <row r="3627" spans="1:6" x14ac:dyDescent="0.25">
      <c r="A3627" t="s">
        <v>3753</v>
      </c>
      <c r="B3627" s="4">
        <v>15.6</v>
      </c>
      <c r="C3627" s="4">
        <v>0</v>
      </c>
      <c r="D3627" s="4">
        <v>15.6</v>
      </c>
      <c r="E3627">
        <v>7</v>
      </c>
      <c r="F3627">
        <v>6</v>
      </c>
    </row>
    <row r="3628" spans="1:6" x14ac:dyDescent="0.25">
      <c r="A3628" t="s">
        <v>3754</v>
      </c>
      <c r="B3628" s="4">
        <v>15.43</v>
      </c>
      <c r="C3628" s="4">
        <v>0</v>
      </c>
      <c r="D3628" s="4">
        <v>15.43</v>
      </c>
      <c r="E3628">
        <v>15</v>
      </c>
      <c r="F3628">
        <v>15</v>
      </c>
    </row>
    <row r="3629" spans="1:6" x14ac:dyDescent="0.25">
      <c r="A3629" t="s">
        <v>3755</v>
      </c>
      <c r="B3629" s="4">
        <v>15.4</v>
      </c>
      <c r="C3629" s="4">
        <v>0</v>
      </c>
      <c r="D3629" s="4">
        <v>15.4</v>
      </c>
      <c r="E3629">
        <v>18</v>
      </c>
      <c r="F3629">
        <v>17</v>
      </c>
    </row>
    <row r="3630" spans="1:6" x14ac:dyDescent="0.25">
      <c r="A3630" t="s">
        <v>3756</v>
      </c>
      <c r="B3630" s="4">
        <v>15.16</v>
      </c>
      <c r="C3630" s="4">
        <v>0</v>
      </c>
      <c r="D3630" s="4">
        <v>15.16</v>
      </c>
      <c r="E3630">
        <v>3</v>
      </c>
      <c r="F3630">
        <v>3</v>
      </c>
    </row>
    <row r="3631" spans="1:6" x14ac:dyDescent="0.25">
      <c r="A3631" t="s">
        <v>3757</v>
      </c>
      <c r="B3631" s="4">
        <v>15.12</v>
      </c>
      <c r="C3631" s="4">
        <v>0</v>
      </c>
      <c r="D3631" s="4">
        <v>15.12</v>
      </c>
      <c r="E3631">
        <v>3</v>
      </c>
      <c r="F3631">
        <v>3</v>
      </c>
    </row>
    <row r="3632" spans="1:6" x14ac:dyDescent="0.25">
      <c r="A3632" t="s">
        <v>3758</v>
      </c>
      <c r="B3632" s="4">
        <v>15.12</v>
      </c>
      <c r="C3632" s="4">
        <v>0</v>
      </c>
      <c r="D3632" s="4">
        <v>15.12</v>
      </c>
      <c r="E3632">
        <v>2</v>
      </c>
      <c r="F3632">
        <v>2</v>
      </c>
    </row>
    <row r="3633" spans="1:6" x14ac:dyDescent="0.25">
      <c r="A3633" t="s">
        <v>3759</v>
      </c>
      <c r="B3633" s="4">
        <v>15.08</v>
      </c>
      <c r="C3633" s="4">
        <v>0</v>
      </c>
      <c r="D3633" s="4">
        <v>15.08</v>
      </c>
      <c r="E3633">
        <v>2</v>
      </c>
      <c r="F3633">
        <v>2</v>
      </c>
    </row>
    <row r="3634" spans="1:6" x14ac:dyDescent="0.25">
      <c r="A3634" t="s">
        <v>3760</v>
      </c>
      <c r="B3634" s="4">
        <v>15.02</v>
      </c>
      <c r="C3634" s="4">
        <v>0</v>
      </c>
      <c r="D3634" s="4">
        <v>15.02</v>
      </c>
      <c r="E3634">
        <v>3</v>
      </c>
      <c r="F3634">
        <v>3</v>
      </c>
    </row>
    <row r="3635" spans="1:6" x14ac:dyDescent="0.25">
      <c r="A3635" t="s">
        <v>3761</v>
      </c>
      <c r="B3635" s="4">
        <v>15</v>
      </c>
      <c r="C3635" s="4">
        <v>0</v>
      </c>
      <c r="D3635" s="4">
        <v>15</v>
      </c>
      <c r="E3635">
        <v>2</v>
      </c>
      <c r="F3635">
        <v>2</v>
      </c>
    </row>
    <row r="3636" spans="1:6" x14ac:dyDescent="0.25">
      <c r="A3636" t="s">
        <v>3762</v>
      </c>
      <c r="B3636" s="4">
        <v>15</v>
      </c>
      <c r="C3636" s="4">
        <v>0</v>
      </c>
      <c r="D3636" s="4">
        <v>15</v>
      </c>
      <c r="E3636">
        <v>1</v>
      </c>
      <c r="F3636">
        <v>1</v>
      </c>
    </row>
    <row r="3637" spans="1:6" x14ac:dyDescent="0.25">
      <c r="A3637" t="s">
        <v>3763</v>
      </c>
      <c r="B3637" s="4">
        <v>15</v>
      </c>
      <c r="C3637" s="4">
        <v>0</v>
      </c>
      <c r="D3637" s="4">
        <v>15</v>
      </c>
      <c r="E3637">
        <v>2</v>
      </c>
      <c r="F3637">
        <v>2</v>
      </c>
    </row>
    <row r="3638" spans="1:6" x14ac:dyDescent="0.25">
      <c r="A3638" t="s">
        <v>3764</v>
      </c>
      <c r="B3638" s="4">
        <v>15</v>
      </c>
      <c r="C3638" s="4">
        <v>0</v>
      </c>
      <c r="D3638" s="4">
        <v>15</v>
      </c>
      <c r="E3638">
        <v>6</v>
      </c>
      <c r="F3638">
        <v>6</v>
      </c>
    </row>
    <row r="3639" spans="1:6" x14ac:dyDescent="0.25">
      <c r="A3639" t="s">
        <v>3765</v>
      </c>
      <c r="B3639" s="4">
        <v>15</v>
      </c>
      <c r="C3639" s="4">
        <v>0</v>
      </c>
      <c r="D3639" s="4">
        <v>15</v>
      </c>
      <c r="E3639">
        <v>1</v>
      </c>
      <c r="F3639">
        <v>1</v>
      </c>
    </row>
    <row r="3640" spans="1:6" x14ac:dyDescent="0.25">
      <c r="A3640" t="s">
        <v>3766</v>
      </c>
      <c r="B3640" s="4">
        <v>15</v>
      </c>
      <c r="C3640" s="4">
        <v>0</v>
      </c>
      <c r="D3640" s="4">
        <v>15</v>
      </c>
      <c r="E3640">
        <v>1</v>
      </c>
      <c r="F3640">
        <v>1</v>
      </c>
    </row>
    <row r="3641" spans="1:6" x14ac:dyDescent="0.25">
      <c r="A3641" t="s">
        <v>3767</v>
      </c>
      <c r="B3641" s="4">
        <v>15</v>
      </c>
      <c r="C3641" s="4">
        <v>0</v>
      </c>
      <c r="D3641" s="4">
        <v>15</v>
      </c>
      <c r="E3641">
        <v>1</v>
      </c>
      <c r="F3641">
        <v>1</v>
      </c>
    </row>
    <row r="3642" spans="1:6" x14ac:dyDescent="0.25">
      <c r="A3642" t="s">
        <v>3768</v>
      </c>
      <c r="B3642" s="4">
        <v>15</v>
      </c>
      <c r="C3642" s="4">
        <v>0</v>
      </c>
      <c r="D3642" s="4">
        <v>15</v>
      </c>
      <c r="E3642">
        <v>2</v>
      </c>
      <c r="F3642">
        <v>2</v>
      </c>
    </row>
    <row r="3643" spans="1:6" x14ac:dyDescent="0.25">
      <c r="A3643" t="s">
        <v>3769</v>
      </c>
      <c r="B3643" s="4">
        <v>14.96</v>
      </c>
      <c r="C3643" s="4">
        <v>0</v>
      </c>
      <c r="D3643" s="4">
        <v>14.96</v>
      </c>
      <c r="E3643">
        <v>4</v>
      </c>
      <c r="F3643">
        <v>4</v>
      </c>
    </row>
    <row r="3644" spans="1:6" x14ac:dyDescent="0.25">
      <c r="A3644" t="s">
        <v>3770</v>
      </c>
      <c r="B3644" s="4">
        <v>14.94</v>
      </c>
      <c r="C3644" s="4">
        <v>0</v>
      </c>
      <c r="D3644" s="4">
        <v>14.94</v>
      </c>
      <c r="E3644">
        <v>4</v>
      </c>
      <c r="F3644">
        <v>4</v>
      </c>
    </row>
    <row r="3645" spans="1:6" x14ac:dyDescent="0.25">
      <c r="A3645" t="s">
        <v>3771</v>
      </c>
      <c r="B3645" s="4">
        <v>14.92</v>
      </c>
      <c r="C3645" s="4">
        <v>0</v>
      </c>
      <c r="D3645" s="4">
        <v>14.92</v>
      </c>
      <c r="E3645">
        <v>2</v>
      </c>
      <c r="F3645">
        <v>2</v>
      </c>
    </row>
    <row r="3646" spans="1:6" x14ac:dyDescent="0.25">
      <c r="A3646" t="s">
        <v>3772</v>
      </c>
      <c r="B3646" s="4">
        <v>14.85</v>
      </c>
      <c r="C3646" s="4">
        <v>0</v>
      </c>
      <c r="D3646" s="4">
        <v>14.85</v>
      </c>
      <c r="E3646">
        <v>1</v>
      </c>
      <c r="F3646">
        <v>1</v>
      </c>
    </row>
    <row r="3647" spans="1:6" x14ac:dyDescent="0.25">
      <c r="A3647" t="s">
        <v>3773</v>
      </c>
      <c r="B3647" s="4">
        <v>14.85</v>
      </c>
      <c r="C3647" s="4">
        <v>0</v>
      </c>
      <c r="D3647" s="4">
        <v>14.85</v>
      </c>
      <c r="E3647">
        <v>1</v>
      </c>
      <c r="F3647">
        <v>1</v>
      </c>
    </row>
    <row r="3648" spans="1:6" x14ac:dyDescent="0.25">
      <c r="A3648" t="s">
        <v>3774</v>
      </c>
      <c r="B3648" s="4">
        <v>14.85</v>
      </c>
      <c r="C3648" s="4">
        <v>0</v>
      </c>
      <c r="D3648" s="4">
        <v>14.85</v>
      </c>
      <c r="E3648">
        <v>1</v>
      </c>
      <c r="F3648">
        <v>1</v>
      </c>
    </row>
    <row r="3649" spans="1:6" x14ac:dyDescent="0.25">
      <c r="A3649" t="s">
        <v>3775</v>
      </c>
      <c r="B3649" s="4">
        <v>14.75</v>
      </c>
      <c r="C3649" s="4">
        <v>0</v>
      </c>
      <c r="D3649" s="4">
        <v>14.75</v>
      </c>
      <c r="E3649">
        <v>2</v>
      </c>
      <c r="F3649">
        <v>1</v>
      </c>
    </row>
    <row r="3650" spans="1:6" x14ac:dyDescent="0.25">
      <c r="A3650" t="s">
        <v>3776</v>
      </c>
      <c r="B3650" s="4">
        <v>14.55</v>
      </c>
      <c r="C3650" s="4">
        <v>0</v>
      </c>
      <c r="D3650" s="4">
        <v>14.55</v>
      </c>
      <c r="E3650">
        <v>5</v>
      </c>
      <c r="F3650">
        <v>5</v>
      </c>
    </row>
    <row r="3651" spans="1:6" x14ac:dyDescent="0.25">
      <c r="A3651" t="s">
        <v>3777</v>
      </c>
      <c r="B3651" s="4">
        <v>14.5</v>
      </c>
      <c r="C3651" s="4">
        <v>0</v>
      </c>
      <c r="D3651" s="4">
        <v>14.5</v>
      </c>
      <c r="E3651">
        <v>2</v>
      </c>
      <c r="F3651">
        <v>2</v>
      </c>
    </row>
    <row r="3652" spans="1:6" x14ac:dyDescent="0.25">
      <c r="A3652" t="s">
        <v>3778</v>
      </c>
      <c r="B3652" s="4">
        <v>14.5</v>
      </c>
      <c r="C3652" s="4">
        <v>0</v>
      </c>
      <c r="D3652" s="4">
        <v>14.5</v>
      </c>
      <c r="E3652">
        <v>5</v>
      </c>
      <c r="F3652">
        <v>5</v>
      </c>
    </row>
    <row r="3653" spans="1:6" x14ac:dyDescent="0.25">
      <c r="A3653" t="s">
        <v>3779</v>
      </c>
      <c r="B3653" s="4">
        <v>14.5</v>
      </c>
      <c r="C3653" s="4">
        <v>0</v>
      </c>
      <c r="D3653" s="4">
        <v>14.5</v>
      </c>
      <c r="E3653">
        <v>5</v>
      </c>
      <c r="F3653">
        <v>5</v>
      </c>
    </row>
    <row r="3654" spans="1:6" x14ac:dyDescent="0.25">
      <c r="A3654" t="s">
        <v>3780</v>
      </c>
      <c r="B3654" s="4">
        <v>14.43</v>
      </c>
      <c r="C3654" s="4">
        <v>0</v>
      </c>
      <c r="D3654" s="4">
        <v>14.43</v>
      </c>
      <c r="E3654">
        <v>15</v>
      </c>
      <c r="F3654">
        <v>14</v>
      </c>
    </row>
    <row r="3655" spans="1:6" x14ac:dyDescent="0.25">
      <c r="A3655" t="s">
        <v>3781</v>
      </c>
      <c r="B3655" s="4">
        <v>14.37</v>
      </c>
      <c r="C3655" s="4">
        <v>0</v>
      </c>
      <c r="D3655" s="4">
        <v>14.37</v>
      </c>
      <c r="E3655">
        <v>13</v>
      </c>
      <c r="F3655">
        <v>12</v>
      </c>
    </row>
    <row r="3656" spans="1:6" x14ac:dyDescent="0.25">
      <c r="A3656" t="s">
        <v>3782</v>
      </c>
      <c r="B3656" s="4">
        <v>14.14</v>
      </c>
      <c r="C3656" s="4">
        <v>0</v>
      </c>
      <c r="D3656" s="4">
        <v>14.14</v>
      </c>
      <c r="E3656">
        <v>2</v>
      </c>
      <c r="F3656">
        <v>2</v>
      </c>
    </row>
    <row r="3657" spans="1:6" x14ac:dyDescent="0.25">
      <c r="A3657" t="s">
        <v>3783</v>
      </c>
      <c r="B3657" s="4">
        <v>14.11</v>
      </c>
      <c r="C3657" s="4">
        <v>0.83</v>
      </c>
      <c r="D3657" s="4">
        <v>13.28</v>
      </c>
      <c r="E3657">
        <v>5</v>
      </c>
      <c r="F3657">
        <v>5</v>
      </c>
    </row>
    <row r="3658" spans="1:6" x14ac:dyDescent="0.25">
      <c r="A3658" t="s">
        <v>3784</v>
      </c>
      <c r="B3658" s="4">
        <v>13.68</v>
      </c>
      <c r="C3658" s="4">
        <v>0</v>
      </c>
      <c r="D3658" s="4">
        <v>13.68</v>
      </c>
      <c r="E3658">
        <v>3</v>
      </c>
      <c r="F3658">
        <v>3</v>
      </c>
    </row>
    <row r="3659" spans="1:6" x14ac:dyDescent="0.25">
      <c r="A3659" t="s">
        <v>3785</v>
      </c>
      <c r="B3659" s="4">
        <v>13.65</v>
      </c>
      <c r="C3659" s="4">
        <v>0</v>
      </c>
      <c r="D3659" s="4">
        <v>13.65</v>
      </c>
      <c r="E3659">
        <v>8</v>
      </c>
      <c r="F3659">
        <v>8</v>
      </c>
    </row>
    <row r="3660" spans="1:6" x14ac:dyDescent="0.25">
      <c r="A3660" t="s">
        <v>3786</v>
      </c>
      <c r="B3660" s="4">
        <v>13.58</v>
      </c>
      <c r="C3660" s="4">
        <v>0</v>
      </c>
      <c r="D3660" s="4">
        <v>13.58</v>
      </c>
      <c r="E3660">
        <v>9</v>
      </c>
      <c r="F3660">
        <v>8</v>
      </c>
    </row>
    <row r="3661" spans="1:6" x14ac:dyDescent="0.25">
      <c r="A3661" t="s">
        <v>3787</v>
      </c>
      <c r="B3661" s="4">
        <v>13.5</v>
      </c>
      <c r="C3661" s="4">
        <v>0</v>
      </c>
      <c r="D3661" s="4">
        <v>13.5</v>
      </c>
      <c r="E3661">
        <v>2</v>
      </c>
      <c r="F3661">
        <v>2</v>
      </c>
    </row>
    <row r="3662" spans="1:6" x14ac:dyDescent="0.25">
      <c r="A3662" t="s">
        <v>3788</v>
      </c>
      <c r="B3662" s="4">
        <v>13.46</v>
      </c>
      <c r="C3662" s="4">
        <v>0</v>
      </c>
      <c r="D3662" s="4">
        <v>13.46</v>
      </c>
      <c r="E3662">
        <v>11</v>
      </c>
      <c r="F3662">
        <v>11</v>
      </c>
    </row>
    <row r="3663" spans="1:6" x14ac:dyDescent="0.25">
      <c r="A3663" t="s">
        <v>3789</v>
      </c>
      <c r="B3663" s="4">
        <v>13.44</v>
      </c>
      <c r="C3663" s="4">
        <v>0</v>
      </c>
      <c r="D3663" s="4">
        <v>13.44</v>
      </c>
      <c r="E3663">
        <v>5</v>
      </c>
      <c r="F3663">
        <v>5</v>
      </c>
    </row>
    <row r="3664" spans="1:6" x14ac:dyDescent="0.25">
      <c r="A3664" t="s">
        <v>3790</v>
      </c>
      <c r="B3664" s="4">
        <v>13.44</v>
      </c>
      <c r="C3664" s="4">
        <v>0</v>
      </c>
      <c r="D3664" s="4">
        <v>13.44</v>
      </c>
      <c r="E3664">
        <v>5</v>
      </c>
      <c r="F3664">
        <v>5</v>
      </c>
    </row>
    <row r="3665" spans="1:6" x14ac:dyDescent="0.25">
      <c r="A3665" t="s">
        <v>3791</v>
      </c>
      <c r="B3665" s="4">
        <v>13.32</v>
      </c>
      <c r="C3665" s="4">
        <v>0</v>
      </c>
      <c r="D3665" s="4">
        <v>13.32</v>
      </c>
      <c r="E3665">
        <v>4</v>
      </c>
      <c r="F3665">
        <v>4</v>
      </c>
    </row>
    <row r="3666" spans="1:6" x14ac:dyDescent="0.25">
      <c r="A3666" t="s">
        <v>3792</v>
      </c>
      <c r="B3666" s="4">
        <v>13.28</v>
      </c>
      <c r="C3666" s="4">
        <v>0</v>
      </c>
      <c r="D3666" s="4">
        <v>13.28</v>
      </c>
      <c r="E3666">
        <v>7</v>
      </c>
      <c r="F3666">
        <v>7</v>
      </c>
    </row>
    <row r="3667" spans="1:6" x14ac:dyDescent="0.25">
      <c r="A3667" t="s">
        <v>3793</v>
      </c>
      <c r="B3667" s="4">
        <v>13.2</v>
      </c>
      <c r="C3667" s="4">
        <v>0</v>
      </c>
      <c r="D3667" s="4">
        <v>13.2</v>
      </c>
      <c r="E3667">
        <v>1</v>
      </c>
      <c r="F3667">
        <v>1</v>
      </c>
    </row>
    <row r="3668" spans="1:6" x14ac:dyDescent="0.25">
      <c r="A3668" t="s">
        <v>3794</v>
      </c>
      <c r="B3668" s="4">
        <v>13.14</v>
      </c>
      <c r="C3668" s="4">
        <v>0</v>
      </c>
      <c r="D3668" s="4">
        <v>13.14</v>
      </c>
      <c r="E3668">
        <v>6</v>
      </c>
      <c r="F3668">
        <v>6</v>
      </c>
    </row>
    <row r="3669" spans="1:6" x14ac:dyDescent="0.25">
      <c r="A3669" t="s">
        <v>3795</v>
      </c>
      <c r="B3669" s="4">
        <v>13.1</v>
      </c>
      <c r="C3669" s="4">
        <v>0</v>
      </c>
      <c r="D3669" s="4">
        <v>13.1</v>
      </c>
      <c r="E3669">
        <v>12</v>
      </c>
      <c r="F3669">
        <v>12</v>
      </c>
    </row>
    <row r="3670" spans="1:6" x14ac:dyDescent="0.25">
      <c r="A3670" t="s">
        <v>3796</v>
      </c>
      <c r="B3670" s="4">
        <v>13</v>
      </c>
      <c r="C3670" s="4">
        <v>0</v>
      </c>
      <c r="D3670" s="4">
        <v>13</v>
      </c>
      <c r="E3670">
        <v>8</v>
      </c>
      <c r="F3670">
        <v>8</v>
      </c>
    </row>
    <row r="3671" spans="1:6" x14ac:dyDescent="0.25">
      <c r="A3671" t="s">
        <v>3797</v>
      </c>
      <c r="B3671" s="4">
        <v>12.97</v>
      </c>
      <c r="C3671" s="4">
        <v>1.44</v>
      </c>
      <c r="D3671" s="4">
        <v>11.53</v>
      </c>
      <c r="E3671">
        <v>12</v>
      </c>
      <c r="F3671">
        <v>12</v>
      </c>
    </row>
    <row r="3672" spans="1:6" x14ac:dyDescent="0.25">
      <c r="A3672" t="s">
        <v>3798</v>
      </c>
      <c r="B3672" s="4">
        <v>12.75</v>
      </c>
      <c r="C3672" s="4">
        <v>0</v>
      </c>
      <c r="D3672" s="4">
        <v>12.75</v>
      </c>
      <c r="E3672">
        <v>4</v>
      </c>
      <c r="F3672">
        <v>4</v>
      </c>
    </row>
    <row r="3673" spans="1:6" x14ac:dyDescent="0.25">
      <c r="A3673" t="s">
        <v>3799</v>
      </c>
      <c r="B3673" s="4">
        <v>12.72</v>
      </c>
      <c r="C3673" s="4">
        <v>0</v>
      </c>
      <c r="D3673" s="4">
        <v>12.72</v>
      </c>
      <c r="E3673">
        <v>2</v>
      </c>
      <c r="F3673">
        <v>2</v>
      </c>
    </row>
    <row r="3674" spans="1:6" x14ac:dyDescent="0.25">
      <c r="A3674" t="s">
        <v>3800</v>
      </c>
      <c r="B3674" s="4">
        <v>12.72</v>
      </c>
      <c r="C3674" s="4">
        <v>0</v>
      </c>
      <c r="D3674" s="4">
        <v>12.72</v>
      </c>
      <c r="E3674">
        <v>1</v>
      </c>
      <c r="F3674">
        <v>1</v>
      </c>
    </row>
    <row r="3675" spans="1:6" x14ac:dyDescent="0.25">
      <c r="A3675" t="s">
        <v>3801</v>
      </c>
      <c r="B3675" s="4">
        <v>12.7</v>
      </c>
      <c r="C3675" s="4">
        <v>0</v>
      </c>
      <c r="D3675" s="4">
        <v>12.7</v>
      </c>
      <c r="E3675">
        <v>5</v>
      </c>
      <c r="F3675">
        <v>5</v>
      </c>
    </row>
    <row r="3676" spans="1:6" x14ac:dyDescent="0.25">
      <c r="A3676" t="s">
        <v>3802</v>
      </c>
      <c r="B3676" s="4">
        <v>12.53</v>
      </c>
      <c r="C3676" s="4">
        <v>0</v>
      </c>
      <c r="D3676" s="4">
        <v>12.53</v>
      </c>
      <c r="E3676">
        <v>5</v>
      </c>
      <c r="F3676">
        <v>5</v>
      </c>
    </row>
    <row r="3677" spans="1:6" x14ac:dyDescent="0.25">
      <c r="A3677" t="s">
        <v>3803</v>
      </c>
      <c r="B3677" s="4">
        <v>12.52</v>
      </c>
      <c r="C3677" s="4">
        <v>0</v>
      </c>
      <c r="D3677" s="4">
        <v>12.52</v>
      </c>
      <c r="E3677">
        <v>5</v>
      </c>
      <c r="F3677">
        <v>5</v>
      </c>
    </row>
    <row r="3678" spans="1:6" x14ac:dyDescent="0.25">
      <c r="A3678" t="s">
        <v>3804</v>
      </c>
      <c r="B3678" s="4">
        <v>12.5</v>
      </c>
      <c r="C3678" s="4">
        <v>0</v>
      </c>
      <c r="D3678" s="4">
        <v>12.5</v>
      </c>
      <c r="E3678">
        <v>2</v>
      </c>
      <c r="F3678">
        <v>2</v>
      </c>
    </row>
    <row r="3679" spans="1:6" x14ac:dyDescent="0.25">
      <c r="A3679" t="s">
        <v>3805</v>
      </c>
      <c r="B3679" s="4">
        <v>12.48</v>
      </c>
      <c r="C3679" s="4">
        <v>0</v>
      </c>
      <c r="D3679" s="4">
        <v>12.48</v>
      </c>
      <c r="E3679">
        <v>3</v>
      </c>
      <c r="F3679">
        <v>3</v>
      </c>
    </row>
    <row r="3680" spans="1:6" x14ac:dyDescent="0.25">
      <c r="A3680" t="s">
        <v>3806</v>
      </c>
      <c r="B3680" s="4">
        <v>12.48</v>
      </c>
      <c r="C3680" s="4">
        <v>0</v>
      </c>
      <c r="D3680" s="4">
        <v>12.48</v>
      </c>
      <c r="E3680">
        <v>1</v>
      </c>
      <c r="F3680">
        <v>1</v>
      </c>
    </row>
    <row r="3681" spans="1:6" x14ac:dyDescent="0.25">
      <c r="A3681" t="s">
        <v>3807</v>
      </c>
      <c r="B3681" s="4">
        <v>12.45</v>
      </c>
      <c r="C3681" s="4">
        <v>0</v>
      </c>
      <c r="D3681" s="4">
        <v>12.45</v>
      </c>
      <c r="E3681">
        <v>4</v>
      </c>
      <c r="F3681">
        <v>4</v>
      </c>
    </row>
    <row r="3682" spans="1:6" x14ac:dyDescent="0.25">
      <c r="A3682" t="s">
        <v>3808</v>
      </c>
      <c r="B3682" s="4">
        <v>12.4</v>
      </c>
      <c r="C3682" s="4">
        <v>0</v>
      </c>
      <c r="D3682" s="4">
        <v>12.4</v>
      </c>
      <c r="E3682">
        <v>4</v>
      </c>
      <c r="F3682">
        <v>4</v>
      </c>
    </row>
    <row r="3683" spans="1:6" x14ac:dyDescent="0.25">
      <c r="A3683" t="s">
        <v>3809</v>
      </c>
      <c r="B3683" s="4">
        <v>12.18</v>
      </c>
      <c r="C3683" s="4">
        <v>0</v>
      </c>
      <c r="D3683" s="4">
        <v>12.18</v>
      </c>
      <c r="E3683">
        <v>10</v>
      </c>
      <c r="F3683">
        <v>9</v>
      </c>
    </row>
    <row r="3684" spans="1:6" x14ac:dyDescent="0.25">
      <c r="A3684" t="s">
        <v>3810</v>
      </c>
      <c r="B3684" s="4">
        <v>12.18</v>
      </c>
      <c r="C3684" s="4">
        <v>0</v>
      </c>
      <c r="D3684" s="4">
        <v>12.18</v>
      </c>
      <c r="E3684">
        <v>2</v>
      </c>
      <c r="F3684">
        <v>2</v>
      </c>
    </row>
    <row r="3685" spans="1:6" x14ac:dyDescent="0.25">
      <c r="A3685" t="s">
        <v>3811</v>
      </c>
      <c r="B3685" s="4">
        <v>12.16</v>
      </c>
      <c r="C3685" s="4">
        <v>0</v>
      </c>
      <c r="D3685" s="4">
        <v>12.16</v>
      </c>
      <c r="E3685">
        <v>2</v>
      </c>
      <c r="F3685">
        <v>2</v>
      </c>
    </row>
    <row r="3686" spans="1:6" x14ac:dyDescent="0.25">
      <c r="A3686" t="s">
        <v>3812</v>
      </c>
      <c r="B3686" s="4">
        <v>11.95</v>
      </c>
      <c r="C3686" s="4">
        <v>0</v>
      </c>
      <c r="D3686" s="4">
        <v>11.95</v>
      </c>
      <c r="E3686">
        <v>1</v>
      </c>
      <c r="F3686">
        <v>1</v>
      </c>
    </row>
    <row r="3687" spans="1:6" x14ac:dyDescent="0.25">
      <c r="A3687" t="s">
        <v>3813</v>
      </c>
      <c r="B3687" s="4">
        <v>11.95</v>
      </c>
      <c r="C3687" s="4">
        <v>0</v>
      </c>
      <c r="D3687" s="4">
        <v>11.95</v>
      </c>
      <c r="E3687">
        <v>1</v>
      </c>
      <c r="F3687">
        <v>1</v>
      </c>
    </row>
    <row r="3688" spans="1:6" x14ac:dyDescent="0.25">
      <c r="A3688" t="s">
        <v>3814</v>
      </c>
      <c r="B3688" s="4">
        <v>11.9</v>
      </c>
      <c r="C3688" s="4">
        <v>0</v>
      </c>
      <c r="D3688" s="4">
        <v>11.9</v>
      </c>
      <c r="E3688">
        <v>5</v>
      </c>
      <c r="F3688">
        <v>5</v>
      </c>
    </row>
    <row r="3689" spans="1:6" x14ac:dyDescent="0.25">
      <c r="A3689" t="s">
        <v>3815</v>
      </c>
      <c r="B3689" s="4">
        <v>11.9</v>
      </c>
      <c r="C3689" s="4">
        <v>0</v>
      </c>
      <c r="D3689" s="4">
        <v>11.9</v>
      </c>
      <c r="E3689">
        <v>1</v>
      </c>
      <c r="F3689">
        <v>1</v>
      </c>
    </row>
    <row r="3690" spans="1:6" x14ac:dyDescent="0.25">
      <c r="A3690" t="s">
        <v>3816</v>
      </c>
      <c r="B3690" s="4">
        <v>11.9</v>
      </c>
      <c r="C3690" s="4">
        <v>0</v>
      </c>
      <c r="D3690" s="4">
        <v>11.9</v>
      </c>
      <c r="E3690">
        <v>1</v>
      </c>
      <c r="F3690">
        <v>1</v>
      </c>
    </row>
    <row r="3691" spans="1:6" x14ac:dyDescent="0.25">
      <c r="A3691" t="s">
        <v>3817</v>
      </c>
      <c r="B3691" s="4">
        <v>11.84</v>
      </c>
      <c r="C3691" s="4">
        <v>0</v>
      </c>
      <c r="D3691" s="4">
        <v>11.84</v>
      </c>
      <c r="E3691">
        <v>10</v>
      </c>
      <c r="F3691">
        <v>10</v>
      </c>
    </row>
    <row r="3692" spans="1:6" x14ac:dyDescent="0.25">
      <c r="A3692" t="s">
        <v>3818</v>
      </c>
      <c r="B3692" s="4">
        <v>11.8</v>
      </c>
      <c r="C3692" s="4">
        <v>0</v>
      </c>
      <c r="D3692" s="4">
        <v>11.8</v>
      </c>
      <c r="E3692">
        <v>3</v>
      </c>
      <c r="F3692">
        <v>3</v>
      </c>
    </row>
    <row r="3693" spans="1:6" x14ac:dyDescent="0.25">
      <c r="A3693" t="s">
        <v>3819</v>
      </c>
      <c r="B3693" s="4">
        <v>11.78</v>
      </c>
      <c r="C3693" s="4">
        <v>0</v>
      </c>
      <c r="D3693" s="4">
        <v>11.78</v>
      </c>
      <c r="E3693">
        <v>3</v>
      </c>
      <c r="F3693">
        <v>3</v>
      </c>
    </row>
    <row r="3694" spans="1:6" x14ac:dyDescent="0.25">
      <c r="A3694" t="s">
        <v>3820</v>
      </c>
      <c r="B3694" s="4">
        <v>11.76</v>
      </c>
      <c r="C3694" s="4">
        <v>0</v>
      </c>
      <c r="D3694" s="4">
        <v>11.76</v>
      </c>
      <c r="E3694">
        <v>2</v>
      </c>
      <c r="F3694">
        <v>2</v>
      </c>
    </row>
    <row r="3695" spans="1:6" x14ac:dyDescent="0.25">
      <c r="A3695" t="s">
        <v>3821</v>
      </c>
      <c r="B3695" s="4">
        <v>11.76</v>
      </c>
      <c r="C3695" s="4">
        <v>0</v>
      </c>
      <c r="D3695" s="4">
        <v>11.76</v>
      </c>
      <c r="E3695">
        <v>8</v>
      </c>
      <c r="F3695">
        <v>8</v>
      </c>
    </row>
    <row r="3696" spans="1:6" x14ac:dyDescent="0.25">
      <c r="A3696" t="s">
        <v>3822</v>
      </c>
      <c r="B3696" s="4">
        <v>11.64</v>
      </c>
      <c r="C3696" s="4">
        <v>0</v>
      </c>
      <c r="D3696" s="4">
        <v>11.64</v>
      </c>
      <c r="E3696">
        <v>1</v>
      </c>
      <c r="F3696">
        <v>1</v>
      </c>
    </row>
    <row r="3697" spans="1:6" x14ac:dyDescent="0.25">
      <c r="A3697" t="s">
        <v>3823</v>
      </c>
      <c r="B3697" s="4">
        <v>11.64</v>
      </c>
      <c r="C3697" s="4">
        <v>0</v>
      </c>
      <c r="D3697" s="4">
        <v>11.64</v>
      </c>
      <c r="E3697">
        <v>3</v>
      </c>
      <c r="F3697">
        <v>3</v>
      </c>
    </row>
    <row r="3698" spans="1:6" x14ac:dyDescent="0.25">
      <c r="A3698" t="s">
        <v>3824</v>
      </c>
      <c r="B3698" s="4">
        <v>11.58</v>
      </c>
      <c r="C3698" s="4">
        <v>0</v>
      </c>
      <c r="D3698" s="4">
        <v>11.58</v>
      </c>
      <c r="E3698">
        <v>2</v>
      </c>
      <c r="F3698">
        <v>2</v>
      </c>
    </row>
    <row r="3699" spans="1:6" x14ac:dyDescent="0.25">
      <c r="A3699" t="s">
        <v>3825</v>
      </c>
      <c r="B3699" s="4">
        <v>11.55</v>
      </c>
      <c r="C3699" s="4">
        <v>0</v>
      </c>
      <c r="D3699" s="4">
        <v>11.55</v>
      </c>
      <c r="E3699">
        <v>6</v>
      </c>
      <c r="F3699">
        <v>6</v>
      </c>
    </row>
    <row r="3700" spans="1:6" x14ac:dyDescent="0.25">
      <c r="A3700" t="s">
        <v>3826</v>
      </c>
      <c r="B3700" s="4">
        <v>11.55</v>
      </c>
      <c r="C3700" s="4">
        <v>0</v>
      </c>
      <c r="D3700" s="4">
        <v>11.55</v>
      </c>
      <c r="E3700">
        <v>3</v>
      </c>
      <c r="F3700">
        <v>3</v>
      </c>
    </row>
    <row r="3701" spans="1:6" x14ac:dyDescent="0.25">
      <c r="A3701" t="s">
        <v>3827</v>
      </c>
      <c r="B3701" s="4">
        <v>11.46</v>
      </c>
      <c r="C3701" s="4">
        <v>0</v>
      </c>
      <c r="D3701" s="4">
        <v>11.46</v>
      </c>
      <c r="E3701">
        <v>2</v>
      </c>
      <c r="F3701">
        <v>2</v>
      </c>
    </row>
    <row r="3702" spans="1:6" x14ac:dyDescent="0.25">
      <c r="A3702" t="s">
        <v>3828</v>
      </c>
      <c r="B3702" s="4">
        <v>11.19</v>
      </c>
      <c r="C3702" s="4">
        <v>0</v>
      </c>
      <c r="D3702" s="4">
        <v>11.19</v>
      </c>
      <c r="E3702">
        <v>3</v>
      </c>
      <c r="F3702">
        <v>3</v>
      </c>
    </row>
    <row r="3703" spans="1:6" x14ac:dyDescent="0.25">
      <c r="A3703" t="s">
        <v>3829</v>
      </c>
      <c r="B3703" s="4">
        <v>11.06</v>
      </c>
      <c r="C3703" s="4">
        <v>0</v>
      </c>
      <c r="D3703" s="4">
        <v>11.06</v>
      </c>
      <c r="E3703">
        <v>4</v>
      </c>
      <c r="F3703">
        <v>4</v>
      </c>
    </row>
    <row r="3704" spans="1:6" x14ac:dyDescent="0.25">
      <c r="A3704" t="s">
        <v>3830</v>
      </c>
      <c r="B3704" s="4">
        <v>10.92</v>
      </c>
      <c r="C3704" s="4">
        <v>0</v>
      </c>
      <c r="D3704" s="4">
        <v>10.92</v>
      </c>
      <c r="E3704">
        <v>3</v>
      </c>
      <c r="F3704">
        <v>3</v>
      </c>
    </row>
    <row r="3705" spans="1:6" x14ac:dyDescent="0.25">
      <c r="A3705" t="s">
        <v>3831</v>
      </c>
      <c r="B3705" s="4">
        <v>10.61</v>
      </c>
      <c r="C3705" s="4">
        <v>0</v>
      </c>
      <c r="D3705" s="4">
        <v>10.61</v>
      </c>
      <c r="E3705">
        <v>9</v>
      </c>
      <c r="F3705">
        <v>9</v>
      </c>
    </row>
    <row r="3706" spans="1:6" x14ac:dyDescent="0.25">
      <c r="A3706" t="s">
        <v>3832</v>
      </c>
      <c r="B3706" s="4">
        <v>10.5</v>
      </c>
      <c r="C3706" s="4">
        <v>0</v>
      </c>
      <c r="D3706" s="4">
        <v>10.5</v>
      </c>
      <c r="E3706">
        <v>1</v>
      </c>
      <c r="F3706">
        <v>1</v>
      </c>
    </row>
    <row r="3707" spans="1:6" x14ac:dyDescent="0.25">
      <c r="A3707" t="s">
        <v>3833</v>
      </c>
      <c r="B3707" s="4">
        <v>10.5</v>
      </c>
      <c r="C3707" s="4">
        <v>0</v>
      </c>
      <c r="D3707" s="4">
        <v>10.5</v>
      </c>
      <c r="E3707">
        <v>1</v>
      </c>
      <c r="F3707">
        <v>1</v>
      </c>
    </row>
    <row r="3708" spans="1:6" x14ac:dyDescent="0.25">
      <c r="A3708" t="s">
        <v>3834</v>
      </c>
      <c r="B3708" s="4">
        <v>10.26</v>
      </c>
      <c r="C3708" s="4">
        <v>0</v>
      </c>
      <c r="D3708" s="4">
        <v>10.26</v>
      </c>
      <c r="E3708">
        <v>2</v>
      </c>
      <c r="F3708">
        <v>2</v>
      </c>
    </row>
    <row r="3709" spans="1:6" x14ac:dyDescent="0.25">
      <c r="A3709" t="s">
        <v>3835</v>
      </c>
      <c r="B3709" s="4">
        <v>10.199999999999999</v>
      </c>
      <c r="C3709" s="4">
        <v>0</v>
      </c>
      <c r="D3709" s="4">
        <v>10.199999999999999</v>
      </c>
      <c r="E3709">
        <v>3</v>
      </c>
      <c r="F3709">
        <v>3</v>
      </c>
    </row>
    <row r="3710" spans="1:6" x14ac:dyDescent="0.25">
      <c r="A3710" t="s">
        <v>3836</v>
      </c>
      <c r="B3710" s="4">
        <v>10.199999999999999</v>
      </c>
      <c r="C3710" s="4">
        <v>0</v>
      </c>
      <c r="D3710" s="4">
        <v>10.199999999999999</v>
      </c>
      <c r="E3710">
        <v>4</v>
      </c>
      <c r="F3710">
        <v>4</v>
      </c>
    </row>
    <row r="3711" spans="1:6" x14ac:dyDescent="0.25">
      <c r="A3711" t="s">
        <v>3837</v>
      </c>
      <c r="B3711" s="4">
        <v>10.199999999999999</v>
      </c>
      <c r="C3711" s="4">
        <v>0</v>
      </c>
      <c r="D3711" s="4">
        <v>10.199999999999999</v>
      </c>
      <c r="E3711">
        <v>1</v>
      </c>
      <c r="F3711">
        <v>1</v>
      </c>
    </row>
    <row r="3712" spans="1:6" x14ac:dyDescent="0.25">
      <c r="A3712" t="s">
        <v>3838</v>
      </c>
      <c r="B3712" s="4">
        <v>10.08</v>
      </c>
      <c r="C3712" s="4">
        <v>0</v>
      </c>
      <c r="D3712" s="4">
        <v>10.08</v>
      </c>
      <c r="E3712">
        <v>6</v>
      </c>
      <c r="F3712">
        <v>6</v>
      </c>
    </row>
    <row r="3713" spans="1:6" x14ac:dyDescent="0.25">
      <c r="A3713" t="s">
        <v>3839</v>
      </c>
      <c r="B3713" s="4">
        <v>9.99</v>
      </c>
      <c r="C3713" s="4">
        <v>0</v>
      </c>
      <c r="D3713" s="4">
        <v>9.99</v>
      </c>
      <c r="E3713">
        <v>4</v>
      </c>
      <c r="F3713">
        <v>4</v>
      </c>
    </row>
    <row r="3714" spans="1:6" x14ac:dyDescent="0.25">
      <c r="A3714" t="s">
        <v>3840</v>
      </c>
      <c r="B3714" s="4">
        <v>9.9600000000000009</v>
      </c>
      <c r="C3714" s="4">
        <v>0</v>
      </c>
      <c r="D3714" s="4">
        <v>9.9600000000000009</v>
      </c>
      <c r="E3714">
        <v>4</v>
      </c>
      <c r="F3714">
        <v>4</v>
      </c>
    </row>
    <row r="3715" spans="1:6" x14ac:dyDescent="0.25">
      <c r="A3715" t="s">
        <v>3841</v>
      </c>
      <c r="B3715" s="4">
        <v>9.9600000000000009</v>
      </c>
      <c r="C3715" s="4">
        <v>0</v>
      </c>
      <c r="D3715" s="4">
        <v>9.9600000000000009</v>
      </c>
      <c r="E3715">
        <v>2</v>
      </c>
      <c r="F3715">
        <v>2</v>
      </c>
    </row>
    <row r="3716" spans="1:6" x14ac:dyDescent="0.25">
      <c r="A3716" t="s">
        <v>3842</v>
      </c>
      <c r="B3716" s="4">
        <v>9.9600000000000009</v>
      </c>
      <c r="C3716" s="4">
        <v>0</v>
      </c>
      <c r="D3716" s="4">
        <v>9.9600000000000009</v>
      </c>
      <c r="E3716">
        <v>4</v>
      </c>
      <c r="F3716">
        <v>4</v>
      </c>
    </row>
    <row r="3717" spans="1:6" x14ac:dyDescent="0.25">
      <c r="A3717" t="s">
        <v>3843</v>
      </c>
      <c r="B3717" s="4">
        <v>9.9600000000000009</v>
      </c>
      <c r="C3717" s="4">
        <v>0</v>
      </c>
      <c r="D3717" s="4">
        <v>9.9600000000000009</v>
      </c>
      <c r="E3717">
        <v>4</v>
      </c>
      <c r="F3717">
        <v>4</v>
      </c>
    </row>
    <row r="3718" spans="1:6" x14ac:dyDescent="0.25">
      <c r="A3718" t="s">
        <v>3844</v>
      </c>
      <c r="B3718" s="4">
        <v>9.9499999999999993</v>
      </c>
      <c r="C3718" s="4">
        <v>0</v>
      </c>
      <c r="D3718" s="4">
        <v>9.9499999999999993</v>
      </c>
      <c r="E3718">
        <v>1</v>
      </c>
      <c r="F3718">
        <v>1</v>
      </c>
    </row>
    <row r="3719" spans="1:6" x14ac:dyDescent="0.25">
      <c r="A3719" t="s">
        <v>3845</v>
      </c>
      <c r="B3719" s="4">
        <v>9.9499999999999993</v>
      </c>
      <c r="C3719" s="4">
        <v>0</v>
      </c>
      <c r="D3719" s="4">
        <v>9.9499999999999993</v>
      </c>
      <c r="E3719">
        <v>2</v>
      </c>
      <c r="F3719">
        <v>2</v>
      </c>
    </row>
    <row r="3720" spans="1:6" x14ac:dyDescent="0.25">
      <c r="A3720" t="s">
        <v>3846</v>
      </c>
      <c r="B3720" s="4">
        <v>9.94</v>
      </c>
      <c r="C3720" s="4">
        <v>0</v>
      </c>
      <c r="D3720" s="4">
        <v>9.94</v>
      </c>
      <c r="E3720">
        <v>4</v>
      </c>
      <c r="F3720">
        <v>4</v>
      </c>
    </row>
    <row r="3721" spans="1:6" x14ac:dyDescent="0.25">
      <c r="A3721" t="s">
        <v>3847</v>
      </c>
      <c r="B3721" s="4">
        <v>9.94</v>
      </c>
      <c r="C3721" s="4">
        <v>0</v>
      </c>
      <c r="D3721" s="4">
        <v>9.94</v>
      </c>
      <c r="E3721">
        <v>4</v>
      </c>
      <c r="F3721">
        <v>4</v>
      </c>
    </row>
    <row r="3722" spans="1:6" x14ac:dyDescent="0.25">
      <c r="A3722" t="s">
        <v>3848</v>
      </c>
      <c r="B3722" s="4">
        <v>9.8800000000000008</v>
      </c>
      <c r="C3722" s="4">
        <v>0</v>
      </c>
      <c r="D3722" s="4">
        <v>9.8800000000000008</v>
      </c>
      <c r="E3722">
        <v>2</v>
      </c>
      <c r="F3722">
        <v>2</v>
      </c>
    </row>
    <row r="3723" spans="1:6" x14ac:dyDescent="0.25">
      <c r="A3723" t="s">
        <v>3849</v>
      </c>
      <c r="B3723" s="4">
        <v>9.7799999999999994</v>
      </c>
      <c r="C3723" s="4">
        <v>0</v>
      </c>
      <c r="D3723" s="4">
        <v>9.7799999999999994</v>
      </c>
      <c r="E3723">
        <v>6</v>
      </c>
      <c r="F3723">
        <v>6</v>
      </c>
    </row>
    <row r="3724" spans="1:6" x14ac:dyDescent="0.25">
      <c r="A3724" t="s">
        <v>3850</v>
      </c>
      <c r="B3724" s="4">
        <v>9.48</v>
      </c>
      <c r="C3724" s="4">
        <v>0</v>
      </c>
      <c r="D3724" s="4">
        <v>9.48</v>
      </c>
      <c r="E3724">
        <v>1</v>
      </c>
      <c r="F3724">
        <v>1</v>
      </c>
    </row>
    <row r="3725" spans="1:6" x14ac:dyDescent="0.25">
      <c r="A3725" t="s">
        <v>3851</v>
      </c>
      <c r="B3725" s="4">
        <v>9.24</v>
      </c>
      <c r="C3725" s="4">
        <v>0</v>
      </c>
      <c r="D3725" s="4">
        <v>9.24</v>
      </c>
      <c r="E3725">
        <v>3</v>
      </c>
      <c r="F3725">
        <v>3</v>
      </c>
    </row>
    <row r="3726" spans="1:6" x14ac:dyDescent="0.25">
      <c r="A3726" t="s">
        <v>3852</v>
      </c>
      <c r="B3726" s="4">
        <v>9.18</v>
      </c>
      <c r="C3726" s="4">
        <v>0</v>
      </c>
      <c r="D3726" s="4">
        <v>9.18</v>
      </c>
      <c r="E3726">
        <v>3</v>
      </c>
      <c r="F3726">
        <v>3</v>
      </c>
    </row>
    <row r="3727" spans="1:6" x14ac:dyDescent="0.25">
      <c r="A3727" t="s">
        <v>3853</v>
      </c>
      <c r="B3727" s="4">
        <v>9.15</v>
      </c>
      <c r="C3727" s="4">
        <v>0</v>
      </c>
      <c r="D3727" s="4">
        <v>9.15</v>
      </c>
      <c r="E3727">
        <v>1</v>
      </c>
      <c r="F3727">
        <v>1</v>
      </c>
    </row>
    <row r="3728" spans="1:6" x14ac:dyDescent="0.25">
      <c r="A3728" t="s">
        <v>3854</v>
      </c>
      <c r="B3728" s="4">
        <v>9.15</v>
      </c>
      <c r="C3728" s="4">
        <v>0</v>
      </c>
      <c r="D3728" s="4">
        <v>9.15</v>
      </c>
      <c r="E3728">
        <v>1</v>
      </c>
      <c r="F3728">
        <v>1</v>
      </c>
    </row>
    <row r="3729" spans="1:6" x14ac:dyDescent="0.25">
      <c r="A3729" t="s">
        <v>3855</v>
      </c>
      <c r="B3729" s="4">
        <v>9.06</v>
      </c>
      <c r="C3729" s="4">
        <v>0</v>
      </c>
      <c r="D3729" s="4">
        <v>9.06</v>
      </c>
      <c r="E3729">
        <v>2</v>
      </c>
      <c r="F3729">
        <v>2</v>
      </c>
    </row>
    <row r="3730" spans="1:6" x14ac:dyDescent="0.25">
      <c r="A3730" t="s">
        <v>3856</v>
      </c>
      <c r="B3730" s="4">
        <v>8.89</v>
      </c>
      <c r="C3730" s="4">
        <v>0</v>
      </c>
      <c r="D3730" s="4">
        <v>8.89</v>
      </c>
      <c r="E3730">
        <v>7</v>
      </c>
      <c r="F3730">
        <v>6</v>
      </c>
    </row>
    <row r="3731" spans="1:6" x14ac:dyDescent="0.25">
      <c r="A3731" t="s">
        <v>3857</v>
      </c>
      <c r="B3731" s="4">
        <v>8.85</v>
      </c>
      <c r="C3731" s="4">
        <v>0</v>
      </c>
      <c r="D3731" s="4">
        <v>8.85</v>
      </c>
      <c r="E3731">
        <v>2</v>
      </c>
      <c r="F3731">
        <v>2</v>
      </c>
    </row>
    <row r="3732" spans="1:6" x14ac:dyDescent="0.25">
      <c r="A3732" t="s">
        <v>3858</v>
      </c>
      <c r="B3732" s="4">
        <v>8.85</v>
      </c>
      <c r="C3732" s="4">
        <v>0</v>
      </c>
      <c r="D3732" s="4">
        <v>8.85</v>
      </c>
      <c r="E3732">
        <v>2</v>
      </c>
      <c r="F3732">
        <v>2</v>
      </c>
    </row>
    <row r="3733" spans="1:6" x14ac:dyDescent="0.25">
      <c r="A3733" t="s">
        <v>3859</v>
      </c>
      <c r="B3733" s="4">
        <v>8.85</v>
      </c>
      <c r="C3733" s="4">
        <v>0</v>
      </c>
      <c r="D3733" s="4">
        <v>8.85</v>
      </c>
      <c r="E3733">
        <v>1</v>
      </c>
      <c r="F3733">
        <v>1</v>
      </c>
    </row>
    <row r="3734" spans="1:6" x14ac:dyDescent="0.25">
      <c r="A3734" t="s">
        <v>3860</v>
      </c>
      <c r="B3734" s="4">
        <v>8.82</v>
      </c>
      <c r="C3734" s="4">
        <v>0</v>
      </c>
      <c r="D3734" s="4">
        <v>8.82</v>
      </c>
      <c r="E3734">
        <v>3</v>
      </c>
      <c r="F3734">
        <v>3</v>
      </c>
    </row>
    <row r="3735" spans="1:6" x14ac:dyDescent="0.25">
      <c r="A3735" t="s">
        <v>3861</v>
      </c>
      <c r="B3735" s="4">
        <v>8.76</v>
      </c>
      <c r="C3735" s="4">
        <v>0</v>
      </c>
      <c r="D3735" s="4">
        <v>8.76</v>
      </c>
      <c r="E3735">
        <v>3</v>
      </c>
      <c r="F3735">
        <v>3</v>
      </c>
    </row>
    <row r="3736" spans="1:6" x14ac:dyDescent="0.25">
      <c r="A3736" t="s">
        <v>3862</v>
      </c>
      <c r="B3736" s="4">
        <v>8.76</v>
      </c>
      <c r="C3736" s="4">
        <v>0</v>
      </c>
      <c r="D3736" s="4">
        <v>8.76</v>
      </c>
      <c r="E3736">
        <v>3</v>
      </c>
      <c r="F3736">
        <v>3</v>
      </c>
    </row>
    <row r="3737" spans="1:6" x14ac:dyDescent="0.25">
      <c r="A3737" t="s">
        <v>3863</v>
      </c>
      <c r="B3737" s="4">
        <v>8.76</v>
      </c>
      <c r="C3737" s="4">
        <v>0</v>
      </c>
      <c r="D3737" s="4">
        <v>8.76</v>
      </c>
      <c r="E3737">
        <v>3</v>
      </c>
      <c r="F3737">
        <v>3</v>
      </c>
    </row>
    <row r="3738" spans="1:6" x14ac:dyDescent="0.25">
      <c r="A3738" t="s">
        <v>3864</v>
      </c>
      <c r="B3738" s="4">
        <v>8.75</v>
      </c>
      <c r="C3738" s="4">
        <v>0</v>
      </c>
      <c r="D3738" s="4">
        <v>8.75</v>
      </c>
      <c r="E3738">
        <v>2</v>
      </c>
      <c r="F3738">
        <v>2</v>
      </c>
    </row>
    <row r="3739" spans="1:6" x14ac:dyDescent="0.25">
      <c r="A3739" t="s">
        <v>3865</v>
      </c>
      <c r="B3739" s="4">
        <v>8.6999999999999993</v>
      </c>
      <c r="C3739" s="4">
        <v>0</v>
      </c>
      <c r="D3739" s="4">
        <v>8.6999999999999993</v>
      </c>
      <c r="E3739">
        <v>3</v>
      </c>
      <c r="F3739">
        <v>3</v>
      </c>
    </row>
    <row r="3740" spans="1:6" x14ac:dyDescent="0.25">
      <c r="A3740" t="s">
        <v>3866</v>
      </c>
      <c r="B3740" s="4">
        <v>8.58</v>
      </c>
      <c r="C3740" s="4">
        <v>0</v>
      </c>
      <c r="D3740" s="4">
        <v>8.58</v>
      </c>
      <c r="E3740">
        <v>2</v>
      </c>
      <c r="F3740">
        <v>2</v>
      </c>
    </row>
    <row r="3741" spans="1:6" x14ac:dyDescent="0.25">
      <c r="A3741" t="s">
        <v>3867</v>
      </c>
      <c r="B3741" s="4">
        <v>8.5</v>
      </c>
      <c r="C3741" s="4">
        <v>0</v>
      </c>
      <c r="D3741" s="4">
        <v>8.5</v>
      </c>
      <c r="E3741">
        <v>1</v>
      </c>
      <c r="F3741">
        <v>1</v>
      </c>
    </row>
    <row r="3742" spans="1:6" x14ac:dyDescent="0.25">
      <c r="A3742" t="s">
        <v>3868</v>
      </c>
      <c r="B3742" s="4">
        <v>8.5</v>
      </c>
      <c r="C3742" s="4">
        <v>0</v>
      </c>
      <c r="D3742" s="4">
        <v>8.5</v>
      </c>
      <c r="E3742">
        <v>1</v>
      </c>
      <c r="F3742">
        <v>1</v>
      </c>
    </row>
    <row r="3743" spans="1:6" x14ac:dyDescent="0.25">
      <c r="A3743" t="s">
        <v>3869</v>
      </c>
      <c r="B3743" s="4">
        <v>8.5</v>
      </c>
      <c r="C3743" s="4">
        <v>0</v>
      </c>
      <c r="D3743" s="4">
        <v>8.5</v>
      </c>
      <c r="E3743">
        <v>1</v>
      </c>
      <c r="F3743">
        <v>1</v>
      </c>
    </row>
    <row r="3744" spans="1:6" x14ac:dyDescent="0.25">
      <c r="A3744" t="s">
        <v>3870</v>
      </c>
      <c r="B3744" s="4">
        <v>8.4700000000000006</v>
      </c>
      <c r="C3744" s="4">
        <v>0</v>
      </c>
      <c r="D3744" s="4">
        <v>8.4700000000000006</v>
      </c>
      <c r="E3744">
        <v>1</v>
      </c>
      <c r="F3744">
        <v>1</v>
      </c>
    </row>
    <row r="3745" spans="1:6" x14ac:dyDescent="0.25">
      <c r="A3745" t="s">
        <v>3871</v>
      </c>
      <c r="B3745" s="4">
        <v>8.4700000000000006</v>
      </c>
      <c r="C3745" s="4">
        <v>0</v>
      </c>
      <c r="D3745" s="4">
        <v>8.4700000000000006</v>
      </c>
      <c r="E3745">
        <v>1</v>
      </c>
      <c r="F3745">
        <v>1</v>
      </c>
    </row>
    <row r="3746" spans="1:6" x14ac:dyDescent="0.25">
      <c r="A3746" t="s">
        <v>3872</v>
      </c>
      <c r="B3746" s="4">
        <v>8.4700000000000006</v>
      </c>
      <c r="C3746" s="4">
        <v>0</v>
      </c>
      <c r="D3746" s="4">
        <v>8.4700000000000006</v>
      </c>
      <c r="E3746">
        <v>1</v>
      </c>
      <c r="F3746">
        <v>1</v>
      </c>
    </row>
    <row r="3747" spans="1:6" x14ac:dyDescent="0.25">
      <c r="A3747" t="s">
        <v>3873</v>
      </c>
      <c r="B3747" s="4">
        <v>8.4700000000000006</v>
      </c>
      <c r="C3747" s="4">
        <v>0</v>
      </c>
      <c r="D3747" s="4">
        <v>8.4700000000000006</v>
      </c>
      <c r="E3747">
        <v>1</v>
      </c>
      <c r="F3747">
        <v>1</v>
      </c>
    </row>
    <row r="3748" spans="1:6" x14ac:dyDescent="0.25">
      <c r="A3748" t="s">
        <v>3874</v>
      </c>
      <c r="B3748" s="4">
        <v>8.4700000000000006</v>
      </c>
      <c r="C3748" s="4">
        <v>0</v>
      </c>
      <c r="D3748" s="4">
        <v>8.4700000000000006</v>
      </c>
      <c r="E3748">
        <v>1</v>
      </c>
      <c r="F3748">
        <v>1</v>
      </c>
    </row>
    <row r="3749" spans="1:6" x14ac:dyDescent="0.25">
      <c r="A3749" t="s">
        <v>3875</v>
      </c>
      <c r="B3749" s="4">
        <v>8.4499999999999993</v>
      </c>
      <c r="C3749" s="4">
        <v>0</v>
      </c>
      <c r="D3749" s="4">
        <v>8.4499999999999993</v>
      </c>
      <c r="E3749">
        <v>2</v>
      </c>
      <c r="F3749">
        <v>2</v>
      </c>
    </row>
    <row r="3750" spans="1:6" x14ac:dyDescent="0.25">
      <c r="A3750" t="s">
        <v>3876</v>
      </c>
      <c r="B3750" s="4">
        <v>8.42</v>
      </c>
      <c r="C3750" s="4">
        <v>0</v>
      </c>
      <c r="D3750" s="4">
        <v>8.42</v>
      </c>
      <c r="E3750">
        <v>1</v>
      </c>
      <c r="F3750">
        <v>1</v>
      </c>
    </row>
    <row r="3751" spans="1:6" x14ac:dyDescent="0.25">
      <c r="A3751" t="s">
        <v>3877</v>
      </c>
      <c r="B3751" s="4">
        <v>8.34</v>
      </c>
      <c r="C3751" s="4">
        <v>0</v>
      </c>
      <c r="D3751" s="4">
        <v>8.34</v>
      </c>
      <c r="E3751">
        <v>2</v>
      </c>
      <c r="F3751">
        <v>2</v>
      </c>
    </row>
    <row r="3752" spans="1:6" x14ac:dyDescent="0.25">
      <c r="A3752" t="s">
        <v>3878</v>
      </c>
      <c r="B3752" s="4">
        <v>8.3000000000000007</v>
      </c>
      <c r="C3752" s="4">
        <v>0</v>
      </c>
      <c r="D3752" s="4">
        <v>8.3000000000000007</v>
      </c>
      <c r="E3752">
        <v>2</v>
      </c>
      <c r="F3752">
        <v>2</v>
      </c>
    </row>
    <row r="3753" spans="1:6" x14ac:dyDescent="0.25">
      <c r="A3753" t="s">
        <v>3879</v>
      </c>
      <c r="B3753" s="4">
        <v>8.2899999999999991</v>
      </c>
      <c r="C3753" s="4">
        <v>0</v>
      </c>
      <c r="D3753" s="4">
        <v>8.2899999999999991</v>
      </c>
      <c r="E3753">
        <v>1</v>
      </c>
      <c r="F3753">
        <v>1</v>
      </c>
    </row>
    <row r="3754" spans="1:6" x14ac:dyDescent="0.25">
      <c r="A3754" t="s">
        <v>3880</v>
      </c>
      <c r="B3754" s="4">
        <v>8.2899999999999991</v>
      </c>
      <c r="C3754" s="4">
        <v>0</v>
      </c>
      <c r="D3754" s="4">
        <v>8.2899999999999991</v>
      </c>
      <c r="E3754">
        <v>1</v>
      </c>
      <c r="F3754">
        <v>1</v>
      </c>
    </row>
    <row r="3755" spans="1:6" x14ac:dyDescent="0.25">
      <c r="A3755" t="s">
        <v>3881</v>
      </c>
      <c r="B3755" s="4">
        <v>7.9</v>
      </c>
      <c r="C3755" s="4">
        <v>0</v>
      </c>
      <c r="D3755" s="4">
        <v>7.9</v>
      </c>
      <c r="E3755">
        <v>3</v>
      </c>
      <c r="F3755">
        <v>3</v>
      </c>
    </row>
    <row r="3756" spans="1:6" x14ac:dyDescent="0.25">
      <c r="A3756" t="s">
        <v>3882</v>
      </c>
      <c r="B3756" s="4">
        <v>7.85</v>
      </c>
      <c r="C3756" s="4">
        <v>0</v>
      </c>
      <c r="D3756" s="4">
        <v>7.85</v>
      </c>
      <c r="E3756">
        <v>2</v>
      </c>
      <c r="F3756">
        <v>2</v>
      </c>
    </row>
    <row r="3757" spans="1:6" x14ac:dyDescent="0.25">
      <c r="A3757" t="s">
        <v>3883</v>
      </c>
      <c r="B3757" s="4">
        <v>7.82</v>
      </c>
      <c r="C3757" s="4">
        <v>0</v>
      </c>
      <c r="D3757" s="4">
        <v>7.82</v>
      </c>
      <c r="E3757">
        <v>2</v>
      </c>
      <c r="F3757">
        <v>2</v>
      </c>
    </row>
    <row r="3758" spans="1:6" x14ac:dyDescent="0.25">
      <c r="A3758" t="s">
        <v>3884</v>
      </c>
      <c r="B3758" s="4">
        <v>7.65</v>
      </c>
      <c r="C3758" s="4">
        <v>0</v>
      </c>
      <c r="D3758" s="4">
        <v>7.65</v>
      </c>
      <c r="E3758">
        <v>4</v>
      </c>
      <c r="F3758">
        <v>3</v>
      </c>
    </row>
    <row r="3759" spans="1:6" x14ac:dyDescent="0.25">
      <c r="A3759" t="s">
        <v>3885</v>
      </c>
      <c r="B3759" s="4">
        <v>7.65</v>
      </c>
      <c r="C3759" s="4">
        <v>0</v>
      </c>
      <c r="D3759" s="4">
        <v>7.65</v>
      </c>
      <c r="E3759">
        <v>2</v>
      </c>
      <c r="F3759">
        <v>2</v>
      </c>
    </row>
    <row r="3760" spans="1:6" x14ac:dyDescent="0.25">
      <c r="A3760" t="s">
        <v>3886</v>
      </c>
      <c r="B3760" s="4">
        <v>7.56</v>
      </c>
      <c r="C3760" s="4">
        <v>0</v>
      </c>
      <c r="D3760" s="4">
        <v>7.56</v>
      </c>
      <c r="E3760">
        <v>8</v>
      </c>
      <c r="F3760">
        <v>8</v>
      </c>
    </row>
    <row r="3761" spans="1:6" x14ac:dyDescent="0.25">
      <c r="A3761" t="s">
        <v>3887</v>
      </c>
      <c r="B3761" s="4">
        <v>7.5</v>
      </c>
      <c r="C3761" s="4">
        <v>5.55</v>
      </c>
      <c r="D3761" s="4">
        <v>1.95</v>
      </c>
      <c r="E3761">
        <v>3</v>
      </c>
      <c r="F3761">
        <v>3</v>
      </c>
    </row>
    <row r="3762" spans="1:6" x14ac:dyDescent="0.25">
      <c r="A3762" t="s">
        <v>3888</v>
      </c>
      <c r="B3762" s="4">
        <v>7.5</v>
      </c>
      <c r="C3762" s="4">
        <v>0</v>
      </c>
      <c r="D3762" s="4">
        <v>7.5</v>
      </c>
      <c r="E3762">
        <v>3</v>
      </c>
      <c r="F3762">
        <v>3</v>
      </c>
    </row>
    <row r="3763" spans="1:6" x14ac:dyDescent="0.25">
      <c r="A3763" t="s">
        <v>3889</v>
      </c>
      <c r="B3763" s="4">
        <v>7.5</v>
      </c>
      <c r="C3763" s="4">
        <v>0</v>
      </c>
      <c r="D3763" s="4">
        <v>7.5</v>
      </c>
      <c r="E3763">
        <v>1</v>
      </c>
      <c r="F3763">
        <v>1</v>
      </c>
    </row>
    <row r="3764" spans="1:6" x14ac:dyDescent="0.25">
      <c r="A3764" t="s">
        <v>3890</v>
      </c>
      <c r="B3764" s="4">
        <v>7.5</v>
      </c>
      <c r="C3764" s="4">
        <v>0</v>
      </c>
      <c r="D3764" s="4">
        <v>7.5</v>
      </c>
      <c r="E3764">
        <v>1</v>
      </c>
      <c r="F3764">
        <v>1</v>
      </c>
    </row>
    <row r="3765" spans="1:6" x14ac:dyDescent="0.25">
      <c r="A3765" t="s">
        <v>3891</v>
      </c>
      <c r="B3765" s="4">
        <v>7.5</v>
      </c>
      <c r="C3765" s="4">
        <v>0</v>
      </c>
      <c r="D3765" s="4">
        <v>7.5</v>
      </c>
      <c r="E3765">
        <v>2</v>
      </c>
      <c r="F3765">
        <v>2</v>
      </c>
    </row>
    <row r="3766" spans="1:6" x14ac:dyDescent="0.25">
      <c r="A3766" t="s">
        <v>3892</v>
      </c>
      <c r="B3766" s="4">
        <v>7.5</v>
      </c>
      <c r="C3766" s="4">
        <v>0</v>
      </c>
      <c r="D3766" s="4">
        <v>7.5</v>
      </c>
      <c r="E3766">
        <v>1</v>
      </c>
      <c r="F3766">
        <v>1</v>
      </c>
    </row>
    <row r="3767" spans="1:6" x14ac:dyDescent="0.25">
      <c r="A3767" t="s">
        <v>3893</v>
      </c>
      <c r="B3767" s="4">
        <v>7.47</v>
      </c>
      <c r="C3767" s="4">
        <v>0</v>
      </c>
      <c r="D3767" s="4">
        <v>7.47</v>
      </c>
      <c r="E3767">
        <v>3</v>
      </c>
      <c r="F3767">
        <v>3</v>
      </c>
    </row>
    <row r="3768" spans="1:6" x14ac:dyDescent="0.25">
      <c r="A3768" t="s">
        <v>3894</v>
      </c>
      <c r="B3768" s="4">
        <v>7.47</v>
      </c>
      <c r="C3768" s="4">
        <v>0</v>
      </c>
      <c r="D3768" s="4">
        <v>7.47</v>
      </c>
      <c r="E3768">
        <v>3</v>
      </c>
      <c r="F3768">
        <v>3</v>
      </c>
    </row>
    <row r="3769" spans="1:6" x14ac:dyDescent="0.25">
      <c r="A3769" t="s">
        <v>3895</v>
      </c>
      <c r="B3769" s="4">
        <v>7.43</v>
      </c>
      <c r="C3769" s="4">
        <v>0</v>
      </c>
      <c r="D3769" s="4">
        <v>7.43</v>
      </c>
      <c r="E3769">
        <v>2</v>
      </c>
      <c r="F3769">
        <v>2</v>
      </c>
    </row>
    <row r="3770" spans="1:6" x14ac:dyDescent="0.25">
      <c r="A3770" t="s">
        <v>3896</v>
      </c>
      <c r="B3770" s="4">
        <v>7.38</v>
      </c>
      <c r="C3770" s="4">
        <v>0</v>
      </c>
      <c r="D3770" s="4">
        <v>7.38</v>
      </c>
      <c r="E3770">
        <v>1</v>
      </c>
      <c r="F3770">
        <v>1</v>
      </c>
    </row>
    <row r="3771" spans="1:6" x14ac:dyDescent="0.25">
      <c r="A3771" t="s">
        <v>3897</v>
      </c>
      <c r="B3771" s="4">
        <v>7.37</v>
      </c>
      <c r="C3771" s="4">
        <v>0</v>
      </c>
      <c r="D3771" s="4">
        <v>7.37</v>
      </c>
      <c r="E3771">
        <v>4</v>
      </c>
      <c r="F3771">
        <v>4</v>
      </c>
    </row>
    <row r="3772" spans="1:6" x14ac:dyDescent="0.25">
      <c r="A3772" t="s">
        <v>3898</v>
      </c>
      <c r="B3772" s="4">
        <v>7.14</v>
      </c>
      <c r="C3772" s="4">
        <v>0</v>
      </c>
      <c r="D3772" s="4">
        <v>7.14</v>
      </c>
      <c r="E3772">
        <v>4</v>
      </c>
      <c r="F3772">
        <v>4</v>
      </c>
    </row>
    <row r="3773" spans="1:6" x14ac:dyDescent="0.25">
      <c r="A3773" t="s">
        <v>3899</v>
      </c>
      <c r="B3773" s="4">
        <v>6.82</v>
      </c>
      <c r="C3773" s="4">
        <v>0</v>
      </c>
      <c r="D3773" s="4">
        <v>6.82</v>
      </c>
      <c r="E3773">
        <v>5</v>
      </c>
      <c r="F3773">
        <v>5</v>
      </c>
    </row>
    <row r="3774" spans="1:6" x14ac:dyDescent="0.25">
      <c r="A3774" t="s">
        <v>3900</v>
      </c>
      <c r="B3774" s="4">
        <v>6.82</v>
      </c>
      <c r="C3774" s="4">
        <v>0</v>
      </c>
      <c r="D3774" s="4">
        <v>6.82</v>
      </c>
      <c r="E3774">
        <v>5</v>
      </c>
      <c r="F3774">
        <v>5</v>
      </c>
    </row>
    <row r="3775" spans="1:6" x14ac:dyDescent="0.25">
      <c r="A3775" t="s">
        <v>3901</v>
      </c>
      <c r="B3775" s="4">
        <v>6.8</v>
      </c>
      <c r="C3775" s="4">
        <v>0</v>
      </c>
      <c r="D3775" s="4">
        <v>6.8</v>
      </c>
      <c r="E3775">
        <v>6</v>
      </c>
      <c r="F3775">
        <v>6</v>
      </c>
    </row>
    <row r="3776" spans="1:6" x14ac:dyDescent="0.25">
      <c r="A3776" t="s">
        <v>3902</v>
      </c>
      <c r="B3776" s="4">
        <v>6.76</v>
      </c>
      <c r="C3776" s="4">
        <v>0</v>
      </c>
      <c r="D3776" s="4">
        <v>6.76</v>
      </c>
      <c r="E3776">
        <v>1</v>
      </c>
      <c r="F3776">
        <v>1</v>
      </c>
    </row>
    <row r="3777" spans="1:6" x14ac:dyDescent="0.25">
      <c r="A3777" t="s">
        <v>3903</v>
      </c>
      <c r="B3777" s="4">
        <v>6.72</v>
      </c>
      <c r="C3777" s="4">
        <v>0</v>
      </c>
      <c r="D3777" s="4">
        <v>6.72</v>
      </c>
      <c r="E3777">
        <v>5</v>
      </c>
      <c r="F3777">
        <v>5</v>
      </c>
    </row>
    <row r="3778" spans="1:6" x14ac:dyDescent="0.25">
      <c r="A3778" t="s">
        <v>3904</v>
      </c>
      <c r="B3778" s="4">
        <v>6.72</v>
      </c>
      <c r="C3778" s="4">
        <v>0</v>
      </c>
      <c r="D3778" s="4">
        <v>6.72</v>
      </c>
      <c r="E3778">
        <v>1</v>
      </c>
      <c r="F3778">
        <v>1</v>
      </c>
    </row>
    <row r="3779" spans="1:6" x14ac:dyDescent="0.25">
      <c r="A3779" t="s">
        <v>3905</v>
      </c>
      <c r="B3779" s="4">
        <v>6.72</v>
      </c>
      <c r="C3779" s="4">
        <v>0</v>
      </c>
      <c r="D3779" s="4">
        <v>6.72</v>
      </c>
      <c r="E3779">
        <v>1</v>
      </c>
      <c r="F3779">
        <v>1</v>
      </c>
    </row>
    <row r="3780" spans="1:6" x14ac:dyDescent="0.25">
      <c r="A3780" t="s">
        <v>3906</v>
      </c>
      <c r="B3780" s="4">
        <v>6.72</v>
      </c>
      <c r="C3780" s="4">
        <v>0</v>
      </c>
      <c r="D3780" s="4">
        <v>6.72</v>
      </c>
      <c r="E3780">
        <v>4</v>
      </c>
      <c r="F3780">
        <v>4</v>
      </c>
    </row>
    <row r="3781" spans="1:6" x14ac:dyDescent="0.25">
      <c r="A3781" t="s">
        <v>3907</v>
      </c>
      <c r="B3781" s="4">
        <v>6.64</v>
      </c>
      <c r="C3781" s="4">
        <v>0</v>
      </c>
      <c r="D3781" s="4">
        <v>6.64</v>
      </c>
      <c r="E3781">
        <v>2</v>
      </c>
      <c r="F3781">
        <v>2</v>
      </c>
    </row>
    <row r="3782" spans="1:6" x14ac:dyDescent="0.25">
      <c r="A3782" t="s">
        <v>3908</v>
      </c>
      <c r="B3782" s="4">
        <v>6.6</v>
      </c>
      <c r="C3782" s="4">
        <v>0</v>
      </c>
      <c r="D3782" s="4">
        <v>6.6</v>
      </c>
      <c r="E3782">
        <v>1</v>
      </c>
      <c r="F3782">
        <v>1</v>
      </c>
    </row>
    <row r="3783" spans="1:6" x14ac:dyDescent="0.25">
      <c r="A3783" t="s">
        <v>3909</v>
      </c>
      <c r="B3783" s="4">
        <v>6.6</v>
      </c>
      <c r="C3783" s="4">
        <v>0</v>
      </c>
      <c r="D3783" s="4">
        <v>6.6</v>
      </c>
      <c r="E3783">
        <v>1</v>
      </c>
      <c r="F3783">
        <v>1</v>
      </c>
    </row>
    <row r="3784" spans="1:6" x14ac:dyDescent="0.25">
      <c r="A3784" t="s">
        <v>3910</v>
      </c>
      <c r="B3784" s="4">
        <v>6.58</v>
      </c>
      <c r="C3784" s="4">
        <v>0</v>
      </c>
      <c r="D3784" s="4">
        <v>6.58</v>
      </c>
      <c r="E3784">
        <v>1</v>
      </c>
      <c r="F3784">
        <v>1</v>
      </c>
    </row>
    <row r="3785" spans="1:6" x14ac:dyDescent="0.25">
      <c r="A3785" t="s">
        <v>3911</v>
      </c>
      <c r="B3785" s="4">
        <v>6.3</v>
      </c>
      <c r="C3785" s="4">
        <v>0</v>
      </c>
      <c r="D3785" s="4">
        <v>6.3</v>
      </c>
      <c r="E3785">
        <v>4</v>
      </c>
      <c r="F3785">
        <v>4</v>
      </c>
    </row>
    <row r="3786" spans="1:6" x14ac:dyDescent="0.25">
      <c r="A3786" t="s">
        <v>3912</v>
      </c>
      <c r="B3786" s="4">
        <v>6.3</v>
      </c>
      <c r="C3786" s="4">
        <v>0</v>
      </c>
      <c r="D3786" s="4">
        <v>6.3</v>
      </c>
      <c r="E3786">
        <v>1</v>
      </c>
      <c r="F3786">
        <v>1</v>
      </c>
    </row>
    <row r="3787" spans="1:6" x14ac:dyDescent="0.25">
      <c r="A3787" t="s">
        <v>3913</v>
      </c>
      <c r="B3787" s="4">
        <v>6.25</v>
      </c>
      <c r="C3787" s="4">
        <v>0</v>
      </c>
      <c r="D3787" s="4">
        <v>6.25</v>
      </c>
      <c r="E3787">
        <v>2</v>
      </c>
      <c r="F3787">
        <v>2</v>
      </c>
    </row>
    <row r="3788" spans="1:6" x14ac:dyDescent="0.25">
      <c r="A3788" t="s">
        <v>3914</v>
      </c>
      <c r="B3788" s="4">
        <v>6.25</v>
      </c>
      <c r="C3788" s="4">
        <v>0</v>
      </c>
      <c r="D3788" s="4">
        <v>6.25</v>
      </c>
      <c r="E3788">
        <v>4</v>
      </c>
      <c r="F3788">
        <v>4</v>
      </c>
    </row>
    <row r="3789" spans="1:6" x14ac:dyDescent="0.25">
      <c r="A3789" t="s">
        <v>3915</v>
      </c>
      <c r="B3789" s="4">
        <v>6.25</v>
      </c>
      <c r="C3789" s="4">
        <v>0</v>
      </c>
      <c r="D3789" s="4">
        <v>6.25</v>
      </c>
      <c r="E3789">
        <v>3</v>
      </c>
      <c r="F3789">
        <v>3</v>
      </c>
    </row>
    <row r="3790" spans="1:6" x14ac:dyDescent="0.25">
      <c r="A3790" t="s">
        <v>3916</v>
      </c>
      <c r="B3790" s="4">
        <v>6.24</v>
      </c>
      <c r="C3790" s="4">
        <v>0</v>
      </c>
      <c r="D3790" s="4">
        <v>6.24</v>
      </c>
      <c r="E3790">
        <v>3</v>
      </c>
      <c r="F3790">
        <v>3</v>
      </c>
    </row>
    <row r="3791" spans="1:6" x14ac:dyDescent="0.25">
      <c r="A3791" t="s">
        <v>3917</v>
      </c>
      <c r="B3791" s="4">
        <v>5.95</v>
      </c>
      <c r="C3791" s="4">
        <v>0</v>
      </c>
      <c r="D3791" s="4">
        <v>5.95</v>
      </c>
      <c r="E3791">
        <v>2</v>
      </c>
      <c r="F3791">
        <v>2</v>
      </c>
    </row>
    <row r="3792" spans="1:6" x14ac:dyDescent="0.25">
      <c r="A3792" t="s">
        <v>3918</v>
      </c>
      <c r="B3792" s="4">
        <v>5.95</v>
      </c>
      <c r="C3792" s="4">
        <v>0</v>
      </c>
      <c r="D3792" s="4">
        <v>5.95</v>
      </c>
      <c r="E3792">
        <v>1</v>
      </c>
      <c r="F3792">
        <v>1</v>
      </c>
    </row>
    <row r="3793" spans="1:6" x14ac:dyDescent="0.25">
      <c r="A3793" t="s">
        <v>3919</v>
      </c>
      <c r="B3793" s="4">
        <v>5.95</v>
      </c>
      <c r="C3793" s="4">
        <v>0</v>
      </c>
      <c r="D3793" s="4">
        <v>5.95</v>
      </c>
      <c r="E3793">
        <v>1</v>
      </c>
      <c r="F3793">
        <v>1</v>
      </c>
    </row>
    <row r="3794" spans="1:6" x14ac:dyDescent="0.25">
      <c r="A3794" t="s">
        <v>3920</v>
      </c>
      <c r="B3794" s="4">
        <v>5.9</v>
      </c>
      <c r="C3794" s="4">
        <v>0</v>
      </c>
      <c r="D3794" s="4">
        <v>5.9</v>
      </c>
      <c r="E3794">
        <v>2</v>
      </c>
      <c r="F3794">
        <v>2</v>
      </c>
    </row>
    <row r="3795" spans="1:6" x14ac:dyDescent="0.25">
      <c r="A3795" t="s">
        <v>3921</v>
      </c>
      <c r="B3795" s="4">
        <v>5.9</v>
      </c>
      <c r="C3795" s="4">
        <v>0</v>
      </c>
      <c r="D3795" s="4">
        <v>5.9</v>
      </c>
      <c r="E3795">
        <v>2</v>
      </c>
      <c r="F3795">
        <v>2</v>
      </c>
    </row>
    <row r="3796" spans="1:6" x14ac:dyDescent="0.25">
      <c r="A3796" t="s">
        <v>3922</v>
      </c>
      <c r="B3796" s="4">
        <v>5.82</v>
      </c>
      <c r="C3796" s="4">
        <v>0</v>
      </c>
      <c r="D3796" s="4">
        <v>5.82</v>
      </c>
      <c r="E3796">
        <v>1</v>
      </c>
      <c r="F3796">
        <v>1</v>
      </c>
    </row>
    <row r="3797" spans="1:6" x14ac:dyDescent="0.25">
      <c r="A3797" t="s">
        <v>3923</v>
      </c>
      <c r="B3797" s="4">
        <v>5.82</v>
      </c>
      <c r="C3797" s="4">
        <v>0</v>
      </c>
      <c r="D3797" s="4">
        <v>5.82</v>
      </c>
      <c r="E3797">
        <v>2</v>
      </c>
      <c r="F3797">
        <v>2</v>
      </c>
    </row>
    <row r="3798" spans="1:6" x14ac:dyDescent="0.25">
      <c r="A3798" t="s">
        <v>3924</v>
      </c>
      <c r="B3798" s="4">
        <v>5.82</v>
      </c>
      <c r="C3798" s="4">
        <v>0</v>
      </c>
      <c r="D3798" s="4">
        <v>5.82</v>
      </c>
      <c r="E3798">
        <v>1</v>
      </c>
      <c r="F3798">
        <v>1</v>
      </c>
    </row>
    <row r="3799" spans="1:6" x14ac:dyDescent="0.25">
      <c r="A3799" t="s">
        <v>3925</v>
      </c>
      <c r="B3799" s="4">
        <v>5.8</v>
      </c>
      <c r="C3799" s="4">
        <v>0</v>
      </c>
      <c r="D3799" s="4">
        <v>5.8</v>
      </c>
      <c r="E3799">
        <v>2</v>
      </c>
      <c r="F3799">
        <v>2</v>
      </c>
    </row>
    <row r="3800" spans="1:6" x14ac:dyDescent="0.25">
      <c r="A3800" t="s">
        <v>3926</v>
      </c>
      <c r="B3800" s="4">
        <v>5.8</v>
      </c>
      <c r="C3800" s="4">
        <v>0</v>
      </c>
      <c r="D3800" s="4">
        <v>5.8</v>
      </c>
      <c r="E3800">
        <v>2</v>
      </c>
      <c r="F3800">
        <v>2</v>
      </c>
    </row>
    <row r="3801" spans="1:6" x14ac:dyDescent="0.25">
      <c r="A3801" t="s">
        <v>3927</v>
      </c>
      <c r="B3801" s="4">
        <v>5.48</v>
      </c>
      <c r="C3801" s="4">
        <v>2.99</v>
      </c>
      <c r="D3801" s="4">
        <v>2.4900000000000002</v>
      </c>
      <c r="E3801">
        <v>2</v>
      </c>
      <c r="F3801">
        <v>2</v>
      </c>
    </row>
    <row r="3802" spans="1:6" x14ac:dyDescent="0.25">
      <c r="A3802" t="s">
        <v>3928</v>
      </c>
      <c r="B3802" s="4">
        <v>5.45</v>
      </c>
      <c r="C3802" s="4">
        <v>0</v>
      </c>
      <c r="D3802" s="4">
        <v>5.45</v>
      </c>
      <c r="E3802">
        <v>1</v>
      </c>
      <c r="F3802">
        <v>1</v>
      </c>
    </row>
    <row r="3803" spans="1:6" x14ac:dyDescent="0.25">
      <c r="A3803" t="s">
        <v>3929</v>
      </c>
      <c r="B3803" s="4">
        <v>5.45</v>
      </c>
      <c r="C3803" s="4">
        <v>0</v>
      </c>
      <c r="D3803" s="4">
        <v>5.45</v>
      </c>
      <c r="E3803">
        <v>1</v>
      </c>
      <c r="F3803">
        <v>1</v>
      </c>
    </row>
    <row r="3804" spans="1:6" x14ac:dyDescent="0.25">
      <c r="A3804" t="s">
        <v>3930</v>
      </c>
      <c r="B3804" s="4">
        <v>5.32</v>
      </c>
      <c r="C3804" s="4">
        <v>0</v>
      </c>
      <c r="D3804" s="4">
        <v>5.32</v>
      </c>
      <c r="E3804">
        <v>3</v>
      </c>
      <c r="F3804">
        <v>3</v>
      </c>
    </row>
    <row r="3805" spans="1:6" x14ac:dyDescent="0.25">
      <c r="A3805" t="s">
        <v>3931</v>
      </c>
      <c r="B3805" s="4">
        <v>5.0999999999999996</v>
      </c>
      <c r="C3805" s="4">
        <v>0</v>
      </c>
      <c r="D3805" s="4">
        <v>5.0999999999999996</v>
      </c>
      <c r="E3805">
        <v>1</v>
      </c>
      <c r="F3805">
        <v>1</v>
      </c>
    </row>
    <row r="3806" spans="1:6" x14ac:dyDescent="0.25">
      <c r="A3806" t="s">
        <v>3932</v>
      </c>
      <c r="B3806" s="4">
        <v>5.0999999999999996</v>
      </c>
      <c r="C3806" s="4">
        <v>0</v>
      </c>
      <c r="D3806" s="4">
        <v>5.0999999999999996</v>
      </c>
      <c r="E3806">
        <v>2</v>
      </c>
      <c r="F3806">
        <v>2</v>
      </c>
    </row>
    <row r="3807" spans="1:6" x14ac:dyDescent="0.25">
      <c r="A3807" t="s">
        <v>3933</v>
      </c>
      <c r="B3807" s="4">
        <v>5.09</v>
      </c>
      <c r="C3807" s="4">
        <v>0</v>
      </c>
      <c r="D3807" s="4">
        <v>5.09</v>
      </c>
      <c r="E3807">
        <v>1</v>
      </c>
      <c r="F3807">
        <v>1</v>
      </c>
    </row>
    <row r="3808" spans="1:6" x14ac:dyDescent="0.25">
      <c r="A3808" t="s">
        <v>3934</v>
      </c>
      <c r="B3808" s="4">
        <v>5.07</v>
      </c>
      <c r="C3808" s="4">
        <v>0</v>
      </c>
      <c r="D3808" s="4">
        <v>5.07</v>
      </c>
      <c r="E3808">
        <v>1</v>
      </c>
      <c r="F3808">
        <v>1</v>
      </c>
    </row>
    <row r="3809" spans="1:6" x14ac:dyDescent="0.25">
      <c r="A3809" t="s">
        <v>3935</v>
      </c>
      <c r="B3809" s="4">
        <v>5.0199999999999996</v>
      </c>
      <c r="C3809" s="4">
        <v>5.04</v>
      </c>
      <c r="D3809" s="4">
        <v>-0.02</v>
      </c>
      <c r="E3809">
        <v>4</v>
      </c>
      <c r="F3809">
        <v>4</v>
      </c>
    </row>
    <row r="3810" spans="1:6" x14ac:dyDescent="0.25">
      <c r="A3810" t="s">
        <v>3936</v>
      </c>
      <c r="B3810" s="4">
        <v>4.9800000000000004</v>
      </c>
      <c r="C3810" s="4">
        <v>0</v>
      </c>
      <c r="D3810" s="4">
        <v>4.9800000000000004</v>
      </c>
      <c r="E3810">
        <v>2</v>
      </c>
      <c r="F3810">
        <v>2</v>
      </c>
    </row>
    <row r="3811" spans="1:6" x14ac:dyDescent="0.25">
      <c r="A3811" t="s">
        <v>3937</v>
      </c>
      <c r="B3811" s="4">
        <v>4.9800000000000004</v>
      </c>
      <c r="C3811" s="4">
        <v>0</v>
      </c>
      <c r="D3811" s="4">
        <v>4.9800000000000004</v>
      </c>
      <c r="E3811">
        <v>1</v>
      </c>
      <c r="F3811">
        <v>1</v>
      </c>
    </row>
    <row r="3812" spans="1:6" x14ac:dyDescent="0.25">
      <c r="A3812" t="s">
        <v>3938</v>
      </c>
      <c r="B3812" s="4">
        <v>4.9800000000000004</v>
      </c>
      <c r="C3812" s="4">
        <v>0</v>
      </c>
      <c r="D3812" s="4">
        <v>4.9800000000000004</v>
      </c>
      <c r="E3812">
        <v>1</v>
      </c>
      <c r="F3812">
        <v>1</v>
      </c>
    </row>
    <row r="3813" spans="1:6" x14ac:dyDescent="0.25">
      <c r="A3813" t="s">
        <v>3939</v>
      </c>
      <c r="B3813" s="4">
        <v>4.97</v>
      </c>
      <c r="C3813" s="4">
        <v>0</v>
      </c>
      <c r="D3813" s="4">
        <v>4.97</v>
      </c>
      <c r="E3813">
        <v>2</v>
      </c>
      <c r="F3813">
        <v>2</v>
      </c>
    </row>
    <row r="3814" spans="1:6" x14ac:dyDescent="0.25">
      <c r="A3814" t="s">
        <v>3940</v>
      </c>
      <c r="B3814" s="4">
        <v>4.97</v>
      </c>
      <c r="C3814" s="4">
        <v>0</v>
      </c>
      <c r="D3814" s="4">
        <v>4.97</v>
      </c>
      <c r="E3814">
        <v>2</v>
      </c>
      <c r="F3814">
        <v>2</v>
      </c>
    </row>
    <row r="3815" spans="1:6" x14ac:dyDescent="0.25">
      <c r="A3815" t="s">
        <v>3941</v>
      </c>
      <c r="B3815" s="4">
        <v>4.96</v>
      </c>
      <c r="C3815" s="4">
        <v>0</v>
      </c>
      <c r="D3815" s="4">
        <v>4.96</v>
      </c>
      <c r="E3815">
        <v>1</v>
      </c>
      <c r="F3815">
        <v>1</v>
      </c>
    </row>
    <row r="3816" spans="1:6" x14ac:dyDescent="0.25">
      <c r="A3816" t="s">
        <v>3942</v>
      </c>
      <c r="B3816" s="4">
        <v>4.96</v>
      </c>
      <c r="C3816" s="4">
        <v>0</v>
      </c>
      <c r="D3816" s="4">
        <v>4.96</v>
      </c>
      <c r="E3816">
        <v>1</v>
      </c>
      <c r="F3816">
        <v>1</v>
      </c>
    </row>
    <row r="3817" spans="1:6" x14ac:dyDescent="0.25">
      <c r="A3817" t="s">
        <v>3943</v>
      </c>
      <c r="B3817" s="4">
        <v>4.95</v>
      </c>
      <c r="C3817" s="4">
        <v>0</v>
      </c>
      <c r="D3817" s="4">
        <v>4.95</v>
      </c>
      <c r="E3817">
        <v>1</v>
      </c>
      <c r="F3817">
        <v>1</v>
      </c>
    </row>
    <row r="3818" spans="1:6" x14ac:dyDescent="0.25">
      <c r="A3818" t="s">
        <v>3944</v>
      </c>
      <c r="B3818" s="4">
        <v>4.95</v>
      </c>
      <c r="C3818" s="4">
        <v>0</v>
      </c>
      <c r="D3818" s="4">
        <v>4.95</v>
      </c>
      <c r="E3818">
        <v>1</v>
      </c>
      <c r="F3818">
        <v>1</v>
      </c>
    </row>
    <row r="3819" spans="1:6" x14ac:dyDescent="0.25">
      <c r="A3819" t="s">
        <v>3945</v>
      </c>
      <c r="B3819" s="4">
        <v>4.95</v>
      </c>
      <c r="C3819" s="4">
        <v>0</v>
      </c>
      <c r="D3819" s="4">
        <v>4.95</v>
      </c>
      <c r="E3819">
        <v>1</v>
      </c>
      <c r="F3819">
        <v>1</v>
      </c>
    </row>
    <row r="3820" spans="1:6" x14ac:dyDescent="0.25">
      <c r="A3820" t="s">
        <v>3946</v>
      </c>
      <c r="B3820" s="4">
        <v>4.92</v>
      </c>
      <c r="C3820" s="4">
        <v>0</v>
      </c>
      <c r="D3820" s="4">
        <v>4.92</v>
      </c>
      <c r="E3820">
        <v>1</v>
      </c>
      <c r="F3820">
        <v>1</v>
      </c>
    </row>
    <row r="3821" spans="1:6" x14ac:dyDescent="0.25">
      <c r="A3821" t="s">
        <v>3947</v>
      </c>
      <c r="B3821" s="4">
        <v>4.92</v>
      </c>
      <c r="C3821" s="4">
        <v>0</v>
      </c>
      <c r="D3821" s="4">
        <v>4.92</v>
      </c>
      <c r="E3821">
        <v>2</v>
      </c>
      <c r="F3821">
        <v>2</v>
      </c>
    </row>
    <row r="3822" spans="1:6" x14ac:dyDescent="0.25">
      <c r="A3822" t="s">
        <v>3948</v>
      </c>
      <c r="B3822" s="4">
        <v>4.92</v>
      </c>
      <c r="C3822" s="4">
        <v>0</v>
      </c>
      <c r="D3822" s="4">
        <v>4.92</v>
      </c>
      <c r="E3822">
        <v>2</v>
      </c>
      <c r="F3822">
        <v>2</v>
      </c>
    </row>
    <row r="3823" spans="1:6" x14ac:dyDescent="0.25">
      <c r="A3823" t="s">
        <v>3949</v>
      </c>
      <c r="B3823" s="4">
        <v>4.92</v>
      </c>
      <c r="C3823" s="4">
        <v>0</v>
      </c>
      <c r="D3823" s="4">
        <v>4.92</v>
      </c>
      <c r="E3823">
        <v>3</v>
      </c>
      <c r="F3823">
        <v>3</v>
      </c>
    </row>
    <row r="3824" spans="1:6" x14ac:dyDescent="0.25">
      <c r="A3824" t="s">
        <v>3950</v>
      </c>
      <c r="B3824" s="4">
        <v>4.92</v>
      </c>
      <c r="C3824" s="4">
        <v>0</v>
      </c>
      <c r="D3824" s="4">
        <v>4.92</v>
      </c>
      <c r="E3824">
        <v>1</v>
      </c>
      <c r="F3824">
        <v>1</v>
      </c>
    </row>
    <row r="3825" spans="1:6" x14ac:dyDescent="0.25">
      <c r="A3825" t="s">
        <v>3951</v>
      </c>
      <c r="B3825" s="4">
        <v>4.6500000000000004</v>
      </c>
      <c r="C3825" s="4">
        <v>0</v>
      </c>
      <c r="D3825" s="4">
        <v>4.6500000000000004</v>
      </c>
      <c r="E3825">
        <v>1</v>
      </c>
      <c r="F3825">
        <v>1</v>
      </c>
    </row>
    <row r="3826" spans="1:6" x14ac:dyDescent="0.25">
      <c r="A3826" t="s">
        <v>3952</v>
      </c>
      <c r="B3826" s="4">
        <v>4.62</v>
      </c>
      <c r="C3826" s="4">
        <v>0</v>
      </c>
      <c r="D3826" s="4">
        <v>4.62</v>
      </c>
      <c r="E3826">
        <v>2</v>
      </c>
      <c r="F3826">
        <v>2</v>
      </c>
    </row>
    <row r="3827" spans="1:6" x14ac:dyDescent="0.25">
      <c r="A3827" t="s">
        <v>3953</v>
      </c>
      <c r="B3827" s="4">
        <v>4.62</v>
      </c>
      <c r="C3827" s="4">
        <v>0</v>
      </c>
      <c r="D3827" s="4">
        <v>4.62</v>
      </c>
      <c r="E3827">
        <v>2</v>
      </c>
      <c r="F3827">
        <v>2</v>
      </c>
    </row>
    <row r="3828" spans="1:6" x14ac:dyDescent="0.25">
      <c r="A3828" t="s">
        <v>3954</v>
      </c>
      <c r="B3828" s="4">
        <v>4.5599999999999996</v>
      </c>
      <c r="C3828" s="4">
        <v>0</v>
      </c>
      <c r="D3828" s="4">
        <v>4.5599999999999996</v>
      </c>
      <c r="E3828">
        <v>3</v>
      </c>
      <c r="F3828">
        <v>3</v>
      </c>
    </row>
    <row r="3829" spans="1:6" x14ac:dyDescent="0.25">
      <c r="A3829" t="s">
        <v>3955</v>
      </c>
      <c r="B3829" s="4">
        <v>4.29</v>
      </c>
      <c r="C3829" s="4">
        <v>0</v>
      </c>
      <c r="D3829" s="4">
        <v>4.29</v>
      </c>
      <c r="E3829">
        <v>2</v>
      </c>
      <c r="F3829">
        <v>2</v>
      </c>
    </row>
    <row r="3830" spans="1:6" x14ac:dyDescent="0.25">
      <c r="A3830" t="s">
        <v>3956</v>
      </c>
      <c r="B3830" s="4">
        <v>4.25</v>
      </c>
      <c r="C3830" s="4">
        <v>29.75</v>
      </c>
      <c r="D3830" s="4">
        <v>-25.5</v>
      </c>
      <c r="E3830">
        <v>1</v>
      </c>
      <c r="F3830">
        <v>1</v>
      </c>
    </row>
    <row r="3831" spans="1:6" x14ac:dyDescent="0.25">
      <c r="A3831" t="s">
        <v>3957</v>
      </c>
      <c r="B3831" s="4">
        <v>4.25</v>
      </c>
      <c r="C3831" s="4">
        <v>0</v>
      </c>
      <c r="D3831" s="4">
        <v>4.25</v>
      </c>
      <c r="E3831">
        <v>1</v>
      </c>
      <c r="F3831">
        <v>1</v>
      </c>
    </row>
    <row r="3832" spans="1:6" x14ac:dyDescent="0.25">
      <c r="A3832" t="s">
        <v>3958</v>
      </c>
      <c r="B3832" s="4">
        <v>4.25</v>
      </c>
      <c r="C3832" s="4">
        <v>0</v>
      </c>
      <c r="D3832" s="4">
        <v>4.25</v>
      </c>
      <c r="E3832">
        <v>3</v>
      </c>
      <c r="F3832">
        <v>3</v>
      </c>
    </row>
    <row r="3833" spans="1:6" x14ac:dyDescent="0.25">
      <c r="A3833" t="s">
        <v>3959</v>
      </c>
      <c r="B3833" s="4">
        <v>4.2</v>
      </c>
      <c r="C3833" s="4">
        <v>0</v>
      </c>
      <c r="D3833" s="4">
        <v>4.2</v>
      </c>
      <c r="E3833">
        <v>2</v>
      </c>
      <c r="F3833">
        <v>2</v>
      </c>
    </row>
    <row r="3834" spans="1:6" x14ac:dyDescent="0.25">
      <c r="A3834" t="s">
        <v>3960</v>
      </c>
      <c r="B3834" s="4">
        <v>4.2</v>
      </c>
      <c r="C3834" s="4">
        <v>0</v>
      </c>
      <c r="D3834" s="4">
        <v>4.2</v>
      </c>
      <c r="E3834">
        <v>1</v>
      </c>
      <c r="F3834">
        <v>1</v>
      </c>
    </row>
    <row r="3835" spans="1:6" x14ac:dyDescent="0.25">
      <c r="A3835" t="s">
        <v>3961</v>
      </c>
      <c r="B3835" s="4">
        <v>4.17</v>
      </c>
      <c r="C3835" s="4">
        <v>0</v>
      </c>
      <c r="D3835" s="4">
        <v>4.17</v>
      </c>
      <c r="E3835">
        <v>5</v>
      </c>
      <c r="F3835">
        <v>5</v>
      </c>
    </row>
    <row r="3836" spans="1:6" x14ac:dyDescent="0.25">
      <c r="A3836" t="s">
        <v>3962</v>
      </c>
      <c r="B3836" s="4">
        <v>4.13</v>
      </c>
      <c r="C3836" s="4">
        <v>0</v>
      </c>
      <c r="D3836" s="4">
        <v>4.13</v>
      </c>
      <c r="E3836">
        <v>1</v>
      </c>
      <c r="F3836">
        <v>1</v>
      </c>
    </row>
    <row r="3837" spans="1:6" x14ac:dyDescent="0.25">
      <c r="A3837" t="s">
        <v>3963</v>
      </c>
      <c r="B3837" s="4">
        <v>4.13</v>
      </c>
      <c r="C3837" s="4">
        <v>0</v>
      </c>
      <c r="D3837" s="4">
        <v>4.13</v>
      </c>
      <c r="E3837">
        <v>1</v>
      </c>
      <c r="F3837">
        <v>1</v>
      </c>
    </row>
    <row r="3838" spans="1:6" x14ac:dyDescent="0.25">
      <c r="A3838" t="s">
        <v>3964</v>
      </c>
      <c r="B3838" s="4">
        <v>4.13</v>
      </c>
      <c r="C3838" s="4">
        <v>0</v>
      </c>
      <c r="D3838" s="4">
        <v>4.13</v>
      </c>
      <c r="E3838">
        <v>1</v>
      </c>
      <c r="F3838">
        <v>1</v>
      </c>
    </row>
    <row r="3839" spans="1:6" x14ac:dyDescent="0.25">
      <c r="A3839" t="s">
        <v>3965</v>
      </c>
      <c r="B3839" s="4">
        <v>4.05</v>
      </c>
      <c r="C3839" s="4">
        <v>0</v>
      </c>
      <c r="D3839" s="4">
        <v>4.05</v>
      </c>
      <c r="E3839">
        <v>1</v>
      </c>
      <c r="F3839">
        <v>1</v>
      </c>
    </row>
    <row r="3840" spans="1:6" x14ac:dyDescent="0.25">
      <c r="A3840" t="s">
        <v>3966</v>
      </c>
      <c r="B3840" s="4">
        <v>3.78</v>
      </c>
      <c r="C3840" s="4">
        <v>0</v>
      </c>
      <c r="D3840" s="4">
        <v>3.78</v>
      </c>
      <c r="E3840">
        <v>3</v>
      </c>
      <c r="F3840">
        <v>3</v>
      </c>
    </row>
    <row r="3841" spans="1:6" x14ac:dyDescent="0.25">
      <c r="A3841" t="s">
        <v>3967</v>
      </c>
      <c r="B3841" s="4">
        <v>3.78</v>
      </c>
      <c r="C3841" s="4">
        <v>0</v>
      </c>
      <c r="D3841" s="4">
        <v>3.78</v>
      </c>
      <c r="E3841">
        <v>3</v>
      </c>
      <c r="F3841">
        <v>3</v>
      </c>
    </row>
    <row r="3842" spans="1:6" x14ac:dyDescent="0.25">
      <c r="A3842" t="s">
        <v>3968</v>
      </c>
      <c r="B3842" s="4">
        <v>3.76</v>
      </c>
      <c r="C3842" s="4">
        <v>0</v>
      </c>
      <c r="D3842" s="4">
        <v>3.76</v>
      </c>
      <c r="E3842">
        <v>2</v>
      </c>
      <c r="F3842">
        <v>2</v>
      </c>
    </row>
    <row r="3843" spans="1:6" x14ac:dyDescent="0.25">
      <c r="A3843" t="s">
        <v>3969</v>
      </c>
      <c r="B3843" s="4">
        <v>3.75</v>
      </c>
      <c r="C3843" s="4">
        <v>0</v>
      </c>
      <c r="D3843" s="4">
        <v>3.75</v>
      </c>
      <c r="E3843">
        <v>2</v>
      </c>
      <c r="F3843">
        <v>2</v>
      </c>
    </row>
    <row r="3844" spans="1:6" x14ac:dyDescent="0.25">
      <c r="A3844" t="s">
        <v>3970</v>
      </c>
      <c r="B3844" s="4">
        <v>3.75</v>
      </c>
      <c r="C3844" s="4">
        <v>0</v>
      </c>
      <c r="D3844" s="4">
        <v>3.75</v>
      </c>
      <c r="E3844">
        <v>2</v>
      </c>
      <c r="F3844">
        <v>2</v>
      </c>
    </row>
    <row r="3845" spans="1:6" x14ac:dyDescent="0.25">
      <c r="A3845" t="s">
        <v>3971</v>
      </c>
      <c r="B3845" s="4">
        <v>3.73</v>
      </c>
      <c r="C3845" s="4">
        <v>0</v>
      </c>
      <c r="D3845" s="4">
        <v>3.73</v>
      </c>
      <c r="E3845">
        <v>1</v>
      </c>
      <c r="F3845">
        <v>1</v>
      </c>
    </row>
    <row r="3846" spans="1:6" x14ac:dyDescent="0.25">
      <c r="A3846" t="s">
        <v>3972</v>
      </c>
      <c r="B3846" s="4">
        <v>3.73</v>
      </c>
      <c r="C3846" s="4">
        <v>0</v>
      </c>
      <c r="D3846" s="4">
        <v>3.73</v>
      </c>
      <c r="E3846">
        <v>1</v>
      </c>
      <c r="F3846">
        <v>1</v>
      </c>
    </row>
    <row r="3847" spans="1:6" x14ac:dyDescent="0.25">
      <c r="A3847" t="s">
        <v>3973</v>
      </c>
      <c r="B3847" s="4">
        <v>3.61</v>
      </c>
      <c r="C3847" s="4">
        <v>0</v>
      </c>
      <c r="D3847" s="4">
        <v>3.61</v>
      </c>
      <c r="E3847">
        <v>2</v>
      </c>
      <c r="F3847">
        <v>2</v>
      </c>
    </row>
    <row r="3848" spans="1:6" x14ac:dyDescent="0.25">
      <c r="A3848" t="s">
        <v>3974</v>
      </c>
      <c r="B3848" s="4">
        <v>3.6</v>
      </c>
      <c r="C3848" s="4">
        <v>0</v>
      </c>
      <c r="D3848" s="4">
        <v>3.6</v>
      </c>
      <c r="E3848">
        <v>3</v>
      </c>
      <c r="F3848">
        <v>3</v>
      </c>
    </row>
    <row r="3849" spans="1:6" x14ac:dyDescent="0.25">
      <c r="A3849" t="s">
        <v>3975</v>
      </c>
      <c r="B3849" s="4">
        <v>3.57</v>
      </c>
      <c r="C3849" s="4">
        <v>0</v>
      </c>
      <c r="D3849" s="4">
        <v>3.57</v>
      </c>
      <c r="E3849">
        <v>4</v>
      </c>
      <c r="F3849">
        <v>4</v>
      </c>
    </row>
    <row r="3850" spans="1:6" x14ac:dyDescent="0.25">
      <c r="A3850" t="s">
        <v>3976</v>
      </c>
      <c r="B3850" s="4">
        <v>3.5</v>
      </c>
      <c r="C3850" s="4">
        <v>0</v>
      </c>
      <c r="D3850" s="4">
        <v>3.5</v>
      </c>
      <c r="E3850">
        <v>2</v>
      </c>
      <c r="F3850">
        <v>2</v>
      </c>
    </row>
    <row r="3851" spans="1:6" x14ac:dyDescent="0.25">
      <c r="A3851" t="s">
        <v>3977</v>
      </c>
      <c r="B3851" s="4">
        <v>3.48</v>
      </c>
      <c r="C3851" s="4">
        <v>0</v>
      </c>
      <c r="D3851" s="4">
        <v>3.48</v>
      </c>
      <c r="E3851">
        <v>1</v>
      </c>
      <c r="F3851">
        <v>1</v>
      </c>
    </row>
    <row r="3852" spans="1:6" x14ac:dyDescent="0.25">
      <c r="A3852" t="s">
        <v>3978</v>
      </c>
      <c r="B3852" s="4">
        <v>3.4</v>
      </c>
      <c r="C3852" s="4">
        <v>0</v>
      </c>
      <c r="D3852" s="4">
        <v>3.4</v>
      </c>
      <c r="E3852">
        <v>2</v>
      </c>
      <c r="F3852">
        <v>2</v>
      </c>
    </row>
    <row r="3853" spans="1:6" x14ac:dyDescent="0.25">
      <c r="A3853" t="s">
        <v>3979</v>
      </c>
      <c r="B3853" s="4">
        <v>3.38</v>
      </c>
      <c r="C3853" s="4">
        <v>0</v>
      </c>
      <c r="D3853" s="4">
        <v>3.38</v>
      </c>
      <c r="E3853">
        <v>1</v>
      </c>
      <c r="F3853">
        <v>1</v>
      </c>
    </row>
    <row r="3854" spans="1:6" x14ac:dyDescent="0.25">
      <c r="A3854" t="s">
        <v>3980</v>
      </c>
      <c r="B3854" s="4">
        <v>3.36</v>
      </c>
      <c r="C3854" s="4">
        <v>0</v>
      </c>
      <c r="D3854" s="4">
        <v>3.36</v>
      </c>
      <c r="E3854">
        <v>1</v>
      </c>
      <c r="F3854">
        <v>1</v>
      </c>
    </row>
    <row r="3855" spans="1:6" x14ac:dyDescent="0.25">
      <c r="A3855" t="s">
        <v>3981</v>
      </c>
      <c r="B3855" s="4">
        <v>3.36</v>
      </c>
      <c r="C3855" s="4">
        <v>0</v>
      </c>
      <c r="D3855" s="4">
        <v>3.36</v>
      </c>
      <c r="E3855">
        <v>1</v>
      </c>
      <c r="F3855">
        <v>1</v>
      </c>
    </row>
    <row r="3856" spans="1:6" x14ac:dyDescent="0.25">
      <c r="A3856" t="s">
        <v>3982</v>
      </c>
      <c r="B3856" s="4">
        <v>3.36</v>
      </c>
      <c r="C3856" s="4">
        <v>0</v>
      </c>
      <c r="D3856" s="4">
        <v>3.36</v>
      </c>
      <c r="E3856">
        <v>1</v>
      </c>
      <c r="F3856">
        <v>1</v>
      </c>
    </row>
    <row r="3857" spans="1:6" x14ac:dyDescent="0.25">
      <c r="A3857" t="s">
        <v>3983</v>
      </c>
      <c r="B3857" s="4">
        <v>3.36</v>
      </c>
      <c r="C3857" s="4">
        <v>0</v>
      </c>
      <c r="D3857" s="4">
        <v>3.36</v>
      </c>
      <c r="E3857">
        <v>1</v>
      </c>
      <c r="F3857">
        <v>1</v>
      </c>
    </row>
    <row r="3858" spans="1:6" x14ac:dyDescent="0.25">
      <c r="A3858" t="s">
        <v>3984</v>
      </c>
      <c r="B3858" s="4">
        <v>3.33</v>
      </c>
      <c r="C3858" s="4">
        <v>0</v>
      </c>
      <c r="D3858" s="4">
        <v>3.33</v>
      </c>
      <c r="E3858">
        <v>1</v>
      </c>
      <c r="F3858">
        <v>1</v>
      </c>
    </row>
    <row r="3859" spans="1:6" x14ac:dyDescent="0.25">
      <c r="A3859" t="s">
        <v>3985</v>
      </c>
      <c r="B3859" s="4">
        <v>3.32</v>
      </c>
      <c r="C3859" s="4">
        <v>0</v>
      </c>
      <c r="D3859" s="4">
        <v>3.32</v>
      </c>
      <c r="E3859">
        <v>2</v>
      </c>
      <c r="F3859">
        <v>2</v>
      </c>
    </row>
    <row r="3860" spans="1:6" x14ac:dyDescent="0.25">
      <c r="A3860" t="s">
        <v>3986</v>
      </c>
      <c r="B3860" s="4">
        <v>3.32</v>
      </c>
      <c r="C3860" s="4">
        <v>0</v>
      </c>
      <c r="D3860" s="4">
        <v>3.32</v>
      </c>
      <c r="E3860">
        <v>1</v>
      </c>
      <c r="F3860">
        <v>1</v>
      </c>
    </row>
    <row r="3861" spans="1:6" x14ac:dyDescent="0.25">
      <c r="A3861" t="s">
        <v>3987</v>
      </c>
      <c r="B3861" s="4">
        <v>3.25</v>
      </c>
      <c r="C3861" s="4">
        <v>0</v>
      </c>
      <c r="D3861" s="4">
        <v>3.25</v>
      </c>
      <c r="E3861">
        <v>3</v>
      </c>
      <c r="F3861">
        <v>3</v>
      </c>
    </row>
    <row r="3862" spans="1:6" x14ac:dyDescent="0.25">
      <c r="A3862" t="s">
        <v>3988</v>
      </c>
      <c r="B3862" s="4">
        <v>3.04</v>
      </c>
      <c r="C3862" s="4">
        <v>0</v>
      </c>
      <c r="D3862" s="4">
        <v>3.04</v>
      </c>
      <c r="E3862">
        <v>4</v>
      </c>
      <c r="F3862">
        <v>4</v>
      </c>
    </row>
    <row r="3863" spans="1:6" x14ac:dyDescent="0.25">
      <c r="A3863" t="s">
        <v>3989</v>
      </c>
      <c r="B3863" s="4">
        <v>2.91</v>
      </c>
      <c r="C3863" s="4">
        <v>0</v>
      </c>
      <c r="D3863" s="4">
        <v>2.91</v>
      </c>
      <c r="E3863">
        <v>1</v>
      </c>
      <c r="F3863">
        <v>1</v>
      </c>
    </row>
    <row r="3864" spans="1:6" x14ac:dyDescent="0.25">
      <c r="A3864" t="s">
        <v>3990</v>
      </c>
      <c r="B3864" s="4">
        <v>2.91</v>
      </c>
      <c r="C3864" s="4">
        <v>0</v>
      </c>
      <c r="D3864" s="4">
        <v>2.91</v>
      </c>
      <c r="E3864">
        <v>1</v>
      </c>
      <c r="F3864">
        <v>1</v>
      </c>
    </row>
    <row r="3865" spans="1:6" x14ac:dyDescent="0.25">
      <c r="A3865" t="s">
        <v>3991</v>
      </c>
      <c r="B3865" s="4">
        <v>2.91</v>
      </c>
      <c r="C3865" s="4">
        <v>0</v>
      </c>
      <c r="D3865" s="4">
        <v>2.91</v>
      </c>
      <c r="E3865">
        <v>1</v>
      </c>
      <c r="F3865">
        <v>1</v>
      </c>
    </row>
    <row r="3866" spans="1:6" x14ac:dyDescent="0.25">
      <c r="A3866" t="s">
        <v>3992</v>
      </c>
      <c r="B3866" s="4">
        <v>2.9</v>
      </c>
      <c r="C3866" s="4">
        <v>0</v>
      </c>
      <c r="D3866" s="4">
        <v>2.9</v>
      </c>
      <c r="E3866">
        <v>1</v>
      </c>
      <c r="F3866">
        <v>1</v>
      </c>
    </row>
    <row r="3867" spans="1:6" x14ac:dyDescent="0.25">
      <c r="A3867" t="s">
        <v>3993</v>
      </c>
      <c r="B3867" s="4">
        <v>2.5499999999999998</v>
      </c>
      <c r="C3867" s="4">
        <v>0</v>
      </c>
      <c r="D3867" s="4">
        <v>2.5499999999999998</v>
      </c>
      <c r="E3867">
        <v>1</v>
      </c>
      <c r="F3867">
        <v>1</v>
      </c>
    </row>
    <row r="3868" spans="1:6" x14ac:dyDescent="0.25">
      <c r="A3868" t="s">
        <v>3994</v>
      </c>
      <c r="B3868" s="4">
        <v>2.52</v>
      </c>
      <c r="C3868" s="4">
        <v>0</v>
      </c>
      <c r="D3868" s="4">
        <v>2.52</v>
      </c>
      <c r="E3868">
        <v>1</v>
      </c>
      <c r="F3868">
        <v>1</v>
      </c>
    </row>
    <row r="3869" spans="1:6" x14ac:dyDescent="0.25">
      <c r="A3869" t="s">
        <v>3995</v>
      </c>
      <c r="B3869" s="4">
        <v>2.5099999999999998</v>
      </c>
      <c r="C3869" s="4">
        <v>0</v>
      </c>
      <c r="D3869" s="4">
        <v>2.5099999999999998</v>
      </c>
      <c r="E3869">
        <v>1</v>
      </c>
      <c r="F3869">
        <v>1</v>
      </c>
    </row>
    <row r="3870" spans="1:6" x14ac:dyDescent="0.25">
      <c r="A3870" t="s">
        <v>3996</v>
      </c>
      <c r="B3870" s="4">
        <v>2.5</v>
      </c>
      <c r="C3870" s="4">
        <v>0</v>
      </c>
      <c r="D3870" s="4">
        <v>2.5</v>
      </c>
      <c r="E3870">
        <v>1</v>
      </c>
      <c r="F3870">
        <v>1</v>
      </c>
    </row>
    <row r="3871" spans="1:6" x14ac:dyDescent="0.25">
      <c r="A3871" t="s">
        <v>3997</v>
      </c>
      <c r="B3871" s="4">
        <v>2.48</v>
      </c>
      <c r="C3871" s="4">
        <v>0</v>
      </c>
      <c r="D3871" s="4">
        <v>2.48</v>
      </c>
      <c r="E3871">
        <v>1</v>
      </c>
      <c r="F3871">
        <v>1</v>
      </c>
    </row>
    <row r="3872" spans="1:6" x14ac:dyDescent="0.25">
      <c r="A3872" t="s">
        <v>3998</v>
      </c>
      <c r="B3872" s="4">
        <v>2.4700000000000002</v>
      </c>
      <c r="C3872" s="4">
        <v>0</v>
      </c>
      <c r="D3872" s="4">
        <v>2.4700000000000002</v>
      </c>
      <c r="E3872">
        <v>2</v>
      </c>
      <c r="F3872">
        <v>2</v>
      </c>
    </row>
    <row r="3873" spans="1:6" x14ac:dyDescent="0.25">
      <c r="A3873" t="s">
        <v>3999</v>
      </c>
      <c r="B3873" s="4">
        <v>2.46</v>
      </c>
      <c r="C3873" s="4">
        <v>0</v>
      </c>
      <c r="D3873" s="4">
        <v>2.46</v>
      </c>
      <c r="E3873">
        <v>1</v>
      </c>
      <c r="F3873">
        <v>1</v>
      </c>
    </row>
    <row r="3874" spans="1:6" x14ac:dyDescent="0.25">
      <c r="A3874" t="s">
        <v>4000</v>
      </c>
      <c r="B3874" s="4">
        <v>2.46</v>
      </c>
      <c r="C3874" s="4">
        <v>0</v>
      </c>
      <c r="D3874" s="4">
        <v>2.46</v>
      </c>
      <c r="E3874">
        <v>1</v>
      </c>
      <c r="F3874">
        <v>1</v>
      </c>
    </row>
    <row r="3875" spans="1:6" x14ac:dyDescent="0.25">
      <c r="A3875" t="s">
        <v>4001</v>
      </c>
      <c r="B3875" s="4">
        <v>2.46</v>
      </c>
      <c r="C3875" s="4">
        <v>0</v>
      </c>
      <c r="D3875" s="4">
        <v>2.46</v>
      </c>
      <c r="E3875">
        <v>1</v>
      </c>
      <c r="F3875">
        <v>1</v>
      </c>
    </row>
    <row r="3876" spans="1:6" x14ac:dyDescent="0.25">
      <c r="A3876" t="s">
        <v>4002</v>
      </c>
      <c r="B3876" s="4">
        <v>2.46</v>
      </c>
      <c r="C3876" s="4">
        <v>0</v>
      </c>
      <c r="D3876" s="4">
        <v>2.46</v>
      </c>
      <c r="E3876">
        <v>1</v>
      </c>
      <c r="F3876">
        <v>1</v>
      </c>
    </row>
    <row r="3877" spans="1:6" x14ac:dyDescent="0.25">
      <c r="A3877" t="s">
        <v>4003</v>
      </c>
      <c r="B3877" s="4">
        <v>2.46</v>
      </c>
      <c r="C3877" s="4">
        <v>0</v>
      </c>
      <c r="D3877" s="4">
        <v>2.46</v>
      </c>
      <c r="E3877">
        <v>1</v>
      </c>
      <c r="F3877">
        <v>1</v>
      </c>
    </row>
    <row r="3878" spans="1:6" x14ac:dyDescent="0.25">
      <c r="A3878" t="s">
        <v>4004</v>
      </c>
      <c r="B3878" s="4">
        <v>2.34</v>
      </c>
      <c r="C3878" s="4">
        <v>0</v>
      </c>
      <c r="D3878" s="4">
        <v>2.34</v>
      </c>
      <c r="E3878">
        <v>1</v>
      </c>
      <c r="F3878">
        <v>1</v>
      </c>
    </row>
    <row r="3879" spans="1:6" x14ac:dyDescent="0.25">
      <c r="A3879" t="s">
        <v>4005</v>
      </c>
      <c r="B3879" s="4">
        <v>2.2799999999999998</v>
      </c>
      <c r="C3879" s="4">
        <v>0</v>
      </c>
      <c r="D3879" s="4">
        <v>2.2799999999999998</v>
      </c>
      <c r="E3879">
        <v>2</v>
      </c>
      <c r="F3879">
        <v>2</v>
      </c>
    </row>
    <row r="3880" spans="1:6" x14ac:dyDescent="0.25">
      <c r="A3880" t="s">
        <v>4006</v>
      </c>
      <c r="B3880" s="4">
        <v>2.12</v>
      </c>
      <c r="C3880" s="4">
        <v>0</v>
      </c>
      <c r="D3880" s="4">
        <v>2.12</v>
      </c>
      <c r="E3880">
        <v>1</v>
      </c>
      <c r="F3880">
        <v>1</v>
      </c>
    </row>
    <row r="3881" spans="1:6" x14ac:dyDescent="0.25">
      <c r="A3881" t="s">
        <v>4007</v>
      </c>
      <c r="B3881" s="4">
        <v>2.1</v>
      </c>
      <c r="C3881" s="4">
        <v>0</v>
      </c>
      <c r="D3881" s="4">
        <v>2.1</v>
      </c>
      <c r="E3881">
        <v>1</v>
      </c>
      <c r="F3881">
        <v>1</v>
      </c>
    </row>
    <row r="3882" spans="1:6" x14ac:dyDescent="0.25">
      <c r="A3882" t="s">
        <v>4008</v>
      </c>
      <c r="B3882" s="4">
        <v>2.1</v>
      </c>
      <c r="C3882" s="4">
        <v>0</v>
      </c>
      <c r="D3882" s="4">
        <v>2.1</v>
      </c>
      <c r="E3882">
        <v>1</v>
      </c>
      <c r="F3882">
        <v>1</v>
      </c>
    </row>
    <row r="3883" spans="1:6" x14ac:dyDescent="0.25">
      <c r="A3883" t="s">
        <v>4009</v>
      </c>
      <c r="B3883" s="4">
        <v>2.1</v>
      </c>
      <c r="C3883" s="4">
        <v>0</v>
      </c>
      <c r="D3883" s="4">
        <v>2.1</v>
      </c>
      <c r="E3883">
        <v>1</v>
      </c>
      <c r="F3883">
        <v>1</v>
      </c>
    </row>
    <row r="3884" spans="1:6" x14ac:dyDescent="0.25">
      <c r="A3884" t="s">
        <v>4010</v>
      </c>
      <c r="B3884" s="4">
        <v>2.1</v>
      </c>
      <c r="C3884" s="4">
        <v>0</v>
      </c>
      <c r="D3884" s="4">
        <v>2.1</v>
      </c>
      <c r="E3884">
        <v>1</v>
      </c>
      <c r="F3884">
        <v>1</v>
      </c>
    </row>
    <row r="3885" spans="1:6" x14ac:dyDescent="0.25">
      <c r="A3885" t="s">
        <v>4011</v>
      </c>
      <c r="B3885" s="4">
        <v>2.1</v>
      </c>
      <c r="C3885" s="4">
        <v>0</v>
      </c>
      <c r="D3885" s="4">
        <v>2.1</v>
      </c>
      <c r="E3885">
        <v>1</v>
      </c>
      <c r="F3885">
        <v>1</v>
      </c>
    </row>
    <row r="3886" spans="1:6" x14ac:dyDescent="0.25">
      <c r="A3886" t="s">
        <v>4012</v>
      </c>
      <c r="B3886" s="4">
        <v>2.09</v>
      </c>
      <c r="C3886" s="4">
        <v>0</v>
      </c>
      <c r="D3886" s="4">
        <v>2.09</v>
      </c>
      <c r="E3886">
        <v>5</v>
      </c>
      <c r="F3886">
        <v>3</v>
      </c>
    </row>
    <row r="3887" spans="1:6" x14ac:dyDescent="0.25">
      <c r="A3887" t="s">
        <v>4013</v>
      </c>
      <c r="B3887" s="4">
        <v>2.04</v>
      </c>
      <c r="C3887" s="4">
        <v>0</v>
      </c>
      <c r="D3887" s="4">
        <v>2.04</v>
      </c>
      <c r="E3887">
        <v>2</v>
      </c>
      <c r="F3887">
        <v>2</v>
      </c>
    </row>
    <row r="3888" spans="1:6" x14ac:dyDescent="0.25">
      <c r="A3888" t="s">
        <v>4014</v>
      </c>
      <c r="B3888" s="4">
        <v>1.95</v>
      </c>
      <c r="C3888" s="4">
        <v>0</v>
      </c>
      <c r="D3888" s="4">
        <v>1.95</v>
      </c>
      <c r="E3888">
        <v>1</v>
      </c>
      <c r="F3888">
        <v>1</v>
      </c>
    </row>
    <row r="3889" spans="1:6" x14ac:dyDescent="0.25">
      <c r="A3889" t="s">
        <v>4015</v>
      </c>
      <c r="B3889" s="4">
        <v>1.95</v>
      </c>
      <c r="C3889" s="4">
        <v>0</v>
      </c>
      <c r="D3889" s="4">
        <v>1.95</v>
      </c>
      <c r="E3889">
        <v>1</v>
      </c>
      <c r="F3889">
        <v>1</v>
      </c>
    </row>
    <row r="3890" spans="1:6" x14ac:dyDescent="0.25">
      <c r="A3890" t="s">
        <v>4016</v>
      </c>
      <c r="B3890" s="4">
        <v>1.95</v>
      </c>
      <c r="C3890" s="4">
        <v>0</v>
      </c>
      <c r="D3890" s="4">
        <v>1.95</v>
      </c>
      <c r="E3890">
        <v>1</v>
      </c>
      <c r="F3890">
        <v>1</v>
      </c>
    </row>
    <row r="3891" spans="1:6" x14ac:dyDescent="0.25">
      <c r="A3891" t="s">
        <v>4017</v>
      </c>
      <c r="B3891" s="4">
        <v>1.66</v>
      </c>
      <c r="C3891" s="4">
        <v>0</v>
      </c>
      <c r="D3891" s="4">
        <v>1.66</v>
      </c>
      <c r="E3891">
        <v>1</v>
      </c>
      <c r="F3891">
        <v>1</v>
      </c>
    </row>
    <row r="3892" spans="1:6" x14ac:dyDescent="0.25">
      <c r="A3892" t="s">
        <v>4018</v>
      </c>
      <c r="B3892" s="4">
        <v>1.65</v>
      </c>
      <c r="C3892" s="4">
        <v>0</v>
      </c>
      <c r="D3892" s="4">
        <v>1.65</v>
      </c>
      <c r="E3892">
        <v>1</v>
      </c>
      <c r="F3892">
        <v>1</v>
      </c>
    </row>
    <row r="3893" spans="1:6" x14ac:dyDescent="0.25">
      <c r="A3893" t="s">
        <v>4019</v>
      </c>
      <c r="B3893" s="4">
        <v>1.65</v>
      </c>
      <c r="C3893" s="4">
        <v>0</v>
      </c>
      <c r="D3893" s="4">
        <v>1.65</v>
      </c>
      <c r="E3893">
        <v>1</v>
      </c>
      <c r="F3893">
        <v>1</v>
      </c>
    </row>
    <row r="3894" spans="1:6" x14ac:dyDescent="0.25">
      <c r="A3894" t="s">
        <v>4020</v>
      </c>
      <c r="B3894" s="4">
        <v>1.52</v>
      </c>
      <c r="C3894" s="4">
        <v>0</v>
      </c>
      <c r="D3894" s="4">
        <v>1.52</v>
      </c>
      <c r="E3894">
        <v>2</v>
      </c>
      <c r="F3894">
        <v>2</v>
      </c>
    </row>
    <row r="3895" spans="1:6" x14ac:dyDescent="0.25">
      <c r="A3895" t="s">
        <v>4021</v>
      </c>
      <c r="B3895" s="4">
        <v>1.25</v>
      </c>
      <c r="C3895" s="4">
        <v>0</v>
      </c>
      <c r="D3895" s="4">
        <v>1.25</v>
      </c>
      <c r="E3895">
        <v>1</v>
      </c>
      <c r="F3895">
        <v>1</v>
      </c>
    </row>
    <row r="3896" spans="1:6" x14ac:dyDescent="0.25">
      <c r="A3896" t="s">
        <v>4022</v>
      </c>
      <c r="B3896" s="4">
        <v>1.25</v>
      </c>
      <c r="C3896" s="4">
        <v>0</v>
      </c>
      <c r="D3896" s="4">
        <v>1.25</v>
      </c>
      <c r="E3896">
        <v>1</v>
      </c>
      <c r="F3896">
        <v>1</v>
      </c>
    </row>
    <row r="3897" spans="1:6" x14ac:dyDescent="0.25">
      <c r="A3897" t="s">
        <v>4023</v>
      </c>
      <c r="B3897" s="4">
        <v>1.25</v>
      </c>
      <c r="C3897" s="4">
        <v>0</v>
      </c>
      <c r="D3897" s="4">
        <v>1.25</v>
      </c>
      <c r="E3897">
        <v>1</v>
      </c>
      <c r="F3897">
        <v>1</v>
      </c>
    </row>
    <row r="3898" spans="1:6" x14ac:dyDescent="0.25">
      <c r="A3898" t="s">
        <v>4024</v>
      </c>
      <c r="B3898" s="4">
        <v>1.25</v>
      </c>
      <c r="C3898" s="4">
        <v>0</v>
      </c>
      <c r="D3898" s="4">
        <v>1.25</v>
      </c>
      <c r="E3898">
        <v>1</v>
      </c>
      <c r="F3898">
        <v>1</v>
      </c>
    </row>
    <row r="3899" spans="1:6" x14ac:dyDescent="0.25">
      <c r="A3899" t="s">
        <v>4025</v>
      </c>
      <c r="B3899" s="4">
        <v>1.25</v>
      </c>
      <c r="C3899" s="4">
        <v>0</v>
      </c>
      <c r="D3899" s="4">
        <v>1.25</v>
      </c>
      <c r="E3899">
        <v>1</v>
      </c>
      <c r="F3899">
        <v>1</v>
      </c>
    </row>
    <row r="3900" spans="1:6" x14ac:dyDescent="0.25">
      <c r="A3900" t="s">
        <v>4026</v>
      </c>
      <c r="B3900" s="4">
        <v>1.25</v>
      </c>
      <c r="C3900" s="4">
        <v>0</v>
      </c>
      <c r="D3900" s="4">
        <v>1.25</v>
      </c>
      <c r="E3900">
        <v>1</v>
      </c>
      <c r="F3900">
        <v>1</v>
      </c>
    </row>
    <row r="3901" spans="1:6" x14ac:dyDescent="0.25">
      <c r="A3901" t="s">
        <v>4027</v>
      </c>
      <c r="B3901" s="4">
        <v>1.25</v>
      </c>
      <c r="C3901" s="4">
        <v>0</v>
      </c>
      <c r="D3901" s="4">
        <v>1.25</v>
      </c>
      <c r="E3901">
        <v>1</v>
      </c>
      <c r="F3901">
        <v>1</v>
      </c>
    </row>
    <row r="3902" spans="1:6" x14ac:dyDescent="0.25">
      <c r="A3902" t="s">
        <v>4028</v>
      </c>
      <c r="B3902" s="4">
        <v>1.1000000000000001</v>
      </c>
      <c r="C3902" s="4">
        <v>0</v>
      </c>
      <c r="D3902" s="4">
        <v>1.1000000000000001</v>
      </c>
      <c r="E3902">
        <v>2</v>
      </c>
      <c r="F3902">
        <v>2</v>
      </c>
    </row>
    <row r="3903" spans="1:6" x14ac:dyDescent="0.25">
      <c r="A3903" t="s">
        <v>4029</v>
      </c>
      <c r="B3903" s="4">
        <v>0.95</v>
      </c>
      <c r="C3903" s="4">
        <v>0</v>
      </c>
      <c r="D3903" s="4">
        <v>0.95</v>
      </c>
      <c r="E3903">
        <v>1</v>
      </c>
      <c r="F3903">
        <v>1</v>
      </c>
    </row>
    <row r="3904" spans="1:6" x14ac:dyDescent="0.25">
      <c r="A3904" t="s">
        <v>4030</v>
      </c>
      <c r="B3904" s="4">
        <v>0.95</v>
      </c>
      <c r="C3904" s="4">
        <v>0</v>
      </c>
      <c r="D3904" s="4">
        <v>0.95</v>
      </c>
      <c r="E3904">
        <v>1</v>
      </c>
      <c r="F3904">
        <v>1</v>
      </c>
    </row>
    <row r="3905" spans="1:6" x14ac:dyDescent="0.25">
      <c r="A3905" t="s">
        <v>4031</v>
      </c>
      <c r="B3905" s="4">
        <v>0.85</v>
      </c>
      <c r="C3905" s="4">
        <v>0</v>
      </c>
      <c r="D3905" s="4">
        <v>0.85</v>
      </c>
      <c r="E3905">
        <v>1</v>
      </c>
      <c r="F3905">
        <v>1</v>
      </c>
    </row>
    <row r="3906" spans="1:6" x14ac:dyDescent="0.25">
      <c r="A3906" t="s">
        <v>4032</v>
      </c>
      <c r="B3906" s="4">
        <v>0.84</v>
      </c>
      <c r="C3906" s="4">
        <v>0</v>
      </c>
      <c r="D3906" s="4">
        <v>0.84</v>
      </c>
      <c r="E3906">
        <v>1</v>
      </c>
      <c r="F3906">
        <v>1</v>
      </c>
    </row>
    <row r="3907" spans="1:6" x14ac:dyDescent="0.25">
      <c r="A3907" t="s">
        <v>4033</v>
      </c>
      <c r="B3907" s="4">
        <v>0.83</v>
      </c>
      <c r="C3907" s="4">
        <v>0</v>
      </c>
      <c r="D3907" s="4">
        <v>0.83</v>
      </c>
      <c r="E3907">
        <v>1</v>
      </c>
      <c r="F3907">
        <v>1</v>
      </c>
    </row>
    <row r="3908" spans="1:6" x14ac:dyDescent="0.25">
      <c r="A3908" t="s">
        <v>4034</v>
      </c>
      <c r="B3908" s="4">
        <v>0.42</v>
      </c>
      <c r="C3908" s="4">
        <v>0</v>
      </c>
      <c r="D3908" s="4">
        <v>0.42</v>
      </c>
      <c r="E3908">
        <v>1</v>
      </c>
      <c r="F3908">
        <v>1</v>
      </c>
    </row>
    <row r="3909" spans="1:6" x14ac:dyDescent="0.25">
      <c r="A3909" t="s">
        <v>4035</v>
      </c>
      <c r="B3909" s="4">
        <v>3.0000000000000001E-3</v>
      </c>
      <c r="C3909" s="4">
        <v>0</v>
      </c>
      <c r="D3909" s="4">
        <v>3.0000000000000001E-3</v>
      </c>
      <c r="E3909">
        <v>3</v>
      </c>
      <c r="F3909">
        <v>3</v>
      </c>
    </row>
    <row r="3910" spans="1:6" x14ac:dyDescent="0.25">
      <c r="A3910" t="s">
        <v>4036</v>
      </c>
      <c r="B3910" s="4">
        <v>0</v>
      </c>
      <c r="C3910" s="4">
        <v>1.45</v>
      </c>
      <c r="D3910" s="4">
        <v>-1.45</v>
      </c>
      <c r="E3910">
        <v>0</v>
      </c>
      <c r="F3910">
        <v>0</v>
      </c>
    </row>
    <row r="3911" spans="1:6" x14ac:dyDescent="0.25">
      <c r="A3911" t="s">
        <v>4037</v>
      </c>
      <c r="B3911" s="4">
        <v>0</v>
      </c>
      <c r="C3911" s="4">
        <v>2.52</v>
      </c>
      <c r="D3911" s="4">
        <v>-2.52</v>
      </c>
      <c r="E3911">
        <v>0</v>
      </c>
      <c r="F3911">
        <v>0</v>
      </c>
    </row>
    <row r="3912" spans="1:6" x14ac:dyDescent="0.25">
      <c r="A3912" t="s">
        <v>4038</v>
      </c>
      <c r="B3912" s="4">
        <v>0</v>
      </c>
      <c r="C3912" s="4">
        <v>39.6</v>
      </c>
      <c r="D3912" s="4">
        <v>-39.6</v>
      </c>
      <c r="E3912">
        <v>0</v>
      </c>
      <c r="F3912">
        <v>0</v>
      </c>
    </row>
    <row r="3913" spans="1:6" x14ac:dyDescent="0.25">
      <c r="A3913" t="s">
        <v>4039</v>
      </c>
      <c r="B3913" s="4">
        <v>0</v>
      </c>
      <c r="C3913" s="4">
        <v>2.95</v>
      </c>
      <c r="D3913" s="4">
        <v>-2.95</v>
      </c>
      <c r="E3913">
        <v>0</v>
      </c>
      <c r="F3913">
        <v>0</v>
      </c>
    </row>
    <row r="3914" spans="1:6" x14ac:dyDescent="0.25">
      <c r="A3914" t="s">
        <v>4040</v>
      </c>
      <c r="B3914" s="4">
        <v>0</v>
      </c>
      <c r="C3914" s="4">
        <v>10.75</v>
      </c>
      <c r="D3914" s="4">
        <v>-10.75</v>
      </c>
      <c r="E3914">
        <v>0</v>
      </c>
      <c r="F3914">
        <v>0</v>
      </c>
    </row>
    <row r="3915" spans="1:6" x14ac:dyDescent="0.25">
      <c r="A3915" t="s">
        <v>4041</v>
      </c>
      <c r="B3915" s="4">
        <v>0</v>
      </c>
      <c r="C3915" s="4">
        <v>4.95</v>
      </c>
      <c r="D3915" s="4">
        <v>-4.95</v>
      </c>
      <c r="E3915">
        <v>0</v>
      </c>
      <c r="F3915">
        <v>0</v>
      </c>
    </row>
    <row r="3916" spans="1:6" x14ac:dyDescent="0.25">
      <c r="A3916" t="s">
        <v>4042</v>
      </c>
      <c r="B3916" s="4">
        <v>0</v>
      </c>
      <c r="C3916" s="4">
        <v>54</v>
      </c>
      <c r="D3916" s="4">
        <v>-54</v>
      </c>
      <c r="E3916">
        <v>0</v>
      </c>
      <c r="F3916">
        <v>0</v>
      </c>
    </row>
    <row r="3917" spans="1:6" x14ac:dyDescent="0.25">
      <c r="A3917" t="s">
        <v>4043</v>
      </c>
      <c r="B3917" s="4">
        <v>0</v>
      </c>
      <c r="C3917" s="4">
        <v>5.55</v>
      </c>
      <c r="D3917" s="4">
        <v>-5.55</v>
      </c>
      <c r="E3917">
        <v>0</v>
      </c>
      <c r="F3917">
        <v>0</v>
      </c>
    </row>
    <row r="3918" spans="1:6" x14ac:dyDescent="0.25">
      <c r="A3918" t="s">
        <v>4044</v>
      </c>
      <c r="B3918" s="4">
        <v>0</v>
      </c>
      <c r="C3918" s="4">
        <v>2.5499999999999998</v>
      </c>
      <c r="D3918" s="4">
        <v>-2.5499999999999998</v>
      </c>
      <c r="E3918">
        <v>0</v>
      </c>
      <c r="F3918">
        <v>0</v>
      </c>
    </row>
    <row r="3919" spans="1:6" x14ac:dyDescent="0.25">
      <c r="A3919" t="s">
        <v>4045</v>
      </c>
      <c r="B3919" s="4">
        <v>0</v>
      </c>
      <c r="C3919" s="4">
        <v>14.85</v>
      </c>
      <c r="D3919" s="4">
        <v>-14.85</v>
      </c>
      <c r="E3919">
        <v>0</v>
      </c>
      <c r="F3919">
        <v>0</v>
      </c>
    </row>
    <row r="3920" spans="1:6" x14ac:dyDescent="0.25">
      <c r="A3920" t="s">
        <v>4046</v>
      </c>
      <c r="B3920" s="4">
        <v>0</v>
      </c>
      <c r="C3920" s="4">
        <v>46.85</v>
      </c>
      <c r="D3920" s="4">
        <v>-46.85</v>
      </c>
      <c r="E3920">
        <v>0</v>
      </c>
      <c r="F3920">
        <v>0</v>
      </c>
    </row>
    <row r="3921" spans="1:6" x14ac:dyDescent="0.25">
      <c r="A3921" t="s">
        <v>4047</v>
      </c>
      <c r="B3921" s="4">
        <v>0</v>
      </c>
      <c r="C3921" s="4">
        <v>12.75</v>
      </c>
      <c r="D3921" s="4">
        <v>-12.75</v>
      </c>
      <c r="E3921">
        <v>0</v>
      </c>
      <c r="F3921">
        <v>0</v>
      </c>
    </row>
    <row r="3922" spans="1:6" x14ac:dyDescent="0.25">
      <c r="A3922" t="s">
        <v>4048</v>
      </c>
      <c r="B3922" s="4">
        <v>0</v>
      </c>
      <c r="C3922" s="4">
        <v>7.95</v>
      </c>
      <c r="D3922" s="4">
        <v>-7.95</v>
      </c>
      <c r="E3922">
        <v>0</v>
      </c>
      <c r="F3922">
        <v>0</v>
      </c>
    </row>
    <row r="3923" spans="1:6" x14ac:dyDescent="0.25">
      <c r="A3923" t="s">
        <v>4049</v>
      </c>
      <c r="B3923" s="4">
        <v>0</v>
      </c>
      <c r="C3923" s="4">
        <v>3.75</v>
      </c>
      <c r="D3923" s="4">
        <v>-3.75</v>
      </c>
      <c r="E3923">
        <v>0</v>
      </c>
      <c r="F3923">
        <v>0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6"/>
  <sheetViews>
    <sheetView showGridLines="0" workbookViewId="0" tabSelected="0">
      <pane ySplit="1" topLeftCell="A2" activePane="bottomLeft" state="frozen"/>
      <selection pane="bottomLeft"/>
    </sheetView>
  </sheetViews>
  <sheetFormatPr defaultRowHeight="15" x14ac:dyDescent="0.25"/>
  <cols>
    <col min="1" max="1" width="29.7109375" customWidth="1"/>
    <col min="2" max="4" width="18.7109375" customWidth="1"/>
    <col min="5" max="5" width="20" bestFit="1" customWidth="1"/>
    <col min="6" max="6" width="18.7109375" customWidth="1"/>
  </cols>
  <sheetData>
    <row r="1" spans="1:6" ht="27.95" customHeight="1" x14ac:dyDescent="0.25">
      <c r="A1" t="s">
        <v>4050</v>
      </c>
      <c r="B1" t="s">
        <v>4051</v>
      </c>
      <c r="C1" t="s">
        <v>4052</v>
      </c>
      <c r="D1" t="s">
        <v>4053</v>
      </c>
      <c r="E1" t="s">
        <v>4054</v>
      </c>
      <c r="F1" t="s">
        <v>4055</v>
      </c>
    </row>
    <row r="2" spans="1:6" x14ac:dyDescent="0.25">
      <c r="A2" t="s">
        <v>4056</v>
      </c>
      <c r="B2">
        <v>527761</v>
      </c>
      <c r="C2">
        <v>19773</v>
      </c>
      <c r="D2">
        <v>102714330630</v>
      </c>
      <c r="E2" s="4">
        <v>10271433.062999999</v>
      </c>
      <c r="F2">
        <v>226068</v>
      </c>
    </row>
    <row r="3" spans="1:6" x14ac:dyDescent="0.25">
      <c r="A3" t="s">
        <v>4057</v>
      </c>
      <c r="B3">
        <v>8704</v>
      </c>
      <c r="C3">
        <v>3422</v>
      </c>
      <c r="D3">
        <v>-4787241800</v>
      </c>
      <c r="E3" s="4">
        <v>-478724.18</v>
      </c>
      <c r="F3">
        <v>2572</v>
      </c>
    </row>
    <row r="4" spans="1:6" x14ac:dyDescent="0.25">
      <c r="A4" t="s">
        <v>4058</v>
      </c>
      <c r="B4">
        <v>2946</v>
      </c>
      <c r="C4">
        <v>2769</v>
      </c>
      <c r="D4">
        <v>-449609490</v>
      </c>
      <c r="E4" s="4">
        <v>-44960.949000000001</v>
      </c>
      <c r="F4">
        <v>1043</v>
      </c>
    </row>
    <row r="5" spans="1:6" x14ac:dyDescent="0.25">
      <c r="A5" t="s">
        <v>4059</v>
      </c>
      <c r="B5">
        <v>1335</v>
      </c>
      <c r="C5">
        <v>1335</v>
      </c>
      <c r="D5">
        <v>0</v>
      </c>
      <c r="E5" s="4">
        <v>0</v>
      </c>
      <c r="F5">
        <v>1335</v>
      </c>
    </row>
    <row r="6" spans="1:6" x14ac:dyDescent="0.25">
      <c r="A6" t="s">
        <v>4060</v>
      </c>
      <c r="B6">
        <v>1163</v>
      </c>
      <c r="C6">
        <v>805</v>
      </c>
      <c r="D6">
        <v>0</v>
      </c>
      <c r="E6" s="4">
        <v>0</v>
      </c>
      <c r="F6">
        <v>1163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6"/>
  <sheetViews>
    <sheetView showGridLines="0" workbookViewId="0" tabSelected="0">
      <pane ySplit="1" topLeftCell="A2" activePane="bottomLeft" state="frozen"/>
      <selection pane="bottomLeft"/>
    </sheetView>
  </sheetViews>
  <sheetFormatPr defaultRowHeight="15" x14ac:dyDescent="0.25"/>
  <cols>
    <col min="1" max="1" width="45.7109375" customWidth="1"/>
    <col min="2" max="3" width="18.7109375" customWidth="1"/>
  </cols>
  <sheetData>
    <row r="1" spans="1:3" ht="27.95" customHeight="1" x14ac:dyDescent="0.25">
      <c r="A1" t="s">
        <v>4061</v>
      </c>
      <c r="B1" t="s">
        <v>4062</v>
      </c>
      <c r="C1" t="s">
        <v>46</v>
      </c>
    </row>
    <row r="2" spans="1:3" x14ac:dyDescent="0.25">
      <c r="A2" t="s">
        <v>4063</v>
      </c>
      <c r="B2" s="4">
        <v>9747747.9340000004</v>
      </c>
      <c r="C2" s="4">
        <v>9747747.9340000004</v>
      </c>
    </row>
    <row r="3" spans="1:3" x14ac:dyDescent="0.25">
      <c r="A3" t="s">
        <v>4064</v>
      </c>
      <c r="B3" s="4">
        <v>44960.949000000001</v>
      </c>
      <c r="C3" s="4">
        <v>9792708.8829999994</v>
      </c>
    </row>
    <row r="4" spans="1:3" x14ac:dyDescent="0.25">
      <c r="A4" t="s">
        <v>4065</v>
      </c>
      <c r="B4" s="4">
        <v>0</v>
      </c>
      <c r="C4" s="4">
        <v>9792708.8829999994</v>
      </c>
    </row>
    <row r="5" spans="1:3" x14ac:dyDescent="0.25">
      <c r="A5" t="s">
        <v>4066</v>
      </c>
      <c r="B5" s="4">
        <v>0</v>
      </c>
      <c r="C5" s="4">
        <v>9792708.8829999994</v>
      </c>
    </row>
    <row r="6" spans="1:3" x14ac:dyDescent="0.25">
      <c r="A6" t="s">
        <v>4067</v>
      </c>
      <c r="B6" s="4">
        <v>0</v>
      </c>
      <c r="C6" s="4">
        <v>9792708.8829999994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16"/>
  <sheetViews>
    <sheetView showGridLines="0" workbookViewId="0" tabSelected="0">
      <pane ySplit="1" topLeftCell="A2" activePane="bottomLeft" state="frozen"/>
      <selection pane="bottomLeft"/>
    </sheetView>
  </sheetViews>
  <sheetFormatPr defaultRowHeight="15" x14ac:dyDescent="0.25"/>
  <cols>
    <col min="1" max="1" width="29.7109375" customWidth="1"/>
    <col min="2" max="2" width="33.5703125" bestFit="1" customWidth="1"/>
    <col min="3" max="4" width="18.7109375" customWidth="1"/>
    <col min="5" max="5" width="20.7109375" bestFit="1" customWidth="1"/>
    <col min="6" max="6" width="50" bestFit="1" customWidth="1"/>
  </cols>
  <sheetData>
    <row r="1" spans="1:6" ht="27.95" customHeight="1" x14ac:dyDescent="0.25">
      <c r="A1" t="s">
        <v>4068</v>
      </c>
      <c r="B1" t="s">
        <v>4069</v>
      </c>
      <c r="C1" t="s">
        <v>4070</v>
      </c>
      <c r="D1" t="s">
        <v>4051</v>
      </c>
      <c r="E1" t="s">
        <v>4071</v>
      </c>
      <c r="F1" t="s">
        <v>4072</v>
      </c>
    </row>
    <row r="2" spans="1:6" x14ac:dyDescent="0.25">
      <c r="A2" t="s">
        <v>4073</v>
      </c>
      <c r="B2" t="s">
        <v>4074</v>
      </c>
      <c r="C2" t="s">
        <v>4075</v>
      </c>
      <c r="D2">
        <v>135080</v>
      </c>
      <c r="E2" t="s">
        <v>4076</v>
      </c>
      <c r="F2" t="s">
        <v>4077</v>
      </c>
    </row>
    <row r="3" spans="1:6" x14ac:dyDescent="0.25">
      <c r="A3" t="s">
        <v>4078</v>
      </c>
      <c r="B3" t="s">
        <v>4079</v>
      </c>
      <c r="C3" t="s">
        <v>4075</v>
      </c>
      <c r="D3">
        <v>1454</v>
      </c>
      <c r="E3" t="s">
        <v>4076</v>
      </c>
      <c r="F3" t="s">
        <v>4080</v>
      </c>
    </row>
    <row r="4" spans="1:6" x14ac:dyDescent="0.25">
      <c r="A4" t="s">
        <v>4081</v>
      </c>
      <c r="B4" t="s">
        <v>4082</v>
      </c>
      <c r="C4" t="s">
        <v>4075</v>
      </c>
      <c r="D4">
        <v>1</v>
      </c>
      <c r="E4" t="s">
        <v>4083</v>
      </c>
      <c r="F4" t="s">
        <v>4084</v>
      </c>
    </row>
    <row r="5" spans="1:6" x14ac:dyDescent="0.25">
      <c r="A5" t="s">
        <v>4085</v>
      </c>
      <c r="B5" t="s">
        <v>4086</v>
      </c>
      <c r="C5" t="s">
        <v>4087</v>
      </c>
      <c r="D5">
        <v>113452</v>
      </c>
      <c r="E5" t="s">
        <v>4088</v>
      </c>
      <c r="F5" t="s">
        <v>4089</v>
      </c>
    </row>
    <row r="6" spans="1:6" x14ac:dyDescent="0.25">
      <c r="A6" t="s">
        <v>4090</v>
      </c>
      <c r="B6" t="s">
        <v>4091</v>
      </c>
      <c r="C6" t="s">
        <v>4075</v>
      </c>
      <c r="D6">
        <v>10147</v>
      </c>
      <c r="E6" t="s">
        <v>4092</v>
      </c>
      <c r="F6" t="s">
        <v>4093</v>
      </c>
    </row>
    <row r="7" spans="1:6" x14ac:dyDescent="0.25">
      <c r="A7" t="s">
        <v>4094</v>
      </c>
      <c r="B7" t="s">
        <v>4095</v>
      </c>
      <c r="C7" t="s">
        <v>4096</v>
      </c>
      <c r="D7">
        <v>5268</v>
      </c>
      <c r="E7" t="s">
        <v>4097</v>
      </c>
      <c r="F7" t="s">
        <v>4098</v>
      </c>
    </row>
    <row r="8" spans="1:6" x14ac:dyDescent="0.25">
      <c r="A8" t="s">
        <v>4099</v>
      </c>
      <c r="B8" t="s">
        <v>4100</v>
      </c>
      <c r="C8" t="s">
        <v>4075</v>
      </c>
      <c r="D8">
        <v>4</v>
      </c>
      <c r="E8" t="s">
        <v>4101</v>
      </c>
      <c r="F8" t="s">
        <v>4102</v>
      </c>
    </row>
    <row r="9" spans="1:6" x14ac:dyDescent="0.25">
      <c r="A9" t="s">
        <v>4103</v>
      </c>
      <c r="B9" t="s">
        <v>4104</v>
      </c>
      <c r="C9" t="s">
        <v>4075</v>
      </c>
      <c r="D9">
        <v>113465</v>
      </c>
      <c r="E9" t="s">
        <v>4105</v>
      </c>
      <c r="F9" t="s">
        <v>4106</v>
      </c>
    </row>
    <row r="10" spans="1:6" x14ac:dyDescent="0.25">
      <c r="A10" t="s">
        <v>4107</v>
      </c>
      <c r="B10" t="s">
        <v>4108</v>
      </c>
      <c r="C10" t="s">
        <v>4075</v>
      </c>
      <c r="D10">
        <v>1336</v>
      </c>
      <c r="E10" t="s">
        <v>4109</v>
      </c>
      <c r="F10" t="s">
        <v>4110</v>
      </c>
    </row>
    <row r="11" spans="1:6" x14ac:dyDescent="0.25">
      <c r="A11" t="s">
        <v>4111</v>
      </c>
      <c r="B11" t="s">
        <v>4112</v>
      </c>
      <c r="C11" t="s">
        <v>4075</v>
      </c>
      <c r="D11">
        <v>2515</v>
      </c>
      <c r="E11" t="s">
        <v>4076</v>
      </c>
      <c r="F11" t="s">
        <v>4113</v>
      </c>
    </row>
    <row r="12" spans="1:6" x14ac:dyDescent="0.25">
      <c r="A12" t="s">
        <v>4114</v>
      </c>
      <c r="B12" t="s">
        <v>4115</v>
      </c>
      <c r="C12" t="s">
        <v>4075</v>
      </c>
      <c r="D12">
        <v>2</v>
      </c>
      <c r="E12" t="s">
        <v>4116</v>
      </c>
      <c r="F12" t="s">
        <v>4117</v>
      </c>
    </row>
    <row r="13" spans="1:6" x14ac:dyDescent="0.25">
      <c r="A13" t="s">
        <v>4118</v>
      </c>
      <c r="B13" t="s">
        <v>4119</v>
      </c>
      <c r="C13" t="s">
        <v>4075</v>
      </c>
      <c r="D13">
        <v>17</v>
      </c>
      <c r="E13" t="s">
        <v>4120</v>
      </c>
      <c r="F13" t="s">
        <v>4121</v>
      </c>
    </row>
    <row r="14" spans="1:6" x14ac:dyDescent="0.25">
      <c r="A14" t="s">
        <v>4122</v>
      </c>
      <c r="B14" t="s">
        <v>4123</v>
      </c>
      <c r="C14" t="s">
        <v>4075</v>
      </c>
      <c r="D14">
        <v>0</v>
      </c>
      <c r="F14" t="s">
        <v>4124</v>
      </c>
    </row>
    <row r="15" spans="1:6" x14ac:dyDescent="0.25">
      <c r="A15" t="s">
        <v>4125</v>
      </c>
      <c r="B15" t="s">
        <v>4126</v>
      </c>
      <c r="C15" t="s">
        <v>4127</v>
      </c>
      <c r="D15">
        <v>3</v>
      </c>
      <c r="E15" t="s">
        <v>4128</v>
      </c>
      <c r="F15" t="s">
        <v>4129</v>
      </c>
    </row>
    <row r="16" spans="1:6" x14ac:dyDescent="0.25">
      <c r="A16" t="s">
        <v>4130</v>
      </c>
      <c r="B16" t="s">
        <v>4131</v>
      </c>
      <c r="C16" t="s">
        <v>4127</v>
      </c>
      <c r="D16">
        <v>9288</v>
      </c>
      <c r="E16" t="s">
        <v>4132</v>
      </c>
      <c r="F16" t="s">
        <v>4133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32"/>
  <sheetViews>
    <sheetView showGridLines="0" workbookViewId="0" tabSelected="0">
      <pane ySplit="1" topLeftCell="A2" activePane="bottomLeft" state="frozen"/>
      <selection pane="bottomLeft"/>
    </sheetView>
  </sheetViews>
  <sheetFormatPr defaultRowHeight="15" x14ac:dyDescent="0.25"/>
  <cols>
    <col min="1" max="1" width="45.7109375" customWidth="1"/>
    <col min="2" max="3" width="50" bestFit="1" customWidth="1"/>
    <col min="4" max="5" width="18.7109375" customWidth="1"/>
  </cols>
  <sheetData>
    <row r="1" spans="1:5" ht="27.95" customHeight="1" x14ac:dyDescent="0.25">
      <c r="A1" t="s">
        <v>4134</v>
      </c>
      <c r="B1" t="s">
        <v>4135</v>
      </c>
      <c r="C1" t="s">
        <v>4136</v>
      </c>
      <c r="D1" t="s">
        <v>4137</v>
      </c>
      <c r="E1" t="s">
        <v>4138</v>
      </c>
    </row>
    <row r="2" spans="1:5" x14ac:dyDescent="0.25">
      <c r="A2" t="s">
        <v>4139</v>
      </c>
      <c r="B2" t="s">
        <v>4140</v>
      </c>
      <c r="C2" t="s">
        <v>4140</v>
      </c>
      <c r="D2" t="s">
        <v>4141</v>
      </c>
      <c r="E2" t="s">
        <v>4142</v>
      </c>
    </row>
    <row r="3" spans="1:5" x14ac:dyDescent="0.25">
      <c r="A3" t="s">
        <v>4143</v>
      </c>
      <c r="B3" t="s">
        <v>4140</v>
      </c>
      <c r="C3" t="s">
        <v>4140</v>
      </c>
      <c r="D3" t="s">
        <v>4141</v>
      </c>
      <c r="E3" t="s">
        <v>4142</v>
      </c>
    </row>
    <row r="4" spans="1:5" x14ac:dyDescent="0.25">
      <c r="A4" t="s">
        <v>4144</v>
      </c>
      <c r="B4" t="s">
        <v>4140</v>
      </c>
      <c r="C4" t="s">
        <v>4140</v>
      </c>
      <c r="D4" t="s">
        <v>4141</v>
      </c>
      <c r="E4" t="s">
        <v>4142</v>
      </c>
    </row>
    <row r="5" spans="1:5" x14ac:dyDescent="0.25">
      <c r="A5" t="s">
        <v>4145</v>
      </c>
      <c r="B5" t="s">
        <v>4146</v>
      </c>
      <c r="C5" t="s">
        <v>4146</v>
      </c>
      <c r="D5" t="s">
        <v>4141</v>
      </c>
      <c r="E5" t="s">
        <v>4142</v>
      </c>
    </row>
    <row r="6" spans="1:5" x14ac:dyDescent="0.25">
      <c r="A6" t="s">
        <v>4147</v>
      </c>
      <c r="B6" t="s">
        <v>4148</v>
      </c>
      <c r="C6" t="s">
        <v>4148</v>
      </c>
      <c r="D6" t="s">
        <v>4141</v>
      </c>
      <c r="E6" t="s">
        <v>4142</v>
      </c>
    </row>
    <row r="7" spans="1:5" x14ac:dyDescent="0.25">
      <c r="A7" t="s">
        <v>4149</v>
      </c>
      <c r="B7" t="s">
        <v>4140</v>
      </c>
      <c r="C7" t="s">
        <v>4140</v>
      </c>
      <c r="D7" t="s">
        <v>4141</v>
      </c>
      <c r="E7" t="s">
        <v>4142</v>
      </c>
    </row>
    <row r="8" spans="1:5" x14ac:dyDescent="0.25">
      <c r="A8" t="s">
        <v>4150</v>
      </c>
      <c r="B8" t="s">
        <v>4146</v>
      </c>
      <c r="C8" t="s">
        <v>4146</v>
      </c>
      <c r="D8" t="s">
        <v>4141</v>
      </c>
      <c r="E8" t="s">
        <v>4142</v>
      </c>
    </row>
    <row r="9" spans="1:5" x14ac:dyDescent="0.25">
      <c r="A9" t="s">
        <v>4151</v>
      </c>
      <c r="B9" t="s">
        <v>4140</v>
      </c>
      <c r="C9" t="s">
        <v>4140</v>
      </c>
      <c r="D9" t="s">
        <v>4141</v>
      </c>
      <c r="E9" t="s">
        <v>4142</v>
      </c>
    </row>
    <row r="10" spans="1:5" x14ac:dyDescent="0.25">
      <c r="A10" t="s">
        <v>4152</v>
      </c>
      <c r="B10" t="s">
        <v>4153</v>
      </c>
      <c r="C10" t="s">
        <v>4153</v>
      </c>
      <c r="D10" t="s">
        <v>4141</v>
      </c>
      <c r="E10" t="s">
        <v>4142</v>
      </c>
    </row>
    <row r="11" spans="1:5" x14ac:dyDescent="0.25">
      <c r="A11" t="s">
        <v>4154</v>
      </c>
      <c r="B11" t="s">
        <v>4153</v>
      </c>
      <c r="C11" t="s">
        <v>4155</v>
      </c>
      <c r="D11" t="s">
        <v>4141</v>
      </c>
      <c r="E11" t="s">
        <v>4142</v>
      </c>
    </row>
    <row r="12" spans="1:5" x14ac:dyDescent="0.25">
      <c r="A12" t="s">
        <v>4156</v>
      </c>
      <c r="B12" t="s">
        <v>4153</v>
      </c>
      <c r="C12" t="s">
        <v>4153</v>
      </c>
      <c r="D12" t="s">
        <v>4141</v>
      </c>
      <c r="E12" t="s">
        <v>4142</v>
      </c>
    </row>
    <row r="13" spans="1:5" x14ac:dyDescent="0.25">
      <c r="A13" t="s">
        <v>4157</v>
      </c>
      <c r="B13" t="s">
        <v>4158</v>
      </c>
      <c r="C13" t="s">
        <v>4158</v>
      </c>
      <c r="D13" t="s">
        <v>4141</v>
      </c>
      <c r="E13" t="s">
        <v>4142</v>
      </c>
    </row>
    <row r="14" spans="1:5" x14ac:dyDescent="0.25">
      <c r="A14" t="s">
        <v>4159</v>
      </c>
      <c r="B14" t="s">
        <v>4160</v>
      </c>
      <c r="C14" t="s">
        <v>4160</v>
      </c>
      <c r="D14" t="s">
        <v>4141</v>
      </c>
      <c r="E14" t="s">
        <v>4142</v>
      </c>
    </row>
    <row r="15" spans="1:5" x14ac:dyDescent="0.25">
      <c r="A15" t="s">
        <v>4161</v>
      </c>
      <c r="B15" t="s">
        <v>4162</v>
      </c>
      <c r="C15" t="s">
        <v>4162</v>
      </c>
      <c r="D15" t="s">
        <v>4141</v>
      </c>
      <c r="E15" t="s">
        <v>4142</v>
      </c>
    </row>
    <row r="16" spans="1:5" x14ac:dyDescent="0.25">
      <c r="A16" t="s">
        <v>4163</v>
      </c>
      <c r="B16" t="s">
        <v>4164</v>
      </c>
      <c r="C16" t="s">
        <v>4164</v>
      </c>
      <c r="D16" t="s">
        <v>4141</v>
      </c>
      <c r="E16" t="s">
        <v>4142</v>
      </c>
    </row>
    <row r="17" spans="1:5" x14ac:dyDescent="0.25">
      <c r="A17" t="s">
        <v>4165</v>
      </c>
      <c r="B17" t="s">
        <v>4140</v>
      </c>
      <c r="C17" t="s">
        <v>4140</v>
      </c>
      <c r="D17" t="s">
        <v>4141</v>
      </c>
      <c r="E17" t="s">
        <v>4142</v>
      </c>
    </row>
    <row r="18" spans="1:5" x14ac:dyDescent="0.25">
      <c r="A18" t="s">
        <v>4166</v>
      </c>
      <c r="B18" t="s">
        <v>4167</v>
      </c>
      <c r="C18" t="s">
        <v>4167</v>
      </c>
      <c r="D18" t="s">
        <v>4141</v>
      </c>
      <c r="E18" t="s">
        <v>4142</v>
      </c>
    </row>
    <row r="19" spans="1:5" x14ac:dyDescent="0.25">
      <c r="A19" t="s">
        <v>4168</v>
      </c>
      <c r="B19" t="s">
        <v>4169</v>
      </c>
      <c r="C19" t="s">
        <v>4169</v>
      </c>
      <c r="D19" t="s">
        <v>4141</v>
      </c>
      <c r="E19" t="s">
        <v>4142</v>
      </c>
    </row>
    <row r="20" spans="1:5" x14ac:dyDescent="0.25">
      <c r="A20" t="s">
        <v>4170</v>
      </c>
      <c r="B20" t="s">
        <v>4171</v>
      </c>
      <c r="C20" t="s">
        <v>4171</v>
      </c>
      <c r="D20" t="s">
        <v>4141</v>
      </c>
      <c r="E20" t="s">
        <v>4142</v>
      </c>
    </row>
    <row r="21" spans="1:5" x14ac:dyDescent="0.25">
      <c r="A21" t="s">
        <v>4172</v>
      </c>
      <c r="B21" t="s">
        <v>4173</v>
      </c>
      <c r="C21" t="s">
        <v>4173</v>
      </c>
      <c r="D21" t="s">
        <v>4141</v>
      </c>
      <c r="E21" t="s">
        <v>4142</v>
      </c>
    </row>
    <row r="22" spans="1:5" x14ac:dyDescent="0.25">
      <c r="A22" t="s">
        <v>4174</v>
      </c>
      <c r="B22" t="s">
        <v>4175</v>
      </c>
      <c r="C22" t="s">
        <v>4175</v>
      </c>
      <c r="D22" t="s">
        <v>4141</v>
      </c>
      <c r="E22" t="s">
        <v>4142</v>
      </c>
    </row>
    <row r="23" spans="1:5" x14ac:dyDescent="0.25">
      <c r="A23" t="s">
        <v>4176</v>
      </c>
      <c r="B23" t="s">
        <v>4160</v>
      </c>
      <c r="C23" t="s">
        <v>4160</v>
      </c>
      <c r="D23" t="s">
        <v>4141</v>
      </c>
      <c r="E23" t="s">
        <v>4142</v>
      </c>
    </row>
    <row r="24" spans="1:5" x14ac:dyDescent="0.25">
      <c r="A24" t="s">
        <v>4177</v>
      </c>
      <c r="B24" t="s">
        <v>4178</v>
      </c>
      <c r="C24" t="s">
        <v>4178</v>
      </c>
      <c r="D24" t="s">
        <v>4141</v>
      </c>
      <c r="E24" t="s">
        <v>4142</v>
      </c>
    </row>
    <row r="25" spans="1:5" x14ac:dyDescent="0.25">
      <c r="A25" t="s">
        <v>4179</v>
      </c>
      <c r="B25" t="s">
        <v>4180</v>
      </c>
      <c r="C25" t="s">
        <v>4180</v>
      </c>
      <c r="D25" t="s">
        <v>4141</v>
      </c>
      <c r="E25" t="s">
        <v>4142</v>
      </c>
    </row>
    <row r="26" spans="1:5" x14ac:dyDescent="0.25">
      <c r="A26" t="s">
        <v>4181</v>
      </c>
      <c r="B26" t="s">
        <v>4182</v>
      </c>
      <c r="C26" t="s">
        <v>4182</v>
      </c>
      <c r="D26" t="s">
        <v>4141</v>
      </c>
      <c r="E26" t="s">
        <v>4142</v>
      </c>
    </row>
    <row r="27" spans="1:5" x14ac:dyDescent="0.25">
      <c r="A27" t="s">
        <v>4183</v>
      </c>
      <c r="B27" t="s">
        <v>4184</v>
      </c>
      <c r="C27" t="s">
        <v>4184</v>
      </c>
      <c r="D27" t="s">
        <v>4141</v>
      </c>
      <c r="E27" t="s">
        <v>4142</v>
      </c>
    </row>
    <row r="28" spans="1:5" x14ac:dyDescent="0.25">
      <c r="A28" t="s">
        <v>4185</v>
      </c>
      <c r="B28" t="s">
        <v>4186</v>
      </c>
      <c r="C28" t="s">
        <v>4186</v>
      </c>
      <c r="D28" t="s">
        <v>4141</v>
      </c>
      <c r="E28" t="s">
        <v>4142</v>
      </c>
    </row>
    <row r="29" spans="1:5" x14ac:dyDescent="0.25">
      <c r="A29" t="s">
        <v>4187</v>
      </c>
      <c r="B29" t="s">
        <v>4188</v>
      </c>
      <c r="C29" t="s">
        <v>4188</v>
      </c>
      <c r="D29" t="s">
        <v>4141</v>
      </c>
      <c r="E29" t="s">
        <v>4142</v>
      </c>
    </row>
    <row r="30" spans="1:5" x14ac:dyDescent="0.25">
      <c r="A30" t="s">
        <v>4189</v>
      </c>
      <c r="B30" t="s">
        <v>4148</v>
      </c>
      <c r="C30" t="s">
        <v>4148</v>
      </c>
      <c r="D30" t="s">
        <v>4141</v>
      </c>
      <c r="E30" t="s">
        <v>4142</v>
      </c>
    </row>
    <row r="31" spans="1:5" x14ac:dyDescent="0.25">
      <c r="A31" t="s">
        <v>4190</v>
      </c>
      <c r="B31" t="s">
        <v>4191</v>
      </c>
      <c r="C31" t="s">
        <v>4192</v>
      </c>
      <c r="D31" t="s">
        <v>4193</v>
      </c>
      <c r="E31" t="s">
        <v>4194</v>
      </c>
    </row>
    <row r="32" spans="1:5" x14ac:dyDescent="0.25">
      <c r="A32" t="s">
        <v>4195</v>
      </c>
      <c r="B32">
        <v>19773</v>
      </c>
      <c r="C32">
        <v>19773</v>
      </c>
      <c r="D32" t="s">
        <v>4141</v>
      </c>
      <c r="E32" t="s">
        <v>4142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3"/>
  <sheetViews>
    <sheetView showGridLines="0" workbookViewId="0" tabSelected="0">
      <pane ySplit="1" topLeftCell="A2" activePane="bottomLeft" state="frozen"/>
      <selection pane="bottomLeft"/>
    </sheetView>
  </sheetViews>
  <sheetFormatPr defaultRowHeight="15" x14ac:dyDescent="0.25"/>
  <cols>
    <col min="1" max="1" width="45.7109375" customWidth="1"/>
    <col min="2" max="2" width="18.7109375" customWidth="1"/>
    <col min="3" max="3" width="19.7109375" bestFit="1" customWidth="1"/>
    <col min="4" max="8" width="18.7109375" customWidth="1"/>
    <col min="9" max="9" width="19.140625" bestFit="1" customWidth="1"/>
    <col min="10" max="10" width="18.7109375" customWidth="1"/>
  </cols>
  <sheetData>
    <row r="1" spans="1:10" ht="27.95" customHeight="1" x14ac:dyDescent="0.25">
      <c r="A1" t="s">
        <v>4196</v>
      </c>
      <c r="B1" t="s">
        <v>26</v>
      </c>
      <c r="C1" t="s">
        <v>4197</v>
      </c>
      <c r="D1" t="s">
        <v>4198</v>
      </c>
      <c r="E1" t="s">
        <v>44</v>
      </c>
      <c r="F1" t="s">
        <v>45</v>
      </c>
      <c r="G1" t="s">
        <v>46</v>
      </c>
      <c r="H1" t="s">
        <v>43</v>
      </c>
      <c r="I1" t="s">
        <v>4199</v>
      </c>
      <c r="J1" t="s">
        <v>38</v>
      </c>
    </row>
    <row r="2" spans="1:10" x14ac:dyDescent="0.25">
      <c r="A2" t="s">
        <v>4200</v>
      </c>
      <c r="B2">
        <v>541909</v>
      </c>
      <c r="C2">
        <v>97477479340</v>
      </c>
      <c r="D2" s="4">
        <v>9747747.9340000004</v>
      </c>
      <c r="E2" s="4">
        <v>10271433.062999999</v>
      </c>
      <c r="F2" s="4">
        <v>478724.18</v>
      </c>
      <c r="G2" s="4">
        <v>9792708.8829999994</v>
      </c>
      <c r="H2">
        <v>19773</v>
      </c>
      <c r="I2">
        <v>4334</v>
      </c>
      <c r="J2">
        <v>232181</v>
      </c>
    </row>
    <row r="3" spans="1:10" x14ac:dyDescent="0.25">
      <c r="A3" t="s">
        <v>4201</v>
      </c>
      <c r="B3">
        <v>536641</v>
      </c>
      <c r="C3">
        <v>97260069540</v>
      </c>
      <c r="D3" s="4">
        <v>9726006.9539999999</v>
      </c>
      <c r="E3" s="4">
        <v>10247219.323000001</v>
      </c>
      <c r="F3" s="4">
        <v>475901.16</v>
      </c>
      <c r="G3" s="4">
        <v>9771318.1630000006</v>
      </c>
      <c r="H3">
        <v>19773</v>
      </c>
      <c r="I3">
        <v>4334</v>
      </c>
      <c r="J3">
        <v>226913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13"/>
  <sheetViews>
    <sheetView showGridLines="0" workbookViewId="0" tabSelected="0">
      <pane ySplit="1" topLeftCell="A2" activePane="bottomLeft" state="frozen"/>
      <selection pane="bottomLeft"/>
    </sheetView>
  </sheetViews>
  <sheetFormatPr defaultRowHeight="15" x14ac:dyDescent="0.25"/>
  <cols>
    <col min="1" max="1" width="58.7109375" customWidth="1"/>
    <col min="2" max="4" width="18.7109375" customWidth="1"/>
    <col min="5" max="6" width="45.7109375" customWidth="1"/>
    <col min="7" max="8" width="18.7109375" customWidth="1"/>
    <col min="9" max="9" width="29.7109375" customWidth="1"/>
    <col min="10" max="10" width="50" bestFit="1" customWidth="1"/>
    <col min="11" max="11" width="18.7109375" customWidth="1"/>
  </cols>
  <sheetData>
    <row r="1" spans="1:11" ht="27.95" customHeight="1" x14ac:dyDescent="0.25">
      <c r="A1" t="s">
        <v>4202</v>
      </c>
      <c r="B1" t="s">
        <v>4203</v>
      </c>
      <c r="C1" t="s">
        <v>4204</v>
      </c>
      <c r="D1" t="s">
        <v>4205</v>
      </c>
      <c r="E1" t="s">
        <v>4206</v>
      </c>
      <c r="F1" t="s">
        <v>4207</v>
      </c>
      <c r="G1" t="s">
        <v>4208</v>
      </c>
      <c r="H1" t="s">
        <v>4209</v>
      </c>
      <c r="I1" t="s">
        <v>4050</v>
      </c>
      <c r="J1" t="s">
        <v>4210</v>
      </c>
      <c r="K1" t="s">
        <v>4211</v>
      </c>
    </row>
    <row r="2" spans="1:11" x14ac:dyDescent="0.25">
      <c r="A2" t="s">
        <v>4212</v>
      </c>
      <c r="B2">
        <v>12</v>
      </c>
      <c r="C2">
        <v>536367</v>
      </c>
      <c r="D2">
        <v>22745</v>
      </c>
      <c r="E2" t="s">
        <v>4213</v>
      </c>
      <c r="F2" t="s">
        <v>4214</v>
      </c>
      <c r="G2">
        <v>13047</v>
      </c>
      <c r="H2" t="s">
        <v>4215</v>
      </c>
      <c r="I2" t="s">
        <v>4056</v>
      </c>
      <c r="K2" s="4">
        <v>12.6</v>
      </c>
    </row>
    <row r="3" spans="1:11" x14ac:dyDescent="0.25">
      <c r="A3" t="s">
        <v>4216</v>
      </c>
      <c r="B3">
        <v>487</v>
      </c>
      <c r="C3">
        <v>536409</v>
      </c>
      <c r="D3">
        <v>22111</v>
      </c>
      <c r="E3" t="s">
        <v>4217</v>
      </c>
      <c r="F3" t="s">
        <v>4217</v>
      </c>
      <c r="G3">
        <v>17908</v>
      </c>
      <c r="H3" t="s">
        <v>4218</v>
      </c>
      <c r="I3" t="s">
        <v>4056</v>
      </c>
      <c r="J3" t="s">
        <v>4091</v>
      </c>
      <c r="K3" s="4">
        <v>4.95</v>
      </c>
    </row>
    <row r="4" spans="1:11" x14ac:dyDescent="0.25">
      <c r="A4" t="s">
        <v>4219</v>
      </c>
      <c r="B4">
        <v>541</v>
      </c>
      <c r="C4">
        <v>536409</v>
      </c>
      <c r="D4">
        <v>22111</v>
      </c>
      <c r="E4" t="s">
        <v>4217</v>
      </c>
      <c r="F4" t="s">
        <v>4217</v>
      </c>
      <c r="G4">
        <v>17908</v>
      </c>
      <c r="H4" t="s">
        <v>4218</v>
      </c>
      <c r="I4" t="s">
        <v>4056</v>
      </c>
      <c r="J4" t="s">
        <v>4091</v>
      </c>
      <c r="K4" s="4">
        <v>4.95</v>
      </c>
    </row>
    <row r="5" spans="1:11" x14ac:dyDescent="0.25">
      <c r="A5" t="s">
        <v>4220</v>
      </c>
      <c r="B5">
        <v>624</v>
      </c>
      <c r="C5">
        <v>536414</v>
      </c>
      <c r="D5">
        <v>22139</v>
      </c>
      <c r="I5" t="s">
        <v>4060</v>
      </c>
      <c r="J5" t="s">
        <v>4221</v>
      </c>
      <c r="K5" s="4">
        <v>0</v>
      </c>
    </row>
    <row r="6" spans="1:11" x14ac:dyDescent="0.25">
      <c r="A6" t="s">
        <v>4222</v>
      </c>
      <c r="B6">
        <v>1445</v>
      </c>
      <c r="C6">
        <v>536544</v>
      </c>
      <c r="D6">
        <v>21773</v>
      </c>
      <c r="E6" t="s">
        <v>4223</v>
      </c>
      <c r="F6" t="s">
        <v>4223</v>
      </c>
      <c r="I6" t="s">
        <v>4056</v>
      </c>
      <c r="J6" t="s">
        <v>4074</v>
      </c>
      <c r="K6" s="4">
        <v>2.5099999999999998</v>
      </c>
    </row>
    <row r="7" spans="1:11" x14ac:dyDescent="0.25">
      <c r="A7" t="s">
        <v>4224</v>
      </c>
      <c r="B7">
        <v>9304</v>
      </c>
      <c r="C7">
        <v>537197</v>
      </c>
      <c r="D7">
        <v>22841</v>
      </c>
      <c r="E7" t="s">
        <v>4225</v>
      </c>
      <c r="F7" t="s">
        <v>4225</v>
      </c>
      <c r="G7">
        <v>12647</v>
      </c>
      <c r="H7" t="s">
        <v>4226</v>
      </c>
      <c r="I7" t="s">
        <v>4060</v>
      </c>
      <c r="J7" t="s">
        <v>4227</v>
      </c>
      <c r="K7" s="4">
        <v>0</v>
      </c>
    </row>
    <row r="8" spans="1:11" x14ac:dyDescent="0.25">
      <c r="A8" t="s">
        <v>4228</v>
      </c>
      <c r="B8">
        <v>199126</v>
      </c>
      <c r="C8">
        <v>554084</v>
      </c>
      <c r="D8">
        <v>23298</v>
      </c>
      <c r="E8" t="s">
        <v>4229</v>
      </c>
      <c r="F8" t="s">
        <v>4230</v>
      </c>
      <c r="G8">
        <v>12909</v>
      </c>
      <c r="H8" t="s">
        <v>4231</v>
      </c>
      <c r="I8" t="s">
        <v>4056</v>
      </c>
      <c r="J8" t="s">
        <v>4232</v>
      </c>
      <c r="K8" s="4">
        <v>14.85</v>
      </c>
    </row>
    <row r="9" spans="1:11" x14ac:dyDescent="0.25">
      <c r="A9" t="s">
        <v>4233</v>
      </c>
      <c r="B9">
        <v>199146</v>
      </c>
      <c r="C9">
        <v>554084</v>
      </c>
      <c r="D9">
        <v>23298</v>
      </c>
      <c r="E9" t="s">
        <v>4234</v>
      </c>
      <c r="F9" t="s">
        <v>4234</v>
      </c>
      <c r="G9">
        <v>12909</v>
      </c>
      <c r="H9" t="s">
        <v>4231</v>
      </c>
      <c r="I9" t="s">
        <v>4056</v>
      </c>
      <c r="J9" t="s">
        <v>4232</v>
      </c>
      <c r="K9" s="4">
        <v>14.85</v>
      </c>
    </row>
    <row r="10" spans="1:11" x14ac:dyDescent="0.25">
      <c r="A10" t="s">
        <v>4235</v>
      </c>
      <c r="B10">
        <v>299985</v>
      </c>
      <c r="C10" t="s">
        <v>4236</v>
      </c>
      <c r="D10" t="s">
        <v>4237</v>
      </c>
      <c r="E10" t="s">
        <v>4238</v>
      </c>
      <c r="F10" t="s">
        <v>4238</v>
      </c>
      <c r="I10" t="s">
        <v>4058</v>
      </c>
      <c r="J10" t="s">
        <v>4239</v>
      </c>
      <c r="K10" s="4">
        <v>-11062.06</v>
      </c>
    </row>
    <row r="11" spans="1:11" x14ac:dyDescent="0.25">
      <c r="A11" t="s">
        <v>4240</v>
      </c>
      <c r="B11">
        <v>420393</v>
      </c>
      <c r="C11">
        <v>572891</v>
      </c>
      <c r="D11">
        <v>23343</v>
      </c>
      <c r="E11">
        <v>20713</v>
      </c>
      <c r="I11" t="s">
        <v>4060</v>
      </c>
      <c r="J11" t="s">
        <v>4241</v>
      </c>
      <c r="K11" s="4">
        <v>0</v>
      </c>
    </row>
    <row r="12" spans="1:11" x14ac:dyDescent="0.25">
      <c r="A12" t="s">
        <v>4242</v>
      </c>
      <c r="B12">
        <v>540423</v>
      </c>
      <c r="C12">
        <v>581483</v>
      </c>
      <c r="D12">
        <v>23843</v>
      </c>
      <c r="E12" t="s">
        <v>4243</v>
      </c>
      <c r="F12" t="s">
        <v>4243</v>
      </c>
      <c r="G12">
        <v>16446</v>
      </c>
      <c r="H12" t="s">
        <v>4244</v>
      </c>
      <c r="I12" t="s">
        <v>4056</v>
      </c>
      <c r="J12" t="s">
        <v>4119</v>
      </c>
      <c r="K12" s="4">
        <v>168469.6</v>
      </c>
    </row>
    <row r="13" spans="1:11" x14ac:dyDescent="0.25">
      <c r="A13" t="s">
        <v>4245</v>
      </c>
      <c r="B13">
        <v>540424</v>
      </c>
      <c r="C13" t="s">
        <v>4246</v>
      </c>
      <c r="D13">
        <v>23843</v>
      </c>
      <c r="E13" t="s">
        <v>4243</v>
      </c>
      <c r="F13" t="s">
        <v>4243</v>
      </c>
      <c r="G13">
        <v>16446</v>
      </c>
      <c r="H13" t="s">
        <v>4244</v>
      </c>
      <c r="I13" t="s">
        <v>4057</v>
      </c>
      <c r="J13" t="s">
        <v>4119</v>
      </c>
      <c r="K13" s="4">
        <v>-168469.6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4071"/>
  <sheetViews>
    <sheetView showGridLines="0" workbookViewId="0" tabSelected="0">
      <pane ySplit="1" topLeftCell="A2" activePane="bottomLeft" state="frozen"/>
      <selection pane="bottomLeft"/>
    </sheetView>
  </sheetViews>
  <sheetFormatPr defaultRowHeight="15" x14ac:dyDescent="0.25"/>
  <cols>
    <col min="1" max="1" width="18.7109375" customWidth="1"/>
    <col min="2" max="2" width="25.140625" bestFit="1" customWidth="1"/>
    <col min="3" max="3" width="23" bestFit="1" customWidth="1"/>
    <col min="4" max="4" width="25.28515625" bestFit="1" customWidth="1"/>
    <col min="5" max="6" width="50" bestFit="1" customWidth="1"/>
    <col min="7" max="7" width="45.7109375" customWidth="1"/>
    <col min="8" max="8" width="18.7109375" customWidth="1"/>
  </cols>
  <sheetData>
    <row r="1" spans="1:8" ht="27.95" customHeight="1" x14ac:dyDescent="0.25">
      <c r="A1" t="s">
        <v>127</v>
      </c>
      <c r="B1" t="s">
        <v>4247</v>
      </c>
      <c r="C1" t="s">
        <v>4248</v>
      </c>
      <c r="D1" t="s">
        <v>4249</v>
      </c>
      <c r="E1" t="s">
        <v>4250</v>
      </c>
      <c r="F1" t="s">
        <v>4251</v>
      </c>
      <c r="G1" t="s">
        <v>4252</v>
      </c>
      <c r="H1" t="s">
        <v>26</v>
      </c>
    </row>
    <row r="2" spans="1:8" x14ac:dyDescent="0.25">
      <c r="A2" t="s">
        <v>1990</v>
      </c>
      <c r="B2">
        <v>1</v>
      </c>
      <c r="C2">
        <v>1</v>
      </c>
      <c r="D2">
        <v>1</v>
      </c>
      <c r="E2" t="s">
        <v>4253</v>
      </c>
      <c r="F2" t="s">
        <v>4254</v>
      </c>
      <c r="G2" t="s">
        <v>4254</v>
      </c>
      <c r="H2">
        <v>73</v>
      </c>
    </row>
    <row r="3" spans="1:8" x14ac:dyDescent="0.25">
      <c r="A3" t="s">
        <v>3094</v>
      </c>
      <c r="B3">
        <v>2</v>
      </c>
      <c r="C3">
        <v>2</v>
      </c>
      <c r="D3">
        <v>2</v>
      </c>
      <c r="E3" t="s">
        <v>4255</v>
      </c>
      <c r="F3" t="s">
        <v>4255</v>
      </c>
      <c r="G3" t="s">
        <v>4256</v>
      </c>
      <c r="H3">
        <v>24</v>
      </c>
    </row>
    <row r="4" spans="1:8" x14ac:dyDescent="0.25">
      <c r="A4" t="s">
        <v>3501</v>
      </c>
      <c r="B4">
        <v>1</v>
      </c>
      <c r="C4">
        <v>1</v>
      </c>
      <c r="D4">
        <v>1</v>
      </c>
      <c r="E4" t="s">
        <v>4257</v>
      </c>
      <c r="F4" t="s">
        <v>4257</v>
      </c>
      <c r="G4" t="s">
        <v>4257</v>
      </c>
      <c r="H4">
        <v>30</v>
      </c>
    </row>
    <row r="5" spans="1:8" x14ac:dyDescent="0.25">
      <c r="A5" t="s">
        <v>3987</v>
      </c>
      <c r="B5">
        <v>1</v>
      </c>
      <c r="C5">
        <v>1</v>
      </c>
      <c r="D5">
        <v>1</v>
      </c>
      <c r="E5" t="s">
        <v>4258</v>
      </c>
      <c r="F5" t="s">
        <v>4259</v>
      </c>
      <c r="G5" t="s">
        <v>4259</v>
      </c>
      <c r="H5">
        <v>4</v>
      </c>
    </row>
    <row r="6" spans="1:8" x14ac:dyDescent="0.25">
      <c r="A6" t="s">
        <v>4260</v>
      </c>
      <c r="B6">
        <v>0</v>
      </c>
      <c r="C6">
        <v>0</v>
      </c>
      <c r="D6">
        <v>0</v>
      </c>
      <c r="G6" t="s">
        <v>4256</v>
      </c>
      <c r="H6">
        <v>1</v>
      </c>
    </row>
    <row r="7" spans="1:8" x14ac:dyDescent="0.25">
      <c r="A7" t="s">
        <v>3903</v>
      </c>
      <c r="B7">
        <v>1</v>
      </c>
      <c r="C7">
        <v>1</v>
      </c>
      <c r="D7">
        <v>1</v>
      </c>
      <c r="E7" t="s">
        <v>4261</v>
      </c>
      <c r="F7" t="s">
        <v>4261</v>
      </c>
      <c r="G7" t="s">
        <v>4261</v>
      </c>
      <c r="H7">
        <v>5</v>
      </c>
    </row>
    <row r="8" spans="1:8" x14ac:dyDescent="0.25">
      <c r="A8" t="s">
        <v>3898</v>
      </c>
      <c r="B8">
        <v>1</v>
      </c>
      <c r="C8">
        <v>1</v>
      </c>
      <c r="D8">
        <v>1</v>
      </c>
      <c r="E8" t="s">
        <v>4262</v>
      </c>
      <c r="F8" t="s">
        <v>4262</v>
      </c>
      <c r="G8" t="s">
        <v>4262</v>
      </c>
      <c r="H8">
        <v>4</v>
      </c>
    </row>
    <row r="9" spans="1:8" x14ac:dyDescent="0.25">
      <c r="A9" t="s">
        <v>1768</v>
      </c>
      <c r="B9">
        <v>1</v>
      </c>
      <c r="C9">
        <v>1</v>
      </c>
      <c r="D9">
        <v>1</v>
      </c>
      <c r="E9" t="s">
        <v>4263</v>
      </c>
      <c r="F9" t="s">
        <v>4263</v>
      </c>
      <c r="G9" t="s">
        <v>4263</v>
      </c>
      <c r="H9">
        <v>94</v>
      </c>
    </row>
    <row r="10" spans="1:8" x14ac:dyDescent="0.25">
      <c r="A10" t="s">
        <v>1405</v>
      </c>
      <c r="B10">
        <v>2</v>
      </c>
      <c r="C10">
        <v>2</v>
      </c>
      <c r="D10">
        <v>2</v>
      </c>
      <c r="E10" t="s">
        <v>4264</v>
      </c>
      <c r="F10" t="s">
        <v>4264</v>
      </c>
      <c r="G10" t="s">
        <v>4256</v>
      </c>
      <c r="H10">
        <v>200</v>
      </c>
    </row>
    <row r="11" spans="1:8" x14ac:dyDescent="0.25">
      <c r="A11" t="s">
        <v>4265</v>
      </c>
      <c r="B11">
        <v>0</v>
      </c>
      <c r="C11">
        <v>0</v>
      </c>
      <c r="D11">
        <v>0</v>
      </c>
      <c r="G11" t="s">
        <v>4256</v>
      </c>
      <c r="H11">
        <v>1</v>
      </c>
    </row>
    <row r="12" spans="1:8" x14ac:dyDescent="0.25">
      <c r="A12" t="s">
        <v>1112</v>
      </c>
      <c r="B12">
        <v>1</v>
      </c>
      <c r="C12">
        <v>1</v>
      </c>
      <c r="D12">
        <v>1</v>
      </c>
      <c r="E12" t="s">
        <v>4266</v>
      </c>
      <c r="F12" t="s">
        <v>4266</v>
      </c>
      <c r="G12" t="s">
        <v>4266</v>
      </c>
      <c r="H12">
        <v>180</v>
      </c>
    </row>
    <row r="13" spans="1:8" x14ac:dyDescent="0.25">
      <c r="A13" t="s">
        <v>1056</v>
      </c>
      <c r="B13">
        <v>1</v>
      </c>
      <c r="C13">
        <v>1</v>
      </c>
      <c r="D13">
        <v>1</v>
      </c>
      <c r="E13" t="s">
        <v>4267</v>
      </c>
      <c r="F13" t="s">
        <v>4267</v>
      </c>
      <c r="G13" t="s">
        <v>4267</v>
      </c>
      <c r="H13">
        <v>120</v>
      </c>
    </row>
    <row r="14" spans="1:8" x14ac:dyDescent="0.25">
      <c r="A14" t="s">
        <v>3485</v>
      </c>
      <c r="B14">
        <v>1</v>
      </c>
      <c r="C14">
        <v>1</v>
      </c>
      <c r="D14">
        <v>1</v>
      </c>
      <c r="E14" t="s">
        <v>4268</v>
      </c>
      <c r="F14" t="s">
        <v>4269</v>
      </c>
      <c r="G14" t="s">
        <v>4269</v>
      </c>
      <c r="H14">
        <v>14</v>
      </c>
    </row>
    <row r="15" spans="1:8" x14ac:dyDescent="0.25">
      <c r="A15" t="s">
        <v>1902</v>
      </c>
      <c r="B15">
        <v>1</v>
      </c>
      <c r="C15">
        <v>1</v>
      </c>
      <c r="D15">
        <v>1</v>
      </c>
      <c r="E15" t="s">
        <v>4270</v>
      </c>
      <c r="F15" t="s">
        <v>4271</v>
      </c>
      <c r="G15" t="s">
        <v>4271</v>
      </c>
      <c r="H15">
        <v>142</v>
      </c>
    </row>
    <row r="16" spans="1:8" x14ac:dyDescent="0.25">
      <c r="A16" t="s">
        <v>226</v>
      </c>
      <c r="B16">
        <v>1</v>
      </c>
      <c r="C16">
        <v>1</v>
      </c>
      <c r="D16">
        <v>1</v>
      </c>
      <c r="E16" t="s">
        <v>4272</v>
      </c>
      <c r="F16" t="s">
        <v>4272</v>
      </c>
      <c r="G16" t="s">
        <v>4272</v>
      </c>
      <c r="H16">
        <v>524</v>
      </c>
    </row>
    <row r="17" spans="1:8" x14ac:dyDescent="0.25">
      <c r="A17" t="s">
        <v>1208</v>
      </c>
      <c r="B17">
        <v>1</v>
      </c>
      <c r="C17">
        <v>1</v>
      </c>
      <c r="D17">
        <v>1</v>
      </c>
      <c r="E17" t="s">
        <v>4273</v>
      </c>
      <c r="F17" t="s">
        <v>4273</v>
      </c>
      <c r="G17" t="s">
        <v>4273</v>
      </c>
      <c r="H17">
        <v>149</v>
      </c>
    </row>
    <row r="18" spans="1:8" x14ac:dyDescent="0.25">
      <c r="A18" t="s">
        <v>1453</v>
      </c>
      <c r="B18">
        <v>1</v>
      </c>
      <c r="C18">
        <v>1</v>
      </c>
      <c r="D18">
        <v>1</v>
      </c>
      <c r="E18" t="s">
        <v>4274</v>
      </c>
      <c r="F18" t="s">
        <v>4275</v>
      </c>
      <c r="G18" t="s">
        <v>4275</v>
      </c>
      <c r="H18">
        <v>104</v>
      </c>
    </row>
    <row r="19" spans="1:8" x14ac:dyDescent="0.25">
      <c r="A19" t="s">
        <v>1807</v>
      </c>
      <c r="B19">
        <v>1</v>
      </c>
      <c r="C19">
        <v>1</v>
      </c>
      <c r="D19">
        <v>1</v>
      </c>
      <c r="E19" t="s">
        <v>4276</v>
      </c>
      <c r="F19" t="s">
        <v>4277</v>
      </c>
      <c r="G19" t="s">
        <v>4277</v>
      </c>
      <c r="H19">
        <v>62</v>
      </c>
    </row>
    <row r="20" spans="1:8" x14ac:dyDescent="0.25">
      <c r="A20" t="s">
        <v>1738</v>
      </c>
      <c r="B20">
        <v>1</v>
      </c>
      <c r="C20">
        <v>1</v>
      </c>
      <c r="D20">
        <v>1</v>
      </c>
      <c r="E20" t="s">
        <v>4278</v>
      </c>
      <c r="F20" t="s">
        <v>4278</v>
      </c>
      <c r="G20" t="s">
        <v>4278</v>
      </c>
      <c r="H20">
        <v>91</v>
      </c>
    </row>
    <row r="21" spans="1:8" x14ac:dyDescent="0.25">
      <c r="A21" t="s">
        <v>1267</v>
      </c>
      <c r="B21">
        <v>1</v>
      </c>
      <c r="C21">
        <v>1</v>
      </c>
      <c r="D21">
        <v>1</v>
      </c>
      <c r="E21" t="s">
        <v>4279</v>
      </c>
      <c r="F21" t="s">
        <v>4279</v>
      </c>
      <c r="G21" t="s">
        <v>4279</v>
      </c>
      <c r="H21">
        <v>87</v>
      </c>
    </row>
    <row r="22" spans="1:8" x14ac:dyDescent="0.25">
      <c r="A22" t="s">
        <v>255</v>
      </c>
      <c r="B22">
        <v>1</v>
      </c>
      <c r="C22">
        <v>1</v>
      </c>
      <c r="D22">
        <v>1</v>
      </c>
      <c r="E22" t="s">
        <v>4280</v>
      </c>
      <c r="F22" t="s">
        <v>4280</v>
      </c>
      <c r="G22" t="s">
        <v>4280</v>
      </c>
      <c r="H22">
        <v>326</v>
      </c>
    </row>
    <row r="23" spans="1:8" x14ac:dyDescent="0.25">
      <c r="A23" t="s">
        <v>201</v>
      </c>
      <c r="B23">
        <v>1</v>
      </c>
      <c r="C23">
        <v>1</v>
      </c>
      <c r="D23">
        <v>1</v>
      </c>
      <c r="E23" t="s">
        <v>4281</v>
      </c>
      <c r="F23" t="s">
        <v>4281</v>
      </c>
      <c r="G23" t="s">
        <v>4281</v>
      </c>
      <c r="H23">
        <v>467</v>
      </c>
    </row>
    <row r="24" spans="1:8" x14ac:dyDescent="0.25">
      <c r="A24" t="s">
        <v>703</v>
      </c>
      <c r="B24">
        <v>1</v>
      </c>
      <c r="C24">
        <v>1</v>
      </c>
      <c r="D24">
        <v>1</v>
      </c>
      <c r="E24" t="s">
        <v>4282</v>
      </c>
      <c r="F24" t="s">
        <v>4282</v>
      </c>
      <c r="G24" t="s">
        <v>4282</v>
      </c>
      <c r="H24">
        <v>150</v>
      </c>
    </row>
    <row r="25" spans="1:8" x14ac:dyDescent="0.25">
      <c r="A25" t="s">
        <v>1689</v>
      </c>
      <c r="B25">
        <v>1</v>
      </c>
      <c r="C25">
        <v>1</v>
      </c>
      <c r="D25">
        <v>1</v>
      </c>
      <c r="E25" t="s">
        <v>4280</v>
      </c>
      <c r="F25" t="s">
        <v>4280</v>
      </c>
      <c r="G25" t="s">
        <v>4280</v>
      </c>
      <c r="H25">
        <v>62</v>
      </c>
    </row>
    <row r="26" spans="1:8" x14ac:dyDescent="0.25">
      <c r="A26" t="s">
        <v>1379</v>
      </c>
      <c r="B26">
        <v>1</v>
      </c>
      <c r="C26">
        <v>1</v>
      </c>
      <c r="D26">
        <v>1</v>
      </c>
      <c r="E26" t="s">
        <v>4281</v>
      </c>
      <c r="F26" t="s">
        <v>4281</v>
      </c>
      <c r="G26" t="s">
        <v>4281</v>
      </c>
      <c r="H26">
        <v>84</v>
      </c>
    </row>
    <row r="27" spans="1:8" x14ac:dyDescent="0.25">
      <c r="A27" t="s">
        <v>2472</v>
      </c>
      <c r="B27">
        <v>1</v>
      </c>
      <c r="C27">
        <v>1</v>
      </c>
      <c r="D27">
        <v>1</v>
      </c>
      <c r="E27" t="s">
        <v>4282</v>
      </c>
      <c r="F27" t="s">
        <v>4282</v>
      </c>
      <c r="G27" t="s">
        <v>4282</v>
      </c>
      <c r="H27">
        <v>26</v>
      </c>
    </row>
    <row r="28" spans="1:8" x14ac:dyDescent="0.25">
      <c r="A28" t="s">
        <v>1331</v>
      </c>
      <c r="B28">
        <v>2</v>
      </c>
      <c r="C28">
        <v>2</v>
      </c>
      <c r="D28">
        <v>2</v>
      </c>
      <c r="E28" t="s">
        <v>4283</v>
      </c>
      <c r="F28" t="s">
        <v>4283</v>
      </c>
      <c r="G28" t="s">
        <v>4256</v>
      </c>
      <c r="H28">
        <v>95</v>
      </c>
    </row>
    <row r="29" spans="1:8" x14ac:dyDescent="0.25">
      <c r="A29" t="s">
        <v>1241</v>
      </c>
      <c r="B29">
        <v>1</v>
      </c>
      <c r="C29">
        <v>1</v>
      </c>
      <c r="D29">
        <v>1</v>
      </c>
      <c r="E29" t="s">
        <v>4284</v>
      </c>
      <c r="F29" t="s">
        <v>4284</v>
      </c>
      <c r="G29" t="s">
        <v>4284</v>
      </c>
      <c r="H29">
        <v>100</v>
      </c>
    </row>
    <row r="30" spans="1:8" x14ac:dyDescent="0.25">
      <c r="A30" t="s">
        <v>1465</v>
      </c>
      <c r="B30">
        <v>2</v>
      </c>
      <c r="C30">
        <v>2</v>
      </c>
      <c r="D30">
        <v>2</v>
      </c>
      <c r="E30" t="s">
        <v>4285</v>
      </c>
      <c r="F30" t="s">
        <v>4285</v>
      </c>
      <c r="G30" t="s">
        <v>4256</v>
      </c>
      <c r="H30">
        <v>73</v>
      </c>
    </row>
    <row r="31" spans="1:8" x14ac:dyDescent="0.25">
      <c r="A31" t="s">
        <v>1273</v>
      </c>
      <c r="B31">
        <v>1</v>
      </c>
      <c r="C31">
        <v>1</v>
      </c>
      <c r="D31">
        <v>1</v>
      </c>
      <c r="E31" t="s">
        <v>4286</v>
      </c>
      <c r="F31" t="s">
        <v>4286</v>
      </c>
      <c r="G31" t="s">
        <v>4286</v>
      </c>
      <c r="H31">
        <v>134</v>
      </c>
    </row>
    <row r="32" spans="1:8" x14ac:dyDescent="0.25">
      <c r="A32" t="s">
        <v>3642</v>
      </c>
      <c r="B32">
        <v>1</v>
      </c>
      <c r="C32">
        <v>1</v>
      </c>
      <c r="D32">
        <v>1</v>
      </c>
      <c r="E32" t="s">
        <v>4286</v>
      </c>
      <c r="F32" t="s">
        <v>4286</v>
      </c>
      <c r="G32" t="s">
        <v>4286</v>
      </c>
      <c r="H32">
        <v>3</v>
      </c>
    </row>
    <row r="33" spans="1:8" x14ac:dyDescent="0.25">
      <c r="A33" t="s">
        <v>2541</v>
      </c>
      <c r="B33">
        <v>2</v>
      </c>
      <c r="C33">
        <v>2</v>
      </c>
      <c r="D33">
        <v>2</v>
      </c>
      <c r="E33" t="s">
        <v>4287</v>
      </c>
      <c r="F33" t="s">
        <v>4287</v>
      </c>
      <c r="G33" t="s">
        <v>4256</v>
      </c>
      <c r="H33">
        <v>71</v>
      </c>
    </row>
    <row r="34" spans="1:8" x14ac:dyDescent="0.25">
      <c r="A34" t="s">
        <v>3974</v>
      </c>
      <c r="B34">
        <v>1</v>
      </c>
      <c r="C34">
        <v>1</v>
      </c>
      <c r="D34">
        <v>1</v>
      </c>
      <c r="E34" t="s">
        <v>4288</v>
      </c>
      <c r="F34" t="s">
        <v>4288</v>
      </c>
      <c r="G34" t="s">
        <v>4288</v>
      </c>
      <c r="H34">
        <v>4</v>
      </c>
    </row>
    <row r="35" spans="1:8" x14ac:dyDescent="0.25">
      <c r="A35" t="s">
        <v>2527</v>
      </c>
      <c r="B35">
        <v>1</v>
      </c>
      <c r="C35">
        <v>1</v>
      </c>
      <c r="D35">
        <v>1</v>
      </c>
      <c r="E35" t="s">
        <v>4289</v>
      </c>
      <c r="F35" t="s">
        <v>4289</v>
      </c>
      <c r="G35" t="s">
        <v>4289</v>
      </c>
      <c r="H35">
        <v>47</v>
      </c>
    </row>
    <row r="36" spans="1:8" x14ac:dyDescent="0.25">
      <c r="A36" t="s">
        <v>2725</v>
      </c>
      <c r="B36">
        <v>1</v>
      </c>
      <c r="C36">
        <v>1</v>
      </c>
      <c r="D36">
        <v>1</v>
      </c>
      <c r="E36" t="s">
        <v>4290</v>
      </c>
      <c r="F36" t="s">
        <v>4290</v>
      </c>
      <c r="G36" t="s">
        <v>4290</v>
      </c>
      <c r="H36">
        <v>37</v>
      </c>
    </row>
    <row r="37" spans="1:8" x14ac:dyDescent="0.25">
      <c r="A37" t="s">
        <v>706</v>
      </c>
      <c r="B37">
        <v>1</v>
      </c>
      <c r="C37">
        <v>1</v>
      </c>
      <c r="D37">
        <v>1</v>
      </c>
      <c r="E37" t="s">
        <v>4291</v>
      </c>
      <c r="F37" t="s">
        <v>4291</v>
      </c>
      <c r="G37" t="s">
        <v>4291</v>
      </c>
      <c r="H37">
        <v>54</v>
      </c>
    </row>
    <row r="38" spans="1:8" x14ac:dyDescent="0.25">
      <c r="A38" t="s">
        <v>2662</v>
      </c>
      <c r="B38">
        <v>1</v>
      </c>
      <c r="C38">
        <v>1</v>
      </c>
      <c r="D38">
        <v>1</v>
      </c>
      <c r="E38" t="s">
        <v>4292</v>
      </c>
      <c r="F38" t="s">
        <v>4292</v>
      </c>
      <c r="G38" t="s">
        <v>4292</v>
      </c>
      <c r="H38">
        <v>27</v>
      </c>
    </row>
    <row r="39" spans="1:8" x14ac:dyDescent="0.25">
      <c r="A39" t="s">
        <v>1717</v>
      </c>
      <c r="B39">
        <v>1</v>
      </c>
      <c r="C39">
        <v>1</v>
      </c>
      <c r="D39">
        <v>1</v>
      </c>
      <c r="E39" t="s">
        <v>4293</v>
      </c>
      <c r="F39" t="s">
        <v>4293</v>
      </c>
      <c r="G39" t="s">
        <v>4293</v>
      </c>
      <c r="H39">
        <v>65</v>
      </c>
    </row>
    <row r="40" spans="1:8" x14ac:dyDescent="0.25">
      <c r="A40" t="s">
        <v>3295</v>
      </c>
      <c r="B40">
        <v>1</v>
      </c>
      <c r="C40">
        <v>1</v>
      </c>
      <c r="D40">
        <v>1</v>
      </c>
      <c r="E40" t="s">
        <v>4294</v>
      </c>
      <c r="F40" t="s">
        <v>4295</v>
      </c>
      <c r="G40" t="s">
        <v>4295</v>
      </c>
      <c r="H40">
        <v>19</v>
      </c>
    </row>
    <row r="41" spans="1:8" x14ac:dyDescent="0.25">
      <c r="A41" t="s">
        <v>3160</v>
      </c>
      <c r="B41">
        <v>1</v>
      </c>
      <c r="C41">
        <v>1</v>
      </c>
      <c r="D41">
        <v>1</v>
      </c>
      <c r="E41" t="s">
        <v>4296</v>
      </c>
      <c r="F41" t="s">
        <v>4296</v>
      </c>
      <c r="G41" t="s">
        <v>4296</v>
      </c>
      <c r="H41">
        <v>5</v>
      </c>
    </row>
    <row r="42" spans="1:8" x14ac:dyDescent="0.25">
      <c r="A42" t="s">
        <v>3820</v>
      </c>
      <c r="B42">
        <v>1</v>
      </c>
      <c r="C42">
        <v>1</v>
      </c>
      <c r="D42">
        <v>1</v>
      </c>
      <c r="E42" t="s">
        <v>4297</v>
      </c>
      <c r="F42" t="s">
        <v>4298</v>
      </c>
      <c r="G42" t="s">
        <v>4298</v>
      </c>
      <c r="H42">
        <v>3</v>
      </c>
    </row>
    <row r="43" spans="1:8" x14ac:dyDescent="0.25">
      <c r="A43" t="s">
        <v>2514</v>
      </c>
      <c r="B43">
        <v>2</v>
      </c>
      <c r="C43">
        <v>2</v>
      </c>
      <c r="D43">
        <v>2</v>
      </c>
      <c r="E43" t="s">
        <v>4299</v>
      </c>
      <c r="F43" t="s">
        <v>4299</v>
      </c>
      <c r="G43" t="s">
        <v>4256</v>
      </c>
      <c r="H43">
        <v>71</v>
      </c>
    </row>
    <row r="44" spans="1:8" x14ac:dyDescent="0.25">
      <c r="A44" t="s">
        <v>3373</v>
      </c>
      <c r="B44">
        <v>1</v>
      </c>
      <c r="C44">
        <v>1</v>
      </c>
      <c r="D44">
        <v>1</v>
      </c>
      <c r="E44" t="s">
        <v>4300</v>
      </c>
      <c r="F44" t="s">
        <v>4300</v>
      </c>
      <c r="G44" t="s">
        <v>4300</v>
      </c>
      <c r="H44">
        <v>18</v>
      </c>
    </row>
    <row r="45" spans="1:8" x14ac:dyDescent="0.25">
      <c r="A45" t="s">
        <v>2834</v>
      </c>
      <c r="B45">
        <v>1</v>
      </c>
      <c r="C45">
        <v>1</v>
      </c>
      <c r="D45">
        <v>1</v>
      </c>
      <c r="E45" t="s">
        <v>4301</v>
      </c>
      <c r="F45" t="s">
        <v>4302</v>
      </c>
      <c r="G45" t="s">
        <v>4302</v>
      </c>
      <c r="H45">
        <v>69</v>
      </c>
    </row>
    <row r="46" spans="1:8" x14ac:dyDescent="0.25">
      <c r="A46" t="s">
        <v>3234</v>
      </c>
      <c r="B46">
        <v>1</v>
      </c>
      <c r="C46">
        <v>1</v>
      </c>
      <c r="D46">
        <v>1</v>
      </c>
      <c r="E46" t="s">
        <v>4303</v>
      </c>
      <c r="F46" t="s">
        <v>4303</v>
      </c>
      <c r="G46" t="s">
        <v>4303</v>
      </c>
      <c r="H46">
        <v>7</v>
      </c>
    </row>
    <row r="47" spans="1:8" x14ac:dyDescent="0.25">
      <c r="A47" t="s">
        <v>3110</v>
      </c>
      <c r="B47">
        <v>1</v>
      </c>
      <c r="C47">
        <v>1</v>
      </c>
      <c r="D47">
        <v>1</v>
      </c>
      <c r="E47" t="s">
        <v>4304</v>
      </c>
      <c r="F47" t="s">
        <v>4304</v>
      </c>
      <c r="G47" t="s">
        <v>4304</v>
      </c>
      <c r="H47">
        <v>14</v>
      </c>
    </row>
    <row r="48" spans="1:8" x14ac:dyDescent="0.25">
      <c r="A48" t="s">
        <v>4305</v>
      </c>
      <c r="B48">
        <v>0</v>
      </c>
      <c r="C48">
        <v>0</v>
      </c>
      <c r="D48">
        <v>0</v>
      </c>
      <c r="G48" t="s">
        <v>4256</v>
      </c>
      <c r="H48">
        <v>1</v>
      </c>
    </row>
    <row r="49" spans="1:8" x14ac:dyDescent="0.25">
      <c r="A49" t="s">
        <v>3021</v>
      </c>
      <c r="B49">
        <v>1</v>
      </c>
      <c r="C49">
        <v>1</v>
      </c>
      <c r="D49">
        <v>1</v>
      </c>
      <c r="E49" t="s">
        <v>4306</v>
      </c>
      <c r="F49" t="s">
        <v>4306</v>
      </c>
      <c r="G49" t="s">
        <v>4306</v>
      </c>
      <c r="H49">
        <v>34</v>
      </c>
    </row>
    <row r="50" spans="1:8" x14ac:dyDescent="0.25">
      <c r="A50" t="s">
        <v>3351</v>
      </c>
      <c r="B50">
        <v>1</v>
      </c>
      <c r="C50">
        <v>1</v>
      </c>
      <c r="D50">
        <v>1</v>
      </c>
      <c r="E50" t="s">
        <v>4307</v>
      </c>
      <c r="F50" t="s">
        <v>4307</v>
      </c>
      <c r="G50" t="s">
        <v>4307</v>
      </c>
      <c r="H50">
        <v>4</v>
      </c>
    </row>
    <row r="51" spans="1:8" x14ac:dyDescent="0.25">
      <c r="A51" t="s">
        <v>2850</v>
      </c>
      <c r="B51">
        <v>2</v>
      </c>
      <c r="C51">
        <v>2</v>
      </c>
      <c r="D51">
        <v>2</v>
      </c>
      <c r="E51" t="s">
        <v>4308</v>
      </c>
      <c r="F51" t="s">
        <v>4308</v>
      </c>
      <c r="G51" t="s">
        <v>4256</v>
      </c>
      <c r="H51">
        <v>18</v>
      </c>
    </row>
    <row r="52" spans="1:8" x14ac:dyDescent="0.25">
      <c r="A52" t="s">
        <v>1076</v>
      </c>
      <c r="B52">
        <v>1</v>
      </c>
      <c r="C52">
        <v>1</v>
      </c>
      <c r="D52">
        <v>1</v>
      </c>
      <c r="E52" t="s">
        <v>4309</v>
      </c>
      <c r="F52" t="s">
        <v>4310</v>
      </c>
      <c r="G52" t="s">
        <v>4310</v>
      </c>
      <c r="H52">
        <v>168</v>
      </c>
    </row>
    <row r="53" spans="1:8" x14ac:dyDescent="0.25">
      <c r="A53" t="s">
        <v>3294</v>
      </c>
      <c r="B53">
        <v>1</v>
      </c>
      <c r="C53">
        <v>1</v>
      </c>
      <c r="D53">
        <v>1</v>
      </c>
      <c r="E53" t="s">
        <v>4311</v>
      </c>
      <c r="F53" t="s">
        <v>4311</v>
      </c>
      <c r="G53" t="s">
        <v>4311</v>
      </c>
      <c r="H53">
        <v>22</v>
      </c>
    </row>
    <row r="54" spans="1:8" x14ac:dyDescent="0.25">
      <c r="A54" t="s">
        <v>3832</v>
      </c>
      <c r="B54">
        <v>1</v>
      </c>
      <c r="C54">
        <v>1</v>
      </c>
      <c r="D54">
        <v>1</v>
      </c>
      <c r="E54" t="s">
        <v>4312</v>
      </c>
      <c r="F54" t="s">
        <v>4312</v>
      </c>
      <c r="G54" t="s">
        <v>4312</v>
      </c>
      <c r="H54">
        <v>1</v>
      </c>
    </row>
    <row r="55" spans="1:8" x14ac:dyDescent="0.25">
      <c r="A55" t="s">
        <v>918</v>
      </c>
      <c r="B55">
        <v>1</v>
      </c>
      <c r="C55">
        <v>1</v>
      </c>
      <c r="D55">
        <v>1</v>
      </c>
      <c r="E55" t="s">
        <v>4313</v>
      </c>
      <c r="F55" t="s">
        <v>4314</v>
      </c>
      <c r="G55" t="s">
        <v>4314</v>
      </c>
      <c r="H55">
        <v>250</v>
      </c>
    </row>
    <row r="56" spans="1:8" x14ac:dyDescent="0.25">
      <c r="A56" t="s">
        <v>1322</v>
      </c>
      <c r="B56">
        <v>1</v>
      </c>
      <c r="C56">
        <v>1</v>
      </c>
      <c r="D56">
        <v>1</v>
      </c>
      <c r="E56" t="s">
        <v>4315</v>
      </c>
      <c r="F56" t="s">
        <v>4315</v>
      </c>
      <c r="G56" t="s">
        <v>4315</v>
      </c>
      <c r="H56">
        <v>135</v>
      </c>
    </row>
    <row r="57" spans="1:8" x14ac:dyDescent="0.25">
      <c r="A57" t="s">
        <v>3796</v>
      </c>
      <c r="B57">
        <v>1</v>
      </c>
      <c r="C57">
        <v>1</v>
      </c>
      <c r="D57">
        <v>1</v>
      </c>
      <c r="E57" t="s">
        <v>4316</v>
      </c>
      <c r="F57" t="s">
        <v>4316</v>
      </c>
      <c r="G57" t="s">
        <v>4316</v>
      </c>
      <c r="H57">
        <v>10</v>
      </c>
    </row>
    <row r="58" spans="1:8" x14ac:dyDescent="0.25">
      <c r="A58" t="s">
        <v>3821</v>
      </c>
      <c r="B58">
        <v>2</v>
      </c>
      <c r="C58">
        <v>2</v>
      </c>
      <c r="D58">
        <v>2</v>
      </c>
      <c r="E58" t="s">
        <v>4317</v>
      </c>
      <c r="F58" t="s">
        <v>4317</v>
      </c>
      <c r="G58" t="s">
        <v>4256</v>
      </c>
      <c r="H58">
        <v>10</v>
      </c>
    </row>
    <row r="59" spans="1:8" x14ac:dyDescent="0.25">
      <c r="A59" t="s">
        <v>2921</v>
      </c>
      <c r="B59">
        <v>2</v>
      </c>
      <c r="C59">
        <v>2</v>
      </c>
      <c r="D59">
        <v>2</v>
      </c>
      <c r="E59" t="s">
        <v>4318</v>
      </c>
      <c r="F59" t="s">
        <v>4318</v>
      </c>
      <c r="G59" t="s">
        <v>4256</v>
      </c>
      <c r="H59">
        <v>42</v>
      </c>
    </row>
    <row r="60" spans="1:8" x14ac:dyDescent="0.25">
      <c r="A60" t="s">
        <v>1236</v>
      </c>
      <c r="B60">
        <v>2</v>
      </c>
      <c r="C60">
        <v>2</v>
      </c>
      <c r="D60">
        <v>2</v>
      </c>
      <c r="E60" t="s">
        <v>4319</v>
      </c>
      <c r="F60" t="s">
        <v>4319</v>
      </c>
      <c r="G60" t="s">
        <v>4256</v>
      </c>
      <c r="H60">
        <v>153</v>
      </c>
    </row>
    <row r="61" spans="1:8" x14ac:dyDescent="0.25">
      <c r="A61" t="s">
        <v>3225</v>
      </c>
      <c r="B61">
        <v>1</v>
      </c>
      <c r="C61">
        <v>1</v>
      </c>
      <c r="D61">
        <v>1</v>
      </c>
      <c r="E61" t="s">
        <v>4320</v>
      </c>
      <c r="F61" t="s">
        <v>4320</v>
      </c>
      <c r="G61" t="s">
        <v>4320</v>
      </c>
      <c r="H61">
        <v>9</v>
      </c>
    </row>
    <row r="62" spans="1:8" x14ac:dyDescent="0.25">
      <c r="A62" t="s">
        <v>2682</v>
      </c>
      <c r="B62">
        <v>1</v>
      </c>
      <c r="C62">
        <v>1</v>
      </c>
      <c r="D62">
        <v>1</v>
      </c>
      <c r="E62" t="s">
        <v>4321</v>
      </c>
      <c r="F62" t="s">
        <v>4322</v>
      </c>
      <c r="G62" t="s">
        <v>4322</v>
      </c>
      <c r="H62">
        <v>26</v>
      </c>
    </row>
    <row r="63" spans="1:8" x14ac:dyDescent="0.25">
      <c r="A63" t="s">
        <v>3833</v>
      </c>
      <c r="B63">
        <v>1</v>
      </c>
      <c r="C63">
        <v>1</v>
      </c>
      <c r="D63">
        <v>1</v>
      </c>
      <c r="E63" t="s">
        <v>4323</v>
      </c>
      <c r="F63" t="s">
        <v>4323</v>
      </c>
      <c r="G63" t="s">
        <v>4323</v>
      </c>
      <c r="H63">
        <v>1</v>
      </c>
    </row>
    <row r="64" spans="1:8" x14ac:dyDescent="0.25">
      <c r="A64" t="s">
        <v>3682</v>
      </c>
      <c r="B64">
        <v>1</v>
      </c>
      <c r="C64">
        <v>1</v>
      </c>
      <c r="D64">
        <v>1</v>
      </c>
      <c r="E64" t="s">
        <v>4324</v>
      </c>
      <c r="F64" t="s">
        <v>4325</v>
      </c>
      <c r="G64" t="s">
        <v>4325</v>
      </c>
      <c r="H64">
        <v>3</v>
      </c>
    </row>
    <row r="65" spans="1:8" x14ac:dyDescent="0.25">
      <c r="A65" t="s">
        <v>3976</v>
      </c>
      <c r="B65">
        <v>1</v>
      </c>
      <c r="C65">
        <v>1</v>
      </c>
      <c r="D65">
        <v>1</v>
      </c>
      <c r="E65" t="s">
        <v>4326</v>
      </c>
      <c r="F65" t="s">
        <v>4327</v>
      </c>
      <c r="G65" t="s">
        <v>4327</v>
      </c>
      <c r="H65">
        <v>2</v>
      </c>
    </row>
    <row r="66" spans="1:8" x14ac:dyDescent="0.25">
      <c r="A66" t="s">
        <v>3777</v>
      </c>
      <c r="B66">
        <v>1</v>
      </c>
      <c r="C66">
        <v>1</v>
      </c>
      <c r="D66">
        <v>1</v>
      </c>
      <c r="E66" t="s">
        <v>4328</v>
      </c>
      <c r="F66" t="s">
        <v>4329</v>
      </c>
      <c r="G66" t="s">
        <v>4329</v>
      </c>
      <c r="H66">
        <v>3</v>
      </c>
    </row>
    <row r="67" spans="1:8" x14ac:dyDescent="0.25">
      <c r="A67" t="s">
        <v>3887</v>
      </c>
      <c r="B67">
        <v>1</v>
      </c>
      <c r="C67">
        <v>1</v>
      </c>
      <c r="D67">
        <v>1</v>
      </c>
      <c r="E67" t="s">
        <v>4330</v>
      </c>
      <c r="F67" t="s">
        <v>4331</v>
      </c>
      <c r="G67" t="s">
        <v>4331</v>
      </c>
      <c r="H67">
        <v>4</v>
      </c>
    </row>
    <row r="68" spans="1:8" x14ac:dyDescent="0.25">
      <c r="A68" t="s">
        <v>3864</v>
      </c>
      <c r="B68">
        <v>1</v>
      </c>
      <c r="C68">
        <v>1</v>
      </c>
      <c r="D68">
        <v>1</v>
      </c>
      <c r="E68" t="s">
        <v>4332</v>
      </c>
      <c r="F68" t="s">
        <v>4332</v>
      </c>
      <c r="G68" t="s">
        <v>4332</v>
      </c>
      <c r="H68">
        <v>2</v>
      </c>
    </row>
    <row r="69" spans="1:8" x14ac:dyDescent="0.25">
      <c r="A69" t="s">
        <v>2949</v>
      </c>
      <c r="B69">
        <v>2</v>
      </c>
      <c r="C69">
        <v>2</v>
      </c>
      <c r="D69">
        <v>2</v>
      </c>
      <c r="E69" t="s">
        <v>4333</v>
      </c>
      <c r="F69" t="s">
        <v>4334</v>
      </c>
      <c r="G69" t="s">
        <v>4256</v>
      </c>
      <c r="H69">
        <v>36</v>
      </c>
    </row>
    <row r="70" spans="1:8" x14ac:dyDescent="0.25">
      <c r="A70" t="s">
        <v>3261</v>
      </c>
      <c r="B70">
        <v>1</v>
      </c>
      <c r="C70">
        <v>1</v>
      </c>
      <c r="D70">
        <v>1</v>
      </c>
      <c r="E70" t="s">
        <v>4335</v>
      </c>
      <c r="F70" t="s">
        <v>4335</v>
      </c>
      <c r="G70" t="s">
        <v>4335</v>
      </c>
      <c r="H70">
        <v>20</v>
      </c>
    </row>
    <row r="71" spans="1:8" x14ac:dyDescent="0.25">
      <c r="A71" t="s">
        <v>2775</v>
      </c>
      <c r="B71">
        <v>1</v>
      </c>
      <c r="C71">
        <v>1</v>
      </c>
      <c r="D71">
        <v>1</v>
      </c>
      <c r="E71" t="s">
        <v>4336</v>
      </c>
      <c r="F71" t="s">
        <v>4336</v>
      </c>
      <c r="G71" t="s">
        <v>4336</v>
      </c>
      <c r="H71">
        <v>45</v>
      </c>
    </row>
    <row r="72" spans="1:8" x14ac:dyDescent="0.25">
      <c r="A72" t="s">
        <v>2672</v>
      </c>
      <c r="B72">
        <v>1</v>
      </c>
      <c r="C72">
        <v>1</v>
      </c>
      <c r="D72">
        <v>1</v>
      </c>
      <c r="E72" t="s">
        <v>4337</v>
      </c>
      <c r="F72" t="s">
        <v>4337</v>
      </c>
      <c r="G72" t="s">
        <v>4337</v>
      </c>
      <c r="H72">
        <v>64</v>
      </c>
    </row>
    <row r="73" spans="1:8" x14ac:dyDescent="0.25">
      <c r="A73" t="s">
        <v>2479</v>
      </c>
      <c r="B73">
        <v>1</v>
      </c>
      <c r="C73">
        <v>1</v>
      </c>
      <c r="D73">
        <v>1</v>
      </c>
      <c r="E73" t="s">
        <v>4338</v>
      </c>
      <c r="F73" t="s">
        <v>4338</v>
      </c>
      <c r="G73" t="s">
        <v>4338</v>
      </c>
      <c r="H73">
        <v>101</v>
      </c>
    </row>
    <row r="74" spans="1:8" x14ac:dyDescent="0.25">
      <c r="A74" t="s">
        <v>2073</v>
      </c>
      <c r="B74">
        <v>1</v>
      </c>
      <c r="C74">
        <v>1</v>
      </c>
      <c r="D74">
        <v>1</v>
      </c>
      <c r="E74" t="s">
        <v>4339</v>
      </c>
      <c r="F74" t="s">
        <v>4339</v>
      </c>
      <c r="G74" t="s">
        <v>4339</v>
      </c>
      <c r="H74">
        <v>104</v>
      </c>
    </row>
    <row r="75" spans="1:8" x14ac:dyDescent="0.25">
      <c r="A75" t="s">
        <v>2059</v>
      </c>
      <c r="B75">
        <v>1</v>
      </c>
      <c r="C75">
        <v>1</v>
      </c>
      <c r="D75">
        <v>1</v>
      </c>
      <c r="E75" t="s">
        <v>4340</v>
      </c>
      <c r="F75" t="s">
        <v>4340</v>
      </c>
      <c r="G75" t="s">
        <v>4340</v>
      </c>
      <c r="H75">
        <v>170</v>
      </c>
    </row>
    <row r="76" spans="1:8" x14ac:dyDescent="0.25">
      <c r="A76" t="s">
        <v>2609</v>
      </c>
      <c r="B76">
        <v>1</v>
      </c>
      <c r="C76">
        <v>1</v>
      </c>
      <c r="D76">
        <v>1</v>
      </c>
      <c r="E76" t="s">
        <v>4341</v>
      </c>
      <c r="F76" t="s">
        <v>4341</v>
      </c>
      <c r="G76" t="s">
        <v>4341</v>
      </c>
      <c r="H76">
        <v>136</v>
      </c>
    </row>
    <row r="77" spans="1:8" x14ac:dyDescent="0.25">
      <c r="A77" t="s">
        <v>1720</v>
      </c>
      <c r="B77">
        <v>1</v>
      </c>
      <c r="C77">
        <v>1</v>
      </c>
      <c r="D77">
        <v>1</v>
      </c>
      <c r="E77" t="s">
        <v>4342</v>
      </c>
      <c r="F77" t="s">
        <v>4342</v>
      </c>
      <c r="G77" t="s">
        <v>4342</v>
      </c>
      <c r="H77">
        <v>298</v>
      </c>
    </row>
    <row r="78" spans="1:8" x14ac:dyDescent="0.25">
      <c r="A78" t="s">
        <v>2607</v>
      </c>
      <c r="B78">
        <v>1</v>
      </c>
      <c r="C78">
        <v>1</v>
      </c>
      <c r="D78">
        <v>1</v>
      </c>
      <c r="E78" t="s">
        <v>4343</v>
      </c>
      <c r="F78" t="s">
        <v>4343</v>
      </c>
      <c r="G78" t="s">
        <v>4343</v>
      </c>
      <c r="H78">
        <v>136</v>
      </c>
    </row>
    <row r="79" spans="1:8" x14ac:dyDescent="0.25">
      <c r="A79" t="s">
        <v>3882</v>
      </c>
      <c r="B79">
        <v>1</v>
      </c>
      <c r="C79">
        <v>1</v>
      </c>
      <c r="D79">
        <v>1</v>
      </c>
      <c r="E79" t="s">
        <v>4344</v>
      </c>
      <c r="F79" t="s">
        <v>4344</v>
      </c>
      <c r="G79" t="s">
        <v>4344</v>
      </c>
      <c r="H79">
        <v>3</v>
      </c>
    </row>
    <row r="80" spans="1:8" x14ac:dyDescent="0.25">
      <c r="A80" t="s">
        <v>3743</v>
      </c>
      <c r="B80">
        <v>1</v>
      </c>
      <c r="C80">
        <v>1</v>
      </c>
      <c r="D80">
        <v>1</v>
      </c>
      <c r="E80" t="s">
        <v>4345</v>
      </c>
      <c r="F80" t="s">
        <v>4345</v>
      </c>
      <c r="G80" t="s">
        <v>4345</v>
      </c>
      <c r="H80">
        <v>8</v>
      </c>
    </row>
    <row r="81" spans="1:8" x14ac:dyDescent="0.25">
      <c r="A81" t="s">
        <v>3477</v>
      </c>
      <c r="B81">
        <v>1</v>
      </c>
      <c r="C81">
        <v>1</v>
      </c>
      <c r="D81">
        <v>1</v>
      </c>
      <c r="E81" t="s">
        <v>4346</v>
      </c>
      <c r="F81" t="s">
        <v>4346</v>
      </c>
      <c r="G81" t="s">
        <v>4346</v>
      </c>
      <c r="H81">
        <v>18</v>
      </c>
    </row>
    <row r="82" spans="1:8" x14ac:dyDescent="0.25">
      <c r="A82" t="s">
        <v>2906</v>
      </c>
      <c r="B82">
        <v>1</v>
      </c>
      <c r="C82">
        <v>1</v>
      </c>
      <c r="D82">
        <v>1</v>
      </c>
      <c r="E82" t="s">
        <v>4347</v>
      </c>
      <c r="F82" t="s">
        <v>4347</v>
      </c>
      <c r="G82" t="s">
        <v>4347</v>
      </c>
      <c r="H82">
        <v>60</v>
      </c>
    </row>
    <row r="83" spans="1:8" x14ac:dyDescent="0.25">
      <c r="A83" t="s">
        <v>2594</v>
      </c>
      <c r="B83">
        <v>1</v>
      </c>
      <c r="C83">
        <v>1</v>
      </c>
      <c r="D83">
        <v>1</v>
      </c>
      <c r="E83" t="s">
        <v>4348</v>
      </c>
      <c r="F83" t="s">
        <v>4348</v>
      </c>
      <c r="G83" t="s">
        <v>4348</v>
      </c>
      <c r="H83">
        <v>33</v>
      </c>
    </row>
    <row r="84" spans="1:8" x14ac:dyDescent="0.25">
      <c r="A84" t="s">
        <v>3685</v>
      </c>
      <c r="B84">
        <v>1</v>
      </c>
      <c r="C84">
        <v>1</v>
      </c>
      <c r="D84">
        <v>1</v>
      </c>
      <c r="E84" t="s">
        <v>4349</v>
      </c>
      <c r="F84" t="s">
        <v>4349</v>
      </c>
      <c r="G84" t="s">
        <v>4349</v>
      </c>
      <c r="H84">
        <v>1</v>
      </c>
    </row>
    <row r="85" spans="1:8" x14ac:dyDescent="0.25">
      <c r="A85" t="s">
        <v>547</v>
      </c>
      <c r="B85">
        <v>1</v>
      </c>
      <c r="C85">
        <v>1</v>
      </c>
      <c r="D85">
        <v>1</v>
      </c>
      <c r="E85" t="s">
        <v>4350</v>
      </c>
      <c r="F85" t="s">
        <v>4351</v>
      </c>
      <c r="G85" t="s">
        <v>4351</v>
      </c>
      <c r="H85">
        <v>245</v>
      </c>
    </row>
    <row r="86" spans="1:8" x14ac:dyDescent="0.25">
      <c r="A86" t="s">
        <v>3422</v>
      </c>
      <c r="B86">
        <v>1</v>
      </c>
      <c r="C86">
        <v>1</v>
      </c>
      <c r="D86">
        <v>1</v>
      </c>
      <c r="E86" t="s">
        <v>4352</v>
      </c>
      <c r="F86" t="s">
        <v>4352</v>
      </c>
      <c r="G86" t="s">
        <v>4352</v>
      </c>
      <c r="H86">
        <v>3</v>
      </c>
    </row>
    <row r="87" spans="1:8" x14ac:dyDescent="0.25">
      <c r="A87" t="s">
        <v>4353</v>
      </c>
      <c r="B87">
        <v>0</v>
      </c>
      <c r="C87">
        <v>0</v>
      </c>
      <c r="D87">
        <v>0</v>
      </c>
      <c r="G87" t="s">
        <v>4256</v>
      </c>
      <c r="H87">
        <v>1</v>
      </c>
    </row>
    <row r="88" spans="1:8" x14ac:dyDescent="0.25">
      <c r="A88" t="s">
        <v>3319</v>
      </c>
      <c r="B88">
        <v>1</v>
      </c>
      <c r="C88">
        <v>1</v>
      </c>
      <c r="D88">
        <v>1</v>
      </c>
      <c r="E88" t="s">
        <v>4354</v>
      </c>
      <c r="F88" t="s">
        <v>4354</v>
      </c>
      <c r="G88" t="s">
        <v>4354</v>
      </c>
      <c r="H88">
        <v>8</v>
      </c>
    </row>
    <row r="89" spans="1:8" x14ac:dyDescent="0.25">
      <c r="A89" t="s">
        <v>2521</v>
      </c>
      <c r="B89">
        <v>1</v>
      </c>
      <c r="C89">
        <v>1</v>
      </c>
      <c r="D89">
        <v>1</v>
      </c>
      <c r="E89" t="s">
        <v>4355</v>
      </c>
      <c r="F89" t="s">
        <v>4356</v>
      </c>
      <c r="G89" t="s">
        <v>4356</v>
      </c>
      <c r="H89">
        <v>67</v>
      </c>
    </row>
    <row r="90" spans="1:8" x14ac:dyDescent="0.25">
      <c r="A90" t="s">
        <v>2200</v>
      </c>
      <c r="B90">
        <v>2</v>
      </c>
      <c r="C90">
        <v>2</v>
      </c>
      <c r="D90">
        <v>2</v>
      </c>
      <c r="E90" t="s">
        <v>4357</v>
      </c>
      <c r="F90" t="s">
        <v>4357</v>
      </c>
      <c r="G90" t="s">
        <v>4256</v>
      </c>
      <c r="H90">
        <v>87</v>
      </c>
    </row>
    <row r="91" spans="1:8" x14ac:dyDescent="0.25">
      <c r="A91" t="s">
        <v>2362</v>
      </c>
      <c r="B91">
        <v>2</v>
      </c>
      <c r="C91">
        <v>2</v>
      </c>
      <c r="D91">
        <v>2</v>
      </c>
      <c r="E91" t="s">
        <v>4358</v>
      </c>
      <c r="F91" t="s">
        <v>4359</v>
      </c>
      <c r="G91" t="s">
        <v>4256</v>
      </c>
      <c r="H91">
        <v>87</v>
      </c>
    </row>
    <row r="92" spans="1:8" x14ac:dyDescent="0.25">
      <c r="A92" t="s">
        <v>2273</v>
      </c>
      <c r="B92">
        <v>1</v>
      </c>
      <c r="C92">
        <v>1</v>
      </c>
      <c r="D92">
        <v>1</v>
      </c>
      <c r="E92" t="s">
        <v>4360</v>
      </c>
      <c r="F92" t="s">
        <v>4361</v>
      </c>
      <c r="G92" t="s">
        <v>4361</v>
      </c>
      <c r="H92">
        <v>99</v>
      </c>
    </row>
    <row r="93" spans="1:8" x14ac:dyDescent="0.25">
      <c r="A93" t="s">
        <v>3267</v>
      </c>
      <c r="B93">
        <v>1</v>
      </c>
      <c r="C93">
        <v>1</v>
      </c>
      <c r="D93">
        <v>1</v>
      </c>
      <c r="E93" t="s">
        <v>4362</v>
      </c>
      <c r="F93" t="s">
        <v>4363</v>
      </c>
      <c r="G93" t="s">
        <v>4363</v>
      </c>
      <c r="H93">
        <v>11</v>
      </c>
    </row>
    <row r="94" spans="1:8" x14ac:dyDescent="0.25">
      <c r="A94" t="s">
        <v>2295</v>
      </c>
      <c r="B94">
        <v>2</v>
      </c>
      <c r="C94">
        <v>2</v>
      </c>
      <c r="D94">
        <v>2</v>
      </c>
      <c r="E94" t="s">
        <v>4364</v>
      </c>
      <c r="F94" t="s">
        <v>4364</v>
      </c>
      <c r="G94" t="s">
        <v>4256</v>
      </c>
      <c r="H94">
        <v>95</v>
      </c>
    </row>
    <row r="95" spans="1:8" x14ac:dyDescent="0.25">
      <c r="A95" t="s">
        <v>2707</v>
      </c>
      <c r="B95">
        <v>1</v>
      </c>
      <c r="C95">
        <v>1</v>
      </c>
      <c r="D95">
        <v>1</v>
      </c>
      <c r="E95" t="s">
        <v>4365</v>
      </c>
      <c r="F95" t="s">
        <v>4365</v>
      </c>
      <c r="G95" t="s">
        <v>4365</v>
      </c>
      <c r="H95">
        <v>15</v>
      </c>
    </row>
    <row r="96" spans="1:8" x14ac:dyDescent="0.25">
      <c r="A96" t="s">
        <v>3284</v>
      </c>
      <c r="B96">
        <v>1</v>
      </c>
      <c r="C96">
        <v>1</v>
      </c>
      <c r="D96">
        <v>1</v>
      </c>
      <c r="E96" t="s">
        <v>4366</v>
      </c>
      <c r="F96" t="s">
        <v>4366</v>
      </c>
      <c r="G96" t="s">
        <v>4366</v>
      </c>
      <c r="H96">
        <v>9</v>
      </c>
    </row>
    <row r="97" spans="1:8" x14ac:dyDescent="0.25">
      <c r="A97" t="s">
        <v>2133</v>
      </c>
      <c r="B97">
        <v>1</v>
      </c>
      <c r="C97">
        <v>1</v>
      </c>
      <c r="D97">
        <v>1</v>
      </c>
      <c r="E97" t="s">
        <v>4367</v>
      </c>
      <c r="F97" t="s">
        <v>4367</v>
      </c>
      <c r="G97" t="s">
        <v>4367</v>
      </c>
      <c r="H97">
        <v>57</v>
      </c>
    </row>
    <row r="98" spans="1:8" x14ac:dyDescent="0.25">
      <c r="A98" t="s">
        <v>3994</v>
      </c>
      <c r="B98">
        <v>1</v>
      </c>
      <c r="C98">
        <v>1</v>
      </c>
      <c r="D98">
        <v>1</v>
      </c>
      <c r="E98" t="s">
        <v>4368</v>
      </c>
      <c r="F98" t="s">
        <v>4368</v>
      </c>
      <c r="G98" t="s">
        <v>4368</v>
      </c>
      <c r="H98">
        <v>1</v>
      </c>
    </row>
    <row r="99" spans="1:8" x14ac:dyDescent="0.25">
      <c r="A99" t="s">
        <v>2962</v>
      </c>
      <c r="B99">
        <v>1</v>
      </c>
      <c r="C99">
        <v>1</v>
      </c>
      <c r="D99">
        <v>1</v>
      </c>
      <c r="E99" t="s">
        <v>4369</v>
      </c>
      <c r="F99" t="s">
        <v>4369</v>
      </c>
      <c r="G99" t="s">
        <v>4369</v>
      </c>
      <c r="H99">
        <v>34</v>
      </c>
    </row>
    <row r="100" spans="1:8" x14ac:dyDescent="0.25">
      <c r="A100" t="s">
        <v>3482</v>
      </c>
      <c r="B100">
        <v>1</v>
      </c>
      <c r="C100">
        <v>1</v>
      </c>
      <c r="D100">
        <v>1</v>
      </c>
      <c r="E100" t="s">
        <v>4370</v>
      </c>
      <c r="F100" t="s">
        <v>4370</v>
      </c>
      <c r="G100" t="s">
        <v>4370</v>
      </c>
      <c r="H100">
        <v>7</v>
      </c>
    </row>
    <row r="101" spans="1:8" x14ac:dyDescent="0.25">
      <c r="A101" t="s">
        <v>3450</v>
      </c>
      <c r="B101">
        <v>1</v>
      </c>
      <c r="C101">
        <v>1</v>
      </c>
      <c r="D101">
        <v>1</v>
      </c>
      <c r="E101" t="s">
        <v>4371</v>
      </c>
      <c r="F101" t="s">
        <v>4371</v>
      </c>
      <c r="G101" t="s">
        <v>4371</v>
      </c>
      <c r="H101">
        <v>8</v>
      </c>
    </row>
    <row r="102" spans="1:8" x14ac:dyDescent="0.25">
      <c r="A102" t="s">
        <v>2629</v>
      </c>
      <c r="B102">
        <v>1</v>
      </c>
      <c r="C102">
        <v>1</v>
      </c>
      <c r="D102">
        <v>1</v>
      </c>
      <c r="E102" t="s">
        <v>4372</v>
      </c>
      <c r="F102" t="s">
        <v>4373</v>
      </c>
      <c r="G102" t="s">
        <v>4373</v>
      </c>
      <c r="H102">
        <v>101</v>
      </c>
    </row>
    <row r="103" spans="1:8" x14ac:dyDescent="0.25">
      <c r="A103" t="s">
        <v>3151</v>
      </c>
      <c r="B103">
        <v>1</v>
      </c>
      <c r="C103">
        <v>1</v>
      </c>
      <c r="D103">
        <v>1</v>
      </c>
      <c r="E103" t="s">
        <v>4374</v>
      </c>
      <c r="F103" t="s">
        <v>4374</v>
      </c>
      <c r="G103" t="s">
        <v>4374</v>
      </c>
      <c r="H103">
        <v>39</v>
      </c>
    </row>
    <row r="104" spans="1:8" x14ac:dyDescent="0.25">
      <c r="A104" t="s">
        <v>1988</v>
      </c>
      <c r="B104">
        <v>1</v>
      </c>
      <c r="C104">
        <v>1</v>
      </c>
      <c r="D104">
        <v>1</v>
      </c>
      <c r="E104" t="s">
        <v>4375</v>
      </c>
      <c r="F104" t="s">
        <v>4375</v>
      </c>
      <c r="G104" t="s">
        <v>4375</v>
      </c>
      <c r="H104">
        <v>27</v>
      </c>
    </row>
    <row r="105" spans="1:8" x14ac:dyDescent="0.25">
      <c r="A105" t="s">
        <v>3135</v>
      </c>
      <c r="B105">
        <v>1</v>
      </c>
      <c r="C105">
        <v>1</v>
      </c>
      <c r="D105">
        <v>1</v>
      </c>
      <c r="E105" t="s">
        <v>4376</v>
      </c>
      <c r="F105" t="s">
        <v>4376</v>
      </c>
      <c r="G105" t="s">
        <v>4376</v>
      </c>
      <c r="H105">
        <v>10</v>
      </c>
    </row>
    <row r="106" spans="1:8" x14ac:dyDescent="0.25">
      <c r="A106" t="s">
        <v>3541</v>
      </c>
      <c r="B106">
        <v>1</v>
      </c>
      <c r="C106">
        <v>1</v>
      </c>
      <c r="D106">
        <v>1</v>
      </c>
      <c r="E106" t="s">
        <v>4377</v>
      </c>
      <c r="F106" t="s">
        <v>4377</v>
      </c>
      <c r="G106" t="s">
        <v>4377</v>
      </c>
      <c r="H106">
        <v>14</v>
      </c>
    </row>
    <row r="107" spans="1:8" x14ac:dyDescent="0.25">
      <c r="A107" t="s">
        <v>3167</v>
      </c>
      <c r="B107">
        <v>2</v>
      </c>
      <c r="C107">
        <v>2</v>
      </c>
      <c r="D107">
        <v>2</v>
      </c>
      <c r="E107" t="s">
        <v>4378</v>
      </c>
      <c r="F107" t="s">
        <v>4378</v>
      </c>
      <c r="G107" t="s">
        <v>4256</v>
      </c>
      <c r="H107">
        <v>28</v>
      </c>
    </row>
    <row r="108" spans="1:8" x14ac:dyDescent="0.25">
      <c r="A108" t="s">
        <v>1828</v>
      </c>
      <c r="B108">
        <v>1</v>
      </c>
      <c r="C108">
        <v>1</v>
      </c>
      <c r="D108">
        <v>1</v>
      </c>
      <c r="E108" t="s">
        <v>4379</v>
      </c>
      <c r="F108" t="s">
        <v>4379</v>
      </c>
      <c r="G108" t="s">
        <v>4379</v>
      </c>
      <c r="H108">
        <v>99</v>
      </c>
    </row>
    <row r="109" spans="1:8" x14ac:dyDescent="0.25">
      <c r="A109" t="s">
        <v>2398</v>
      </c>
      <c r="B109">
        <v>1</v>
      </c>
      <c r="C109">
        <v>1</v>
      </c>
      <c r="D109">
        <v>1</v>
      </c>
      <c r="E109" t="s">
        <v>4380</v>
      </c>
      <c r="F109" t="s">
        <v>4380</v>
      </c>
      <c r="G109" t="s">
        <v>4380</v>
      </c>
      <c r="H109">
        <v>26</v>
      </c>
    </row>
    <row r="110" spans="1:8" x14ac:dyDescent="0.25">
      <c r="A110" t="s">
        <v>2432</v>
      </c>
      <c r="B110">
        <v>3</v>
      </c>
      <c r="C110">
        <v>3</v>
      </c>
      <c r="D110">
        <v>3</v>
      </c>
      <c r="E110" t="s">
        <v>4381</v>
      </c>
      <c r="F110" t="s">
        <v>4381</v>
      </c>
      <c r="G110" t="s">
        <v>4256</v>
      </c>
      <c r="H110">
        <v>47</v>
      </c>
    </row>
    <row r="111" spans="1:8" x14ac:dyDescent="0.25">
      <c r="A111" t="s">
        <v>3569</v>
      </c>
      <c r="B111">
        <v>2</v>
      </c>
      <c r="C111">
        <v>2</v>
      </c>
      <c r="D111">
        <v>2</v>
      </c>
      <c r="E111" t="s">
        <v>4382</v>
      </c>
      <c r="F111" t="s">
        <v>4382</v>
      </c>
      <c r="G111" t="s">
        <v>4256</v>
      </c>
      <c r="H111">
        <v>6</v>
      </c>
    </row>
    <row r="112" spans="1:8" x14ac:dyDescent="0.25">
      <c r="A112" t="s">
        <v>2265</v>
      </c>
      <c r="B112">
        <v>1</v>
      </c>
      <c r="C112">
        <v>1</v>
      </c>
      <c r="D112">
        <v>1</v>
      </c>
      <c r="E112" t="s">
        <v>4383</v>
      </c>
      <c r="F112" t="s">
        <v>4383</v>
      </c>
      <c r="G112" t="s">
        <v>4383</v>
      </c>
      <c r="H112">
        <v>58</v>
      </c>
    </row>
    <row r="113" spans="1:8" x14ac:dyDescent="0.25">
      <c r="A113" t="s">
        <v>3561</v>
      </c>
      <c r="B113">
        <v>2</v>
      </c>
      <c r="C113">
        <v>2</v>
      </c>
      <c r="D113">
        <v>2</v>
      </c>
      <c r="E113" t="s">
        <v>4384</v>
      </c>
      <c r="F113" t="s">
        <v>4384</v>
      </c>
      <c r="G113" t="s">
        <v>4256</v>
      </c>
      <c r="H113">
        <v>21</v>
      </c>
    </row>
    <row r="114" spans="1:8" x14ac:dyDescent="0.25">
      <c r="A114" t="s">
        <v>3809</v>
      </c>
      <c r="B114">
        <v>1</v>
      </c>
      <c r="C114">
        <v>1</v>
      </c>
      <c r="D114">
        <v>1</v>
      </c>
      <c r="E114" t="s">
        <v>4385</v>
      </c>
      <c r="F114" t="s">
        <v>4385</v>
      </c>
      <c r="G114" t="s">
        <v>4385</v>
      </c>
      <c r="H114">
        <v>10</v>
      </c>
    </row>
    <row r="115" spans="1:8" x14ac:dyDescent="0.25">
      <c r="A115" t="s">
        <v>3608</v>
      </c>
      <c r="B115">
        <v>1</v>
      </c>
      <c r="C115">
        <v>1</v>
      </c>
      <c r="D115">
        <v>1</v>
      </c>
      <c r="E115" t="s">
        <v>4386</v>
      </c>
      <c r="F115" t="s">
        <v>4386</v>
      </c>
      <c r="G115" t="s">
        <v>4386</v>
      </c>
      <c r="H115">
        <v>9</v>
      </c>
    </row>
    <row r="116" spans="1:8" x14ac:dyDescent="0.25">
      <c r="A116" t="s">
        <v>3966</v>
      </c>
      <c r="B116">
        <v>1</v>
      </c>
      <c r="C116">
        <v>1</v>
      </c>
      <c r="D116">
        <v>1</v>
      </c>
      <c r="E116" t="s">
        <v>4387</v>
      </c>
      <c r="F116" t="s">
        <v>4387</v>
      </c>
      <c r="G116" t="s">
        <v>4387</v>
      </c>
      <c r="H116">
        <v>3</v>
      </c>
    </row>
    <row r="117" spans="1:8" x14ac:dyDescent="0.25">
      <c r="A117" t="s">
        <v>3761</v>
      </c>
      <c r="B117">
        <v>1</v>
      </c>
      <c r="C117">
        <v>1</v>
      </c>
      <c r="D117">
        <v>1</v>
      </c>
      <c r="E117" t="s">
        <v>4388</v>
      </c>
      <c r="F117" t="s">
        <v>4388</v>
      </c>
      <c r="G117" t="s">
        <v>4388</v>
      </c>
      <c r="H117">
        <v>2</v>
      </c>
    </row>
    <row r="118" spans="1:8" x14ac:dyDescent="0.25">
      <c r="A118" t="s">
        <v>2491</v>
      </c>
      <c r="B118">
        <v>1</v>
      </c>
      <c r="C118">
        <v>1</v>
      </c>
      <c r="D118">
        <v>1</v>
      </c>
      <c r="E118" t="s">
        <v>4389</v>
      </c>
      <c r="F118" t="s">
        <v>4389</v>
      </c>
      <c r="G118" t="s">
        <v>4389</v>
      </c>
      <c r="H118">
        <v>32</v>
      </c>
    </row>
    <row r="119" spans="1:8" x14ac:dyDescent="0.25">
      <c r="A119" t="s">
        <v>2670</v>
      </c>
      <c r="B119">
        <v>1</v>
      </c>
      <c r="C119">
        <v>1</v>
      </c>
      <c r="D119">
        <v>1</v>
      </c>
      <c r="E119" t="s">
        <v>4390</v>
      </c>
      <c r="F119" t="s">
        <v>4390</v>
      </c>
      <c r="G119" t="s">
        <v>4390</v>
      </c>
      <c r="H119">
        <v>43</v>
      </c>
    </row>
    <row r="120" spans="1:8" x14ac:dyDescent="0.25">
      <c r="A120" t="s">
        <v>3798</v>
      </c>
      <c r="B120">
        <v>1</v>
      </c>
      <c r="C120">
        <v>1</v>
      </c>
      <c r="D120">
        <v>1</v>
      </c>
      <c r="E120" t="s">
        <v>4391</v>
      </c>
      <c r="F120" t="s">
        <v>4392</v>
      </c>
      <c r="G120" t="s">
        <v>4392</v>
      </c>
      <c r="H120">
        <v>5</v>
      </c>
    </row>
    <row r="121" spans="1:8" x14ac:dyDescent="0.25">
      <c r="A121" t="s">
        <v>1374</v>
      </c>
      <c r="B121">
        <v>1</v>
      </c>
      <c r="C121">
        <v>1</v>
      </c>
      <c r="D121">
        <v>1</v>
      </c>
      <c r="E121" t="s">
        <v>4393</v>
      </c>
      <c r="F121" t="s">
        <v>4393</v>
      </c>
      <c r="G121" t="s">
        <v>4393</v>
      </c>
      <c r="H121">
        <v>75</v>
      </c>
    </row>
    <row r="122" spans="1:8" x14ac:dyDescent="0.25">
      <c r="A122" t="s">
        <v>2115</v>
      </c>
      <c r="B122">
        <v>1</v>
      </c>
      <c r="C122">
        <v>1</v>
      </c>
      <c r="D122">
        <v>1</v>
      </c>
      <c r="E122" t="s">
        <v>4394</v>
      </c>
      <c r="F122" t="s">
        <v>4394</v>
      </c>
      <c r="G122" t="s">
        <v>4394</v>
      </c>
      <c r="H122">
        <v>55</v>
      </c>
    </row>
    <row r="123" spans="1:8" x14ac:dyDescent="0.25">
      <c r="A123" t="s">
        <v>2721</v>
      </c>
      <c r="B123">
        <v>1</v>
      </c>
      <c r="C123">
        <v>1</v>
      </c>
      <c r="D123">
        <v>1</v>
      </c>
      <c r="E123" t="s">
        <v>4394</v>
      </c>
      <c r="F123" t="s">
        <v>4394</v>
      </c>
      <c r="G123" t="s">
        <v>4394</v>
      </c>
      <c r="H123">
        <v>12</v>
      </c>
    </row>
    <row r="124" spans="1:8" x14ac:dyDescent="0.25">
      <c r="A124" t="s">
        <v>2383</v>
      </c>
      <c r="B124">
        <v>1</v>
      </c>
      <c r="C124">
        <v>1</v>
      </c>
      <c r="D124">
        <v>1</v>
      </c>
      <c r="E124" t="s">
        <v>4395</v>
      </c>
      <c r="F124" t="s">
        <v>4395</v>
      </c>
      <c r="G124" t="s">
        <v>4395</v>
      </c>
      <c r="H124">
        <v>97</v>
      </c>
    </row>
    <row r="125" spans="1:8" x14ac:dyDescent="0.25">
      <c r="A125" t="s">
        <v>2759</v>
      </c>
      <c r="B125">
        <v>1</v>
      </c>
      <c r="C125">
        <v>1</v>
      </c>
      <c r="D125">
        <v>1</v>
      </c>
      <c r="E125" t="s">
        <v>4396</v>
      </c>
      <c r="F125" t="s">
        <v>4396</v>
      </c>
      <c r="G125" t="s">
        <v>4396</v>
      </c>
      <c r="H125">
        <v>71</v>
      </c>
    </row>
    <row r="126" spans="1:8" x14ac:dyDescent="0.25">
      <c r="A126" t="s">
        <v>2862</v>
      </c>
      <c r="B126">
        <v>1</v>
      </c>
      <c r="C126">
        <v>1</v>
      </c>
      <c r="D126">
        <v>1</v>
      </c>
      <c r="E126" t="s">
        <v>4397</v>
      </c>
      <c r="F126" t="s">
        <v>4398</v>
      </c>
      <c r="G126" t="s">
        <v>4398</v>
      </c>
      <c r="H126">
        <v>43</v>
      </c>
    </row>
    <row r="127" spans="1:8" x14ac:dyDescent="0.25">
      <c r="A127" t="s">
        <v>2668</v>
      </c>
      <c r="B127">
        <v>1</v>
      </c>
      <c r="C127">
        <v>1</v>
      </c>
      <c r="D127">
        <v>1</v>
      </c>
      <c r="E127" t="s">
        <v>4399</v>
      </c>
      <c r="F127" t="s">
        <v>4400</v>
      </c>
      <c r="G127" t="s">
        <v>4400</v>
      </c>
      <c r="H127">
        <v>76</v>
      </c>
    </row>
    <row r="128" spans="1:8" x14ac:dyDescent="0.25">
      <c r="A128" t="s">
        <v>2428</v>
      </c>
      <c r="B128">
        <v>1</v>
      </c>
      <c r="C128">
        <v>1</v>
      </c>
      <c r="D128">
        <v>1</v>
      </c>
      <c r="E128" t="s">
        <v>4401</v>
      </c>
      <c r="F128" t="s">
        <v>4402</v>
      </c>
      <c r="G128" t="s">
        <v>4402</v>
      </c>
      <c r="H128">
        <v>99</v>
      </c>
    </row>
    <row r="129" spans="1:8" x14ac:dyDescent="0.25">
      <c r="A129" t="s">
        <v>2639</v>
      </c>
      <c r="B129">
        <v>2</v>
      </c>
      <c r="C129">
        <v>2</v>
      </c>
      <c r="D129">
        <v>2</v>
      </c>
      <c r="E129" t="s">
        <v>4403</v>
      </c>
      <c r="F129" t="s">
        <v>4404</v>
      </c>
      <c r="G129" t="s">
        <v>4256</v>
      </c>
      <c r="H129">
        <v>52</v>
      </c>
    </row>
    <row r="130" spans="1:8" x14ac:dyDescent="0.25">
      <c r="A130" t="s">
        <v>2565</v>
      </c>
      <c r="B130">
        <v>2</v>
      </c>
      <c r="C130">
        <v>2</v>
      </c>
      <c r="D130">
        <v>2</v>
      </c>
      <c r="E130" t="s">
        <v>4405</v>
      </c>
      <c r="F130" t="s">
        <v>4406</v>
      </c>
      <c r="G130" t="s">
        <v>4256</v>
      </c>
      <c r="H130">
        <v>84</v>
      </c>
    </row>
    <row r="131" spans="1:8" x14ac:dyDescent="0.25">
      <c r="A131" t="s">
        <v>3187</v>
      </c>
      <c r="B131">
        <v>1</v>
      </c>
      <c r="C131">
        <v>1</v>
      </c>
      <c r="D131">
        <v>1</v>
      </c>
      <c r="E131" t="s">
        <v>4407</v>
      </c>
      <c r="F131" t="s">
        <v>4407</v>
      </c>
      <c r="G131" t="s">
        <v>4407</v>
      </c>
      <c r="H131">
        <v>33</v>
      </c>
    </row>
    <row r="132" spans="1:8" x14ac:dyDescent="0.25">
      <c r="A132" t="s">
        <v>2865</v>
      </c>
      <c r="B132">
        <v>1</v>
      </c>
      <c r="C132">
        <v>1</v>
      </c>
      <c r="D132">
        <v>1</v>
      </c>
      <c r="E132" t="s">
        <v>4408</v>
      </c>
      <c r="F132" t="s">
        <v>4409</v>
      </c>
      <c r="G132" t="s">
        <v>4409</v>
      </c>
      <c r="H132">
        <v>50</v>
      </c>
    </row>
    <row r="133" spans="1:8" x14ac:dyDescent="0.25">
      <c r="A133" t="s">
        <v>2655</v>
      </c>
      <c r="B133">
        <v>1</v>
      </c>
      <c r="C133">
        <v>1</v>
      </c>
      <c r="D133">
        <v>1</v>
      </c>
      <c r="E133" t="s">
        <v>4410</v>
      </c>
      <c r="F133" t="s">
        <v>4410</v>
      </c>
      <c r="G133" t="s">
        <v>4410</v>
      </c>
      <c r="H133">
        <v>99</v>
      </c>
    </row>
    <row r="134" spans="1:8" x14ac:dyDescent="0.25">
      <c r="A134" t="s">
        <v>3142</v>
      </c>
      <c r="B134">
        <v>1</v>
      </c>
      <c r="C134">
        <v>1</v>
      </c>
      <c r="D134">
        <v>1</v>
      </c>
      <c r="E134" t="s">
        <v>4411</v>
      </c>
      <c r="F134" t="s">
        <v>4411</v>
      </c>
      <c r="G134" t="s">
        <v>4411</v>
      </c>
      <c r="H134">
        <v>33</v>
      </c>
    </row>
    <row r="135" spans="1:8" x14ac:dyDescent="0.25">
      <c r="A135" t="s">
        <v>2119</v>
      </c>
      <c r="B135">
        <v>1</v>
      </c>
      <c r="C135">
        <v>1</v>
      </c>
      <c r="D135">
        <v>1</v>
      </c>
      <c r="E135" t="s">
        <v>4412</v>
      </c>
      <c r="F135" t="s">
        <v>4412</v>
      </c>
      <c r="G135" t="s">
        <v>4412</v>
      </c>
      <c r="H135">
        <v>110</v>
      </c>
    </row>
    <row r="136" spans="1:8" x14ac:dyDescent="0.25">
      <c r="A136" t="s">
        <v>2746</v>
      </c>
      <c r="B136">
        <v>1</v>
      </c>
      <c r="C136">
        <v>1</v>
      </c>
      <c r="D136">
        <v>1</v>
      </c>
      <c r="E136" t="s">
        <v>4413</v>
      </c>
      <c r="F136" t="s">
        <v>4413</v>
      </c>
      <c r="G136" t="s">
        <v>4413</v>
      </c>
      <c r="H136">
        <v>65</v>
      </c>
    </row>
    <row r="137" spans="1:8" x14ac:dyDescent="0.25">
      <c r="A137" t="s">
        <v>3017</v>
      </c>
      <c r="B137">
        <v>1</v>
      </c>
      <c r="C137">
        <v>1</v>
      </c>
      <c r="D137">
        <v>1</v>
      </c>
      <c r="E137" t="s">
        <v>4414</v>
      </c>
      <c r="F137" t="s">
        <v>4415</v>
      </c>
      <c r="G137" t="s">
        <v>4415</v>
      </c>
      <c r="H137">
        <v>33</v>
      </c>
    </row>
    <row r="138" spans="1:8" x14ac:dyDescent="0.25">
      <c r="A138" t="s">
        <v>3201</v>
      </c>
      <c r="B138">
        <v>1</v>
      </c>
      <c r="C138">
        <v>1</v>
      </c>
      <c r="D138">
        <v>1</v>
      </c>
      <c r="E138" t="s">
        <v>4416</v>
      </c>
      <c r="F138" t="s">
        <v>4417</v>
      </c>
      <c r="G138" t="s">
        <v>4417</v>
      </c>
      <c r="H138">
        <v>20</v>
      </c>
    </row>
    <row r="139" spans="1:8" x14ac:dyDescent="0.25">
      <c r="A139" t="s">
        <v>3321</v>
      </c>
      <c r="B139">
        <v>1</v>
      </c>
      <c r="C139">
        <v>1</v>
      </c>
      <c r="D139">
        <v>1</v>
      </c>
      <c r="E139" t="s">
        <v>4418</v>
      </c>
      <c r="F139" t="s">
        <v>4419</v>
      </c>
      <c r="G139" t="s">
        <v>4419</v>
      </c>
      <c r="H139">
        <v>20</v>
      </c>
    </row>
    <row r="140" spans="1:8" x14ac:dyDescent="0.25">
      <c r="A140" t="s">
        <v>3237</v>
      </c>
      <c r="B140">
        <v>1</v>
      </c>
      <c r="C140">
        <v>1</v>
      </c>
      <c r="D140">
        <v>1</v>
      </c>
      <c r="E140" t="s">
        <v>4420</v>
      </c>
      <c r="F140" t="s">
        <v>4421</v>
      </c>
      <c r="G140" t="s">
        <v>4421</v>
      </c>
      <c r="H140">
        <v>19</v>
      </c>
    </row>
    <row r="141" spans="1:8" x14ac:dyDescent="0.25">
      <c r="A141" t="s">
        <v>1401</v>
      </c>
      <c r="B141">
        <v>3</v>
      </c>
      <c r="C141">
        <v>3</v>
      </c>
      <c r="D141">
        <v>3</v>
      </c>
      <c r="E141" t="s">
        <v>4422</v>
      </c>
      <c r="F141" t="s">
        <v>4423</v>
      </c>
      <c r="G141" t="s">
        <v>4256</v>
      </c>
      <c r="H141">
        <v>159</v>
      </c>
    </row>
    <row r="142" spans="1:8" x14ac:dyDescent="0.25">
      <c r="A142" t="s">
        <v>3484</v>
      </c>
      <c r="B142">
        <v>1</v>
      </c>
      <c r="C142">
        <v>1</v>
      </c>
      <c r="D142">
        <v>1</v>
      </c>
      <c r="E142" t="s">
        <v>4424</v>
      </c>
      <c r="F142" t="s">
        <v>4424</v>
      </c>
      <c r="G142" t="s">
        <v>4424</v>
      </c>
      <c r="H142">
        <v>18</v>
      </c>
    </row>
    <row r="143" spans="1:8" x14ac:dyDescent="0.25">
      <c r="A143" t="s">
        <v>3431</v>
      </c>
      <c r="B143">
        <v>1</v>
      </c>
      <c r="C143">
        <v>1</v>
      </c>
      <c r="D143">
        <v>1</v>
      </c>
      <c r="E143" t="s">
        <v>4425</v>
      </c>
      <c r="F143" t="s">
        <v>4425</v>
      </c>
      <c r="G143" t="s">
        <v>4425</v>
      </c>
      <c r="H143">
        <v>16</v>
      </c>
    </row>
    <row r="144" spans="1:8" x14ac:dyDescent="0.25">
      <c r="A144" t="s">
        <v>1420</v>
      </c>
      <c r="B144">
        <v>1</v>
      </c>
      <c r="C144">
        <v>1</v>
      </c>
      <c r="D144">
        <v>1</v>
      </c>
      <c r="E144" t="s">
        <v>4426</v>
      </c>
      <c r="F144" t="s">
        <v>4426</v>
      </c>
      <c r="G144" t="s">
        <v>4426</v>
      </c>
      <c r="H144">
        <v>222</v>
      </c>
    </row>
    <row r="145" spans="1:8" x14ac:dyDescent="0.25">
      <c r="A145" t="s">
        <v>2414</v>
      </c>
      <c r="B145">
        <v>1</v>
      </c>
      <c r="C145">
        <v>1</v>
      </c>
      <c r="D145">
        <v>1</v>
      </c>
      <c r="E145" t="s">
        <v>4427</v>
      </c>
      <c r="F145" t="s">
        <v>4427</v>
      </c>
      <c r="G145" t="s">
        <v>4427</v>
      </c>
      <c r="H145">
        <v>102</v>
      </c>
    </row>
    <row r="146" spans="1:8" x14ac:dyDescent="0.25">
      <c r="A146" t="s">
        <v>3465</v>
      </c>
      <c r="B146">
        <v>1</v>
      </c>
      <c r="C146">
        <v>1</v>
      </c>
      <c r="D146">
        <v>1</v>
      </c>
      <c r="E146" t="s">
        <v>4428</v>
      </c>
      <c r="F146" t="s">
        <v>4428</v>
      </c>
      <c r="G146" t="s">
        <v>4428</v>
      </c>
      <c r="H146">
        <v>11</v>
      </c>
    </row>
    <row r="147" spans="1:8" x14ac:dyDescent="0.25">
      <c r="A147" t="s">
        <v>3804</v>
      </c>
      <c r="B147">
        <v>1</v>
      </c>
      <c r="C147">
        <v>1</v>
      </c>
      <c r="D147">
        <v>1</v>
      </c>
      <c r="E147" t="s">
        <v>4429</v>
      </c>
      <c r="F147" t="s">
        <v>4430</v>
      </c>
      <c r="G147" t="s">
        <v>4430</v>
      </c>
      <c r="H147">
        <v>3</v>
      </c>
    </row>
    <row r="148" spans="1:8" x14ac:dyDescent="0.25">
      <c r="A148" t="s">
        <v>1179</v>
      </c>
      <c r="B148">
        <v>1</v>
      </c>
      <c r="C148">
        <v>1</v>
      </c>
      <c r="D148">
        <v>1</v>
      </c>
      <c r="E148" t="s">
        <v>4431</v>
      </c>
      <c r="F148" t="s">
        <v>4431</v>
      </c>
      <c r="G148" t="s">
        <v>4431</v>
      </c>
      <c r="H148">
        <v>209</v>
      </c>
    </row>
    <row r="149" spans="1:8" x14ac:dyDescent="0.25">
      <c r="A149" t="s">
        <v>752</v>
      </c>
      <c r="B149">
        <v>1</v>
      </c>
      <c r="C149">
        <v>1</v>
      </c>
      <c r="D149">
        <v>1</v>
      </c>
      <c r="E149" t="s">
        <v>4432</v>
      </c>
      <c r="F149" t="s">
        <v>4432</v>
      </c>
      <c r="G149" t="s">
        <v>4432</v>
      </c>
      <c r="H149">
        <v>327</v>
      </c>
    </row>
    <row r="150" spans="1:8" x14ac:dyDescent="0.25">
      <c r="A150" t="s">
        <v>522</v>
      </c>
      <c r="B150">
        <v>1</v>
      </c>
      <c r="C150">
        <v>1</v>
      </c>
      <c r="D150">
        <v>1</v>
      </c>
      <c r="E150" t="s">
        <v>4433</v>
      </c>
      <c r="F150" t="s">
        <v>4433</v>
      </c>
      <c r="G150" t="s">
        <v>4433</v>
      </c>
      <c r="H150">
        <v>459</v>
      </c>
    </row>
    <row r="151" spans="1:8" x14ac:dyDescent="0.25">
      <c r="A151" t="s">
        <v>663</v>
      </c>
      <c r="B151">
        <v>1</v>
      </c>
      <c r="C151">
        <v>1</v>
      </c>
      <c r="D151">
        <v>1</v>
      </c>
      <c r="E151" t="s">
        <v>4434</v>
      </c>
      <c r="F151" t="s">
        <v>4434</v>
      </c>
      <c r="G151" t="s">
        <v>4434</v>
      </c>
      <c r="H151">
        <v>340</v>
      </c>
    </row>
    <row r="152" spans="1:8" x14ac:dyDescent="0.25">
      <c r="A152" t="s">
        <v>3908</v>
      </c>
      <c r="B152">
        <v>1</v>
      </c>
      <c r="C152">
        <v>1</v>
      </c>
      <c r="D152">
        <v>1</v>
      </c>
      <c r="E152" t="s">
        <v>4435</v>
      </c>
      <c r="F152" t="s">
        <v>4435</v>
      </c>
      <c r="G152" t="s">
        <v>4435</v>
      </c>
      <c r="H152">
        <v>1</v>
      </c>
    </row>
    <row r="153" spans="1:8" x14ac:dyDescent="0.25">
      <c r="A153" t="s">
        <v>355</v>
      </c>
      <c r="B153">
        <v>1</v>
      </c>
      <c r="C153">
        <v>1</v>
      </c>
      <c r="D153">
        <v>1</v>
      </c>
      <c r="E153" t="s">
        <v>4436</v>
      </c>
      <c r="F153" t="s">
        <v>4436</v>
      </c>
      <c r="G153" t="s">
        <v>4436</v>
      </c>
      <c r="H153">
        <v>330</v>
      </c>
    </row>
    <row r="154" spans="1:8" x14ac:dyDescent="0.25">
      <c r="A154" t="s">
        <v>2326</v>
      </c>
      <c r="B154">
        <v>2</v>
      </c>
      <c r="C154">
        <v>2</v>
      </c>
      <c r="D154">
        <v>2</v>
      </c>
      <c r="E154" t="s">
        <v>4437</v>
      </c>
      <c r="F154" t="s">
        <v>4437</v>
      </c>
      <c r="G154" t="s">
        <v>4256</v>
      </c>
      <c r="H154">
        <v>51</v>
      </c>
    </row>
    <row r="155" spans="1:8" x14ac:dyDescent="0.25">
      <c r="A155" t="s">
        <v>723</v>
      </c>
      <c r="B155">
        <v>1</v>
      </c>
      <c r="C155">
        <v>1</v>
      </c>
      <c r="D155">
        <v>1</v>
      </c>
      <c r="E155" t="s">
        <v>4438</v>
      </c>
      <c r="F155" t="s">
        <v>4438</v>
      </c>
      <c r="G155" t="s">
        <v>4438</v>
      </c>
      <c r="H155">
        <v>248</v>
      </c>
    </row>
    <row r="156" spans="1:8" x14ac:dyDescent="0.25">
      <c r="A156" t="s">
        <v>2688</v>
      </c>
      <c r="B156">
        <v>1</v>
      </c>
      <c r="C156">
        <v>1</v>
      </c>
      <c r="D156">
        <v>1</v>
      </c>
      <c r="E156" t="s">
        <v>4439</v>
      </c>
      <c r="F156" t="s">
        <v>4439</v>
      </c>
      <c r="G156" t="s">
        <v>4439</v>
      </c>
      <c r="H156">
        <v>39</v>
      </c>
    </row>
    <row r="157" spans="1:8" x14ac:dyDescent="0.25">
      <c r="A157" t="s">
        <v>166</v>
      </c>
      <c r="B157">
        <v>1</v>
      </c>
      <c r="C157">
        <v>1</v>
      </c>
      <c r="D157">
        <v>1</v>
      </c>
      <c r="E157" t="s">
        <v>4440</v>
      </c>
      <c r="F157" t="s">
        <v>4440</v>
      </c>
      <c r="G157" t="s">
        <v>4440</v>
      </c>
      <c r="H157">
        <v>707</v>
      </c>
    </row>
    <row r="158" spans="1:8" x14ac:dyDescent="0.25">
      <c r="A158" t="s">
        <v>1815</v>
      </c>
      <c r="B158">
        <v>1</v>
      </c>
      <c r="C158">
        <v>1</v>
      </c>
      <c r="D158">
        <v>1</v>
      </c>
      <c r="E158" t="s">
        <v>4441</v>
      </c>
      <c r="F158" t="s">
        <v>4441</v>
      </c>
      <c r="G158" t="s">
        <v>4441</v>
      </c>
      <c r="H158">
        <v>79</v>
      </c>
    </row>
    <row r="159" spans="1:8" x14ac:dyDescent="0.25">
      <c r="A159" t="s">
        <v>4442</v>
      </c>
      <c r="B159">
        <v>0</v>
      </c>
      <c r="C159">
        <v>0</v>
      </c>
      <c r="D159">
        <v>0</v>
      </c>
      <c r="G159" t="s">
        <v>4256</v>
      </c>
      <c r="H159">
        <v>1</v>
      </c>
    </row>
    <row r="160" spans="1:8" x14ac:dyDescent="0.25">
      <c r="A160" t="s">
        <v>2882</v>
      </c>
      <c r="B160">
        <v>2</v>
      </c>
      <c r="C160">
        <v>2</v>
      </c>
      <c r="D160">
        <v>2</v>
      </c>
      <c r="E160" t="s">
        <v>4443</v>
      </c>
      <c r="F160" t="s">
        <v>4443</v>
      </c>
      <c r="G160" t="s">
        <v>4256</v>
      </c>
      <c r="H160">
        <v>18</v>
      </c>
    </row>
    <row r="161" spans="1:8" x14ac:dyDescent="0.25">
      <c r="A161" t="s">
        <v>3678</v>
      </c>
      <c r="B161">
        <v>1</v>
      </c>
      <c r="C161">
        <v>1</v>
      </c>
      <c r="D161">
        <v>1</v>
      </c>
      <c r="E161" t="s">
        <v>4444</v>
      </c>
      <c r="F161" t="s">
        <v>4444</v>
      </c>
      <c r="G161" t="s">
        <v>4444</v>
      </c>
      <c r="H161">
        <v>4</v>
      </c>
    </row>
    <row r="162" spans="1:8" x14ac:dyDescent="0.25">
      <c r="A162" t="s">
        <v>2784</v>
      </c>
      <c r="B162">
        <v>1</v>
      </c>
      <c r="C162">
        <v>1</v>
      </c>
      <c r="D162">
        <v>1</v>
      </c>
      <c r="E162" t="s">
        <v>4445</v>
      </c>
      <c r="F162" t="s">
        <v>4445</v>
      </c>
      <c r="G162" t="s">
        <v>4445</v>
      </c>
      <c r="H162">
        <v>30</v>
      </c>
    </row>
    <row r="163" spans="1:8" x14ac:dyDescent="0.25">
      <c r="A163" t="s">
        <v>3400</v>
      </c>
      <c r="B163">
        <v>1</v>
      </c>
      <c r="C163">
        <v>1</v>
      </c>
      <c r="D163">
        <v>1</v>
      </c>
      <c r="E163" t="s">
        <v>4446</v>
      </c>
      <c r="F163" t="s">
        <v>4446</v>
      </c>
      <c r="G163" t="s">
        <v>4446</v>
      </c>
      <c r="H163">
        <v>13</v>
      </c>
    </row>
    <row r="164" spans="1:8" x14ac:dyDescent="0.25">
      <c r="A164" t="s">
        <v>3469</v>
      </c>
      <c r="B164">
        <v>1</v>
      </c>
      <c r="C164">
        <v>1</v>
      </c>
      <c r="D164">
        <v>1</v>
      </c>
      <c r="E164" t="s">
        <v>4447</v>
      </c>
      <c r="F164" t="s">
        <v>4447</v>
      </c>
      <c r="G164" t="s">
        <v>4447</v>
      </c>
      <c r="H164">
        <v>9</v>
      </c>
    </row>
    <row r="165" spans="1:8" x14ac:dyDescent="0.25">
      <c r="A165" t="s">
        <v>2713</v>
      </c>
      <c r="B165">
        <v>1</v>
      </c>
      <c r="C165">
        <v>1</v>
      </c>
      <c r="D165">
        <v>1</v>
      </c>
      <c r="E165" t="s">
        <v>4448</v>
      </c>
      <c r="F165" t="s">
        <v>4448</v>
      </c>
      <c r="G165" t="s">
        <v>4448</v>
      </c>
      <c r="H165">
        <v>42</v>
      </c>
    </row>
    <row r="166" spans="1:8" x14ac:dyDescent="0.25">
      <c r="A166" t="s">
        <v>2572</v>
      </c>
      <c r="B166">
        <v>2</v>
      </c>
      <c r="C166">
        <v>2</v>
      </c>
      <c r="D166">
        <v>2</v>
      </c>
      <c r="E166" t="s">
        <v>4449</v>
      </c>
      <c r="F166" t="s">
        <v>4450</v>
      </c>
      <c r="G166" t="s">
        <v>4256</v>
      </c>
      <c r="H166">
        <v>55</v>
      </c>
    </row>
    <row r="167" spans="1:8" x14ac:dyDescent="0.25">
      <c r="A167" t="s">
        <v>3158</v>
      </c>
      <c r="B167">
        <v>1</v>
      </c>
      <c r="C167">
        <v>1</v>
      </c>
      <c r="D167">
        <v>1</v>
      </c>
      <c r="E167" t="s">
        <v>4451</v>
      </c>
      <c r="F167" t="s">
        <v>4452</v>
      </c>
      <c r="G167" t="s">
        <v>4452</v>
      </c>
      <c r="H167">
        <v>20</v>
      </c>
    </row>
    <row r="168" spans="1:8" x14ac:dyDescent="0.25">
      <c r="A168" t="s">
        <v>2223</v>
      </c>
      <c r="B168">
        <v>1</v>
      </c>
      <c r="C168">
        <v>1</v>
      </c>
      <c r="D168">
        <v>1</v>
      </c>
      <c r="E168" t="s">
        <v>4453</v>
      </c>
      <c r="F168" t="s">
        <v>4453</v>
      </c>
      <c r="G168" t="s">
        <v>4453</v>
      </c>
      <c r="H168">
        <v>44</v>
      </c>
    </row>
    <row r="169" spans="1:8" x14ac:dyDescent="0.25">
      <c r="A169" t="s">
        <v>3956</v>
      </c>
      <c r="B169">
        <v>1</v>
      </c>
      <c r="C169">
        <v>1</v>
      </c>
      <c r="D169">
        <v>1</v>
      </c>
      <c r="E169" t="s">
        <v>4454</v>
      </c>
      <c r="F169" t="s">
        <v>4454</v>
      </c>
      <c r="G169" t="s">
        <v>4454</v>
      </c>
      <c r="H169">
        <v>4</v>
      </c>
    </row>
    <row r="170" spans="1:8" x14ac:dyDescent="0.25">
      <c r="A170" t="s">
        <v>2064</v>
      </c>
      <c r="B170">
        <v>1</v>
      </c>
      <c r="C170">
        <v>1</v>
      </c>
      <c r="D170">
        <v>1</v>
      </c>
      <c r="E170" t="s">
        <v>4455</v>
      </c>
      <c r="F170" t="s">
        <v>4455</v>
      </c>
      <c r="G170" t="s">
        <v>4455</v>
      </c>
      <c r="H170">
        <v>45</v>
      </c>
    </row>
    <row r="171" spans="1:8" x14ac:dyDescent="0.25">
      <c r="A171" t="s">
        <v>2440</v>
      </c>
      <c r="B171">
        <v>1</v>
      </c>
      <c r="C171">
        <v>1</v>
      </c>
      <c r="D171">
        <v>1</v>
      </c>
      <c r="E171" t="s">
        <v>4456</v>
      </c>
      <c r="F171" t="s">
        <v>4456</v>
      </c>
      <c r="G171" t="s">
        <v>4456</v>
      </c>
      <c r="H171">
        <v>29</v>
      </c>
    </row>
    <row r="172" spans="1:8" x14ac:dyDescent="0.25">
      <c r="A172" t="s">
        <v>2382</v>
      </c>
      <c r="B172">
        <v>1</v>
      </c>
      <c r="C172">
        <v>1</v>
      </c>
      <c r="D172">
        <v>1</v>
      </c>
      <c r="E172" t="s">
        <v>4457</v>
      </c>
      <c r="F172" t="s">
        <v>4457</v>
      </c>
      <c r="G172" t="s">
        <v>4457</v>
      </c>
      <c r="H172">
        <v>150</v>
      </c>
    </row>
    <row r="173" spans="1:8" x14ac:dyDescent="0.25">
      <c r="A173" t="s">
        <v>329</v>
      </c>
      <c r="B173">
        <v>3</v>
      </c>
      <c r="C173">
        <v>3</v>
      </c>
      <c r="D173">
        <v>3</v>
      </c>
      <c r="E173" t="s">
        <v>4458</v>
      </c>
      <c r="F173" t="s">
        <v>4459</v>
      </c>
      <c r="G173" t="s">
        <v>4256</v>
      </c>
      <c r="H173">
        <v>534</v>
      </c>
    </row>
    <row r="174" spans="1:8" x14ac:dyDescent="0.25">
      <c r="A174" t="s">
        <v>204</v>
      </c>
      <c r="B174">
        <v>1</v>
      </c>
      <c r="C174">
        <v>1</v>
      </c>
      <c r="D174">
        <v>1</v>
      </c>
      <c r="E174" t="s">
        <v>4460</v>
      </c>
      <c r="F174" t="s">
        <v>4460</v>
      </c>
      <c r="G174" t="s">
        <v>4460</v>
      </c>
      <c r="H174">
        <v>878</v>
      </c>
    </row>
    <row r="175" spans="1:8" x14ac:dyDescent="0.25">
      <c r="A175" t="s">
        <v>193</v>
      </c>
      <c r="B175">
        <v>8</v>
      </c>
      <c r="C175">
        <v>8</v>
      </c>
      <c r="D175">
        <v>7</v>
      </c>
      <c r="E175" t="s">
        <v>4461</v>
      </c>
      <c r="F175" t="s">
        <v>4461</v>
      </c>
      <c r="G175" t="s">
        <v>4256</v>
      </c>
      <c r="H175">
        <v>684</v>
      </c>
    </row>
    <row r="176" spans="1:8" x14ac:dyDescent="0.25">
      <c r="A176" t="s">
        <v>2381</v>
      </c>
      <c r="B176">
        <v>1</v>
      </c>
      <c r="C176">
        <v>1</v>
      </c>
      <c r="D176">
        <v>1</v>
      </c>
      <c r="E176" t="s">
        <v>4462</v>
      </c>
      <c r="F176" t="s">
        <v>4462</v>
      </c>
      <c r="G176" t="s">
        <v>4462</v>
      </c>
      <c r="H176">
        <v>76</v>
      </c>
    </row>
    <row r="177" spans="1:8" x14ac:dyDescent="0.25">
      <c r="A177" t="s">
        <v>818</v>
      </c>
      <c r="B177">
        <v>1</v>
      </c>
      <c r="C177">
        <v>1</v>
      </c>
      <c r="D177">
        <v>1</v>
      </c>
      <c r="E177" t="s">
        <v>4463</v>
      </c>
      <c r="F177" t="s">
        <v>4463</v>
      </c>
      <c r="G177" t="s">
        <v>4463</v>
      </c>
      <c r="H177">
        <v>420</v>
      </c>
    </row>
    <row r="178" spans="1:8" x14ac:dyDescent="0.25">
      <c r="A178" t="s">
        <v>513</v>
      </c>
      <c r="B178">
        <v>1</v>
      </c>
      <c r="C178">
        <v>1</v>
      </c>
      <c r="D178">
        <v>1</v>
      </c>
      <c r="E178" t="s">
        <v>4464</v>
      </c>
      <c r="F178" t="s">
        <v>4464</v>
      </c>
      <c r="G178" t="s">
        <v>4464</v>
      </c>
      <c r="H178">
        <v>586</v>
      </c>
    </row>
    <row r="179" spans="1:8" x14ac:dyDescent="0.25">
      <c r="A179" t="s">
        <v>244</v>
      </c>
      <c r="B179">
        <v>1</v>
      </c>
      <c r="C179">
        <v>1</v>
      </c>
      <c r="D179">
        <v>1</v>
      </c>
      <c r="E179" t="s">
        <v>4465</v>
      </c>
      <c r="F179" t="s">
        <v>4465</v>
      </c>
      <c r="G179" t="s">
        <v>4465</v>
      </c>
      <c r="H179">
        <v>858</v>
      </c>
    </row>
    <row r="180" spans="1:8" x14ac:dyDescent="0.25">
      <c r="A180" t="s">
        <v>295</v>
      </c>
      <c r="B180">
        <v>1</v>
      </c>
      <c r="C180">
        <v>1</v>
      </c>
      <c r="D180">
        <v>1</v>
      </c>
      <c r="E180" t="s">
        <v>4466</v>
      </c>
      <c r="F180" t="s">
        <v>4466</v>
      </c>
      <c r="G180" t="s">
        <v>4466</v>
      </c>
      <c r="H180">
        <v>742</v>
      </c>
    </row>
    <row r="181" spans="1:8" x14ac:dyDescent="0.25">
      <c r="A181" t="s">
        <v>206</v>
      </c>
      <c r="B181">
        <v>1</v>
      </c>
      <c r="C181">
        <v>1</v>
      </c>
      <c r="D181">
        <v>1</v>
      </c>
      <c r="E181" t="s">
        <v>4467</v>
      </c>
      <c r="F181" t="s">
        <v>4467</v>
      </c>
      <c r="G181" t="s">
        <v>4467</v>
      </c>
      <c r="H181">
        <v>1068</v>
      </c>
    </row>
    <row r="182" spans="1:8" x14ac:dyDescent="0.25">
      <c r="A182" t="s">
        <v>147</v>
      </c>
      <c r="B182">
        <v>2</v>
      </c>
      <c r="C182">
        <v>2</v>
      </c>
      <c r="D182">
        <v>2</v>
      </c>
      <c r="E182" t="s">
        <v>4468</v>
      </c>
      <c r="F182" t="s">
        <v>4468</v>
      </c>
      <c r="G182" t="s">
        <v>4256</v>
      </c>
      <c r="H182">
        <v>1639</v>
      </c>
    </row>
    <row r="183" spans="1:8" x14ac:dyDescent="0.25">
      <c r="A183" t="s">
        <v>229</v>
      </c>
      <c r="B183">
        <v>1</v>
      </c>
      <c r="C183">
        <v>1</v>
      </c>
      <c r="D183">
        <v>1</v>
      </c>
      <c r="E183" t="s">
        <v>4469</v>
      </c>
      <c r="F183" t="s">
        <v>4469</v>
      </c>
      <c r="G183" t="s">
        <v>4469</v>
      </c>
      <c r="H183">
        <v>1061</v>
      </c>
    </row>
    <row r="184" spans="1:8" x14ac:dyDescent="0.25">
      <c r="A184" t="s">
        <v>200</v>
      </c>
      <c r="B184">
        <v>1</v>
      </c>
      <c r="C184">
        <v>1</v>
      </c>
      <c r="D184">
        <v>1</v>
      </c>
      <c r="E184" t="s">
        <v>4470</v>
      </c>
      <c r="F184" t="s">
        <v>4470</v>
      </c>
      <c r="G184" t="s">
        <v>4470</v>
      </c>
      <c r="H184">
        <v>1350</v>
      </c>
    </row>
    <row r="185" spans="1:8" x14ac:dyDescent="0.25">
      <c r="A185" t="s">
        <v>207</v>
      </c>
      <c r="B185">
        <v>1</v>
      </c>
      <c r="C185">
        <v>1</v>
      </c>
      <c r="D185">
        <v>1</v>
      </c>
      <c r="E185" t="s">
        <v>4471</v>
      </c>
      <c r="F185" t="s">
        <v>4471</v>
      </c>
      <c r="G185" t="s">
        <v>4471</v>
      </c>
      <c r="H185">
        <v>1197</v>
      </c>
    </row>
    <row r="186" spans="1:8" x14ac:dyDescent="0.25">
      <c r="A186" t="s">
        <v>3126</v>
      </c>
      <c r="B186">
        <v>1</v>
      </c>
      <c r="C186">
        <v>1</v>
      </c>
      <c r="D186">
        <v>1</v>
      </c>
      <c r="E186" t="s">
        <v>4472</v>
      </c>
      <c r="F186" t="s">
        <v>4472</v>
      </c>
      <c r="G186" t="s">
        <v>4472</v>
      </c>
      <c r="H186">
        <v>19</v>
      </c>
    </row>
    <row r="187" spans="1:8" x14ac:dyDescent="0.25">
      <c r="A187" t="s">
        <v>1798</v>
      </c>
      <c r="B187">
        <v>1</v>
      </c>
      <c r="C187">
        <v>1</v>
      </c>
      <c r="D187">
        <v>1</v>
      </c>
      <c r="E187" t="s">
        <v>4473</v>
      </c>
      <c r="F187" t="s">
        <v>4474</v>
      </c>
      <c r="G187" t="s">
        <v>4474</v>
      </c>
      <c r="H187">
        <v>209</v>
      </c>
    </row>
    <row r="188" spans="1:8" x14ac:dyDescent="0.25">
      <c r="A188" t="s">
        <v>2696</v>
      </c>
      <c r="B188">
        <v>1</v>
      </c>
      <c r="C188">
        <v>1</v>
      </c>
      <c r="D188">
        <v>1</v>
      </c>
      <c r="E188" t="s">
        <v>4475</v>
      </c>
      <c r="F188" t="s">
        <v>4476</v>
      </c>
      <c r="G188" t="s">
        <v>4476</v>
      </c>
      <c r="H188">
        <v>30</v>
      </c>
    </row>
    <row r="189" spans="1:8" x14ac:dyDescent="0.25">
      <c r="A189" t="s">
        <v>2159</v>
      </c>
      <c r="B189">
        <v>1</v>
      </c>
      <c r="C189">
        <v>1</v>
      </c>
      <c r="D189">
        <v>1</v>
      </c>
      <c r="E189" t="s">
        <v>4477</v>
      </c>
      <c r="F189" t="s">
        <v>4478</v>
      </c>
      <c r="G189" t="s">
        <v>4478</v>
      </c>
      <c r="H189">
        <v>114</v>
      </c>
    </row>
    <row r="190" spans="1:8" x14ac:dyDescent="0.25">
      <c r="A190" t="s">
        <v>4479</v>
      </c>
      <c r="B190">
        <v>0</v>
      </c>
      <c r="C190">
        <v>0</v>
      </c>
      <c r="D190">
        <v>0</v>
      </c>
      <c r="G190" t="s">
        <v>4256</v>
      </c>
      <c r="H190">
        <v>1</v>
      </c>
    </row>
    <row r="191" spans="1:8" x14ac:dyDescent="0.25">
      <c r="A191" t="s">
        <v>2004</v>
      </c>
      <c r="B191">
        <v>2</v>
      </c>
      <c r="C191">
        <v>2</v>
      </c>
      <c r="D191">
        <v>2</v>
      </c>
      <c r="E191" t="s">
        <v>4480</v>
      </c>
      <c r="F191" t="s">
        <v>4480</v>
      </c>
      <c r="G191" t="s">
        <v>4256</v>
      </c>
      <c r="H191">
        <v>36</v>
      </c>
    </row>
    <row r="192" spans="1:8" x14ac:dyDescent="0.25">
      <c r="A192" t="s">
        <v>292</v>
      </c>
      <c r="B192">
        <v>1</v>
      </c>
      <c r="C192">
        <v>1</v>
      </c>
      <c r="D192">
        <v>1</v>
      </c>
      <c r="E192" t="s">
        <v>4481</v>
      </c>
      <c r="F192" t="s">
        <v>4481</v>
      </c>
      <c r="G192" t="s">
        <v>4481</v>
      </c>
      <c r="H192">
        <v>394</v>
      </c>
    </row>
    <row r="193" spans="1:8" x14ac:dyDescent="0.25">
      <c r="A193" t="s">
        <v>291</v>
      </c>
      <c r="B193">
        <v>1</v>
      </c>
      <c r="C193">
        <v>1</v>
      </c>
      <c r="D193">
        <v>1</v>
      </c>
      <c r="E193" t="s">
        <v>4482</v>
      </c>
      <c r="F193" t="s">
        <v>4482</v>
      </c>
      <c r="G193" t="s">
        <v>4482</v>
      </c>
      <c r="H193">
        <v>391</v>
      </c>
    </row>
    <row r="194" spans="1:8" x14ac:dyDescent="0.25">
      <c r="A194" t="s">
        <v>1152</v>
      </c>
      <c r="B194">
        <v>2</v>
      </c>
      <c r="C194">
        <v>2</v>
      </c>
      <c r="D194">
        <v>2</v>
      </c>
      <c r="E194" t="s">
        <v>4483</v>
      </c>
      <c r="F194" t="s">
        <v>4483</v>
      </c>
      <c r="G194" t="s">
        <v>4256</v>
      </c>
      <c r="H194">
        <v>226</v>
      </c>
    </row>
    <row r="195" spans="1:8" x14ac:dyDescent="0.25">
      <c r="A195" t="s">
        <v>1814</v>
      </c>
      <c r="B195">
        <v>2</v>
      </c>
      <c r="C195">
        <v>2</v>
      </c>
      <c r="D195">
        <v>2</v>
      </c>
      <c r="E195" t="s">
        <v>4484</v>
      </c>
      <c r="F195" t="s">
        <v>4484</v>
      </c>
      <c r="G195" t="s">
        <v>4256</v>
      </c>
      <c r="H195">
        <v>154</v>
      </c>
    </row>
    <row r="196" spans="1:8" x14ac:dyDescent="0.25">
      <c r="A196" t="s">
        <v>898</v>
      </c>
      <c r="B196">
        <v>2</v>
      </c>
      <c r="C196">
        <v>2</v>
      </c>
      <c r="D196">
        <v>2</v>
      </c>
      <c r="E196" t="s">
        <v>4485</v>
      </c>
      <c r="F196" t="s">
        <v>4485</v>
      </c>
      <c r="G196" t="s">
        <v>4256</v>
      </c>
      <c r="H196">
        <v>310</v>
      </c>
    </row>
    <row r="197" spans="1:8" x14ac:dyDescent="0.25">
      <c r="A197" t="s">
        <v>2694</v>
      </c>
      <c r="B197">
        <v>1</v>
      </c>
      <c r="C197">
        <v>1</v>
      </c>
      <c r="D197">
        <v>1</v>
      </c>
      <c r="E197" t="s">
        <v>4486</v>
      </c>
      <c r="F197" t="s">
        <v>4486</v>
      </c>
      <c r="G197" t="s">
        <v>4486</v>
      </c>
      <c r="H197">
        <v>63</v>
      </c>
    </row>
    <row r="198" spans="1:8" x14ac:dyDescent="0.25">
      <c r="A198" t="s">
        <v>3401</v>
      </c>
      <c r="B198">
        <v>1</v>
      </c>
      <c r="C198">
        <v>1</v>
      </c>
      <c r="D198">
        <v>1</v>
      </c>
      <c r="E198" t="s">
        <v>4487</v>
      </c>
      <c r="F198" t="s">
        <v>4487</v>
      </c>
      <c r="G198" t="s">
        <v>4487</v>
      </c>
      <c r="H198">
        <v>23</v>
      </c>
    </row>
    <row r="199" spans="1:8" x14ac:dyDescent="0.25">
      <c r="A199" t="s">
        <v>3010</v>
      </c>
      <c r="B199">
        <v>1</v>
      </c>
      <c r="C199">
        <v>1</v>
      </c>
      <c r="D199">
        <v>1</v>
      </c>
      <c r="E199" t="s">
        <v>4488</v>
      </c>
      <c r="F199" t="s">
        <v>4489</v>
      </c>
      <c r="G199" t="s">
        <v>4489</v>
      </c>
      <c r="H199">
        <v>36</v>
      </c>
    </row>
    <row r="200" spans="1:8" x14ac:dyDescent="0.25">
      <c r="A200" t="s">
        <v>3032</v>
      </c>
      <c r="B200">
        <v>1</v>
      </c>
      <c r="C200">
        <v>1</v>
      </c>
      <c r="D200">
        <v>1</v>
      </c>
      <c r="E200" t="s">
        <v>4490</v>
      </c>
      <c r="F200" t="s">
        <v>4490</v>
      </c>
      <c r="G200" t="s">
        <v>4490</v>
      </c>
      <c r="H200">
        <v>46</v>
      </c>
    </row>
    <row r="201" spans="1:8" x14ac:dyDescent="0.25">
      <c r="A201" t="s">
        <v>3393</v>
      </c>
      <c r="B201">
        <v>1</v>
      </c>
      <c r="C201">
        <v>1</v>
      </c>
      <c r="D201">
        <v>1</v>
      </c>
      <c r="E201" t="s">
        <v>4491</v>
      </c>
      <c r="F201" t="s">
        <v>4492</v>
      </c>
      <c r="G201" t="s">
        <v>4492</v>
      </c>
      <c r="H201">
        <v>21</v>
      </c>
    </row>
    <row r="202" spans="1:8" x14ac:dyDescent="0.25">
      <c r="A202" t="s">
        <v>3366</v>
      </c>
      <c r="B202">
        <v>1</v>
      </c>
      <c r="C202">
        <v>1</v>
      </c>
      <c r="D202">
        <v>1</v>
      </c>
      <c r="E202" t="s">
        <v>4493</v>
      </c>
      <c r="F202" t="s">
        <v>4493</v>
      </c>
      <c r="G202" t="s">
        <v>4493</v>
      </c>
      <c r="H202">
        <v>23</v>
      </c>
    </row>
    <row r="203" spans="1:8" x14ac:dyDescent="0.25">
      <c r="A203" t="s">
        <v>2316</v>
      </c>
      <c r="B203">
        <v>1</v>
      </c>
      <c r="C203">
        <v>1</v>
      </c>
      <c r="D203">
        <v>1</v>
      </c>
      <c r="E203" t="s">
        <v>4494</v>
      </c>
      <c r="F203" t="s">
        <v>4494</v>
      </c>
      <c r="G203" t="s">
        <v>4494</v>
      </c>
      <c r="H203">
        <v>66</v>
      </c>
    </row>
    <row r="204" spans="1:8" x14ac:dyDescent="0.25">
      <c r="A204" t="s">
        <v>2454</v>
      </c>
      <c r="B204">
        <v>1</v>
      </c>
      <c r="C204">
        <v>1</v>
      </c>
      <c r="D204">
        <v>1</v>
      </c>
      <c r="E204" t="s">
        <v>4495</v>
      </c>
      <c r="F204" t="s">
        <v>4496</v>
      </c>
      <c r="G204" t="s">
        <v>4496</v>
      </c>
      <c r="H204">
        <v>56</v>
      </c>
    </row>
    <row r="205" spans="1:8" x14ac:dyDescent="0.25">
      <c r="A205" t="s">
        <v>2835</v>
      </c>
      <c r="B205">
        <v>1</v>
      </c>
      <c r="C205">
        <v>1</v>
      </c>
      <c r="D205">
        <v>1</v>
      </c>
      <c r="E205" t="s">
        <v>4497</v>
      </c>
      <c r="F205" t="s">
        <v>4498</v>
      </c>
      <c r="G205" t="s">
        <v>4498</v>
      </c>
      <c r="H205">
        <v>27</v>
      </c>
    </row>
    <row r="206" spans="1:8" x14ac:dyDescent="0.25">
      <c r="A206" t="s">
        <v>2179</v>
      </c>
      <c r="B206">
        <v>1</v>
      </c>
      <c r="C206">
        <v>1</v>
      </c>
      <c r="D206">
        <v>1</v>
      </c>
      <c r="E206" t="s">
        <v>4499</v>
      </c>
      <c r="F206" t="s">
        <v>4500</v>
      </c>
      <c r="G206" t="s">
        <v>4500</v>
      </c>
      <c r="H206">
        <v>78</v>
      </c>
    </row>
    <row r="207" spans="1:8" x14ac:dyDescent="0.25">
      <c r="A207" t="s">
        <v>2450</v>
      </c>
      <c r="B207">
        <v>1</v>
      </c>
      <c r="C207">
        <v>1</v>
      </c>
      <c r="D207">
        <v>1</v>
      </c>
      <c r="E207" t="s">
        <v>4501</v>
      </c>
      <c r="F207" t="s">
        <v>4502</v>
      </c>
      <c r="G207" t="s">
        <v>4502</v>
      </c>
      <c r="H207">
        <v>61</v>
      </c>
    </row>
    <row r="208" spans="1:8" x14ac:dyDescent="0.25">
      <c r="A208" t="s">
        <v>2342</v>
      </c>
      <c r="B208">
        <v>1</v>
      </c>
      <c r="C208">
        <v>1</v>
      </c>
      <c r="D208">
        <v>1</v>
      </c>
      <c r="E208" t="s">
        <v>4503</v>
      </c>
      <c r="F208" t="s">
        <v>4503</v>
      </c>
      <c r="G208" t="s">
        <v>4503</v>
      </c>
      <c r="H208">
        <v>60</v>
      </c>
    </row>
    <row r="209" spans="1:8" x14ac:dyDescent="0.25">
      <c r="A209" t="s">
        <v>2108</v>
      </c>
      <c r="B209">
        <v>1</v>
      </c>
      <c r="C209">
        <v>1</v>
      </c>
      <c r="D209">
        <v>1</v>
      </c>
      <c r="E209" t="s">
        <v>4504</v>
      </c>
      <c r="F209" t="s">
        <v>4505</v>
      </c>
      <c r="G209" t="s">
        <v>4505</v>
      </c>
      <c r="H209">
        <v>82</v>
      </c>
    </row>
    <row r="210" spans="1:8" x14ac:dyDescent="0.25">
      <c r="A210" t="s">
        <v>2425</v>
      </c>
      <c r="B210">
        <v>1</v>
      </c>
      <c r="C210">
        <v>1</v>
      </c>
      <c r="D210">
        <v>1</v>
      </c>
      <c r="E210" t="s">
        <v>4506</v>
      </c>
      <c r="F210" t="s">
        <v>4507</v>
      </c>
      <c r="G210" t="s">
        <v>4507</v>
      </c>
      <c r="H210">
        <v>56</v>
      </c>
    </row>
    <row r="211" spans="1:8" x14ac:dyDescent="0.25">
      <c r="A211" t="s">
        <v>2814</v>
      </c>
      <c r="B211">
        <v>1</v>
      </c>
      <c r="C211">
        <v>1</v>
      </c>
      <c r="D211">
        <v>1</v>
      </c>
      <c r="E211" t="s">
        <v>4508</v>
      </c>
      <c r="F211" t="s">
        <v>4509</v>
      </c>
      <c r="G211" t="s">
        <v>4509</v>
      </c>
      <c r="H211">
        <v>34</v>
      </c>
    </row>
    <row r="212" spans="1:8" x14ac:dyDescent="0.25">
      <c r="A212" t="s">
        <v>2411</v>
      </c>
      <c r="B212">
        <v>1</v>
      </c>
      <c r="C212">
        <v>1</v>
      </c>
      <c r="D212">
        <v>1</v>
      </c>
      <c r="E212" t="s">
        <v>4510</v>
      </c>
      <c r="F212" t="s">
        <v>4511</v>
      </c>
      <c r="G212" t="s">
        <v>4511</v>
      </c>
      <c r="H212">
        <v>73</v>
      </c>
    </row>
    <row r="213" spans="1:8" x14ac:dyDescent="0.25">
      <c r="A213" t="s">
        <v>2702</v>
      </c>
      <c r="B213">
        <v>1</v>
      </c>
      <c r="C213">
        <v>1</v>
      </c>
      <c r="D213">
        <v>1</v>
      </c>
      <c r="E213" t="s">
        <v>4512</v>
      </c>
      <c r="F213" t="s">
        <v>4512</v>
      </c>
      <c r="G213" t="s">
        <v>4512</v>
      </c>
      <c r="H213">
        <v>41</v>
      </c>
    </row>
    <row r="214" spans="1:8" x14ac:dyDescent="0.25">
      <c r="A214" t="s">
        <v>2169</v>
      </c>
      <c r="B214">
        <v>1</v>
      </c>
      <c r="C214">
        <v>1</v>
      </c>
      <c r="D214">
        <v>1</v>
      </c>
      <c r="E214" t="s">
        <v>4513</v>
      </c>
      <c r="F214" t="s">
        <v>4513</v>
      </c>
      <c r="G214" t="s">
        <v>4513</v>
      </c>
      <c r="H214">
        <v>66</v>
      </c>
    </row>
    <row r="215" spans="1:8" x14ac:dyDescent="0.25">
      <c r="A215" t="s">
        <v>3193</v>
      </c>
      <c r="B215">
        <v>1</v>
      </c>
      <c r="C215">
        <v>1</v>
      </c>
      <c r="D215">
        <v>1</v>
      </c>
      <c r="E215" t="s">
        <v>4514</v>
      </c>
      <c r="F215" t="s">
        <v>4514</v>
      </c>
      <c r="G215" t="s">
        <v>4514</v>
      </c>
      <c r="H215">
        <v>26</v>
      </c>
    </row>
    <row r="216" spans="1:8" x14ac:dyDescent="0.25">
      <c r="A216" t="s">
        <v>3016</v>
      </c>
      <c r="B216">
        <v>2</v>
      </c>
      <c r="C216">
        <v>2</v>
      </c>
      <c r="D216">
        <v>2</v>
      </c>
      <c r="E216" t="s">
        <v>4515</v>
      </c>
      <c r="F216" t="s">
        <v>4515</v>
      </c>
      <c r="G216" t="s">
        <v>4256</v>
      </c>
      <c r="H216">
        <v>49</v>
      </c>
    </row>
    <row r="217" spans="1:8" x14ac:dyDescent="0.25">
      <c r="A217" t="s">
        <v>2773</v>
      </c>
      <c r="B217">
        <v>1</v>
      </c>
      <c r="C217">
        <v>1</v>
      </c>
      <c r="D217">
        <v>1</v>
      </c>
      <c r="E217" t="s">
        <v>4516</v>
      </c>
      <c r="F217" t="s">
        <v>4517</v>
      </c>
      <c r="G217" t="s">
        <v>4517</v>
      </c>
      <c r="H217">
        <v>67</v>
      </c>
    </row>
    <row r="218" spans="1:8" x14ac:dyDescent="0.25">
      <c r="A218" t="s">
        <v>2674</v>
      </c>
      <c r="B218">
        <v>1</v>
      </c>
      <c r="C218">
        <v>1</v>
      </c>
      <c r="D218">
        <v>1</v>
      </c>
      <c r="E218" t="s">
        <v>4518</v>
      </c>
      <c r="F218" t="s">
        <v>4518</v>
      </c>
      <c r="G218" t="s">
        <v>4518</v>
      </c>
      <c r="H218">
        <v>80</v>
      </c>
    </row>
    <row r="219" spans="1:8" x14ac:dyDescent="0.25">
      <c r="A219" t="s">
        <v>3649</v>
      </c>
      <c r="B219">
        <v>1</v>
      </c>
      <c r="C219">
        <v>1</v>
      </c>
      <c r="D219">
        <v>1</v>
      </c>
      <c r="E219" t="s">
        <v>4519</v>
      </c>
      <c r="F219" t="s">
        <v>4520</v>
      </c>
      <c r="G219" t="s">
        <v>4520</v>
      </c>
      <c r="H219">
        <v>10</v>
      </c>
    </row>
    <row r="220" spans="1:8" x14ac:dyDescent="0.25">
      <c r="A220" t="s">
        <v>2617</v>
      </c>
      <c r="B220">
        <v>1</v>
      </c>
      <c r="C220">
        <v>1</v>
      </c>
      <c r="D220">
        <v>1</v>
      </c>
      <c r="E220" t="s">
        <v>4521</v>
      </c>
      <c r="F220" t="s">
        <v>4521</v>
      </c>
      <c r="G220" t="s">
        <v>4521</v>
      </c>
      <c r="H220">
        <v>30</v>
      </c>
    </row>
    <row r="221" spans="1:8" x14ac:dyDescent="0.25">
      <c r="A221" t="s">
        <v>2804</v>
      </c>
      <c r="B221">
        <v>1</v>
      </c>
      <c r="C221">
        <v>1</v>
      </c>
      <c r="D221">
        <v>1</v>
      </c>
      <c r="E221" t="s">
        <v>4522</v>
      </c>
      <c r="F221" t="s">
        <v>4522</v>
      </c>
      <c r="G221" t="s">
        <v>4522</v>
      </c>
      <c r="H221">
        <v>29</v>
      </c>
    </row>
    <row r="222" spans="1:8" x14ac:dyDescent="0.25">
      <c r="A222" t="s">
        <v>2525</v>
      </c>
      <c r="B222">
        <v>1</v>
      </c>
      <c r="C222">
        <v>1</v>
      </c>
      <c r="D222">
        <v>1</v>
      </c>
      <c r="E222" t="s">
        <v>4523</v>
      </c>
      <c r="F222" t="s">
        <v>4523</v>
      </c>
      <c r="G222" t="s">
        <v>4523</v>
      </c>
      <c r="H222">
        <v>28</v>
      </c>
    </row>
    <row r="223" spans="1:8" x14ac:dyDescent="0.25">
      <c r="A223" t="s">
        <v>2309</v>
      </c>
      <c r="B223">
        <v>1</v>
      </c>
      <c r="C223">
        <v>1</v>
      </c>
      <c r="D223">
        <v>1</v>
      </c>
      <c r="E223" t="s">
        <v>4524</v>
      </c>
      <c r="F223" t="s">
        <v>4524</v>
      </c>
      <c r="G223" t="s">
        <v>4524</v>
      </c>
      <c r="H223">
        <v>6</v>
      </c>
    </row>
    <row r="224" spans="1:8" x14ac:dyDescent="0.25">
      <c r="A224" t="s">
        <v>3395</v>
      </c>
      <c r="B224">
        <v>1</v>
      </c>
      <c r="C224">
        <v>1</v>
      </c>
      <c r="D224">
        <v>1</v>
      </c>
      <c r="E224" t="s">
        <v>4525</v>
      </c>
      <c r="F224" t="s">
        <v>4525</v>
      </c>
      <c r="G224" t="s">
        <v>4525</v>
      </c>
      <c r="H224">
        <v>6</v>
      </c>
    </row>
    <row r="225" spans="1:8" x14ac:dyDescent="0.25">
      <c r="A225" t="s">
        <v>2673</v>
      </c>
      <c r="B225">
        <v>1</v>
      </c>
      <c r="C225">
        <v>1</v>
      </c>
      <c r="D225">
        <v>1</v>
      </c>
      <c r="E225" t="s">
        <v>4526</v>
      </c>
      <c r="F225" t="s">
        <v>4526</v>
      </c>
      <c r="G225" t="s">
        <v>4526</v>
      </c>
      <c r="H225">
        <v>30</v>
      </c>
    </row>
    <row r="226" spans="1:8" x14ac:dyDescent="0.25">
      <c r="A226" t="s">
        <v>3116</v>
      </c>
      <c r="B226">
        <v>1</v>
      </c>
      <c r="C226">
        <v>1</v>
      </c>
      <c r="D226">
        <v>1</v>
      </c>
      <c r="E226" t="s">
        <v>4527</v>
      </c>
      <c r="F226" t="s">
        <v>4527</v>
      </c>
      <c r="G226" t="s">
        <v>4527</v>
      </c>
      <c r="H226">
        <v>13</v>
      </c>
    </row>
    <row r="227" spans="1:8" x14ac:dyDescent="0.25">
      <c r="A227" t="s">
        <v>3152</v>
      </c>
      <c r="B227">
        <v>1</v>
      </c>
      <c r="C227">
        <v>1</v>
      </c>
      <c r="D227">
        <v>1</v>
      </c>
      <c r="E227" t="s">
        <v>4528</v>
      </c>
      <c r="F227" t="s">
        <v>4528</v>
      </c>
      <c r="G227" t="s">
        <v>4528</v>
      </c>
      <c r="H227">
        <v>9</v>
      </c>
    </row>
    <row r="228" spans="1:8" x14ac:dyDescent="0.25">
      <c r="A228" t="s">
        <v>3262</v>
      </c>
      <c r="B228">
        <v>1</v>
      </c>
      <c r="C228">
        <v>1</v>
      </c>
      <c r="D228">
        <v>1</v>
      </c>
      <c r="E228" t="s">
        <v>4529</v>
      </c>
      <c r="F228" t="s">
        <v>4529</v>
      </c>
      <c r="G228" t="s">
        <v>4529</v>
      </c>
      <c r="H228">
        <v>7</v>
      </c>
    </row>
    <row r="229" spans="1:8" x14ac:dyDescent="0.25">
      <c r="A229" t="s">
        <v>1627</v>
      </c>
      <c r="B229">
        <v>1</v>
      </c>
      <c r="C229">
        <v>1</v>
      </c>
      <c r="D229">
        <v>1</v>
      </c>
      <c r="E229" t="s">
        <v>4530</v>
      </c>
      <c r="F229" t="s">
        <v>4530</v>
      </c>
      <c r="G229" t="s">
        <v>4530</v>
      </c>
      <c r="H229">
        <v>85</v>
      </c>
    </row>
    <row r="230" spans="1:8" x14ac:dyDescent="0.25">
      <c r="A230" t="s">
        <v>1774</v>
      </c>
      <c r="B230">
        <v>1</v>
      </c>
      <c r="C230">
        <v>1</v>
      </c>
      <c r="D230">
        <v>1</v>
      </c>
      <c r="E230" t="s">
        <v>4531</v>
      </c>
      <c r="F230" t="s">
        <v>4531</v>
      </c>
      <c r="G230" t="s">
        <v>4531</v>
      </c>
      <c r="H230">
        <v>65</v>
      </c>
    </row>
    <row r="231" spans="1:8" x14ac:dyDescent="0.25">
      <c r="A231" t="s">
        <v>2372</v>
      </c>
      <c r="B231">
        <v>2</v>
      </c>
      <c r="C231">
        <v>2</v>
      </c>
      <c r="D231">
        <v>2</v>
      </c>
      <c r="E231" t="s">
        <v>4532</v>
      </c>
      <c r="F231" t="s">
        <v>4532</v>
      </c>
      <c r="G231" t="s">
        <v>4256</v>
      </c>
      <c r="H231">
        <v>44</v>
      </c>
    </row>
    <row r="232" spans="1:8" x14ac:dyDescent="0.25">
      <c r="A232" t="s">
        <v>3752</v>
      </c>
      <c r="B232">
        <v>1</v>
      </c>
      <c r="C232">
        <v>1</v>
      </c>
      <c r="D232">
        <v>1</v>
      </c>
      <c r="E232" t="s">
        <v>4533</v>
      </c>
      <c r="F232" t="s">
        <v>4534</v>
      </c>
      <c r="G232" t="s">
        <v>4534</v>
      </c>
      <c r="H232">
        <v>3</v>
      </c>
    </row>
    <row r="233" spans="1:8" x14ac:dyDescent="0.25">
      <c r="A233" t="s">
        <v>3476</v>
      </c>
      <c r="B233">
        <v>1</v>
      </c>
      <c r="C233">
        <v>1</v>
      </c>
      <c r="D233">
        <v>1</v>
      </c>
      <c r="E233" t="s">
        <v>4535</v>
      </c>
      <c r="F233" t="s">
        <v>4535</v>
      </c>
      <c r="G233" t="s">
        <v>4535</v>
      </c>
      <c r="H233">
        <v>5</v>
      </c>
    </row>
    <row r="234" spans="1:8" x14ac:dyDescent="0.25">
      <c r="A234" t="s">
        <v>2757</v>
      </c>
      <c r="B234">
        <v>1</v>
      </c>
      <c r="C234">
        <v>1</v>
      </c>
      <c r="D234">
        <v>1</v>
      </c>
      <c r="E234" t="s">
        <v>4536</v>
      </c>
      <c r="F234" t="s">
        <v>4536</v>
      </c>
      <c r="G234" t="s">
        <v>4536</v>
      </c>
      <c r="H234">
        <v>27</v>
      </c>
    </row>
    <row r="235" spans="1:8" x14ac:dyDescent="0.25">
      <c r="A235" t="s">
        <v>3650</v>
      </c>
      <c r="B235">
        <v>1</v>
      </c>
      <c r="C235">
        <v>1</v>
      </c>
      <c r="D235">
        <v>1</v>
      </c>
      <c r="E235" t="s">
        <v>4537</v>
      </c>
      <c r="F235" t="s">
        <v>4537</v>
      </c>
      <c r="G235" t="s">
        <v>4537</v>
      </c>
      <c r="H235">
        <v>3</v>
      </c>
    </row>
    <row r="236" spans="1:8" x14ac:dyDescent="0.25">
      <c r="A236" t="s">
        <v>3224</v>
      </c>
      <c r="B236">
        <v>1</v>
      </c>
      <c r="C236">
        <v>1</v>
      </c>
      <c r="D236">
        <v>1</v>
      </c>
      <c r="E236" t="s">
        <v>4538</v>
      </c>
      <c r="F236" t="s">
        <v>4538</v>
      </c>
      <c r="G236" t="s">
        <v>4538</v>
      </c>
      <c r="H236">
        <v>9</v>
      </c>
    </row>
    <row r="237" spans="1:8" x14ac:dyDescent="0.25">
      <c r="A237" t="s">
        <v>3044</v>
      </c>
      <c r="B237">
        <v>1</v>
      </c>
      <c r="C237">
        <v>1</v>
      </c>
      <c r="D237">
        <v>1</v>
      </c>
      <c r="E237" t="s">
        <v>4539</v>
      </c>
      <c r="F237" t="s">
        <v>4539</v>
      </c>
      <c r="G237" t="s">
        <v>4539</v>
      </c>
      <c r="H237">
        <v>10</v>
      </c>
    </row>
    <row r="238" spans="1:8" x14ac:dyDescent="0.25">
      <c r="A238" t="s">
        <v>4540</v>
      </c>
      <c r="B238">
        <v>0</v>
      </c>
      <c r="C238">
        <v>0</v>
      </c>
      <c r="D238">
        <v>0</v>
      </c>
      <c r="G238" t="s">
        <v>4256</v>
      </c>
      <c r="H238">
        <v>1</v>
      </c>
    </row>
    <row r="239" spans="1:8" x14ac:dyDescent="0.25">
      <c r="A239" t="s">
        <v>3060</v>
      </c>
      <c r="B239">
        <v>1</v>
      </c>
      <c r="C239">
        <v>1</v>
      </c>
      <c r="D239">
        <v>1</v>
      </c>
      <c r="E239" t="s">
        <v>4541</v>
      </c>
      <c r="F239" t="s">
        <v>4541</v>
      </c>
      <c r="G239" t="s">
        <v>4541</v>
      </c>
      <c r="H239">
        <v>10</v>
      </c>
    </row>
    <row r="240" spans="1:8" x14ac:dyDescent="0.25">
      <c r="A240" t="s">
        <v>3555</v>
      </c>
      <c r="B240">
        <v>2</v>
      </c>
      <c r="C240">
        <v>2</v>
      </c>
      <c r="D240">
        <v>2</v>
      </c>
      <c r="E240" t="s">
        <v>4542</v>
      </c>
      <c r="F240" t="s">
        <v>4542</v>
      </c>
      <c r="G240" t="s">
        <v>4256</v>
      </c>
      <c r="H240">
        <v>3</v>
      </c>
    </row>
    <row r="241" spans="1:8" x14ac:dyDescent="0.25">
      <c r="A241" t="s">
        <v>900</v>
      </c>
      <c r="B241">
        <v>1</v>
      </c>
      <c r="C241">
        <v>1</v>
      </c>
      <c r="D241">
        <v>1</v>
      </c>
      <c r="E241" t="s">
        <v>4543</v>
      </c>
      <c r="F241" t="s">
        <v>4543</v>
      </c>
      <c r="G241" t="s">
        <v>4543</v>
      </c>
      <c r="H241">
        <v>250</v>
      </c>
    </row>
    <row r="242" spans="1:8" x14ac:dyDescent="0.25">
      <c r="A242" t="s">
        <v>976</v>
      </c>
      <c r="B242">
        <v>1</v>
      </c>
      <c r="C242">
        <v>1</v>
      </c>
      <c r="D242">
        <v>1</v>
      </c>
      <c r="E242" t="s">
        <v>4544</v>
      </c>
      <c r="F242" t="s">
        <v>4544</v>
      </c>
      <c r="G242" t="s">
        <v>4544</v>
      </c>
      <c r="H242">
        <v>206</v>
      </c>
    </row>
    <row r="243" spans="1:8" x14ac:dyDescent="0.25">
      <c r="A243" t="s">
        <v>2477</v>
      </c>
      <c r="B243">
        <v>1</v>
      </c>
      <c r="C243">
        <v>1</v>
      </c>
      <c r="D243">
        <v>1</v>
      </c>
      <c r="E243" t="s">
        <v>4545</v>
      </c>
      <c r="F243" t="s">
        <v>4545</v>
      </c>
      <c r="G243" t="s">
        <v>4545</v>
      </c>
      <c r="H243">
        <v>38</v>
      </c>
    </row>
    <row r="244" spans="1:8" x14ac:dyDescent="0.25">
      <c r="A244" t="s">
        <v>2384</v>
      </c>
      <c r="B244">
        <v>1</v>
      </c>
      <c r="C244">
        <v>1</v>
      </c>
      <c r="D244">
        <v>1</v>
      </c>
      <c r="E244" t="s">
        <v>4546</v>
      </c>
      <c r="F244" t="s">
        <v>4546</v>
      </c>
      <c r="G244" t="s">
        <v>4546</v>
      </c>
      <c r="H244">
        <v>39</v>
      </c>
    </row>
    <row r="245" spans="1:8" x14ac:dyDescent="0.25">
      <c r="A245" t="s">
        <v>2219</v>
      </c>
      <c r="B245">
        <v>2</v>
      </c>
      <c r="C245">
        <v>2</v>
      </c>
      <c r="D245">
        <v>2</v>
      </c>
      <c r="E245" t="s">
        <v>4547</v>
      </c>
      <c r="F245" t="s">
        <v>4547</v>
      </c>
      <c r="G245" t="s">
        <v>4256</v>
      </c>
      <c r="H245">
        <v>86</v>
      </c>
    </row>
    <row r="246" spans="1:8" x14ac:dyDescent="0.25">
      <c r="A246" t="s">
        <v>3323</v>
      </c>
      <c r="B246">
        <v>1</v>
      </c>
      <c r="C246">
        <v>1</v>
      </c>
      <c r="D246">
        <v>1</v>
      </c>
      <c r="E246" t="s">
        <v>4548</v>
      </c>
      <c r="F246" t="s">
        <v>4549</v>
      </c>
      <c r="G246" t="s">
        <v>4549</v>
      </c>
      <c r="H246">
        <v>8</v>
      </c>
    </row>
    <row r="247" spans="1:8" x14ac:dyDescent="0.25">
      <c r="A247" t="s">
        <v>3019</v>
      </c>
      <c r="B247">
        <v>1</v>
      </c>
      <c r="C247">
        <v>1</v>
      </c>
      <c r="D247">
        <v>1</v>
      </c>
      <c r="E247" t="s">
        <v>4550</v>
      </c>
      <c r="F247" t="s">
        <v>4550</v>
      </c>
      <c r="G247" t="s">
        <v>4550</v>
      </c>
      <c r="H247">
        <v>18</v>
      </c>
    </row>
    <row r="248" spans="1:8" x14ac:dyDescent="0.25">
      <c r="A248" t="s">
        <v>3014</v>
      </c>
      <c r="B248">
        <v>1</v>
      </c>
      <c r="C248">
        <v>1</v>
      </c>
      <c r="D248">
        <v>1</v>
      </c>
      <c r="E248" t="s">
        <v>4551</v>
      </c>
      <c r="F248" t="s">
        <v>4552</v>
      </c>
      <c r="G248" t="s">
        <v>4552</v>
      </c>
      <c r="H248">
        <v>15</v>
      </c>
    </row>
    <row r="249" spans="1:8" x14ac:dyDescent="0.25">
      <c r="A249" t="s">
        <v>2390</v>
      </c>
      <c r="B249">
        <v>1</v>
      </c>
      <c r="C249">
        <v>1</v>
      </c>
      <c r="D249">
        <v>1</v>
      </c>
      <c r="E249" t="s">
        <v>4548</v>
      </c>
      <c r="F249" t="s">
        <v>4549</v>
      </c>
      <c r="G249" t="s">
        <v>4549</v>
      </c>
      <c r="H249">
        <v>58</v>
      </c>
    </row>
    <row r="250" spans="1:8" x14ac:dyDescent="0.25">
      <c r="A250" t="s">
        <v>1900</v>
      </c>
      <c r="B250">
        <v>2</v>
      </c>
      <c r="C250">
        <v>2</v>
      </c>
      <c r="D250">
        <v>2</v>
      </c>
      <c r="E250" t="s">
        <v>4553</v>
      </c>
      <c r="F250" t="s">
        <v>4554</v>
      </c>
      <c r="G250" t="s">
        <v>4256</v>
      </c>
      <c r="H250">
        <v>106</v>
      </c>
    </row>
    <row r="251" spans="1:8" x14ac:dyDescent="0.25">
      <c r="A251" t="s">
        <v>2147</v>
      </c>
      <c r="B251">
        <v>2</v>
      </c>
      <c r="C251">
        <v>2</v>
      </c>
      <c r="D251">
        <v>2</v>
      </c>
      <c r="E251" t="s">
        <v>4555</v>
      </c>
      <c r="F251" t="s">
        <v>4556</v>
      </c>
      <c r="G251" t="s">
        <v>4256</v>
      </c>
      <c r="H251">
        <v>77</v>
      </c>
    </row>
    <row r="252" spans="1:8" x14ac:dyDescent="0.25">
      <c r="A252" t="s">
        <v>3085</v>
      </c>
      <c r="B252">
        <v>1</v>
      </c>
      <c r="C252">
        <v>1</v>
      </c>
      <c r="D252">
        <v>1</v>
      </c>
      <c r="E252" t="s">
        <v>4557</v>
      </c>
      <c r="F252" t="s">
        <v>4557</v>
      </c>
      <c r="G252" t="s">
        <v>4557</v>
      </c>
      <c r="H252">
        <v>11</v>
      </c>
    </row>
    <row r="253" spans="1:8" x14ac:dyDescent="0.25">
      <c r="A253" t="s">
        <v>1796</v>
      </c>
      <c r="B253">
        <v>1</v>
      </c>
      <c r="C253">
        <v>1</v>
      </c>
      <c r="D253">
        <v>1</v>
      </c>
      <c r="E253" t="s">
        <v>4558</v>
      </c>
      <c r="F253" t="s">
        <v>4558</v>
      </c>
      <c r="G253" t="s">
        <v>4558</v>
      </c>
      <c r="H253">
        <v>90</v>
      </c>
    </row>
    <row r="254" spans="1:8" x14ac:dyDescent="0.25">
      <c r="A254" t="s">
        <v>2813</v>
      </c>
      <c r="B254">
        <v>1</v>
      </c>
      <c r="C254">
        <v>1</v>
      </c>
      <c r="D254">
        <v>1</v>
      </c>
      <c r="E254" t="s">
        <v>4559</v>
      </c>
      <c r="F254" t="s">
        <v>4559</v>
      </c>
      <c r="G254" t="s">
        <v>4559</v>
      </c>
      <c r="H254">
        <v>18</v>
      </c>
    </row>
    <row r="255" spans="1:8" x14ac:dyDescent="0.25">
      <c r="A255" t="s">
        <v>3348</v>
      </c>
      <c r="B255">
        <v>1</v>
      </c>
      <c r="C255">
        <v>1</v>
      </c>
      <c r="D255">
        <v>1</v>
      </c>
      <c r="E255" t="s">
        <v>4560</v>
      </c>
      <c r="F255" t="s">
        <v>4560</v>
      </c>
      <c r="G255" t="s">
        <v>4560</v>
      </c>
      <c r="H255">
        <v>8</v>
      </c>
    </row>
    <row r="256" spans="1:8" x14ac:dyDescent="0.25">
      <c r="A256" t="s">
        <v>4561</v>
      </c>
      <c r="B256">
        <v>0</v>
      </c>
      <c r="C256">
        <v>0</v>
      </c>
      <c r="D256">
        <v>0</v>
      </c>
      <c r="G256" t="s">
        <v>4256</v>
      </c>
      <c r="H256">
        <v>1</v>
      </c>
    </row>
    <row r="257" spans="1:8" x14ac:dyDescent="0.25">
      <c r="A257" t="s">
        <v>4562</v>
      </c>
      <c r="B257">
        <v>0</v>
      </c>
      <c r="C257">
        <v>0</v>
      </c>
      <c r="D257">
        <v>0</v>
      </c>
      <c r="G257" t="s">
        <v>4256</v>
      </c>
      <c r="H257">
        <v>1</v>
      </c>
    </row>
    <row r="258" spans="1:8" x14ac:dyDescent="0.25">
      <c r="A258" t="s">
        <v>3402</v>
      </c>
      <c r="B258">
        <v>1</v>
      </c>
      <c r="C258">
        <v>1</v>
      </c>
      <c r="D258">
        <v>1</v>
      </c>
      <c r="E258" t="s">
        <v>4563</v>
      </c>
      <c r="F258" t="s">
        <v>4564</v>
      </c>
      <c r="G258" t="s">
        <v>4564</v>
      </c>
      <c r="H258">
        <v>8</v>
      </c>
    </row>
    <row r="259" spans="1:8" x14ac:dyDescent="0.25">
      <c r="A259" t="s">
        <v>2507</v>
      </c>
      <c r="B259">
        <v>1</v>
      </c>
      <c r="C259">
        <v>1</v>
      </c>
      <c r="D259">
        <v>1</v>
      </c>
      <c r="E259" t="s">
        <v>4565</v>
      </c>
      <c r="F259" t="s">
        <v>4565</v>
      </c>
      <c r="G259" t="s">
        <v>4565</v>
      </c>
      <c r="H259">
        <v>45</v>
      </c>
    </row>
    <row r="260" spans="1:8" x14ac:dyDescent="0.25">
      <c r="A260" t="s">
        <v>2548</v>
      </c>
      <c r="B260">
        <v>2</v>
      </c>
      <c r="C260">
        <v>2</v>
      </c>
      <c r="D260">
        <v>2</v>
      </c>
      <c r="E260" t="s">
        <v>4566</v>
      </c>
      <c r="F260" t="s">
        <v>4566</v>
      </c>
      <c r="G260" t="s">
        <v>4256</v>
      </c>
      <c r="H260">
        <v>63</v>
      </c>
    </row>
    <row r="261" spans="1:8" x14ac:dyDescent="0.25">
      <c r="A261" t="s">
        <v>3407</v>
      </c>
      <c r="B261">
        <v>1</v>
      </c>
      <c r="C261">
        <v>1</v>
      </c>
      <c r="D261">
        <v>1</v>
      </c>
      <c r="E261" t="s">
        <v>4567</v>
      </c>
      <c r="F261" t="s">
        <v>4567</v>
      </c>
      <c r="G261" t="s">
        <v>4567</v>
      </c>
      <c r="H261">
        <v>10</v>
      </c>
    </row>
    <row r="262" spans="1:8" x14ac:dyDescent="0.25">
      <c r="A262" t="s">
        <v>4007</v>
      </c>
      <c r="B262">
        <v>1</v>
      </c>
      <c r="C262">
        <v>1</v>
      </c>
      <c r="D262">
        <v>1</v>
      </c>
      <c r="E262" t="s">
        <v>4568</v>
      </c>
      <c r="F262" t="s">
        <v>4568</v>
      </c>
      <c r="G262" t="s">
        <v>4568</v>
      </c>
      <c r="H262">
        <v>2</v>
      </c>
    </row>
    <row r="263" spans="1:8" x14ac:dyDescent="0.25">
      <c r="A263" t="s">
        <v>3959</v>
      </c>
      <c r="B263">
        <v>1</v>
      </c>
      <c r="C263">
        <v>1</v>
      </c>
      <c r="D263">
        <v>1</v>
      </c>
      <c r="E263" t="s">
        <v>4569</v>
      </c>
      <c r="F263" t="s">
        <v>4569</v>
      </c>
      <c r="G263" t="s">
        <v>4569</v>
      </c>
      <c r="H263">
        <v>2</v>
      </c>
    </row>
    <row r="264" spans="1:8" x14ac:dyDescent="0.25">
      <c r="A264" t="s">
        <v>4570</v>
      </c>
      <c r="B264">
        <v>0</v>
      </c>
      <c r="C264">
        <v>0</v>
      </c>
      <c r="D264">
        <v>0</v>
      </c>
      <c r="G264" t="s">
        <v>4256</v>
      </c>
      <c r="H264">
        <v>1</v>
      </c>
    </row>
    <row r="265" spans="1:8" x14ac:dyDescent="0.25">
      <c r="A265" t="s">
        <v>4571</v>
      </c>
      <c r="B265">
        <v>0</v>
      </c>
      <c r="C265">
        <v>0</v>
      </c>
      <c r="D265">
        <v>0</v>
      </c>
      <c r="G265" t="s">
        <v>4256</v>
      </c>
      <c r="H265">
        <v>1</v>
      </c>
    </row>
    <row r="266" spans="1:8" x14ac:dyDescent="0.25">
      <c r="A266" t="s">
        <v>2049</v>
      </c>
      <c r="B266">
        <v>2</v>
      </c>
      <c r="C266">
        <v>2</v>
      </c>
      <c r="D266">
        <v>2</v>
      </c>
      <c r="E266" t="s">
        <v>4572</v>
      </c>
      <c r="F266" t="s">
        <v>4572</v>
      </c>
      <c r="G266" t="s">
        <v>4256</v>
      </c>
      <c r="H266">
        <v>93</v>
      </c>
    </row>
    <row r="267" spans="1:8" x14ac:dyDescent="0.25">
      <c r="A267" t="s">
        <v>2496</v>
      </c>
      <c r="B267">
        <v>2</v>
      </c>
      <c r="C267">
        <v>2</v>
      </c>
      <c r="D267">
        <v>2</v>
      </c>
      <c r="E267" t="s">
        <v>4573</v>
      </c>
      <c r="F267" t="s">
        <v>4573</v>
      </c>
      <c r="G267" t="s">
        <v>4256</v>
      </c>
      <c r="H267">
        <v>63</v>
      </c>
    </row>
    <row r="268" spans="1:8" x14ac:dyDescent="0.25">
      <c r="A268" t="s">
        <v>2808</v>
      </c>
      <c r="B268">
        <v>1</v>
      </c>
      <c r="C268">
        <v>1</v>
      </c>
      <c r="D268">
        <v>1</v>
      </c>
      <c r="E268" t="s">
        <v>4574</v>
      </c>
      <c r="F268" t="s">
        <v>4574</v>
      </c>
      <c r="G268" t="s">
        <v>4574</v>
      </c>
      <c r="H268">
        <v>46</v>
      </c>
    </row>
    <row r="269" spans="1:8" x14ac:dyDescent="0.25">
      <c r="A269" t="s">
        <v>3218</v>
      </c>
      <c r="B269">
        <v>1</v>
      </c>
      <c r="C269">
        <v>1</v>
      </c>
      <c r="D269">
        <v>1</v>
      </c>
      <c r="E269" t="s">
        <v>4575</v>
      </c>
      <c r="F269" t="s">
        <v>4575</v>
      </c>
      <c r="G269" t="s">
        <v>4575</v>
      </c>
      <c r="H269">
        <v>30</v>
      </c>
    </row>
    <row r="270" spans="1:8" x14ac:dyDescent="0.25">
      <c r="A270" t="s">
        <v>3876</v>
      </c>
      <c r="B270">
        <v>1</v>
      </c>
      <c r="C270">
        <v>1</v>
      </c>
      <c r="D270">
        <v>1</v>
      </c>
      <c r="E270" t="s">
        <v>4576</v>
      </c>
      <c r="F270" t="s">
        <v>4576</v>
      </c>
      <c r="G270" t="s">
        <v>4576</v>
      </c>
      <c r="H270">
        <v>1</v>
      </c>
    </row>
    <row r="271" spans="1:8" x14ac:dyDescent="0.25">
      <c r="A271" t="s">
        <v>3572</v>
      </c>
      <c r="B271">
        <v>1</v>
      </c>
      <c r="C271">
        <v>1</v>
      </c>
      <c r="D271">
        <v>1</v>
      </c>
      <c r="E271" t="s">
        <v>4577</v>
      </c>
      <c r="F271" t="s">
        <v>4578</v>
      </c>
      <c r="G271" t="s">
        <v>4578</v>
      </c>
      <c r="H271">
        <v>9</v>
      </c>
    </row>
    <row r="272" spans="1:8" x14ac:dyDescent="0.25">
      <c r="A272" t="s">
        <v>1771</v>
      </c>
      <c r="B272">
        <v>1</v>
      </c>
      <c r="C272">
        <v>1</v>
      </c>
      <c r="D272">
        <v>1</v>
      </c>
      <c r="E272" t="s">
        <v>4579</v>
      </c>
      <c r="F272" t="s">
        <v>4579</v>
      </c>
      <c r="G272" t="s">
        <v>4579</v>
      </c>
      <c r="H272">
        <v>108</v>
      </c>
    </row>
    <row r="273" spans="1:8" x14ac:dyDescent="0.25">
      <c r="A273" t="s">
        <v>3209</v>
      </c>
      <c r="B273">
        <v>1</v>
      </c>
      <c r="C273">
        <v>1</v>
      </c>
      <c r="D273">
        <v>1</v>
      </c>
      <c r="E273" t="s">
        <v>4580</v>
      </c>
      <c r="F273" t="s">
        <v>4580</v>
      </c>
      <c r="G273" t="s">
        <v>4580</v>
      </c>
      <c r="H273">
        <v>6</v>
      </c>
    </row>
    <row r="274" spans="1:8" x14ac:dyDescent="0.25">
      <c r="A274" t="s">
        <v>2178</v>
      </c>
      <c r="B274">
        <v>3</v>
      </c>
      <c r="C274">
        <v>3</v>
      </c>
      <c r="D274">
        <v>3</v>
      </c>
      <c r="E274" t="s">
        <v>4581</v>
      </c>
      <c r="F274" t="s">
        <v>4581</v>
      </c>
      <c r="G274" t="s">
        <v>4256</v>
      </c>
      <c r="H274">
        <v>30</v>
      </c>
    </row>
    <row r="275" spans="1:8" x14ac:dyDescent="0.25">
      <c r="A275" t="s">
        <v>3132</v>
      </c>
      <c r="B275">
        <v>1</v>
      </c>
      <c r="C275">
        <v>1</v>
      </c>
      <c r="D275">
        <v>1</v>
      </c>
      <c r="E275" t="s">
        <v>4582</v>
      </c>
      <c r="F275" t="s">
        <v>4582</v>
      </c>
      <c r="G275" t="s">
        <v>4582</v>
      </c>
      <c r="H275">
        <v>15</v>
      </c>
    </row>
    <row r="276" spans="1:8" x14ac:dyDescent="0.25">
      <c r="A276" t="s">
        <v>4583</v>
      </c>
      <c r="B276">
        <v>0</v>
      </c>
      <c r="C276">
        <v>0</v>
      </c>
      <c r="D276">
        <v>0</v>
      </c>
      <c r="G276" t="s">
        <v>4256</v>
      </c>
      <c r="H276">
        <v>1</v>
      </c>
    </row>
    <row r="277" spans="1:8" x14ac:dyDescent="0.25">
      <c r="A277" t="s">
        <v>2649</v>
      </c>
      <c r="B277">
        <v>1</v>
      </c>
      <c r="C277">
        <v>1</v>
      </c>
      <c r="D277">
        <v>1</v>
      </c>
      <c r="E277" t="s">
        <v>4584</v>
      </c>
      <c r="F277" t="s">
        <v>4584</v>
      </c>
      <c r="G277" t="s">
        <v>4584</v>
      </c>
      <c r="H277">
        <v>26</v>
      </c>
    </row>
    <row r="278" spans="1:8" x14ac:dyDescent="0.25">
      <c r="A278" t="s">
        <v>3143</v>
      </c>
      <c r="B278">
        <v>2</v>
      </c>
      <c r="C278">
        <v>2</v>
      </c>
      <c r="D278">
        <v>2</v>
      </c>
      <c r="E278" t="s">
        <v>4585</v>
      </c>
      <c r="F278" t="s">
        <v>4585</v>
      </c>
      <c r="G278" t="s">
        <v>4256</v>
      </c>
      <c r="H278">
        <v>16</v>
      </c>
    </row>
    <row r="279" spans="1:8" x14ac:dyDescent="0.25">
      <c r="A279" t="s">
        <v>3200</v>
      </c>
      <c r="B279">
        <v>1</v>
      </c>
      <c r="C279">
        <v>1</v>
      </c>
      <c r="D279">
        <v>1</v>
      </c>
      <c r="E279" t="s">
        <v>4586</v>
      </c>
      <c r="F279" t="s">
        <v>4586</v>
      </c>
      <c r="G279" t="s">
        <v>4586</v>
      </c>
      <c r="H279">
        <v>17</v>
      </c>
    </row>
    <row r="280" spans="1:8" x14ac:dyDescent="0.25">
      <c r="A280" t="s">
        <v>2082</v>
      </c>
      <c r="B280">
        <v>2</v>
      </c>
      <c r="C280">
        <v>2</v>
      </c>
      <c r="D280">
        <v>2</v>
      </c>
      <c r="E280" t="s">
        <v>4587</v>
      </c>
      <c r="F280" t="s">
        <v>4587</v>
      </c>
      <c r="G280" t="s">
        <v>4256</v>
      </c>
      <c r="H280">
        <v>57</v>
      </c>
    </row>
    <row r="281" spans="1:8" x14ac:dyDescent="0.25">
      <c r="A281" t="s">
        <v>2424</v>
      </c>
      <c r="B281">
        <v>1</v>
      </c>
      <c r="C281">
        <v>1</v>
      </c>
      <c r="D281">
        <v>1</v>
      </c>
      <c r="E281" t="s">
        <v>4588</v>
      </c>
      <c r="F281" t="s">
        <v>4588</v>
      </c>
      <c r="G281" t="s">
        <v>4588</v>
      </c>
      <c r="H281">
        <v>57</v>
      </c>
    </row>
    <row r="282" spans="1:8" x14ac:dyDescent="0.25">
      <c r="A282" t="s">
        <v>3857</v>
      </c>
      <c r="B282">
        <v>1</v>
      </c>
      <c r="C282">
        <v>1</v>
      </c>
      <c r="D282">
        <v>1</v>
      </c>
      <c r="E282" t="s">
        <v>4589</v>
      </c>
      <c r="F282" t="s">
        <v>4589</v>
      </c>
      <c r="G282" t="s">
        <v>4589</v>
      </c>
      <c r="H282">
        <v>3</v>
      </c>
    </row>
    <row r="283" spans="1:8" x14ac:dyDescent="0.25">
      <c r="A283" t="s">
        <v>3420</v>
      </c>
      <c r="B283">
        <v>1</v>
      </c>
      <c r="C283">
        <v>1</v>
      </c>
      <c r="D283">
        <v>1</v>
      </c>
      <c r="E283" t="s">
        <v>4590</v>
      </c>
      <c r="F283" t="s">
        <v>4590</v>
      </c>
      <c r="G283" t="s">
        <v>4590</v>
      </c>
      <c r="H283">
        <v>4</v>
      </c>
    </row>
    <row r="284" spans="1:8" x14ac:dyDescent="0.25">
      <c r="A284" t="s">
        <v>228</v>
      </c>
      <c r="B284">
        <v>2</v>
      </c>
      <c r="C284">
        <v>2</v>
      </c>
      <c r="D284">
        <v>2</v>
      </c>
      <c r="E284" t="s">
        <v>4591</v>
      </c>
      <c r="F284" t="s">
        <v>4591</v>
      </c>
      <c r="G284" t="s">
        <v>4256</v>
      </c>
      <c r="H284">
        <v>937</v>
      </c>
    </row>
    <row r="285" spans="1:8" x14ac:dyDescent="0.25">
      <c r="A285" t="s">
        <v>1709</v>
      </c>
      <c r="B285">
        <v>1</v>
      </c>
      <c r="C285">
        <v>1</v>
      </c>
      <c r="D285">
        <v>1</v>
      </c>
      <c r="E285" t="s">
        <v>4592</v>
      </c>
      <c r="F285" t="s">
        <v>4593</v>
      </c>
      <c r="G285" t="s">
        <v>4593</v>
      </c>
      <c r="H285">
        <v>71</v>
      </c>
    </row>
    <row r="286" spans="1:8" x14ac:dyDescent="0.25">
      <c r="A286" t="s">
        <v>2154</v>
      </c>
      <c r="B286">
        <v>1</v>
      </c>
      <c r="C286">
        <v>1</v>
      </c>
      <c r="D286">
        <v>1</v>
      </c>
      <c r="E286" t="s">
        <v>4594</v>
      </c>
      <c r="F286" t="s">
        <v>4594</v>
      </c>
      <c r="G286" t="s">
        <v>4594</v>
      </c>
      <c r="H286">
        <v>37</v>
      </c>
    </row>
    <row r="287" spans="1:8" x14ac:dyDescent="0.25">
      <c r="A287" t="s">
        <v>3285</v>
      </c>
      <c r="B287">
        <v>1</v>
      </c>
      <c r="C287">
        <v>1</v>
      </c>
      <c r="D287">
        <v>1</v>
      </c>
      <c r="E287" t="s">
        <v>4595</v>
      </c>
      <c r="F287" t="s">
        <v>4595</v>
      </c>
      <c r="G287" t="s">
        <v>4595</v>
      </c>
      <c r="H287">
        <v>10</v>
      </c>
    </row>
    <row r="288" spans="1:8" x14ac:dyDescent="0.25">
      <c r="A288" t="s">
        <v>2448</v>
      </c>
      <c r="B288">
        <v>1</v>
      </c>
      <c r="C288">
        <v>1</v>
      </c>
      <c r="D288">
        <v>1</v>
      </c>
      <c r="E288" t="s">
        <v>4596</v>
      </c>
      <c r="F288" t="s">
        <v>4596</v>
      </c>
      <c r="G288" t="s">
        <v>4596</v>
      </c>
      <c r="H288">
        <v>37</v>
      </c>
    </row>
    <row r="289" spans="1:8" x14ac:dyDescent="0.25">
      <c r="A289" t="s">
        <v>3714</v>
      </c>
      <c r="B289">
        <v>1</v>
      </c>
      <c r="C289">
        <v>1</v>
      </c>
      <c r="D289">
        <v>1</v>
      </c>
      <c r="E289" t="s">
        <v>4597</v>
      </c>
      <c r="F289" t="s">
        <v>4597</v>
      </c>
      <c r="G289" t="s">
        <v>4597</v>
      </c>
      <c r="H289">
        <v>4</v>
      </c>
    </row>
    <row r="290" spans="1:8" x14ac:dyDescent="0.25">
      <c r="A290" t="s">
        <v>2611</v>
      </c>
      <c r="B290">
        <v>1</v>
      </c>
      <c r="C290">
        <v>1</v>
      </c>
      <c r="D290">
        <v>1</v>
      </c>
      <c r="E290" t="s">
        <v>4598</v>
      </c>
      <c r="F290" t="s">
        <v>4598</v>
      </c>
      <c r="G290" t="s">
        <v>4598</v>
      </c>
      <c r="H290">
        <v>35</v>
      </c>
    </row>
    <row r="291" spans="1:8" x14ac:dyDescent="0.25">
      <c r="A291" t="s">
        <v>3226</v>
      </c>
      <c r="B291">
        <v>1</v>
      </c>
      <c r="C291">
        <v>1</v>
      </c>
      <c r="D291">
        <v>1</v>
      </c>
      <c r="E291" t="s">
        <v>4599</v>
      </c>
      <c r="F291" t="s">
        <v>4599</v>
      </c>
      <c r="G291" t="s">
        <v>4599</v>
      </c>
      <c r="H291">
        <v>23</v>
      </c>
    </row>
    <row r="292" spans="1:8" x14ac:dyDescent="0.25">
      <c r="A292" t="s">
        <v>4600</v>
      </c>
      <c r="B292">
        <v>0</v>
      </c>
      <c r="C292">
        <v>0</v>
      </c>
      <c r="D292">
        <v>0</v>
      </c>
      <c r="G292" t="s">
        <v>4256</v>
      </c>
      <c r="H292">
        <v>1</v>
      </c>
    </row>
    <row r="293" spans="1:8" x14ac:dyDescent="0.25">
      <c r="A293" t="s">
        <v>3730</v>
      </c>
      <c r="B293">
        <v>1</v>
      </c>
      <c r="C293">
        <v>1</v>
      </c>
      <c r="D293">
        <v>1</v>
      </c>
      <c r="E293" t="s">
        <v>4601</v>
      </c>
      <c r="F293" t="s">
        <v>4601</v>
      </c>
      <c r="G293" t="s">
        <v>4601</v>
      </c>
      <c r="H293">
        <v>3</v>
      </c>
    </row>
    <row r="294" spans="1:8" x14ac:dyDescent="0.25">
      <c r="A294" t="s">
        <v>1635</v>
      </c>
      <c r="B294">
        <v>3</v>
      </c>
      <c r="C294">
        <v>3</v>
      </c>
      <c r="D294">
        <v>3</v>
      </c>
      <c r="E294" t="s">
        <v>4602</v>
      </c>
      <c r="F294" t="s">
        <v>4602</v>
      </c>
      <c r="G294" t="s">
        <v>4256</v>
      </c>
      <c r="H294">
        <v>108</v>
      </c>
    </row>
    <row r="295" spans="1:8" x14ac:dyDescent="0.25">
      <c r="A295" t="s">
        <v>4036</v>
      </c>
      <c r="B295">
        <v>1</v>
      </c>
      <c r="C295">
        <v>1</v>
      </c>
      <c r="D295">
        <v>1</v>
      </c>
      <c r="E295" t="s">
        <v>4603</v>
      </c>
      <c r="F295" t="s">
        <v>4603</v>
      </c>
      <c r="G295" t="s">
        <v>4603</v>
      </c>
      <c r="H295">
        <v>1</v>
      </c>
    </row>
    <row r="296" spans="1:8" x14ac:dyDescent="0.25">
      <c r="A296" t="s">
        <v>3280</v>
      </c>
      <c r="B296">
        <v>1</v>
      </c>
      <c r="C296">
        <v>1</v>
      </c>
      <c r="D296">
        <v>1</v>
      </c>
      <c r="E296" t="s">
        <v>4604</v>
      </c>
      <c r="F296" t="s">
        <v>4604</v>
      </c>
      <c r="G296" t="s">
        <v>4604</v>
      </c>
      <c r="H296">
        <v>10</v>
      </c>
    </row>
    <row r="297" spans="1:8" x14ac:dyDescent="0.25">
      <c r="A297" t="s">
        <v>1296</v>
      </c>
      <c r="B297">
        <v>1</v>
      </c>
      <c r="C297">
        <v>1</v>
      </c>
      <c r="D297">
        <v>1</v>
      </c>
      <c r="E297" t="s">
        <v>4605</v>
      </c>
      <c r="F297" t="s">
        <v>4606</v>
      </c>
      <c r="G297" t="s">
        <v>4606</v>
      </c>
      <c r="H297">
        <v>232</v>
      </c>
    </row>
    <row r="298" spans="1:8" x14ac:dyDescent="0.25">
      <c r="A298" t="s">
        <v>1230</v>
      </c>
      <c r="B298">
        <v>1</v>
      </c>
      <c r="C298">
        <v>1</v>
      </c>
      <c r="D298">
        <v>1</v>
      </c>
      <c r="E298" t="s">
        <v>4607</v>
      </c>
      <c r="F298" t="s">
        <v>4607</v>
      </c>
      <c r="G298" t="s">
        <v>4607</v>
      </c>
      <c r="H298">
        <v>233</v>
      </c>
    </row>
    <row r="299" spans="1:8" x14ac:dyDescent="0.25">
      <c r="A299" t="s">
        <v>3931</v>
      </c>
      <c r="B299">
        <v>1</v>
      </c>
      <c r="C299">
        <v>1</v>
      </c>
      <c r="D299">
        <v>1</v>
      </c>
      <c r="E299" t="s">
        <v>4608</v>
      </c>
      <c r="F299" t="s">
        <v>4608</v>
      </c>
      <c r="G299" t="s">
        <v>4608</v>
      </c>
      <c r="H299">
        <v>2</v>
      </c>
    </row>
    <row r="300" spans="1:8" x14ac:dyDescent="0.25">
      <c r="A300" t="s">
        <v>1742</v>
      </c>
      <c r="B300">
        <v>1</v>
      </c>
      <c r="C300">
        <v>1</v>
      </c>
      <c r="D300">
        <v>1</v>
      </c>
      <c r="E300" t="s">
        <v>4609</v>
      </c>
      <c r="F300" t="s">
        <v>4609</v>
      </c>
      <c r="G300" t="s">
        <v>4609</v>
      </c>
      <c r="H300">
        <v>101</v>
      </c>
    </row>
    <row r="301" spans="1:8" x14ac:dyDescent="0.25">
      <c r="A301" t="s">
        <v>1734</v>
      </c>
      <c r="B301">
        <v>2</v>
      </c>
      <c r="C301">
        <v>2</v>
      </c>
      <c r="D301">
        <v>2</v>
      </c>
      <c r="E301" t="s">
        <v>4610</v>
      </c>
      <c r="F301" t="s">
        <v>4610</v>
      </c>
      <c r="G301" t="s">
        <v>4256</v>
      </c>
      <c r="H301">
        <v>86</v>
      </c>
    </row>
    <row r="302" spans="1:8" x14ac:dyDescent="0.25">
      <c r="A302" t="s">
        <v>457</v>
      </c>
      <c r="B302">
        <v>1</v>
      </c>
      <c r="C302">
        <v>1</v>
      </c>
      <c r="D302">
        <v>1</v>
      </c>
      <c r="E302" t="s">
        <v>4611</v>
      </c>
      <c r="F302" t="s">
        <v>4611</v>
      </c>
      <c r="G302" t="s">
        <v>4611</v>
      </c>
      <c r="H302">
        <v>311</v>
      </c>
    </row>
    <row r="303" spans="1:8" x14ac:dyDescent="0.25">
      <c r="A303" t="s">
        <v>715</v>
      </c>
      <c r="B303">
        <v>1</v>
      </c>
      <c r="C303">
        <v>1</v>
      </c>
      <c r="D303">
        <v>1</v>
      </c>
      <c r="E303" t="s">
        <v>4612</v>
      </c>
      <c r="F303" t="s">
        <v>4612</v>
      </c>
      <c r="G303" t="s">
        <v>4612</v>
      </c>
      <c r="H303">
        <v>266</v>
      </c>
    </row>
    <row r="304" spans="1:8" x14ac:dyDescent="0.25">
      <c r="A304" t="s">
        <v>274</v>
      </c>
      <c r="B304">
        <v>1</v>
      </c>
      <c r="C304">
        <v>1</v>
      </c>
      <c r="D304">
        <v>1</v>
      </c>
      <c r="E304" t="s">
        <v>4613</v>
      </c>
      <c r="F304" t="s">
        <v>4613</v>
      </c>
      <c r="G304" t="s">
        <v>4613</v>
      </c>
      <c r="H304">
        <v>538</v>
      </c>
    </row>
    <row r="305" spans="1:8" x14ac:dyDescent="0.25">
      <c r="A305" t="s">
        <v>385</v>
      </c>
      <c r="B305">
        <v>1</v>
      </c>
      <c r="C305">
        <v>1</v>
      </c>
      <c r="D305">
        <v>1</v>
      </c>
      <c r="E305" t="s">
        <v>4614</v>
      </c>
      <c r="F305" t="s">
        <v>4615</v>
      </c>
      <c r="G305" t="s">
        <v>4615</v>
      </c>
      <c r="H305">
        <v>633</v>
      </c>
    </row>
    <row r="306" spans="1:8" x14ac:dyDescent="0.25">
      <c r="A306" t="s">
        <v>883</v>
      </c>
      <c r="B306">
        <v>1</v>
      </c>
      <c r="C306">
        <v>1</v>
      </c>
      <c r="D306">
        <v>1</v>
      </c>
      <c r="E306" t="s">
        <v>4616</v>
      </c>
      <c r="F306" t="s">
        <v>4616</v>
      </c>
      <c r="G306" t="s">
        <v>4616</v>
      </c>
      <c r="H306">
        <v>375</v>
      </c>
    </row>
    <row r="307" spans="1:8" x14ac:dyDescent="0.25">
      <c r="A307" t="s">
        <v>688</v>
      </c>
      <c r="B307">
        <v>1</v>
      </c>
      <c r="C307">
        <v>1</v>
      </c>
      <c r="D307">
        <v>1</v>
      </c>
      <c r="E307" t="s">
        <v>4617</v>
      </c>
      <c r="F307" t="s">
        <v>4617</v>
      </c>
      <c r="G307" t="s">
        <v>4617</v>
      </c>
      <c r="H307">
        <v>370</v>
      </c>
    </row>
    <row r="308" spans="1:8" x14ac:dyDescent="0.25">
      <c r="A308" t="s">
        <v>702</v>
      </c>
      <c r="B308">
        <v>1</v>
      </c>
      <c r="C308">
        <v>1</v>
      </c>
      <c r="D308">
        <v>1</v>
      </c>
      <c r="E308" t="s">
        <v>4618</v>
      </c>
      <c r="F308" t="s">
        <v>4618</v>
      </c>
      <c r="G308" t="s">
        <v>4618</v>
      </c>
      <c r="H308">
        <v>378</v>
      </c>
    </row>
    <row r="309" spans="1:8" x14ac:dyDescent="0.25">
      <c r="A309" t="s">
        <v>1075</v>
      </c>
      <c r="B309">
        <v>1</v>
      </c>
      <c r="C309">
        <v>1</v>
      </c>
      <c r="D309">
        <v>1</v>
      </c>
      <c r="E309" t="s">
        <v>4619</v>
      </c>
      <c r="F309" t="s">
        <v>4619</v>
      </c>
      <c r="G309" t="s">
        <v>4619</v>
      </c>
      <c r="H309">
        <v>194</v>
      </c>
    </row>
    <row r="310" spans="1:8" x14ac:dyDescent="0.25">
      <c r="A310" t="s">
        <v>1053</v>
      </c>
      <c r="B310">
        <v>1</v>
      </c>
      <c r="C310">
        <v>1</v>
      </c>
      <c r="D310">
        <v>1</v>
      </c>
      <c r="E310" t="s">
        <v>4620</v>
      </c>
      <c r="F310" t="s">
        <v>4620</v>
      </c>
      <c r="G310" t="s">
        <v>4620</v>
      </c>
      <c r="H310">
        <v>270</v>
      </c>
    </row>
    <row r="311" spans="1:8" x14ac:dyDescent="0.25">
      <c r="A311" t="s">
        <v>666</v>
      </c>
      <c r="B311">
        <v>1</v>
      </c>
      <c r="C311">
        <v>1</v>
      </c>
      <c r="D311">
        <v>1</v>
      </c>
      <c r="E311" t="s">
        <v>4621</v>
      </c>
      <c r="F311" t="s">
        <v>4621</v>
      </c>
      <c r="G311" t="s">
        <v>4621</v>
      </c>
      <c r="H311">
        <v>345</v>
      </c>
    </row>
    <row r="312" spans="1:8" x14ac:dyDescent="0.25">
      <c r="A312" t="s">
        <v>3253</v>
      </c>
      <c r="B312">
        <v>1</v>
      </c>
      <c r="C312">
        <v>1</v>
      </c>
      <c r="D312">
        <v>1</v>
      </c>
      <c r="E312" t="s">
        <v>4622</v>
      </c>
      <c r="F312" t="s">
        <v>4622</v>
      </c>
      <c r="G312" t="s">
        <v>4622</v>
      </c>
      <c r="H312">
        <v>22</v>
      </c>
    </row>
    <row r="313" spans="1:8" x14ac:dyDescent="0.25">
      <c r="A313" t="s">
        <v>1298</v>
      </c>
      <c r="B313">
        <v>1</v>
      </c>
      <c r="C313">
        <v>1</v>
      </c>
      <c r="D313">
        <v>1</v>
      </c>
      <c r="E313" t="s">
        <v>4623</v>
      </c>
      <c r="F313" t="s">
        <v>4623</v>
      </c>
      <c r="G313" t="s">
        <v>4623</v>
      </c>
      <c r="H313">
        <v>256</v>
      </c>
    </row>
    <row r="314" spans="1:8" x14ac:dyDescent="0.25">
      <c r="A314" t="s">
        <v>1242</v>
      </c>
      <c r="B314">
        <v>1</v>
      </c>
      <c r="C314">
        <v>1</v>
      </c>
      <c r="D314">
        <v>1</v>
      </c>
      <c r="E314" t="s">
        <v>4624</v>
      </c>
      <c r="F314" t="s">
        <v>4624</v>
      </c>
      <c r="G314" t="s">
        <v>4624</v>
      </c>
      <c r="H314">
        <v>266</v>
      </c>
    </row>
    <row r="315" spans="1:8" x14ac:dyDescent="0.25">
      <c r="A315" t="s">
        <v>1060</v>
      </c>
      <c r="B315">
        <v>1</v>
      </c>
      <c r="C315">
        <v>1</v>
      </c>
      <c r="D315">
        <v>1</v>
      </c>
      <c r="E315" t="s">
        <v>4625</v>
      </c>
      <c r="F315" t="s">
        <v>4625</v>
      </c>
      <c r="G315" t="s">
        <v>4625</v>
      </c>
      <c r="H315">
        <v>287</v>
      </c>
    </row>
    <row r="316" spans="1:8" x14ac:dyDescent="0.25">
      <c r="A316" t="s">
        <v>1612</v>
      </c>
      <c r="B316">
        <v>3</v>
      </c>
      <c r="C316">
        <v>3</v>
      </c>
      <c r="D316">
        <v>3</v>
      </c>
      <c r="E316" t="s">
        <v>4626</v>
      </c>
      <c r="F316" t="s">
        <v>4626</v>
      </c>
      <c r="G316" t="s">
        <v>4256</v>
      </c>
      <c r="H316">
        <v>183</v>
      </c>
    </row>
    <row r="317" spans="1:8" x14ac:dyDescent="0.25">
      <c r="A317" t="s">
        <v>1402</v>
      </c>
      <c r="B317">
        <v>1</v>
      </c>
      <c r="C317">
        <v>1</v>
      </c>
      <c r="D317">
        <v>1</v>
      </c>
      <c r="E317" t="s">
        <v>4627</v>
      </c>
      <c r="F317" t="s">
        <v>4627</v>
      </c>
      <c r="G317" t="s">
        <v>4627</v>
      </c>
      <c r="H317">
        <v>143</v>
      </c>
    </row>
    <row r="318" spans="1:8" x14ac:dyDescent="0.25">
      <c r="A318" t="s">
        <v>1906</v>
      </c>
      <c r="B318">
        <v>1</v>
      </c>
      <c r="C318">
        <v>1</v>
      </c>
      <c r="D318">
        <v>1</v>
      </c>
      <c r="E318" t="s">
        <v>4628</v>
      </c>
      <c r="F318" t="s">
        <v>4628</v>
      </c>
      <c r="G318" t="s">
        <v>4628</v>
      </c>
      <c r="H318">
        <v>118</v>
      </c>
    </row>
    <row r="319" spans="1:8" x14ac:dyDescent="0.25">
      <c r="A319" t="s">
        <v>1213</v>
      </c>
      <c r="B319">
        <v>1</v>
      </c>
      <c r="C319">
        <v>1</v>
      </c>
      <c r="D319">
        <v>1</v>
      </c>
      <c r="E319" t="s">
        <v>4629</v>
      </c>
      <c r="F319" t="s">
        <v>4629</v>
      </c>
      <c r="G319" t="s">
        <v>4629</v>
      </c>
      <c r="H319">
        <v>294</v>
      </c>
    </row>
    <row r="320" spans="1:8" x14ac:dyDescent="0.25">
      <c r="A320" t="s">
        <v>2032</v>
      </c>
      <c r="B320">
        <v>1</v>
      </c>
      <c r="C320">
        <v>1</v>
      </c>
      <c r="D320">
        <v>1</v>
      </c>
      <c r="E320" t="s">
        <v>4630</v>
      </c>
      <c r="F320" t="s">
        <v>4630</v>
      </c>
      <c r="G320" t="s">
        <v>4630</v>
      </c>
      <c r="H320">
        <v>229</v>
      </c>
    </row>
    <row r="321" spans="1:8" x14ac:dyDescent="0.25">
      <c r="A321" t="s">
        <v>2729</v>
      </c>
      <c r="B321">
        <v>1</v>
      </c>
      <c r="C321">
        <v>1</v>
      </c>
      <c r="D321">
        <v>1</v>
      </c>
      <c r="E321" t="s">
        <v>4631</v>
      </c>
      <c r="F321" t="s">
        <v>4632</v>
      </c>
      <c r="G321" t="s">
        <v>4632</v>
      </c>
      <c r="H321">
        <v>34</v>
      </c>
    </row>
    <row r="322" spans="1:8" x14ac:dyDescent="0.25">
      <c r="A322" t="s">
        <v>2329</v>
      </c>
      <c r="B322">
        <v>1</v>
      </c>
      <c r="C322">
        <v>1</v>
      </c>
      <c r="D322">
        <v>1</v>
      </c>
      <c r="E322" t="s">
        <v>4633</v>
      </c>
      <c r="F322" t="s">
        <v>4633</v>
      </c>
      <c r="G322" t="s">
        <v>4633</v>
      </c>
      <c r="H322">
        <v>70</v>
      </c>
    </row>
    <row r="323" spans="1:8" x14ac:dyDescent="0.25">
      <c r="A323" t="s">
        <v>2535</v>
      </c>
      <c r="B323">
        <v>1</v>
      </c>
      <c r="C323">
        <v>1</v>
      </c>
      <c r="D323">
        <v>1</v>
      </c>
      <c r="E323" t="s">
        <v>4634</v>
      </c>
      <c r="F323" t="s">
        <v>4634</v>
      </c>
      <c r="G323" t="s">
        <v>4634</v>
      </c>
      <c r="H323">
        <v>54</v>
      </c>
    </row>
    <row r="324" spans="1:8" x14ac:dyDescent="0.25">
      <c r="A324" t="s">
        <v>2556</v>
      </c>
      <c r="B324">
        <v>1</v>
      </c>
      <c r="C324">
        <v>1</v>
      </c>
      <c r="D324">
        <v>1</v>
      </c>
      <c r="E324" t="s">
        <v>4635</v>
      </c>
      <c r="F324" t="s">
        <v>4636</v>
      </c>
      <c r="G324" t="s">
        <v>4636</v>
      </c>
      <c r="H324">
        <v>51</v>
      </c>
    </row>
    <row r="325" spans="1:8" x14ac:dyDescent="0.25">
      <c r="A325" t="s">
        <v>2441</v>
      </c>
      <c r="B325">
        <v>1</v>
      </c>
      <c r="C325">
        <v>1</v>
      </c>
      <c r="D325">
        <v>1</v>
      </c>
      <c r="E325" t="s">
        <v>4637</v>
      </c>
      <c r="F325" t="s">
        <v>4637</v>
      </c>
      <c r="G325" t="s">
        <v>4637</v>
      </c>
      <c r="H325">
        <v>66</v>
      </c>
    </row>
    <row r="326" spans="1:8" x14ac:dyDescent="0.25">
      <c r="A326" t="s">
        <v>2392</v>
      </c>
      <c r="B326">
        <v>1</v>
      </c>
      <c r="C326">
        <v>1</v>
      </c>
      <c r="D326">
        <v>1</v>
      </c>
      <c r="E326" t="s">
        <v>4632</v>
      </c>
      <c r="F326" t="s">
        <v>4632</v>
      </c>
      <c r="G326" t="s">
        <v>4632</v>
      </c>
      <c r="H326">
        <v>46</v>
      </c>
    </row>
    <row r="327" spans="1:8" x14ac:dyDescent="0.25">
      <c r="A327" t="s">
        <v>4021</v>
      </c>
      <c r="B327">
        <v>1</v>
      </c>
      <c r="C327">
        <v>1</v>
      </c>
      <c r="D327">
        <v>1</v>
      </c>
      <c r="E327" t="s">
        <v>4638</v>
      </c>
      <c r="F327" t="s">
        <v>4638</v>
      </c>
      <c r="G327" t="s">
        <v>4638</v>
      </c>
      <c r="H327">
        <v>2</v>
      </c>
    </row>
    <row r="328" spans="1:8" x14ac:dyDescent="0.25">
      <c r="A328" t="s">
        <v>3602</v>
      </c>
      <c r="B328">
        <v>1</v>
      </c>
      <c r="C328">
        <v>1</v>
      </c>
      <c r="D328">
        <v>1</v>
      </c>
      <c r="E328" t="s">
        <v>4639</v>
      </c>
      <c r="F328" t="s">
        <v>4639</v>
      </c>
      <c r="G328" t="s">
        <v>4639</v>
      </c>
      <c r="H328">
        <v>4</v>
      </c>
    </row>
    <row r="329" spans="1:8" x14ac:dyDescent="0.25">
      <c r="A329" t="s">
        <v>1005</v>
      </c>
      <c r="B329">
        <v>1</v>
      </c>
      <c r="C329">
        <v>1</v>
      </c>
      <c r="D329">
        <v>1</v>
      </c>
      <c r="E329" t="s">
        <v>4640</v>
      </c>
      <c r="F329" t="s">
        <v>4640</v>
      </c>
      <c r="G329" t="s">
        <v>4640</v>
      </c>
      <c r="H329">
        <v>203</v>
      </c>
    </row>
    <row r="330" spans="1:8" x14ac:dyDescent="0.25">
      <c r="A330" t="s">
        <v>2197</v>
      </c>
      <c r="B330">
        <v>2</v>
      </c>
      <c r="C330">
        <v>2</v>
      </c>
      <c r="D330">
        <v>2</v>
      </c>
      <c r="E330" t="s">
        <v>4641</v>
      </c>
      <c r="F330" t="s">
        <v>4642</v>
      </c>
      <c r="G330" t="s">
        <v>4256</v>
      </c>
      <c r="H330">
        <v>124</v>
      </c>
    </row>
    <row r="331" spans="1:8" x14ac:dyDescent="0.25">
      <c r="A331" t="s">
        <v>2206</v>
      </c>
      <c r="B331">
        <v>1</v>
      </c>
      <c r="C331">
        <v>1</v>
      </c>
      <c r="D331">
        <v>1</v>
      </c>
      <c r="E331" t="s">
        <v>4643</v>
      </c>
      <c r="F331" t="s">
        <v>4643</v>
      </c>
      <c r="G331" t="s">
        <v>4643</v>
      </c>
      <c r="H331">
        <v>145</v>
      </c>
    </row>
    <row r="332" spans="1:8" x14ac:dyDescent="0.25">
      <c r="A332" t="s">
        <v>3674</v>
      </c>
      <c r="B332">
        <v>2</v>
      </c>
      <c r="C332">
        <v>2</v>
      </c>
      <c r="D332">
        <v>2</v>
      </c>
      <c r="E332" t="s">
        <v>4644</v>
      </c>
      <c r="F332" t="s">
        <v>4644</v>
      </c>
      <c r="G332" t="s">
        <v>4256</v>
      </c>
      <c r="H332">
        <v>8</v>
      </c>
    </row>
    <row r="333" spans="1:8" x14ac:dyDescent="0.25">
      <c r="A333" t="s">
        <v>2777</v>
      </c>
      <c r="B333">
        <v>1</v>
      </c>
      <c r="C333">
        <v>1</v>
      </c>
      <c r="D333">
        <v>1</v>
      </c>
      <c r="E333" t="s">
        <v>4645</v>
      </c>
      <c r="F333" t="s">
        <v>4645</v>
      </c>
      <c r="G333" t="s">
        <v>4645</v>
      </c>
      <c r="H333">
        <v>56</v>
      </c>
    </row>
    <row r="334" spans="1:8" x14ac:dyDescent="0.25">
      <c r="A334" t="s">
        <v>2612</v>
      </c>
      <c r="B334">
        <v>1</v>
      </c>
      <c r="C334">
        <v>1</v>
      </c>
      <c r="D334">
        <v>1</v>
      </c>
      <c r="E334" t="s">
        <v>4646</v>
      </c>
      <c r="F334" t="s">
        <v>4646</v>
      </c>
      <c r="G334" t="s">
        <v>4646</v>
      </c>
      <c r="H334">
        <v>71</v>
      </c>
    </row>
    <row r="335" spans="1:8" x14ac:dyDescent="0.25">
      <c r="A335" t="s">
        <v>2875</v>
      </c>
      <c r="B335">
        <v>1</v>
      </c>
      <c r="C335">
        <v>1</v>
      </c>
      <c r="D335">
        <v>1</v>
      </c>
      <c r="E335" t="s">
        <v>4647</v>
      </c>
      <c r="F335" t="s">
        <v>4647</v>
      </c>
      <c r="G335" t="s">
        <v>4647</v>
      </c>
      <c r="H335">
        <v>47</v>
      </c>
    </row>
    <row r="336" spans="1:8" x14ac:dyDescent="0.25">
      <c r="A336" t="s">
        <v>2767</v>
      </c>
      <c r="B336">
        <v>1</v>
      </c>
      <c r="C336">
        <v>1</v>
      </c>
      <c r="D336">
        <v>1</v>
      </c>
      <c r="E336" t="s">
        <v>4648</v>
      </c>
      <c r="F336" t="s">
        <v>4648</v>
      </c>
      <c r="G336" t="s">
        <v>4648</v>
      </c>
      <c r="H336">
        <v>58</v>
      </c>
    </row>
    <row r="337" spans="1:8" x14ac:dyDescent="0.25">
      <c r="A337" t="s">
        <v>2924</v>
      </c>
      <c r="B337">
        <v>1</v>
      </c>
      <c r="C337">
        <v>1</v>
      </c>
      <c r="D337">
        <v>1</v>
      </c>
      <c r="E337" t="s">
        <v>4649</v>
      </c>
      <c r="F337" t="s">
        <v>4649</v>
      </c>
      <c r="G337" t="s">
        <v>4649</v>
      </c>
      <c r="H337">
        <v>35</v>
      </c>
    </row>
    <row r="338" spans="1:8" x14ac:dyDescent="0.25">
      <c r="A338" t="s">
        <v>3324</v>
      </c>
      <c r="B338">
        <v>1</v>
      </c>
      <c r="C338">
        <v>1</v>
      </c>
      <c r="D338">
        <v>1</v>
      </c>
      <c r="E338" t="s">
        <v>4650</v>
      </c>
      <c r="F338" t="s">
        <v>4650</v>
      </c>
      <c r="G338" t="s">
        <v>4650</v>
      </c>
      <c r="H338">
        <v>20</v>
      </c>
    </row>
    <row r="339" spans="1:8" x14ac:dyDescent="0.25">
      <c r="A339" t="s">
        <v>3095</v>
      </c>
      <c r="B339">
        <v>1</v>
      </c>
      <c r="C339">
        <v>1</v>
      </c>
      <c r="D339">
        <v>1</v>
      </c>
      <c r="E339" t="s">
        <v>4651</v>
      </c>
      <c r="F339" t="s">
        <v>4651</v>
      </c>
      <c r="G339" t="s">
        <v>4651</v>
      </c>
      <c r="H339">
        <v>31</v>
      </c>
    </row>
    <row r="340" spans="1:8" x14ac:dyDescent="0.25">
      <c r="A340" t="s">
        <v>650</v>
      </c>
      <c r="B340">
        <v>2</v>
      </c>
      <c r="C340">
        <v>2</v>
      </c>
      <c r="D340">
        <v>2</v>
      </c>
      <c r="E340" t="s">
        <v>4652</v>
      </c>
      <c r="F340" t="s">
        <v>4652</v>
      </c>
      <c r="G340" t="s">
        <v>4256</v>
      </c>
      <c r="H340">
        <v>308</v>
      </c>
    </row>
    <row r="341" spans="1:8" x14ac:dyDescent="0.25">
      <c r="A341" t="s">
        <v>1260</v>
      </c>
      <c r="B341">
        <v>1</v>
      </c>
      <c r="C341">
        <v>1</v>
      </c>
      <c r="D341">
        <v>1</v>
      </c>
      <c r="E341" t="s">
        <v>4653</v>
      </c>
      <c r="F341" t="s">
        <v>4653</v>
      </c>
      <c r="G341" t="s">
        <v>4653</v>
      </c>
      <c r="H341">
        <v>967</v>
      </c>
    </row>
    <row r="342" spans="1:8" x14ac:dyDescent="0.25">
      <c r="A342" t="s">
        <v>406</v>
      </c>
      <c r="B342">
        <v>1</v>
      </c>
      <c r="C342">
        <v>1</v>
      </c>
      <c r="D342">
        <v>1</v>
      </c>
      <c r="E342" t="s">
        <v>4654</v>
      </c>
      <c r="F342" t="s">
        <v>4655</v>
      </c>
      <c r="G342" t="s">
        <v>4655</v>
      </c>
      <c r="H342">
        <v>403</v>
      </c>
    </row>
    <row r="343" spans="1:8" x14ac:dyDescent="0.25">
      <c r="A343" t="s">
        <v>3219</v>
      </c>
      <c r="B343">
        <v>1</v>
      </c>
      <c r="C343">
        <v>1</v>
      </c>
      <c r="D343">
        <v>1</v>
      </c>
      <c r="E343" t="s">
        <v>4656</v>
      </c>
      <c r="F343" t="s">
        <v>4656</v>
      </c>
      <c r="G343" t="s">
        <v>4656</v>
      </c>
      <c r="H343">
        <v>25</v>
      </c>
    </row>
    <row r="344" spans="1:8" x14ac:dyDescent="0.25">
      <c r="A344" t="s">
        <v>1515</v>
      </c>
      <c r="B344">
        <v>1</v>
      </c>
      <c r="C344">
        <v>1</v>
      </c>
      <c r="D344">
        <v>1</v>
      </c>
      <c r="E344" t="s">
        <v>4657</v>
      </c>
      <c r="F344" t="s">
        <v>4657</v>
      </c>
      <c r="G344" t="s">
        <v>4657</v>
      </c>
      <c r="H344">
        <v>92</v>
      </c>
    </row>
    <row r="345" spans="1:8" x14ac:dyDescent="0.25">
      <c r="A345" t="s">
        <v>3590</v>
      </c>
      <c r="B345">
        <v>1</v>
      </c>
      <c r="C345">
        <v>1</v>
      </c>
      <c r="D345">
        <v>1</v>
      </c>
      <c r="E345" t="s">
        <v>4658</v>
      </c>
      <c r="F345" t="s">
        <v>4658</v>
      </c>
      <c r="G345" t="s">
        <v>4658</v>
      </c>
      <c r="H345">
        <v>10</v>
      </c>
    </row>
    <row r="346" spans="1:8" x14ac:dyDescent="0.25">
      <c r="A346" t="s">
        <v>760</v>
      </c>
      <c r="B346">
        <v>1</v>
      </c>
      <c r="C346">
        <v>1</v>
      </c>
      <c r="D346">
        <v>1</v>
      </c>
      <c r="E346" t="s">
        <v>4659</v>
      </c>
      <c r="F346" t="s">
        <v>4659</v>
      </c>
      <c r="G346" t="s">
        <v>4659</v>
      </c>
      <c r="H346">
        <v>266</v>
      </c>
    </row>
    <row r="347" spans="1:8" x14ac:dyDescent="0.25">
      <c r="A347" t="s">
        <v>1113</v>
      </c>
      <c r="B347">
        <v>1</v>
      </c>
      <c r="C347">
        <v>1</v>
      </c>
      <c r="D347">
        <v>1</v>
      </c>
      <c r="E347" t="s">
        <v>4660</v>
      </c>
      <c r="F347" t="s">
        <v>4661</v>
      </c>
      <c r="G347" t="s">
        <v>4661</v>
      </c>
      <c r="H347">
        <v>140</v>
      </c>
    </row>
    <row r="348" spans="1:8" x14ac:dyDescent="0.25">
      <c r="A348" t="s">
        <v>1639</v>
      </c>
      <c r="B348">
        <v>1</v>
      </c>
      <c r="C348">
        <v>1</v>
      </c>
      <c r="D348">
        <v>1</v>
      </c>
      <c r="E348" t="s">
        <v>4662</v>
      </c>
      <c r="F348" t="s">
        <v>4662</v>
      </c>
      <c r="G348" t="s">
        <v>4662</v>
      </c>
      <c r="H348">
        <v>93</v>
      </c>
    </row>
    <row r="349" spans="1:8" x14ac:dyDescent="0.25">
      <c r="A349" t="s">
        <v>2517</v>
      </c>
      <c r="B349">
        <v>2</v>
      </c>
      <c r="C349">
        <v>2</v>
      </c>
      <c r="D349">
        <v>2</v>
      </c>
      <c r="E349" t="s">
        <v>4663</v>
      </c>
      <c r="F349" t="s">
        <v>4664</v>
      </c>
      <c r="G349" t="s">
        <v>4256</v>
      </c>
      <c r="H349">
        <v>54</v>
      </c>
    </row>
    <row r="350" spans="1:8" x14ac:dyDescent="0.25">
      <c r="A350" t="s">
        <v>2142</v>
      </c>
      <c r="B350">
        <v>1</v>
      </c>
      <c r="C350">
        <v>1</v>
      </c>
      <c r="D350">
        <v>1</v>
      </c>
      <c r="E350" t="s">
        <v>4665</v>
      </c>
      <c r="F350" t="s">
        <v>4665</v>
      </c>
      <c r="G350" t="s">
        <v>4665</v>
      </c>
      <c r="H350">
        <v>31</v>
      </c>
    </row>
    <row r="351" spans="1:8" x14ac:dyDescent="0.25">
      <c r="A351" t="s">
        <v>1280</v>
      </c>
      <c r="B351">
        <v>1</v>
      </c>
      <c r="C351">
        <v>1</v>
      </c>
      <c r="D351">
        <v>1</v>
      </c>
      <c r="E351" t="s">
        <v>4666</v>
      </c>
      <c r="F351" t="s">
        <v>4667</v>
      </c>
      <c r="G351" t="s">
        <v>4667</v>
      </c>
      <c r="H351">
        <v>108</v>
      </c>
    </row>
    <row r="352" spans="1:8" x14ac:dyDescent="0.25">
      <c r="A352" t="s">
        <v>1287</v>
      </c>
      <c r="B352">
        <v>1</v>
      </c>
      <c r="C352">
        <v>1</v>
      </c>
      <c r="D352">
        <v>1</v>
      </c>
      <c r="E352" t="s">
        <v>4668</v>
      </c>
      <c r="F352" t="s">
        <v>4668</v>
      </c>
      <c r="G352" t="s">
        <v>4668</v>
      </c>
      <c r="H352">
        <v>74</v>
      </c>
    </row>
    <row r="353" spans="1:8" x14ac:dyDescent="0.25">
      <c r="A353" t="s">
        <v>1787</v>
      </c>
      <c r="B353">
        <v>1</v>
      </c>
      <c r="C353">
        <v>1</v>
      </c>
      <c r="D353">
        <v>1</v>
      </c>
      <c r="E353" t="s">
        <v>4669</v>
      </c>
      <c r="F353" t="s">
        <v>4669</v>
      </c>
      <c r="G353" t="s">
        <v>4669</v>
      </c>
      <c r="H353">
        <v>128</v>
      </c>
    </row>
    <row r="354" spans="1:8" x14ac:dyDescent="0.25">
      <c r="A354" t="s">
        <v>2302</v>
      </c>
      <c r="B354">
        <v>1</v>
      </c>
      <c r="C354">
        <v>1</v>
      </c>
      <c r="D354">
        <v>1</v>
      </c>
      <c r="E354" t="s">
        <v>4670</v>
      </c>
      <c r="F354" t="s">
        <v>4670</v>
      </c>
      <c r="G354" t="s">
        <v>4670</v>
      </c>
      <c r="H354">
        <v>95</v>
      </c>
    </row>
    <row r="355" spans="1:8" x14ac:dyDescent="0.25">
      <c r="A355" t="s">
        <v>2545</v>
      </c>
      <c r="B355">
        <v>1</v>
      </c>
      <c r="C355">
        <v>1</v>
      </c>
      <c r="D355">
        <v>1</v>
      </c>
      <c r="E355" t="s">
        <v>4671</v>
      </c>
      <c r="F355" t="s">
        <v>4671</v>
      </c>
      <c r="G355" t="s">
        <v>4671</v>
      </c>
      <c r="H355">
        <v>71</v>
      </c>
    </row>
    <row r="356" spans="1:8" x14ac:dyDescent="0.25">
      <c r="A356" t="s">
        <v>2406</v>
      </c>
      <c r="B356">
        <v>1</v>
      </c>
      <c r="C356">
        <v>1</v>
      </c>
      <c r="D356">
        <v>1</v>
      </c>
      <c r="E356" t="s">
        <v>4672</v>
      </c>
      <c r="F356" t="s">
        <v>4672</v>
      </c>
      <c r="G356" t="s">
        <v>4672</v>
      </c>
      <c r="H356">
        <v>83</v>
      </c>
    </row>
    <row r="357" spans="1:8" x14ac:dyDescent="0.25">
      <c r="A357" t="s">
        <v>2395</v>
      </c>
      <c r="B357">
        <v>1</v>
      </c>
      <c r="C357">
        <v>1</v>
      </c>
      <c r="D357">
        <v>1</v>
      </c>
      <c r="E357" t="s">
        <v>4673</v>
      </c>
      <c r="F357" t="s">
        <v>4673</v>
      </c>
      <c r="G357" t="s">
        <v>4673</v>
      </c>
      <c r="H357">
        <v>75</v>
      </c>
    </row>
    <row r="358" spans="1:8" x14ac:dyDescent="0.25">
      <c r="A358" t="s">
        <v>2394</v>
      </c>
      <c r="B358">
        <v>1</v>
      </c>
      <c r="C358">
        <v>1</v>
      </c>
      <c r="D358">
        <v>1</v>
      </c>
      <c r="E358" t="s">
        <v>4674</v>
      </c>
      <c r="F358" t="s">
        <v>4674</v>
      </c>
      <c r="G358" t="s">
        <v>4674</v>
      </c>
      <c r="H358">
        <v>102</v>
      </c>
    </row>
    <row r="359" spans="1:8" x14ac:dyDescent="0.25">
      <c r="A359" t="s">
        <v>1545</v>
      </c>
      <c r="B359">
        <v>1</v>
      </c>
      <c r="C359">
        <v>1</v>
      </c>
      <c r="D359">
        <v>1</v>
      </c>
      <c r="E359" t="s">
        <v>4675</v>
      </c>
      <c r="F359" t="s">
        <v>4675</v>
      </c>
      <c r="G359" t="s">
        <v>4675</v>
      </c>
      <c r="H359">
        <v>107</v>
      </c>
    </row>
    <row r="360" spans="1:8" x14ac:dyDescent="0.25">
      <c r="A360" t="s">
        <v>1615</v>
      </c>
      <c r="B360">
        <v>1</v>
      </c>
      <c r="C360">
        <v>1</v>
      </c>
      <c r="D360">
        <v>1</v>
      </c>
      <c r="E360" t="s">
        <v>4676</v>
      </c>
      <c r="F360" t="s">
        <v>4676</v>
      </c>
      <c r="G360" t="s">
        <v>4676</v>
      </c>
      <c r="H360">
        <v>94</v>
      </c>
    </row>
    <row r="361" spans="1:8" x14ac:dyDescent="0.25">
      <c r="A361" t="s">
        <v>2070</v>
      </c>
      <c r="B361">
        <v>1</v>
      </c>
      <c r="C361">
        <v>1</v>
      </c>
      <c r="D361">
        <v>1</v>
      </c>
      <c r="E361" t="s">
        <v>4677</v>
      </c>
      <c r="F361" t="s">
        <v>4677</v>
      </c>
      <c r="G361" t="s">
        <v>4677</v>
      </c>
      <c r="H361">
        <v>56</v>
      </c>
    </row>
    <row r="362" spans="1:8" x14ac:dyDescent="0.25">
      <c r="A362" t="s">
        <v>2327</v>
      </c>
      <c r="B362">
        <v>1</v>
      </c>
      <c r="C362">
        <v>1</v>
      </c>
      <c r="D362">
        <v>1</v>
      </c>
      <c r="E362" t="s">
        <v>4678</v>
      </c>
      <c r="F362" t="s">
        <v>4678</v>
      </c>
      <c r="G362" t="s">
        <v>4678</v>
      </c>
      <c r="H362">
        <v>87</v>
      </c>
    </row>
    <row r="363" spans="1:8" x14ac:dyDescent="0.25">
      <c r="A363" t="s">
        <v>1238</v>
      </c>
      <c r="B363">
        <v>1</v>
      </c>
      <c r="C363">
        <v>1</v>
      </c>
      <c r="D363">
        <v>1</v>
      </c>
      <c r="E363" t="s">
        <v>4679</v>
      </c>
      <c r="F363" t="s">
        <v>4679</v>
      </c>
      <c r="G363" t="s">
        <v>4679</v>
      </c>
      <c r="H363">
        <v>202</v>
      </c>
    </row>
    <row r="364" spans="1:8" x14ac:dyDescent="0.25">
      <c r="A364" t="s">
        <v>1097</v>
      </c>
      <c r="B364">
        <v>1</v>
      </c>
      <c r="C364">
        <v>1</v>
      </c>
      <c r="D364">
        <v>1</v>
      </c>
      <c r="E364" t="s">
        <v>4680</v>
      </c>
      <c r="F364" t="s">
        <v>4680</v>
      </c>
      <c r="G364" t="s">
        <v>4680</v>
      </c>
      <c r="H364">
        <v>89</v>
      </c>
    </row>
    <row r="365" spans="1:8" x14ac:dyDescent="0.25">
      <c r="A365" t="s">
        <v>1605</v>
      </c>
      <c r="B365">
        <v>1</v>
      </c>
      <c r="C365">
        <v>1</v>
      </c>
      <c r="D365">
        <v>1</v>
      </c>
      <c r="E365" t="s">
        <v>4681</v>
      </c>
      <c r="F365" t="s">
        <v>4682</v>
      </c>
      <c r="G365" t="s">
        <v>4682</v>
      </c>
      <c r="H365">
        <v>109</v>
      </c>
    </row>
    <row r="366" spans="1:8" x14ac:dyDescent="0.25">
      <c r="A366" t="s">
        <v>1499</v>
      </c>
      <c r="B366">
        <v>2</v>
      </c>
      <c r="C366">
        <v>2</v>
      </c>
      <c r="D366">
        <v>2</v>
      </c>
      <c r="E366" t="s">
        <v>4683</v>
      </c>
      <c r="F366" t="s">
        <v>4683</v>
      </c>
      <c r="G366" t="s">
        <v>4256</v>
      </c>
      <c r="H366">
        <v>183</v>
      </c>
    </row>
    <row r="367" spans="1:8" x14ac:dyDescent="0.25">
      <c r="A367" t="s">
        <v>1023</v>
      </c>
      <c r="B367">
        <v>1</v>
      </c>
      <c r="C367">
        <v>1</v>
      </c>
      <c r="D367">
        <v>1</v>
      </c>
      <c r="E367" t="s">
        <v>4684</v>
      </c>
      <c r="F367" t="s">
        <v>4685</v>
      </c>
      <c r="G367" t="s">
        <v>4685</v>
      </c>
      <c r="H367">
        <v>319</v>
      </c>
    </row>
    <row r="368" spans="1:8" x14ac:dyDescent="0.25">
      <c r="A368" t="s">
        <v>322</v>
      </c>
      <c r="B368">
        <v>1</v>
      </c>
      <c r="C368">
        <v>1</v>
      </c>
      <c r="D368">
        <v>1</v>
      </c>
      <c r="E368" t="s">
        <v>4686</v>
      </c>
      <c r="F368" t="s">
        <v>4687</v>
      </c>
      <c r="G368" t="s">
        <v>4687</v>
      </c>
      <c r="H368">
        <v>1015</v>
      </c>
    </row>
    <row r="369" spans="1:8" x14ac:dyDescent="0.25">
      <c r="A369" t="s">
        <v>3013</v>
      </c>
      <c r="B369">
        <v>2</v>
      </c>
      <c r="C369">
        <v>2</v>
      </c>
      <c r="D369">
        <v>2</v>
      </c>
      <c r="E369" t="s">
        <v>4688</v>
      </c>
      <c r="F369" t="s">
        <v>4689</v>
      </c>
      <c r="G369" t="s">
        <v>4256</v>
      </c>
      <c r="H369">
        <v>26</v>
      </c>
    </row>
    <row r="370" spans="1:8" x14ac:dyDescent="0.25">
      <c r="A370" t="s">
        <v>1969</v>
      </c>
      <c r="B370">
        <v>1</v>
      </c>
      <c r="C370">
        <v>1</v>
      </c>
      <c r="D370">
        <v>1</v>
      </c>
      <c r="E370" t="s">
        <v>4690</v>
      </c>
      <c r="F370" t="s">
        <v>4690</v>
      </c>
      <c r="G370" t="s">
        <v>4690</v>
      </c>
      <c r="H370">
        <v>185</v>
      </c>
    </row>
    <row r="371" spans="1:8" x14ac:dyDescent="0.25">
      <c r="A371" t="s">
        <v>649</v>
      </c>
      <c r="B371">
        <v>1</v>
      </c>
      <c r="C371">
        <v>1</v>
      </c>
      <c r="D371">
        <v>1</v>
      </c>
      <c r="E371" t="s">
        <v>4691</v>
      </c>
      <c r="F371" t="s">
        <v>4691</v>
      </c>
      <c r="G371" t="s">
        <v>4691</v>
      </c>
      <c r="H371">
        <v>439</v>
      </c>
    </row>
    <row r="372" spans="1:8" x14ac:dyDescent="0.25">
      <c r="A372" t="s">
        <v>3271</v>
      </c>
      <c r="B372">
        <v>1</v>
      </c>
      <c r="C372">
        <v>1</v>
      </c>
      <c r="D372">
        <v>1</v>
      </c>
      <c r="E372" t="s">
        <v>4692</v>
      </c>
      <c r="F372" t="s">
        <v>4692</v>
      </c>
      <c r="G372" t="s">
        <v>4692</v>
      </c>
      <c r="H372">
        <v>18</v>
      </c>
    </row>
    <row r="373" spans="1:8" x14ac:dyDescent="0.25">
      <c r="A373" t="s">
        <v>2442</v>
      </c>
      <c r="B373">
        <v>1</v>
      </c>
      <c r="C373">
        <v>1</v>
      </c>
      <c r="D373">
        <v>1</v>
      </c>
      <c r="E373" t="s">
        <v>4693</v>
      </c>
      <c r="F373" t="s">
        <v>4693</v>
      </c>
      <c r="G373" t="s">
        <v>4693</v>
      </c>
      <c r="H373">
        <v>104</v>
      </c>
    </row>
    <row r="374" spans="1:8" x14ac:dyDescent="0.25">
      <c r="A374" t="s">
        <v>3436</v>
      </c>
      <c r="B374">
        <v>2</v>
      </c>
      <c r="C374">
        <v>2</v>
      </c>
      <c r="D374">
        <v>2</v>
      </c>
      <c r="E374" t="s">
        <v>4694</v>
      </c>
      <c r="F374" t="s">
        <v>4694</v>
      </c>
      <c r="G374" t="s">
        <v>4256</v>
      </c>
      <c r="H374">
        <v>26</v>
      </c>
    </row>
    <row r="375" spans="1:8" x14ac:dyDescent="0.25">
      <c r="A375" t="s">
        <v>1559</v>
      </c>
      <c r="B375">
        <v>2</v>
      </c>
      <c r="C375">
        <v>2</v>
      </c>
      <c r="D375">
        <v>2</v>
      </c>
      <c r="E375" t="s">
        <v>4695</v>
      </c>
      <c r="F375" t="s">
        <v>4695</v>
      </c>
      <c r="G375" t="s">
        <v>4256</v>
      </c>
      <c r="H375">
        <v>224</v>
      </c>
    </row>
    <row r="376" spans="1:8" x14ac:dyDescent="0.25">
      <c r="A376" t="s">
        <v>486</v>
      </c>
      <c r="B376">
        <v>1</v>
      </c>
      <c r="C376">
        <v>1</v>
      </c>
      <c r="D376">
        <v>1</v>
      </c>
      <c r="E376" t="s">
        <v>4696</v>
      </c>
      <c r="F376" t="s">
        <v>4696</v>
      </c>
      <c r="G376" t="s">
        <v>4696</v>
      </c>
      <c r="H376">
        <v>532</v>
      </c>
    </row>
    <row r="377" spans="1:8" x14ac:dyDescent="0.25">
      <c r="A377" t="s">
        <v>3098</v>
      </c>
      <c r="B377">
        <v>1</v>
      </c>
      <c r="C377">
        <v>1</v>
      </c>
      <c r="D377">
        <v>1</v>
      </c>
      <c r="E377" t="s">
        <v>4697</v>
      </c>
      <c r="F377" t="s">
        <v>4697</v>
      </c>
      <c r="G377" t="s">
        <v>4697</v>
      </c>
      <c r="H377">
        <v>16</v>
      </c>
    </row>
    <row r="378" spans="1:8" x14ac:dyDescent="0.25">
      <c r="A378" t="s">
        <v>2221</v>
      </c>
      <c r="B378">
        <v>1</v>
      </c>
      <c r="C378">
        <v>1</v>
      </c>
      <c r="D378">
        <v>1</v>
      </c>
      <c r="E378" t="s">
        <v>4698</v>
      </c>
      <c r="F378" t="s">
        <v>4698</v>
      </c>
      <c r="G378" t="s">
        <v>4698</v>
      </c>
      <c r="H378">
        <v>105</v>
      </c>
    </row>
    <row r="379" spans="1:8" x14ac:dyDescent="0.25">
      <c r="A379" t="s">
        <v>621</v>
      </c>
      <c r="B379">
        <v>3</v>
      </c>
      <c r="C379">
        <v>3</v>
      </c>
      <c r="D379">
        <v>3</v>
      </c>
      <c r="E379" t="s">
        <v>4699</v>
      </c>
      <c r="F379" t="s">
        <v>4699</v>
      </c>
      <c r="G379" t="s">
        <v>4256</v>
      </c>
      <c r="H379">
        <v>275</v>
      </c>
    </row>
    <row r="380" spans="1:8" x14ac:dyDescent="0.25">
      <c r="A380" t="s">
        <v>2950</v>
      </c>
      <c r="B380">
        <v>2</v>
      </c>
      <c r="C380">
        <v>2</v>
      </c>
      <c r="D380">
        <v>2</v>
      </c>
      <c r="E380" t="s">
        <v>4700</v>
      </c>
      <c r="F380" t="s">
        <v>4700</v>
      </c>
      <c r="G380" t="s">
        <v>4256</v>
      </c>
      <c r="H380">
        <v>28</v>
      </c>
    </row>
    <row r="381" spans="1:8" x14ac:dyDescent="0.25">
      <c r="A381" t="s">
        <v>2060</v>
      </c>
      <c r="B381">
        <v>1</v>
      </c>
      <c r="C381">
        <v>1</v>
      </c>
      <c r="D381">
        <v>1</v>
      </c>
      <c r="E381" t="s">
        <v>4701</v>
      </c>
      <c r="F381" t="s">
        <v>4702</v>
      </c>
      <c r="G381" t="s">
        <v>4702</v>
      </c>
      <c r="H381">
        <v>54</v>
      </c>
    </row>
    <row r="382" spans="1:8" x14ac:dyDescent="0.25">
      <c r="A382" t="s">
        <v>1033</v>
      </c>
      <c r="B382">
        <v>1</v>
      </c>
      <c r="C382">
        <v>1</v>
      </c>
      <c r="D382">
        <v>1</v>
      </c>
      <c r="E382" t="s">
        <v>4703</v>
      </c>
      <c r="F382" t="s">
        <v>4704</v>
      </c>
      <c r="G382" t="s">
        <v>4704</v>
      </c>
      <c r="H382">
        <v>101</v>
      </c>
    </row>
    <row r="383" spans="1:8" x14ac:dyDescent="0.25">
      <c r="A383" t="s">
        <v>231</v>
      </c>
      <c r="B383">
        <v>1</v>
      </c>
      <c r="C383">
        <v>1</v>
      </c>
      <c r="D383">
        <v>1</v>
      </c>
      <c r="E383" t="s">
        <v>4705</v>
      </c>
      <c r="F383" t="s">
        <v>4705</v>
      </c>
      <c r="G383" t="s">
        <v>4705</v>
      </c>
      <c r="H383">
        <v>270</v>
      </c>
    </row>
    <row r="384" spans="1:8" x14ac:dyDescent="0.25">
      <c r="A384" t="s">
        <v>962</v>
      </c>
      <c r="B384">
        <v>3</v>
      </c>
      <c r="C384">
        <v>3</v>
      </c>
      <c r="D384">
        <v>3</v>
      </c>
      <c r="E384" t="s">
        <v>4706</v>
      </c>
      <c r="F384" t="s">
        <v>4706</v>
      </c>
      <c r="G384" t="s">
        <v>4256</v>
      </c>
      <c r="H384">
        <v>118</v>
      </c>
    </row>
    <row r="385" spans="1:8" x14ac:dyDescent="0.25">
      <c r="A385" t="s">
        <v>777</v>
      </c>
      <c r="B385">
        <v>1</v>
      </c>
      <c r="C385">
        <v>1</v>
      </c>
      <c r="D385">
        <v>1</v>
      </c>
      <c r="E385" t="s">
        <v>4707</v>
      </c>
      <c r="F385" t="s">
        <v>4707</v>
      </c>
      <c r="G385" t="s">
        <v>4707</v>
      </c>
      <c r="H385">
        <v>138</v>
      </c>
    </row>
    <row r="386" spans="1:8" x14ac:dyDescent="0.25">
      <c r="A386" t="s">
        <v>1340</v>
      </c>
      <c r="B386">
        <v>1</v>
      </c>
      <c r="C386">
        <v>1</v>
      </c>
      <c r="D386">
        <v>1</v>
      </c>
      <c r="E386" t="s">
        <v>4708</v>
      </c>
      <c r="F386" t="s">
        <v>4708</v>
      </c>
      <c r="G386" t="s">
        <v>4708</v>
      </c>
      <c r="H386">
        <v>96</v>
      </c>
    </row>
    <row r="387" spans="1:8" x14ac:dyDescent="0.25">
      <c r="A387" t="s">
        <v>940</v>
      </c>
      <c r="B387">
        <v>2</v>
      </c>
      <c r="C387">
        <v>2</v>
      </c>
      <c r="D387">
        <v>2</v>
      </c>
      <c r="E387" t="s">
        <v>4709</v>
      </c>
      <c r="F387" t="s">
        <v>4709</v>
      </c>
      <c r="G387" t="s">
        <v>4256</v>
      </c>
      <c r="H387">
        <v>82</v>
      </c>
    </row>
    <row r="388" spans="1:8" x14ac:dyDescent="0.25">
      <c r="A388" t="s">
        <v>1272</v>
      </c>
      <c r="B388">
        <v>1</v>
      </c>
      <c r="C388">
        <v>1</v>
      </c>
      <c r="D388">
        <v>1</v>
      </c>
      <c r="E388" t="s">
        <v>4710</v>
      </c>
      <c r="F388" t="s">
        <v>4710</v>
      </c>
      <c r="G388" t="s">
        <v>4710</v>
      </c>
      <c r="H388">
        <v>144</v>
      </c>
    </row>
    <row r="389" spans="1:8" x14ac:dyDescent="0.25">
      <c r="A389" t="s">
        <v>888</v>
      </c>
      <c r="B389">
        <v>1</v>
      </c>
      <c r="C389">
        <v>1</v>
      </c>
      <c r="D389">
        <v>1</v>
      </c>
      <c r="E389" t="s">
        <v>4711</v>
      </c>
      <c r="F389" t="s">
        <v>4711</v>
      </c>
      <c r="G389" t="s">
        <v>4711</v>
      </c>
      <c r="H389">
        <v>166</v>
      </c>
    </row>
    <row r="390" spans="1:8" x14ac:dyDescent="0.25">
      <c r="A390" t="s">
        <v>740</v>
      </c>
      <c r="B390">
        <v>1</v>
      </c>
      <c r="C390">
        <v>1</v>
      </c>
      <c r="D390">
        <v>1</v>
      </c>
      <c r="E390" t="s">
        <v>4712</v>
      </c>
      <c r="F390" t="s">
        <v>4712</v>
      </c>
      <c r="G390" t="s">
        <v>4712</v>
      </c>
      <c r="H390">
        <v>260</v>
      </c>
    </row>
    <row r="391" spans="1:8" x14ac:dyDescent="0.25">
      <c r="A391" t="s">
        <v>2993</v>
      </c>
      <c r="B391">
        <v>1</v>
      </c>
      <c r="C391">
        <v>1</v>
      </c>
      <c r="D391">
        <v>1</v>
      </c>
      <c r="E391" t="s">
        <v>4713</v>
      </c>
      <c r="F391" t="s">
        <v>4713</v>
      </c>
      <c r="G391" t="s">
        <v>4713</v>
      </c>
      <c r="H391">
        <v>17</v>
      </c>
    </row>
    <row r="392" spans="1:8" x14ac:dyDescent="0.25">
      <c r="A392" t="s">
        <v>3729</v>
      </c>
      <c r="B392">
        <v>1</v>
      </c>
      <c r="C392">
        <v>1</v>
      </c>
      <c r="D392">
        <v>1</v>
      </c>
      <c r="E392" t="s">
        <v>4714</v>
      </c>
      <c r="F392" t="s">
        <v>4714</v>
      </c>
      <c r="G392" t="s">
        <v>4714</v>
      </c>
      <c r="H392">
        <v>2</v>
      </c>
    </row>
    <row r="393" spans="1:8" x14ac:dyDescent="0.25">
      <c r="A393" t="s">
        <v>424</v>
      </c>
      <c r="B393">
        <v>1</v>
      </c>
      <c r="C393">
        <v>1</v>
      </c>
      <c r="D393">
        <v>1</v>
      </c>
      <c r="E393" t="s">
        <v>4715</v>
      </c>
      <c r="F393" t="s">
        <v>4715</v>
      </c>
      <c r="G393" t="s">
        <v>4715</v>
      </c>
      <c r="H393">
        <v>392</v>
      </c>
    </row>
    <row r="394" spans="1:8" x14ac:dyDescent="0.25">
      <c r="A394" t="s">
        <v>516</v>
      </c>
      <c r="B394">
        <v>1</v>
      </c>
      <c r="C394">
        <v>1</v>
      </c>
      <c r="D394">
        <v>1</v>
      </c>
      <c r="E394" t="s">
        <v>4716</v>
      </c>
      <c r="F394" t="s">
        <v>4716</v>
      </c>
      <c r="G394" t="s">
        <v>4716</v>
      </c>
      <c r="H394">
        <v>358</v>
      </c>
    </row>
    <row r="395" spans="1:8" x14ac:dyDescent="0.25">
      <c r="A395" t="s">
        <v>1501</v>
      </c>
      <c r="B395">
        <v>1</v>
      </c>
      <c r="C395">
        <v>1</v>
      </c>
      <c r="D395">
        <v>1</v>
      </c>
      <c r="E395" t="s">
        <v>4717</v>
      </c>
      <c r="F395" t="s">
        <v>4717</v>
      </c>
      <c r="G395" t="s">
        <v>4717</v>
      </c>
      <c r="H395">
        <v>160</v>
      </c>
    </row>
    <row r="396" spans="1:8" x14ac:dyDescent="0.25">
      <c r="A396" t="s">
        <v>647</v>
      </c>
      <c r="B396">
        <v>1</v>
      </c>
      <c r="C396">
        <v>1</v>
      </c>
      <c r="D396">
        <v>1</v>
      </c>
      <c r="E396" t="s">
        <v>4718</v>
      </c>
      <c r="F396" t="s">
        <v>4718</v>
      </c>
      <c r="G396" t="s">
        <v>4718</v>
      </c>
      <c r="H396">
        <v>249</v>
      </c>
    </row>
    <row r="397" spans="1:8" x14ac:dyDescent="0.25">
      <c r="A397" t="s">
        <v>1905</v>
      </c>
      <c r="B397">
        <v>1</v>
      </c>
      <c r="C397">
        <v>1</v>
      </c>
      <c r="D397">
        <v>1</v>
      </c>
      <c r="E397" t="s">
        <v>4719</v>
      </c>
      <c r="F397" t="s">
        <v>4719</v>
      </c>
      <c r="G397" t="s">
        <v>4719</v>
      </c>
      <c r="H397">
        <v>109</v>
      </c>
    </row>
    <row r="398" spans="1:8" x14ac:dyDescent="0.25">
      <c r="A398" t="s">
        <v>2005</v>
      </c>
      <c r="B398">
        <v>1</v>
      </c>
      <c r="C398">
        <v>1</v>
      </c>
      <c r="D398">
        <v>1</v>
      </c>
      <c r="E398" t="s">
        <v>4720</v>
      </c>
      <c r="F398" t="s">
        <v>4720</v>
      </c>
      <c r="G398" t="s">
        <v>4720</v>
      </c>
      <c r="H398">
        <v>128</v>
      </c>
    </row>
    <row r="399" spans="1:8" x14ac:dyDescent="0.25">
      <c r="A399" t="s">
        <v>2279</v>
      </c>
      <c r="B399">
        <v>1</v>
      </c>
      <c r="C399">
        <v>1</v>
      </c>
      <c r="D399">
        <v>1</v>
      </c>
      <c r="E399" t="s">
        <v>4721</v>
      </c>
      <c r="F399" t="s">
        <v>4721</v>
      </c>
      <c r="G399" t="s">
        <v>4721</v>
      </c>
      <c r="H399">
        <v>36</v>
      </c>
    </row>
    <row r="400" spans="1:8" x14ac:dyDescent="0.25">
      <c r="A400" t="s">
        <v>2456</v>
      </c>
      <c r="B400">
        <v>1</v>
      </c>
      <c r="C400">
        <v>1</v>
      </c>
      <c r="D400">
        <v>1</v>
      </c>
      <c r="E400" t="s">
        <v>4722</v>
      </c>
      <c r="F400" t="s">
        <v>4723</v>
      </c>
      <c r="G400" t="s">
        <v>4723</v>
      </c>
      <c r="H400">
        <v>28</v>
      </c>
    </row>
    <row r="401" spans="1:8" x14ac:dyDescent="0.25">
      <c r="A401" t="s">
        <v>2489</v>
      </c>
      <c r="B401">
        <v>1</v>
      </c>
      <c r="C401">
        <v>1</v>
      </c>
      <c r="D401">
        <v>1</v>
      </c>
      <c r="E401" t="s">
        <v>4724</v>
      </c>
      <c r="F401" t="s">
        <v>4724</v>
      </c>
      <c r="G401" t="s">
        <v>4724</v>
      </c>
      <c r="H401">
        <v>28</v>
      </c>
    </row>
    <row r="402" spans="1:8" x14ac:dyDescent="0.25">
      <c r="A402" t="s">
        <v>2815</v>
      </c>
      <c r="B402">
        <v>1</v>
      </c>
      <c r="C402">
        <v>1</v>
      </c>
      <c r="D402">
        <v>1</v>
      </c>
      <c r="E402" t="s">
        <v>4725</v>
      </c>
      <c r="F402" t="s">
        <v>4726</v>
      </c>
      <c r="G402" t="s">
        <v>4726</v>
      </c>
      <c r="H402">
        <v>22</v>
      </c>
    </row>
    <row r="403" spans="1:8" x14ac:dyDescent="0.25">
      <c r="A403" t="s">
        <v>4727</v>
      </c>
      <c r="B403">
        <v>0</v>
      </c>
      <c r="C403">
        <v>0</v>
      </c>
      <c r="D403">
        <v>0</v>
      </c>
      <c r="G403" t="s">
        <v>4256</v>
      </c>
      <c r="H403">
        <v>1</v>
      </c>
    </row>
    <row r="404" spans="1:8" x14ac:dyDescent="0.25">
      <c r="A404" t="s">
        <v>885</v>
      </c>
      <c r="B404">
        <v>3</v>
      </c>
      <c r="C404">
        <v>3</v>
      </c>
      <c r="D404">
        <v>3</v>
      </c>
      <c r="E404" t="s">
        <v>4728</v>
      </c>
      <c r="F404" t="s">
        <v>4728</v>
      </c>
      <c r="G404" t="s">
        <v>4256</v>
      </c>
      <c r="H404">
        <v>189</v>
      </c>
    </row>
    <row r="405" spans="1:8" x14ac:dyDescent="0.25">
      <c r="A405" t="s">
        <v>431</v>
      </c>
      <c r="B405">
        <v>2</v>
      </c>
      <c r="C405">
        <v>2</v>
      </c>
      <c r="D405">
        <v>2</v>
      </c>
      <c r="E405" t="s">
        <v>4729</v>
      </c>
      <c r="F405" t="s">
        <v>4729</v>
      </c>
      <c r="G405" t="s">
        <v>4256</v>
      </c>
      <c r="H405">
        <v>383</v>
      </c>
    </row>
    <row r="406" spans="1:8" x14ac:dyDescent="0.25">
      <c r="A406" t="s">
        <v>143</v>
      </c>
      <c r="B406">
        <v>1</v>
      </c>
      <c r="C406">
        <v>1</v>
      </c>
      <c r="D406">
        <v>1</v>
      </c>
      <c r="E406" t="s">
        <v>4730</v>
      </c>
      <c r="F406" t="s">
        <v>4730</v>
      </c>
      <c r="G406" t="s">
        <v>4730</v>
      </c>
      <c r="H406">
        <v>385</v>
      </c>
    </row>
    <row r="407" spans="1:8" x14ac:dyDescent="0.25">
      <c r="A407" t="s">
        <v>2053</v>
      </c>
      <c r="B407">
        <v>1</v>
      </c>
      <c r="C407">
        <v>1</v>
      </c>
      <c r="D407">
        <v>1</v>
      </c>
      <c r="E407" t="s">
        <v>4731</v>
      </c>
      <c r="F407" t="s">
        <v>4732</v>
      </c>
      <c r="G407" t="s">
        <v>4732</v>
      </c>
      <c r="H407">
        <v>44</v>
      </c>
    </row>
    <row r="408" spans="1:8" x14ac:dyDescent="0.25">
      <c r="A408" t="s">
        <v>3735</v>
      </c>
      <c r="B408">
        <v>1</v>
      </c>
      <c r="C408">
        <v>1</v>
      </c>
      <c r="D408">
        <v>1</v>
      </c>
      <c r="E408" t="s">
        <v>4733</v>
      </c>
      <c r="F408" t="s">
        <v>4734</v>
      </c>
      <c r="G408" t="s">
        <v>4734</v>
      </c>
      <c r="H408">
        <v>4</v>
      </c>
    </row>
    <row r="409" spans="1:8" x14ac:dyDescent="0.25">
      <c r="A409" t="s">
        <v>2977</v>
      </c>
      <c r="B409">
        <v>1</v>
      </c>
      <c r="C409">
        <v>1</v>
      </c>
      <c r="D409">
        <v>1</v>
      </c>
      <c r="E409" t="s">
        <v>4735</v>
      </c>
      <c r="F409" t="s">
        <v>4735</v>
      </c>
      <c r="G409" t="s">
        <v>4735</v>
      </c>
      <c r="H409">
        <v>10</v>
      </c>
    </row>
    <row r="410" spans="1:8" x14ac:dyDescent="0.25">
      <c r="A410" t="s">
        <v>2464</v>
      </c>
      <c r="B410">
        <v>3</v>
      </c>
      <c r="C410">
        <v>3</v>
      </c>
      <c r="D410">
        <v>3</v>
      </c>
      <c r="E410" t="s">
        <v>4736</v>
      </c>
      <c r="F410" t="s">
        <v>4736</v>
      </c>
      <c r="G410" t="s">
        <v>4256</v>
      </c>
      <c r="H410">
        <v>81</v>
      </c>
    </row>
    <row r="411" spans="1:8" x14ac:dyDescent="0.25">
      <c r="A411" t="s">
        <v>534</v>
      </c>
      <c r="B411">
        <v>1</v>
      </c>
      <c r="C411">
        <v>1</v>
      </c>
      <c r="D411">
        <v>1</v>
      </c>
      <c r="E411" t="s">
        <v>4737</v>
      </c>
      <c r="F411" t="s">
        <v>4738</v>
      </c>
      <c r="G411" t="s">
        <v>4738</v>
      </c>
      <c r="H411">
        <v>463</v>
      </c>
    </row>
    <row r="412" spans="1:8" x14ac:dyDescent="0.25">
      <c r="A412" t="s">
        <v>379</v>
      </c>
      <c r="B412">
        <v>1</v>
      </c>
      <c r="C412">
        <v>1</v>
      </c>
      <c r="D412">
        <v>1</v>
      </c>
      <c r="E412" t="s">
        <v>4739</v>
      </c>
      <c r="F412" t="s">
        <v>4739</v>
      </c>
      <c r="G412" t="s">
        <v>4739</v>
      </c>
      <c r="H412">
        <v>506</v>
      </c>
    </row>
    <row r="413" spans="1:8" x14ac:dyDescent="0.25">
      <c r="A413" t="s">
        <v>542</v>
      </c>
      <c r="B413">
        <v>1</v>
      </c>
      <c r="C413">
        <v>1</v>
      </c>
      <c r="D413">
        <v>1</v>
      </c>
      <c r="E413" t="s">
        <v>4740</v>
      </c>
      <c r="F413" t="s">
        <v>4740</v>
      </c>
      <c r="G413" t="s">
        <v>4740</v>
      </c>
      <c r="H413">
        <v>369</v>
      </c>
    </row>
    <row r="414" spans="1:8" x14ac:dyDescent="0.25">
      <c r="A414" t="s">
        <v>2793</v>
      </c>
      <c r="B414">
        <v>1</v>
      </c>
      <c r="C414">
        <v>1</v>
      </c>
      <c r="D414">
        <v>1</v>
      </c>
      <c r="E414" t="s">
        <v>4741</v>
      </c>
      <c r="F414" t="s">
        <v>4741</v>
      </c>
      <c r="G414" t="s">
        <v>4741</v>
      </c>
      <c r="H414">
        <v>35</v>
      </c>
    </row>
    <row r="415" spans="1:8" x14ac:dyDescent="0.25">
      <c r="A415" t="s">
        <v>1952</v>
      </c>
      <c r="B415">
        <v>1</v>
      </c>
      <c r="C415">
        <v>1</v>
      </c>
      <c r="D415">
        <v>1</v>
      </c>
      <c r="E415" t="s">
        <v>4742</v>
      </c>
      <c r="F415" t="s">
        <v>4743</v>
      </c>
      <c r="G415" t="s">
        <v>4743</v>
      </c>
      <c r="H415">
        <v>180</v>
      </c>
    </row>
    <row r="416" spans="1:8" x14ac:dyDescent="0.25">
      <c r="A416" t="s">
        <v>2193</v>
      </c>
      <c r="B416">
        <v>2</v>
      </c>
      <c r="C416">
        <v>2</v>
      </c>
      <c r="D416">
        <v>2</v>
      </c>
      <c r="E416" t="s">
        <v>4744</v>
      </c>
      <c r="F416" t="s">
        <v>4745</v>
      </c>
      <c r="G416" t="s">
        <v>4256</v>
      </c>
      <c r="H416">
        <v>126</v>
      </c>
    </row>
    <row r="417" spans="1:8" x14ac:dyDescent="0.25">
      <c r="A417" t="s">
        <v>3980</v>
      </c>
      <c r="B417">
        <v>1</v>
      </c>
      <c r="C417">
        <v>1</v>
      </c>
      <c r="D417">
        <v>1</v>
      </c>
      <c r="E417" t="s">
        <v>4746</v>
      </c>
      <c r="F417" t="s">
        <v>4747</v>
      </c>
      <c r="G417" t="s">
        <v>4747</v>
      </c>
      <c r="H417">
        <v>2</v>
      </c>
    </row>
    <row r="418" spans="1:8" x14ac:dyDescent="0.25">
      <c r="A418" t="s">
        <v>2783</v>
      </c>
      <c r="B418">
        <v>1</v>
      </c>
      <c r="C418">
        <v>1</v>
      </c>
      <c r="D418">
        <v>1</v>
      </c>
      <c r="E418" t="s">
        <v>4748</v>
      </c>
      <c r="F418" t="s">
        <v>4749</v>
      </c>
      <c r="G418" t="s">
        <v>4749</v>
      </c>
      <c r="H418">
        <v>49</v>
      </c>
    </row>
    <row r="419" spans="1:8" x14ac:dyDescent="0.25">
      <c r="A419" t="s">
        <v>1942</v>
      </c>
      <c r="B419">
        <v>1</v>
      </c>
      <c r="C419">
        <v>1</v>
      </c>
      <c r="D419">
        <v>1</v>
      </c>
      <c r="E419" t="s">
        <v>4750</v>
      </c>
      <c r="F419" t="s">
        <v>4751</v>
      </c>
      <c r="G419" t="s">
        <v>4751</v>
      </c>
      <c r="H419">
        <v>165</v>
      </c>
    </row>
    <row r="420" spans="1:8" x14ac:dyDescent="0.25">
      <c r="A420" t="s">
        <v>2084</v>
      </c>
      <c r="B420">
        <v>1</v>
      </c>
      <c r="C420">
        <v>1</v>
      </c>
      <c r="D420">
        <v>1</v>
      </c>
      <c r="E420" t="s">
        <v>4752</v>
      </c>
      <c r="F420" t="s">
        <v>4753</v>
      </c>
      <c r="G420" t="s">
        <v>4753</v>
      </c>
      <c r="H420">
        <v>138</v>
      </c>
    </row>
    <row r="421" spans="1:8" x14ac:dyDescent="0.25">
      <c r="A421" t="s">
        <v>615</v>
      </c>
      <c r="B421">
        <v>1</v>
      </c>
      <c r="C421">
        <v>1</v>
      </c>
      <c r="D421">
        <v>1</v>
      </c>
      <c r="E421" t="s">
        <v>4754</v>
      </c>
      <c r="F421" t="s">
        <v>4755</v>
      </c>
      <c r="G421" t="s">
        <v>4755</v>
      </c>
      <c r="H421">
        <v>287</v>
      </c>
    </row>
    <row r="422" spans="1:8" x14ac:dyDescent="0.25">
      <c r="A422" t="s">
        <v>485</v>
      </c>
      <c r="B422">
        <v>2</v>
      </c>
      <c r="C422">
        <v>2</v>
      </c>
      <c r="D422">
        <v>2</v>
      </c>
      <c r="E422" t="s">
        <v>4756</v>
      </c>
      <c r="F422" t="s">
        <v>4757</v>
      </c>
      <c r="G422" t="s">
        <v>4256</v>
      </c>
      <c r="H422">
        <v>460</v>
      </c>
    </row>
    <row r="423" spans="1:8" x14ac:dyDescent="0.25">
      <c r="A423" t="s">
        <v>214</v>
      </c>
      <c r="B423">
        <v>2</v>
      </c>
      <c r="C423">
        <v>2</v>
      </c>
      <c r="D423">
        <v>2</v>
      </c>
      <c r="E423" t="s">
        <v>4758</v>
      </c>
      <c r="F423" t="s">
        <v>4759</v>
      </c>
      <c r="G423" t="s">
        <v>4256</v>
      </c>
      <c r="H423">
        <v>746</v>
      </c>
    </row>
    <row r="424" spans="1:8" x14ac:dyDescent="0.25">
      <c r="A424" t="s">
        <v>2583</v>
      </c>
      <c r="B424">
        <v>1</v>
      </c>
      <c r="C424">
        <v>1</v>
      </c>
      <c r="D424">
        <v>1</v>
      </c>
      <c r="E424" t="s">
        <v>4760</v>
      </c>
      <c r="F424" t="s">
        <v>4760</v>
      </c>
      <c r="G424" t="s">
        <v>4760</v>
      </c>
      <c r="H424">
        <v>68</v>
      </c>
    </row>
    <row r="425" spans="1:8" x14ac:dyDescent="0.25">
      <c r="A425" t="s">
        <v>455</v>
      </c>
      <c r="B425">
        <v>1</v>
      </c>
      <c r="C425">
        <v>1</v>
      </c>
      <c r="D425">
        <v>1</v>
      </c>
      <c r="E425" t="s">
        <v>4761</v>
      </c>
      <c r="F425" t="s">
        <v>4762</v>
      </c>
      <c r="G425" t="s">
        <v>4762</v>
      </c>
      <c r="H425">
        <v>470</v>
      </c>
    </row>
    <row r="426" spans="1:8" x14ac:dyDescent="0.25">
      <c r="A426" t="s">
        <v>2175</v>
      </c>
      <c r="B426">
        <v>1</v>
      </c>
      <c r="C426">
        <v>1</v>
      </c>
      <c r="D426">
        <v>1</v>
      </c>
      <c r="E426" t="s">
        <v>4763</v>
      </c>
      <c r="F426" t="s">
        <v>4764</v>
      </c>
      <c r="G426" t="s">
        <v>4764</v>
      </c>
      <c r="H426">
        <v>74</v>
      </c>
    </row>
    <row r="427" spans="1:8" x14ac:dyDescent="0.25">
      <c r="A427" t="s">
        <v>599</v>
      </c>
      <c r="B427">
        <v>1</v>
      </c>
      <c r="C427">
        <v>1</v>
      </c>
      <c r="D427">
        <v>1</v>
      </c>
      <c r="E427" t="s">
        <v>4765</v>
      </c>
      <c r="F427" t="s">
        <v>4766</v>
      </c>
      <c r="G427" t="s">
        <v>4766</v>
      </c>
      <c r="H427">
        <v>484</v>
      </c>
    </row>
    <row r="428" spans="1:8" x14ac:dyDescent="0.25">
      <c r="A428" t="s">
        <v>376</v>
      </c>
      <c r="B428">
        <v>2</v>
      </c>
      <c r="C428">
        <v>2</v>
      </c>
      <c r="D428">
        <v>2</v>
      </c>
      <c r="E428" t="s">
        <v>4767</v>
      </c>
      <c r="F428" t="s">
        <v>4767</v>
      </c>
      <c r="G428" t="s">
        <v>4256</v>
      </c>
      <c r="H428">
        <v>550</v>
      </c>
    </row>
    <row r="429" spans="1:8" x14ac:dyDescent="0.25">
      <c r="A429" t="s">
        <v>169</v>
      </c>
      <c r="B429">
        <v>2</v>
      </c>
      <c r="C429">
        <v>2</v>
      </c>
      <c r="D429">
        <v>2</v>
      </c>
      <c r="E429" t="s">
        <v>4768</v>
      </c>
      <c r="F429" t="s">
        <v>4768</v>
      </c>
      <c r="G429" t="s">
        <v>4256</v>
      </c>
      <c r="H429">
        <v>826</v>
      </c>
    </row>
    <row r="430" spans="1:8" x14ac:dyDescent="0.25">
      <c r="A430" t="s">
        <v>1537</v>
      </c>
      <c r="B430">
        <v>2</v>
      </c>
      <c r="C430">
        <v>2</v>
      </c>
      <c r="D430">
        <v>2</v>
      </c>
      <c r="E430" t="s">
        <v>4769</v>
      </c>
      <c r="F430" t="s">
        <v>4769</v>
      </c>
      <c r="G430" t="s">
        <v>4256</v>
      </c>
      <c r="H430">
        <v>277</v>
      </c>
    </row>
    <row r="431" spans="1:8" x14ac:dyDescent="0.25">
      <c r="A431" t="s">
        <v>177</v>
      </c>
      <c r="B431">
        <v>5</v>
      </c>
      <c r="C431">
        <v>5</v>
      </c>
      <c r="D431">
        <v>5</v>
      </c>
      <c r="E431" t="s">
        <v>4770</v>
      </c>
      <c r="F431" t="s">
        <v>4770</v>
      </c>
      <c r="G431" t="s">
        <v>4256</v>
      </c>
      <c r="H431">
        <v>882</v>
      </c>
    </row>
    <row r="432" spans="1:8" x14ac:dyDescent="0.25">
      <c r="A432" t="s">
        <v>3904</v>
      </c>
      <c r="B432">
        <v>1</v>
      </c>
      <c r="C432">
        <v>1</v>
      </c>
      <c r="D432">
        <v>1</v>
      </c>
      <c r="E432" t="s">
        <v>4771</v>
      </c>
      <c r="F432" t="s">
        <v>4771</v>
      </c>
      <c r="G432" t="s">
        <v>4771</v>
      </c>
      <c r="H432">
        <v>2</v>
      </c>
    </row>
    <row r="433" spans="1:8" x14ac:dyDescent="0.25">
      <c r="A433" t="s">
        <v>2121</v>
      </c>
      <c r="B433">
        <v>1</v>
      </c>
      <c r="C433">
        <v>1</v>
      </c>
      <c r="D433">
        <v>1</v>
      </c>
      <c r="E433" t="s">
        <v>4772</v>
      </c>
      <c r="F433" t="s">
        <v>4773</v>
      </c>
      <c r="G433" t="s">
        <v>4773</v>
      </c>
      <c r="H433">
        <v>51</v>
      </c>
    </row>
    <row r="434" spans="1:8" x14ac:dyDescent="0.25">
      <c r="A434" t="s">
        <v>1743</v>
      </c>
      <c r="B434">
        <v>1</v>
      </c>
      <c r="C434">
        <v>1</v>
      </c>
      <c r="D434">
        <v>1</v>
      </c>
      <c r="E434" t="s">
        <v>4774</v>
      </c>
      <c r="F434" t="s">
        <v>4774</v>
      </c>
      <c r="G434" t="s">
        <v>4774</v>
      </c>
      <c r="H434">
        <v>51</v>
      </c>
    </row>
    <row r="435" spans="1:8" x14ac:dyDescent="0.25">
      <c r="A435" t="s">
        <v>1860</v>
      </c>
      <c r="B435">
        <v>1</v>
      </c>
      <c r="C435">
        <v>1</v>
      </c>
      <c r="D435">
        <v>1</v>
      </c>
      <c r="E435" t="s">
        <v>4775</v>
      </c>
      <c r="F435" t="s">
        <v>4776</v>
      </c>
      <c r="G435" t="s">
        <v>4776</v>
      </c>
      <c r="H435">
        <v>73</v>
      </c>
    </row>
    <row r="436" spans="1:8" x14ac:dyDescent="0.25">
      <c r="A436" t="s">
        <v>2756</v>
      </c>
      <c r="B436">
        <v>1</v>
      </c>
      <c r="C436">
        <v>1</v>
      </c>
      <c r="D436">
        <v>1</v>
      </c>
      <c r="E436" t="s">
        <v>4777</v>
      </c>
      <c r="F436" t="s">
        <v>4777</v>
      </c>
      <c r="G436" t="s">
        <v>4777</v>
      </c>
      <c r="H436">
        <v>10</v>
      </c>
    </row>
    <row r="437" spans="1:8" x14ac:dyDescent="0.25">
      <c r="A437" t="s">
        <v>1458</v>
      </c>
      <c r="B437">
        <v>1</v>
      </c>
      <c r="C437">
        <v>1</v>
      </c>
      <c r="D437">
        <v>1</v>
      </c>
      <c r="E437" t="s">
        <v>4778</v>
      </c>
      <c r="F437" t="s">
        <v>4779</v>
      </c>
      <c r="G437" t="s">
        <v>4779</v>
      </c>
      <c r="H437">
        <v>95</v>
      </c>
    </row>
    <row r="438" spans="1:8" x14ac:dyDescent="0.25">
      <c r="A438" t="s">
        <v>1226</v>
      </c>
      <c r="B438">
        <v>3</v>
      </c>
      <c r="C438">
        <v>3</v>
      </c>
      <c r="D438">
        <v>3</v>
      </c>
      <c r="E438" t="s">
        <v>4780</v>
      </c>
      <c r="F438" t="s">
        <v>4781</v>
      </c>
      <c r="G438" t="s">
        <v>4256</v>
      </c>
      <c r="H438">
        <v>94</v>
      </c>
    </row>
    <row r="439" spans="1:8" x14ac:dyDescent="0.25">
      <c r="A439" t="s">
        <v>2258</v>
      </c>
      <c r="B439">
        <v>1</v>
      </c>
      <c r="C439">
        <v>1</v>
      </c>
      <c r="D439">
        <v>1</v>
      </c>
      <c r="E439" t="s">
        <v>4782</v>
      </c>
      <c r="F439" t="s">
        <v>4782</v>
      </c>
      <c r="G439" t="s">
        <v>4782</v>
      </c>
      <c r="H439">
        <v>70</v>
      </c>
    </row>
    <row r="440" spans="1:8" x14ac:dyDescent="0.25">
      <c r="A440" t="s">
        <v>1542</v>
      </c>
      <c r="B440">
        <v>1</v>
      </c>
      <c r="C440">
        <v>1</v>
      </c>
      <c r="D440">
        <v>1</v>
      </c>
      <c r="E440" t="s">
        <v>4783</v>
      </c>
      <c r="F440" t="s">
        <v>4784</v>
      </c>
      <c r="G440" t="s">
        <v>4784</v>
      </c>
      <c r="H440">
        <v>83</v>
      </c>
    </row>
    <row r="441" spans="1:8" x14ac:dyDescent="0.25">
      <c r="A441" t="s">
        <v>2877</v>
      </c>
      <c r="B441">
        <v>1</v>
      </c>
      <c r="C441">
        <v>1</v>
      </c>
      <c r="D441">
        <v>1</v>
      </c>
      <c r="E441" t="s">
        <v>4785</v>
      </c>
      <c r="F441" t="s">
        <v>4785</v>
      </c>
      <c r="G441" t="s">
        <v>4785</v>
      </c>
      <c r="H441">
        <v>14</v>
      </c>
    </row>
    <row r="442" spans="1:8" x14ac:dyDescent="0.25">
      <c r="A442" t="s">
        <v>2509</v>
      </c>
      <c r="B442">
        <v>1</v>
      </c>
      <c r="C442">
        <v>1</v>
      </c>
      <c r="D442">
        <v>1</v>
      </c>
      <c r="E442" t="s">
        <v>4786</v>
      </c>
      <c r="F442" t="s">
        <v>4786</v>
      </c>
      <c r="G442" t="s">
        <v>4786</v>
      </c>
      <c r="H442">
        <v>28</v>
      </c>
    </row>
    <row r="443" spans="1:8" x14ac:dyDescent="0.25">
      <c r="A443" t="s">
        <v>1753</v>
      </c>
      <c r="B443">
        <v>1</v>
      </c>
      <c r="C443">
        <v>1</v>
      </c>
      <c r="D443">
        <v>1</v>
      </c>
      <c r="E443" t="s">
        <v>4787</v>
      </c>
      <c r="F443" t="s">
        <v>4787</v>
      </c>
      <c r="G443" t="s">
        <v>4787</v>
      </c>
      <c r="H443">
        <v>74</v>
      </c>
    </row>
    <row r="444" spans="1:8" x14ac:dyDescent="0.25">
      <c r="A444" t="s">
        <v>1861</v>
      </c>
      <c r="B444">
        <v>1</v>
      </c>
      <c r="C444">
        <v>1</v>
      </c>
      <c r="D444">
        <v>1</v>
      </c>
      <c r="E444" t="s">
        <v>4788</v>
      </c>
      <c r="F444" t="s">
        <v>4788</v>
      </c>
      <c r="G444" t="s">
        <v>4788</v>
      </c>
      <c r="H444">
        <v>80</v>
      </c>
    </row>
    <row r="445" spans="1:8" x14ac:dyDescent="0.25">
      <c r="A445" t="s">
        <v>1413</v>
      </c>
      <c r="B445">
        <v>1</v>
      </c>
      <c r="C445">
        <v>1</v>
      </c>
      <c r="D445">
        <v>1</v>
      </c>
      <c r="E445" t="s">
        <v>4789</v>
      </c>
      <c r="F445" t="s">
        <v>4789</v>
      </c>
      <c r="G445" t="s">
        <v>4789</v>
      </c>
      <c r="H445">
        <v>75</v>
      </c>
    </row>
    <row r="446" spans="1:8" x14ac:dyDescent="0.25">
      <c r="A446" t="s">
        <v>919</v>
      </c>
      <c r="B446">
        <v>2</v>
      </c>
      <c r="C446">
        <v>2</v>
      </c>
      <c r="D446">
        <v>2</v>
      </c>
      <c r="E446" t="s">
        <v>4790</v>
      </c>
      <c r="F446" t="s">
        <v>4791</v>
      </c>
      <c r="G446" t="s">
        <v>4256</v>
      </c>
      <c r="H446">
        <v>106</v>
      </c>
    </row>
    <row r="447" spans="1:8" x14ac:dyDescent="0.25">
      <c r="A447" t="s">
        <v>2358</v>
      </c>
      <c r="B447">
        <v>1</v>
      </c>
      <c r="C447">
        <v>1</v>
      </c>
      <c r="D447">
        <v>1</v>
      </c>
      <c r="E447" t="s">
        <v>4792</v>
      </c>
      <c r="F447" t="s">
        <v>4792</v>
      </c>
      <c r="G447" t="s">
        <v>4792</v>
      </c>
      <c r="H447">
        <v>26</v>
      </c>
    </row>
    <row r="448" spans="1:8" x14ac:dyDescent="0.25">
      <c r="A448" t="s">
        <v>1881</v>
      </c>
      <c r="B448">
        <v>1</v>
      </c>
      <c r="C448">
        <v>1</v>
      </c>
      <c r="D448">
        <v>1</v>
      </c>
      <c r="E448" t="s">
        <v>4793</v>
      </c>
      <c r="F448" t="s">
        <v>4794</v>
      </c>
      <c r="G448" t="s">
        <v>4794</v>
      </c>
      <c r="H448">
        <v>85</v>
      </c>
    </row>
    <row r="449" spans="1:8" x14ac:dyDescent="0.25">
      <c r="A449" t="s">
        <v>2091</v>
      </c>
      <c r="B449">
        <v>1</v>
      </c>
      <c r="C449">
        <v>1</v>
      </c>
      <c r="D449">
        <v>1</v>
      </c>
      <c r="E449" t="s">
        <v>4795</v>
      </c>
      <c r="F449" t="s">
        <v>4795</v>
      </c>
      <c r="G449" t="s">
        <v>4795</v>
      </c>
      <c r="H449">
        <v>75</v>
      </c>
    </row>
    <row r="450" spans="1:8" x14ac:dyDescent="0.25">
      <c r="A450" t="s">
        <v>1364</v>
      </c>
      <c r="B450">
        <v>1</v>
      </c>
      <c r="C450">
        <v>1</v>
      </c>
      <c r="D450">
        <v>1</v>
      </c>
      <c r="E450" t="s">
        <v>4796</v>
      </c>
      <c r="F450" t="s">
        <v>4797</v>
      </c>
      <c r="G450" t="s">
        <v>4797</v>
      </c>
      <c r="H450">
        <v>112</v>
      </c>
    </row>
    <row r="451" spans="1:8" x14ac:dyDescent="0.25">
      <c r="A451" t="s">
        <v>1323</v>
      </c>
      <c r="B451">
        <v>1</v>
      </c>
      <c r="C451">
        <v>1</v>
      </c>
      <c r="D451">
        <v>1</v>
      </c>
      <c r="E451" t="s">
        <v>4798</v>
      </c>
      <c r="F451" t="s">
        <v>4799</v>
      </c>
      <c r="G451" t="s">
        <v>4799</v>
      </c>
      <c r="H451">
        <v>134</v>
      </c>
    </row>
    <row r="452" spans="1:8" x14ac:dyDescent="0.25">
      <c r="A452" t="s">
        <v>2063</v>
      </c>
      <c r="B452">
        <v>1</v>
      </c>
      <c r="C452">
        <v>1</v>
      </c>
      <c r="D452">
        <v>1</v>
      </c>
      <c r="E452" t="s">
        <v>4800</v>
      </c>
      <c r="F452" t="s">
        <v>4800</v>
      </c>
      <c r="G452" t="s">
        <v>4800</v>
      </c>
      <c r="H452">
        <v>89</v>
      </c>
    </row>
    <row r="453" spans="1:8" x14ac:dyDescent="0.25">
      <c r="A453" t="s">
        <v>1863</v>
      </c>
      <c r="B453">
        <v>1</v>
      </c>
      <c r="C453">
        <v>1</v>
      </c>
      <c r="D453">
        <v>1</v>
      </c>
      <c r="E453" t="s">
        <v>4801</v>
      </c>
      <c r="F453" t="s">
        <v>4801</v>
      </c>
      <c r="G453" t="s">
        <v>4801</v>
      </c>
      <c r="H453">
        <v>94</v>
      </c>
    </row>
    <row r="454" spans="1:8" x14ac:dyDescent="0.25">
      <c r="A454" t="s">
        <v>414</v>
      </c>
      <c r="B454">
        <v>1</v>
      </c>
      <c r="C454">
        <v>1</v>
      </c>
      <c r="D454">
        <v>1</v>
      </c>
      <c r="E454" t="s">
        <v>4802</v>
      </c>
      <c r="F454" t="s">
        <v>4802</v>
      </c>
      <c r="G454" t="s">
        <v>4802</v>
      </c>
      <c r="H454">
        <v>463</v>
      </c>
    </row>
    <row r="455" spans="1:8" x14ac:dyDescent="0.25">
      <c r="A455" t="s">
        <v>1563</v>
      </c>
      <c r="B455">
        <v>1</v>
      </c>
      <c r="C455">
        <v>1</v>
      </c>
      <c r="D455">
        <v>1</v>
      </c>
      <c r="E455" t="s">
        <v>4803</v>
      </c>
      <c r="F455" t="s">
        <v>4803</v>
      </c>
      <c r="G455" t="s">
        <v>4803</v>
      </c>
      <c r="H455">
        <v>105</v>
      </c>
    </row>
    <row r="456" spans="1:8" x14ac:dyDescent="0.25">
      <c r="A456" t="s">
        <v>212</v>
      </c>
      <c r="B456">
        <v>1</v>
      </c>
      <c r="C456">
        <v>1</v>
      </c>
      <c r="D456">
        <v>1</v>
      </c>
      <c r="E456" t="s">
        <v>4804</v>
      </c>
      <c r="F456" t="s">
        <v>4804</v>
      </c>
      <c r="G456" t="s">
        <v>4804</v>
      </c>
      <c r="H456">
        <v>1385</v>
      </c>
    </row>
    <row r="457" spans="1:8" x14ac:dyDescent="0.25">
      <c r="A457" t="s">
        <v>413</v>
      </c>
      <c r="B457">
        <v>1</v>
      </c>
      <c r="C457">
        <v>1</v>
      </c>
      <c r="D457">
        <v>1</v>
      </c>
      <c r="E457" t="s">
        <v>4805</v>
      </c>
      <c r="F457" t="s">
        <v>4805</v>
      </c>
      <c r="G457" t="s">
        <v>4805</v>
      </c>
      <c r="H457">
        <v>678</v>
      </c>
    </row>
    <row r="458" spans="1:8" x14ac:dyDescent="0.25">
      <c r="A458" t="s">
        <v>2010</v>
      </c>
      <c r="B458">
        <v>1</v>
      </c>
      <c r="C458">
        <v>1</v>
      </c>
      <c r="D458">
        <v>1</v>
      </c>
      <c r="E458" t="s">
        <v>4806</v>
      </c>
      <c r="F458" t="s">
        <v>4807</v>
      </c>
      <c r="G458" t="s">
        <v>4807</v>
      </c>
      <c r="H458">
        <v>128</v>
      </c>
    </row>
    <row r="459" spans="1:8" x14ac:dyDescent="0.25">
      <c r="A459" t="s">
        <v>319</v>
      </c>
      <c r="B459">
        <v>1</v>
      </c>
      <c r="C459">
        <v>1</v>
      </c>
      <c r="D459">
        <v>1</v>
      </c>
      <c r="E459" t="s">
        <v>4808</v>
      </c>
      <c r="F459" t="s">
        <v>4808</v>
      </c>
      <c r="G459" t="s">
        <v>4808</v>
      </c>
      <c r="H459">
        <v>449</v>
      </c>
    </row>
    <row r="460" spans="1:8" x14ac:dyDescent="0.25">
      <c r="A460" t="s">
        <v>315</v>
      </c>
      <c r="B460">
        <v>1</v>
      </c>
      <c r="C460">
        <v>1</v>
      </c>
      <c r="D460">
        <v>1</v>
      </c>
      <c r="E460" t="s">
        <v>4809</v>
      </c>
      <c r="F460" t="s">
        <v>4809</v>
      </c>
      <c r="G460" t="s">
        <v>4809</v>
      </c>
      <c r="H460">
        <v>352</v>
      </c>
    </row>
    <row r="461" spans="1:8" x14ac:dyDescent="0.25">
      <c r="A461" t="s">
        <v>349</v>
      </c>
      <c r="B461">
        <v>1</v>
      </c>
      <c r="C461">
        <v>1</v>
      </c>
      <c r="D461">
        <v>1</v>
      </c>
      <c r="E461" t="s">
        <v>4810</v>
      </c>
      <c r="F461" t="s">
        <v>4810</v>
      </c>
      <c r="G461" t="s">
        <v>4810</v>
      </c>
      <c r="H461">
        <v>409</v>
      </c>
    </row>
    <row r="462" spans="1:8" x14ac:dyDescent="0.25">
      <c r="A462" t="s">
        <v>2249</v>
      </c>
      <c r="B462">
        <v>1</v>
      </c>
      <c r="C462">
        <v>1</v>
      </c>
      <c r="D462">
        <v>1</v>
      </c>
      <c r="E462" t="s">
        <v>4811</v>
      </c>
      <c r="F462" t="s">
        <v>4811</v>
      </c>
      <c r="G462" t="s">
        <v>4811</v>
      </c>
      <c r="H462">
        <v>90</v>
      </c>
    </row>
    <row r="463" spans="1:8" x14ac:dyDescent="0.25">
      <c r="A463" t="s">
        <v>2397</v>
      </c>
      <c r="B463">
        <v>1</v>
      </c>
      <c r="C463">
        <v>1</v>
      </c>
      <c r="D463">
        <v>1</v>
      </c>
      <c r="E463" t="s">
        <v>4812</v>
      </c>
      <c r="F463" t="s">
        <v>4812</v>
      </c>
      <c r="G463" t="s">
        <v>4812</v>
      </c>
      <c r="H463">
        <v>90</v>
      </c>
    </row>
    <row r="464" spans="1:8" x14ac:dyDescent="0.25">
      <c r="A464" t="s">
        <v>2580</v>
      </c>
      <c r="B464">
        <v>1</v>
      </c>
      <c r="C464">
        <v>1</v>
      </c>
      <c r="D464">
        <v>1</v>
      </c>
      <c r="E464" t="s">
        <v>4813</v>
      </c>
      <c r="F464" t="s">
        <v>4813</v>
      </c>
      <c r="G464" t="s">
        <v>4813</v>
      </c>
      <c r="H464">
        <v>54</v>
      </c>
    </row>
    <row r="465" spans="1:8" x14ac:dyDescent="0.25">
      <c r="A465" t="s">
        <v>2562</v>
      </c>
      <c r="B465">
        <v>1</v>
      </c>
      <c r="C465">
        <v>1</v>
      </c>
      <c r="D465">
        <v>1</v>
      </c>
      <c r="E465" t="s">
        <v>4814</v>
      </c>
      <c r="F465" t="s">
        <v>4814</v>
      </c>
      <c r="G465" t="s">
        <v>4814</v>
      </c>
      <c r="H465">
        <v>76</v>
      </c>
    </row>
    <row r="466" spans="1:8" x14ac:dyDescent="0.25">
      <c r="A466" t="s">
        <v>1693</v>
      </c>
      <c r="B466">
        <v>1</v>
      </c>
      <c r="C466">
        <v>1</v>
      </c>
      <c r="D466">
        <v>1</v>
      </c>
      <c r="E466" t="s">
        <v>4815</v>
      </c>
      <c r="F466" t="s">
        <v>4815</v>
      </c>
      <c r="G466" t="s">
        <v>4815</v>
      </c>
      <c r="H466">
        <v>169</v>
      </c>
    </row>
    <row r="467" spans="1:8" x14ac:dyDescent="0.25">
      <c r="A467" t="s">
        <v>3236</v>
      </c>
      <c r="B467">
        <v>1</v>
      </c>
      <c r="C467">
        <v>1</v>
      </c>
      <c r="D467">
        <v>1</v>
      </c>
      <c r="E467" t="s">
        <v>4816</v>
      </c>
      <c r="F467" t="s">
        <v>4816</v>
      </c>
      <c r="G467" t="s">
        <v>4816</v>
      </c>
      <c r="H467">
        <v>21</v>
      </c>
    </row>
    <row r="468" spans="1:8" x14ac:dyDescent="0.25">
      <c r="A468" t="s">
        <v>3913</v>
      </c>
      <c r="B468">
        <v>1</v>
      </c>
      <c r="C468">
        <v>1</v>
      </c>
      <c r="D468">
        <v>1</v>
      </c>
      <c r="E468" t="s">
        <v>4817</v>
      </c>
      <c r="F468" t="s">
        <v>4817</v>
      </c>
      <c r="G468" t="s">
        <v>4817</v>
      </c>
      <c r="H468">
        <v>3</v>
      </c>
    </row>
    <row r="469" spans="1:8" x14ac:dyDescent="0.25">
      <c r="A469" t="s">
        <v>443</v>
      </c>
      <c r="B469">
        <v>1</v>
      </c>
      <c r="C469">
        <v>1</v>
      </c>
      <c r="D469">
        <v>1</v>
      </c>
      <c r="E469" t="s">
        <v>4818</v>
      </c>
      <c r="F469" t="s">
        <v>4818</v>
      </c>
      <c r="G469" t="s">
        <v>4818</v>
      </c>
      <c r="H469">
        <v>543</v>
      </c>
    </row>
    <row r="470" spans="1:8" x14ac:dyDescent="0.25">
      <c r="A470" t="s">
        <v>250</v>
      </c>
      <c r="B470">
        <v>2</v>
      </c>
      <c r="C470">
        <v>2</v>
      </c>
      <c r="D470">
        <v>2</v>
      </c>
      <c r="E470" t="s">
        <v>4819</v>
      </c>
      <c r="F470" t="s">
        <v>4819</v>
      </c>
      <c r="G470" t="s">
        <v>4256</v>
      </c>
      <c r="H470">
        <v>904</v>
      </c>
    </row>
    <row r="471" spans="1:8" x14ac:dyDescent="0.25">
      <c r="A471" t="s">
        <v>830</v>
      </c>
      <c r="B471">
        <v>1</v>
      </c>
      <c r="C471">
        <v>1</v>
      </c>
      <c r="D471">
        <v>1</v>
      </c>
      <c r="E471" t="s">
        <v>4820</v>
      </c>
      <c r="F471" t="s">
        <v>4820</v>
      </c>
      <c r="G471" t="s">
        <v>4820</v>
      </c>
      <c r="H471">
        <v>400</v>
      </c>
    </row>
    <row r="472" spans="1:8" x14ac:dyDescent="0.25">
      <c r="A472" t="s">
        <v>982</v>
      </c>
      <c r="B472">
        <v>1</v>
      </c>
      <c r="C472">
        <v>1</v>
      </c>
      <c r="D472">
        <v>1</v>
      </c>
      <c r="E472" t="s">
        <v>4821</v>
      </c>
      <c r="F472" t="s">
        <v>4821</v>
      </c>
      <c r="G472" t="s">
        <v>4821</v>
      </c>
      <c r="H472">
        <v>313</v>
      </c>
    </row>
    <row r="473" spans="1:8" x14ac:dyDescent="0.25">
      <c r="A473" t="s">
        <v>897</v>
      </c>
      <c r="B473">
        <v>1</v>
      </c>
      <c r="C473">
        <v>1</v>
      </c>
      <c r="D473">
        <v>1</v>
      </c>
      <c r="E473" t="s">
        <v>4822</v>
      </c>
      <c r="F473" t="s">
        <v>4822</v>
      </c>
      <c r="G473" t="s">
        <v>4822</v>
      </c>
      <c r="H473">
        <v>334</v>
      </c>
    </row>
    <row r="474" spans="1:8" x14ac:dyDescent="0.25">
      <c r="A474" t="s">
        <v>573</v>
      </c>
      <c r="B474">
        <v>1</v>
      </c>
      <c r="C474">
        <v>1</v>
      </c>
      <c r="D474">
        <v>1</v>
      </c>
      <c r="E474" t="s">
        <v>4823</v>
      </c>
      <c r="F474" t="s">
        <v>4824</v>
      </c>
      <c r="G474" t="s">
        <v>4824</v>
      </c>
      <c r="H474">
        <v>311</v>
      </c>
    </row>
    <row r="475" spans="1:8" x14ac:dyDescent="0.25">
      <c r="A475" t="s">
        <v>774</v>
      </c>
      <c r="B475">
        <v>2</v>
      </c>
      <c r="C475">
        <v>2</v>
      </c>
      <c r="D475">
        <v>1</v>
      </c>
      <c r="E475" t="s">
        <v>4825</v>
      </c>
      <c r="F475" t="s">
        <v>4826</v>
      </c>
      <c r="G475" t="s">
        <v>4256</v>
      </c>
      <c r="H475">
        <v>212</v>
      </c>
    </row>
    <row r="476" spans="1:8" x14ac:dyDescent="0.25">
      <c r="A476" t="s">
        <v>781</v>
      </c>
      <c r="B476">
        <v>1</v>
      </c>
      <c r="C476">
        <v>1</v>
      </c>
      <c r="D476">
        <v>1</v>
      </c>
      <c r="E476" t="s">
        <v>4827</v>
      </c>
      <c r="F476" t="s">
        <v>4828</v>
      </c>
      <c r="G476" t="s">
        <v>4828</v>
      </c>
      <c r="H476">
        <v>202</v>
      </c>
    </row>
    <row r="477" spans="1:8" x14ac:dyDescent="0.25">
      <c r="A477" t="s">
        <v>1277</v>
      </c>
      <c r="B477">
        <v>1</v>
      </c>
      <c r="C477">
        <v>1</v>
      </c>
      <c r="D477">
        <v>1</v>
      </c>
      <c r="E477" t="s">
        <v>4829</v>
      </c>
      <c r="F477" t="s">
        <v>4830</v>
      </c>
      <c r="G477" t="s">
        <v>4830</v>
      </c>
      <c r="H477">
        <v>131</v>
      </c>
    </row>
    <row r="478" spans="1:8" x14ac:dyDescent="0.25">
      <c r="A478" t="s">
        <v>1527</v>
      </c>
      <c r="B478">
        <v>2</v>
      </c>
      <c r="C478">
        <v>2</v>
      </c>
      <c r="D478">
        <v>2</v>
      </c>
      <c r="E478" t="s">
        <v>4831</v>
      </c>
      <c r="F478" t="s">
        <v>4831</v>
      </c>
      <c r="G478" t="s">
        <v>4256</v>
      </c>
      <c r="H478">
        <v>100</v>
      </c>
    </row>
    <row r="479" spans="1:8" x14ac:dyDescent="0.25">
      <c r="A479" t="s">
        <v>2592</v>
      </c>
      <c r="B479">
        <v>1</v>
      </c>
      <c r="C479">
        <v>1</v>
      </c>
      <c r="D479">
        <v>1</v>
      </c>
      <c r="E479" t="s">
        <v>4832</v>
      </c>
      <c r="F479" t="s">
        <v>4832</v>
      </c>
      <c r="G479" t="s">
        <v>4832</v>
      </c>
      <c r="H479">
        <v>68</v>
      </c>
    </row>
    <row r="480" spans="1:8" x14ac:dyDescent="0.25">
      <c r="A480" t="s">
        <v>1130</v>
      </c>
      <c r="B480">
        <v>1</v>
      </c>
      <c r="C480">
        <v>1</v>
      </c>
      <c r="D480">
        <v>1</v>
      </c>
      <c r="E480" t="s">
        <v>4833</v>
      </c>
      <c r="F480" t="s">
        <v>4834</v>
      </c>
      <c r="G480" t="s">
        <v>4834</v>
      </c>
      <c r="H480">
        <v>119</v>
      </c>
    </row>
    <row r="481" spans="1:8" x14ac:dyDescent="0.25">
      <c r="A481" t="s">
        <v>2687</v>
      </c>
      <c r="B481">
        <v>1</v>
      </c>
      <c r="C481">
        <v>1</v>
      </c>
      <c r="D481">
        <v>1</v>
      </c>
      <c r="E481" t="s">
        <v>4835</v>
      </c>
      <c r="F481" t="s">
        <v>4835</v>
      </c>
      <c r="G481" t="s">
        <v>4835</v>
      </c>
      <c r="H481">
        <v>20</v>
      </c>
    </row>
    <row r="482" spans="1:8" x14ac:dyDescent="0.25">
      <c r="A482" t="s">
        <v>2237</v>
      </c>
      <c r="B482">
        <v>1</v>
      </c>
      <c r="C482">
        <v>1</v>
      </c>
      <c r="D482">
        <v>1</v>
      </c>
      <c r="E482" t="s">
        <v>4836</v>
      </c>
      <c r="F482" t="s">
        <v>4836</v>
      </c>
      <c r="G482" t="s">
        <v>4836</v>
      </c>
      <c r="H482">
        <v>46</v>
      </c>
    </row>
    <row r="483" spans="1:8" x14ac:dyDescent="0.25">
      <c r="A483" t="s">
        <v>2203</v>
      </c>
      <c r="B483">
        <v>1</v>
      </c>
      <c r="C483">
        <v>1</v>
      </c>
      <c r="D483">
        <v>1</v>
      </c>
      <c r="E483" t="s">
        <v>4837</v>
      </c>
      <c r="F483" t="s">
        <v>4837</v>
      </c>
      <c r="G483" t="s">
        <v>4837</v>
      </c>
      <c r="H483">
        <v>63</v>
      </c>
    </row>
    <row r="484" spans="1:8" x14ac:dyDescent="0.25">
      <c r="A484" t="s">
        <v>490</v>
      </c>
      <c r="B484">
        <v>2</v>
      </c>
      <c r="C484">
        <v>2</v>
      </c>
      <c r="D484">
        <v>2</v>
      </c>
      <c r="E484" t="s">
        <v>4838</v>
      </c>
      <c r="F484" t="s">
        <v>4838</v>
      </c>
      <c r="G484" t="s">
        <v>4256</v>
      </c>
      <c r="H484">
        <v>270</v>
      </c>
    </row>
    <row r="485" spans="1:8" x14ac:dyDescent="0.25">
      <c r="A485" t="s">
        <v>439</v>
      </c>
      <c r="B485">
        <v>2</v>
      </c>
      <c r="C485">
        <v>2</v>
      </c>
      <c r="D485">
        <v>2</v>
      </c>
      <c r="E485" t="s">
        <v>4839</v>
      </c>
      <c r="F485" t="s">
        <v>4839</v>
      </c>
      <c r="G485" t="s">
        <v>4256</v>
      </c>
      <c r="H485">
        <v>185</v>
      </c>
    </row>
    <row r="486" spans="1:8" x14ac:dyDescent="0.25">
      <c r="A486" t="s">
        <v>469</v>
      </c>
      <c r="B486">
        <v>1</v>
      </c>
      <c r="C486">
        <v>1</v>
      </c>
      <c r="D486">
        <v>1</v>
      </c>
      <c r="E486" t="s">
        <v>4840</v>
      </c>
      <c r="F486" t="s">
        <v>4841</v>
      </c>
      <c r="G486" t="s">
        <v>4841</v>
      </c>
      <c r="H486">
        <v>296</v>
      </c>
    </row>
    <row r="487" spans="1:8" x14ac:dyDescent="0.25">
      <c r="A487" t="s">
        <v>789</v>
      </c>
      <c r="B487">
        <v>1</v>
      </c>
      <c r="C487">
        <v>1</v>
      </c>
      <c r="D487">
        <v>1</v>
      </c>
      <c r="E487" t="s">
        <v>4842</v>
      </c>
      <c r="F487" t="s">
        <v>4842</v>
      </c>
      <c r="G487" t="s">
        <v>4842</v>
      </c>
      <c r="H487">
        <v>170</v>
      </c>
    </row>
    <row r="488" spans="1:8" x14ac:dyDescent="0.25">
      <c r="A488" t="s">
        <v>2099</v>
      </c>
      <c r="B488">
        <v>1</v>
      </c>
      <c r="C488">
        <v>1</v>
      </c>
      <c r="D488">
        <v>1</v>
      </c>
      <c r="E488" t="s">
        <v>4843</v>
      </c>
      <c r="F488" t="s">
        <v>4844</v>
      </c>
      <c r="G488" t="s">
        <v>4844</v>
      </c>
      <c r="H488">
        <v>45</v>
      </c>
    </row>
    <row r="489" spans="1:8" x14ac:dyDescent="0.25">
      <c r="A489" t="s">
        <v>1574</v>
      </c>
      <c r="B489">
        <v>1</v>
      </c>
      <c r="C489">
        <v>1</v>
      </c>
      <c r="D489">
        <v>1</v>
      </c>
      <c r="E489" t="s">
        <v>4845</v>
      </c>
      <c r="F489" t="s">
        <v>4846</v>
      </c>
      <c r="G489" t="s">
        <v>4846</v>
      </c>
      <c r="H489">
        <v>83</v>
      </c>
    </row>
    <row r="490" spans="1:8" x14ac:dyDescent="0.25">
      <c r="A490" t="s">
        <v>2549</v>
      </c>
      <c r="B490">
        <v>1</v>
      </c>
      <c r="C490">
        <v>1</v>
      </c>
      <c r="D490">
        <v>1</v>
      </c>
      <c r="E490" t="s">
        <v>4847</v>
      </c>
      <c r="F490" t="s">
        <v>4847</v>
      </c>
      <c r="G490" t="s">
        <v>4847</v>
      </c>
      <c r="H490">
        <v>46</v>
      </c>
    </row>
    <row r="491" spans="1:8" x14ac:dyDescent="0.25">
      <c r="A491" t="s">
        <v>2226</v>
      </c>
      <c r="B491">
        <v>1</v>
      </c>
      <c r="C491">
        <v>1</v>
      </c>
      <c r="D491">
        <v>1</v>
      </c>
      <c r="E491" t="s">
        <v>4848</v>
      </c>
      <c r="F491" t="s">
        <v>4849</v>
      </c>
      <c r="G491" t="s">
        <v>4849</v>
      </c>
      <c r="H491">
        <v>51</v>
      </c>
    </row>
    <row r="492" spans="1:8" x14ac:dyDescent="0.25">
      <c r="A492" t="s">
        <v>2710</v>
      </c>
      <c r="B492">
        <v>1</v>
      </c>
      <c r="C492">
        <v>1</v>
      </c>
      <c r="D492">
        <v>1</v>
      </c>
      <c r="E492" t="s">
        <v>4850</v>
      </c>
      <c r="F492" t="s">
        <v>4850</v>
      </c>
      <c r="G492" t="s">
        <v>4850</v>
      </c>
      <c r="H492">
        <v>19</v>
      </c>
    </row>
    <row r="493" spans="1:8" x14ac:dyDescent="0.25">
      <c r="A493" t="s">
        <v>4032</v>
      </c>
      <c r="B493">
        <v>1</v>
      </c>
      <c r="C493">
        <v>1</v>
      </c>
      <c r="D493">
        <v>1</v>
      </c>
      <c r="E493" t="s">
        <v>4851</v>
      </c>
      <c r="F493" t="s">
        <v>4851</v>
      </c>
      <c r="G493" t="s">
        <v>4851</v>
      </c>
      <c r="H493">
        <v>1</v>
      </c>
    </row>
    <row r="494" spans="1:8" x14ac:dyDescent="0.25">
      <c r="A494" t="s">
        <v>2735</v>
      </c>
      <c r="B494">
        <v>1</v>
      </c>
      <c r="C494">
        <v>1</v>
      </c>
      <c r="D494">
        <v>1</v>
      </c>
      <c r="E494" t="s">
        <v>4852</v>
      </c>
      <c r="F494" t="s">
        <v>4853</v>
      </c>
      <c r="G494" t="s">
        <v>4853</v>
      </c>
      <c r="H494">
        <v>20</v>
      </c>
    </row>
    <row r="495" spans="1:8" x14ac:dyDescent="0.25">
      <c r="A495" t="s">
        <v>2298</v>
      </c>
      <c r="B495">
        <v>1</v>
      </c>
      <c r="C495">
        <v>1</v>
      </c>
      <c r="D495">
        <v>1</v>
      </c>
      <c r="E495" t="s">
        <v>4854</v>
      </c>
      <c r="F495" t="s">
        <v>4854</v>
      </c>
      <c r="G495" t="s">
        <v>4854</v>
      </c>
      <c r="H495">
        <v>36</v>
      </c>
    </row>
    <row r="496" spans="1:8" x14ac:dyDescent="0.25">
      <c r="A496" t="s">
        <v>1953</v>
      </c>
      <c r="B496">
        <v>2</v>
      </c>
      <c r="C496">
        <v>2</v>
      </c>
      <c r="D496">
        <v>2</v>
      </c>
      <c r="E496" t="s">
        <v>4855</v>
      </c>
      <c r="F496" t="s">
        <v>4855</v>
      </c>
      <c r="G496" t="s">
        <v>4256</v>
      </c>
      <c r="H496">
        <v>114</v>
      </c>
    </row>
    <row r="497" spans="1:8" x14ac:dyDescent="0.25">
      <c r="A497" t="s">
        <v>4856</v>
      </c>
      <c r="B497">
        <v>0</v>
      </c>
      <c r="C497">
        <v>0</v>
      </c>
      <c r="D497">
        <v>0</v>
      </c>
      <c r="G497" t="s">
        <v>4256</v>
      </c>
      <c r="H497">
        <v>1</v>
      </c>
    </row>
    <row r="498" spans="1:8" x14ac:dyDescent="0.25">
      <c r="A498" t="s">
        <v>2700</v>
      </c>
      <c r="B498">
        <v>2</v>
      </c>
      <c r="C498">
        <v>2</v>
      </c>
      <c r="D498">
        <v>2</v>
      </c>
      <c r="E498" t="s">
        <v>4857</v>
      </c>
      <c r="F498" t="s">
        <v>4858</v>
      </c>
      <c r="G498" t="s">
        <v>4256</v>
      </c>
      <c r="H498">
        <v>17</v>
      </c>
    </row>
    <row r="499" spans="1:8" x14ac:dyDescent="0.25">
      <c r="A499" t="s">
        <v>2233</v>
      </c>
      <c r="B499">
        <v>1</v>
      </c>
      <c r="C499">
        <v>1</v>
      </c>
      <c r="D499">
        <v>1</v>
      </c>
      <c r="E499" t="s">
        <v>4859</v>
      </c>
      <c r="F499" t="s">
        <v>4859</v>
      </c>
      <c r="G499" t="s">
        <v>4859</v>
      </c>
      <c r="H499">
        <v>24</v>
      </c>
    </row>
    <row r="500" spans="1:8" x14ac:dyDescent="0.25">
      <c r="A500" t="s">
        <v>3128</v>
      </c>
      <c r="B500">
        <v>1</v>
      </c>
      <c r="C500">
        <v>1</v>
      </c>
      <c r="D500">
        <v>1</v>
      </c>
      <c r="E500" t="s">
        <v>4860</v>
      </c>
      <c r="F500" t="s">
        <v>4860</v>
      </c>
      <c r="G500" t="s">
        <v>4860</v>
      </c>
      <c r="H500">
        <v>11</v>
      </c>
    </row>
    <row r="501" spans="1:8" x14ac:dyDescent="0.25">
      <c r="A501" t="s">
        <v>2712</v>
      </c>
      <c r="B501">
        <v>1</v>
      </c>
      <c r="C501">
        <v>1</v>
      </c>
      <c r="D501">
        <v>1</v>
      </c>
      <c r="E501" t="s">
        <v>4861</v>
      </c>
      <c r="F501" t="s">
        <v>4861</v>
      </c>
      <c r="G501" t="s">
        <v>4861</v>
      </c>
      <c r="H501">
        <v>31</v>
      </c>
    </row>
    <row r="502" spans="1:8" x14ac:dyDescent="0.25">
      <c r="A502" t="s">
        <v>2938</v>
      </c>
      <c r="B502">
        <v>1</v>
      </c>
      <c r="C502">
        <v>1</v>
      </c>
      <c r="D502">
        <v>1</v>
      </c>
      <c r="E502" t="s">
        <v>4862</v>
      </c>
      <c r="F502" t="s">
        <v>4862</v>
      </c>
      <c r="G502" t="s">
        <v>4862</v>
      </c>
      <c r="H502">
        <v>12</v>
      </c>
    </row>
    <row r="503" spans="1:8" x14ac:dyDescent="0.25">
      <c r="A503" t="s">
        <v>3056</v>
      </c>
      <c r="B503">
        <v>1</v>
      </c>
      <c r="C503">
        <v>1</v>
      </c>
      <c r="D503">
        <v>1</v>
      </c>
      <c r="E503" t="s">
        <v>4863</v>
      </c>
      <c r="F503" t="s">
        <v>4863</v>
      </c>
      <c r="G503" t="s">
        <v>4863</v>
      </c>
      <c r="H503">
        <v>15</v>
      </c>
    </row>
    <row r="504" spans="1:8" x14ac:dyDescent="0.25">
      <c r="A504" t="s">
        <v>4864</v>
      </c>
      <c r="B504">
        <v>0</v>
      </c>
      <c r="C504">
        <v>0</v>
      </c>
      <c r="D504">
        <v>0</v>
      </c>
      <c r="G504" t="s">
        <v>4256</v>
      </c>
      <c r="H504">
        <v>1</v>
      </c>
    </row>
    <row r="505" spans="1:8" x14ac:dyDescent="0.25">
      <c r="A505" t="s">
        <v>4865</v>
      </c>
      <c r="B505">
        <v>0</v>
      </c>
      <c r="C505">
        <v>0</v>
      </c>
      <c r="D505">
        <v>0</v>
      </c>
      <c r="G505" t="s">
        <v>4256</v>
      </c>
      <c r="H505">
        <v>1</v>
      </c>
    </row>
    <row r="506" spans="1:8" x14ac:dyDescent="0.25">
      <c r="A506" t="s">
        <v>2520</v>
      </c>
      <c r="B506">
        <v>1</v>
      </c>
      <c r="C506">
        <v>1</v>
      </c>
      <c r="D506">
        <v>1</v>
      </c>
      <c r="E506" t="s">
        <v>4866</v>
      </c>
      <c r="F506" t="s">
        <v>4866</v>
      </c>
      <c r="G506" t="s">
        <v>4866</v>
      </c>
      <c r="H506">
        <v>45</v>
      </c>
    </row>
    <row r="507" spans="1:8" x14ac:dyDescent="0.25">
      <c r="A507" t="s">
        <v>2468</v>
      </c>
      <c r="B507">
        <v>1</v>
      </c>
      <c r="C507">
        <v>1</v>
      </c>
      <c r="D507">
        <v>1</v>
      </c>
      <c r="E507" t="s">
        <v>4867</v>
      </c>
      <c r="F507" t="s">
        <v>4867</v>
      </c>
      <c r="G507" t="s">
        <v>4867</v>
      </c>
      <c r="H507">
        <v>44</v>
      </c>
    </row>
    <row r="508" spans="1:8" x14ac:dyDescent="0.25">
      <c r="A508" t="s">
        <v>2538</v>
      </c>
      <c r="B508">
        <v>1</v>
      </c>
      <c r="C508">
        <v>1</v>
      </c>
      <c r="D508">
        <v>1</v>
      </c>
      <c r="E508" t="s">
        <v>4868</v>
      </c>
      <c r="F508" t="s">
        <v>4868</v>
      </c>
      <c r="G508" t="s">
        <v>4868</v>
      </c>
      <c r="H508">
        <v>30</v>
      </c>
    </row>
    <row r="509" spans="1:8" x14ac:dyDescent="0.25">
      <c r="A509" t="s">
        <v>1989</v>
      </c>
      <c r="B509">
        <v>1</v>
      </c>
      <c r="C509">
        <v>1</v>
      </c>
      <c r="D509">
        <v>1</v>
      </c>
      <c r="E509" t="s">
        <v>4869</v>
      </c>
      <c r="F509" t="s">
        <v>4870</v>
      </c>
      <c r="G509" t="s">
        <v>4870</v>
      </c>
      <c r="H509">
        <v>55</v>
      </c>
    </row>
    <row r="510" spans="1:8" x14ac:dyDescent="0.25">
      <c r="A510" t="s">
        <v>1699</v>
      </c>
      <c r="B510">
        <v>1</v>
      </c>
      <c r="C510">
        <v>1</v>
      </c>
      <c r="D510">
        <v>1</v>
      </c>
      <c r="E510" t="s">
        <v>4871</v>
      </c>
      <c r="F510" t="s">
        <v>4871</v>
      </c>
      <c r="G510" t="s">
        <v>4871</v>
      </c>
      <c r="H510">
        <v>114</v>
      </c>
    </row>
    <row r="511" spans="1:8" x14ac:dyDescent="0.25">
      <c r="A511" t="s">
        <v>2055</v>
      </c>
      <c r="B511">
        <v>1</v>
      </c>
      <c r="C511">
        <v>1</v>
      </c>
      <c r="D511">
        <v>1</v>
      </c>
      <c r="E511" t="s">
        <v>4872</v>
      </c>
      <c r="F511" t="s">
        <v>4872</v>
      </c>
      <c r="G511" t="s">
        <v>4872</v>
      </c>
      <c r="H511">
        <v>51</v>
      </c>
    </row>
    <row r="512" spans="1:8" x14ac:dyDescent="0.25">
      <c r="A512" t="s">
        <v>1921</v>
      </c>
      <c r="B512">
        <v>1</v>
      </c>
      <c r="C512">
        <v>1</v>
      </c>
      <c r="D512">
        <v>1</v>
      </c>
      <c r="E512" t="s">
        <v>4873</v>
      </c>
      <c r="F512" t="s">
        <v>4874</v>
      </c>
      <c r="G512" t="s">
        <v>4874</v>
      </c>
      <c r="H512">
        <v>52</v>
      </c>
    </row>
    <row r="513" spans="1:8" x14ac:dyDescent="0.25">
      <c r="A513" t="s">
        <v>2201</v>
      </c>
      <c r="B513">
        <v>1</v>
      </c>
      <c r="C513">
        <v>1</v>
      </c>
      <c r="D513">
        <v>1</v>
      </c>
      <c r="E513" t="s">
        <v>4875</v>
      </c>
      <c r="F513" t="s">
        <v>4876</v>
      </c>
      <c r="G513" t="s">
        <v>4876</v>
      </c>
      <c r="H513">
        <v>28</v>
      </c>
    </row>
    <row r="514" spans="1:8" x14ac:dyDescent="0.25">
      <c r="A514" t="s">
        <v>2683</v>
      </c>
      <c r="B514">
        <v>1</v>
      </c>
      <c r="C514">
        <v>1</v>
      </c>
      <c r="D514">
        <v>1</v>
      </c>
      <c r="E514" t="s">
        <v>4877</v>
      </c>
      <c r="F514" t="s">
        <v>4877</v>
      </c>
      <c r="G514" t="s">
        <v>4877</v>
      </c>
      <c r="H514">
        <v>25</v>
      </c>
    </row>
    <row r="515" spans="1:8" x14ac:dyDescent="0.25">
      <c r="A515" t="s">
        <v>1916</v>
      </c>
      <c r="B515">
        <v>2</v>
      </c>
      <c r="C515">
        <v>2</v>
      </c>
      <c r="D515">
        <v>2</v>
      </c>
      <c r="E515" t="s">
        <v>4878</v>
      </c>
      <c r="F515" t="s">
        <v>4878</v>
      </c>
      <c r="G515" t="s">
        <v>4256</v>
      </c>
      <c r="H515">
        <v>76</v>
      </c>
    </row>
    <row r="516" spans="1:8" x14ac:dyDescent="0.25">
      <c r="A516" t="s">
        <v>2868</v>
      </c>
      <c r="B516">
        <v>1</v>
      </c>
      <c r="C516">
        <v>1</v>
      </c>
      <c r="D516">
        <v>1</v>
      </c>
      <c r="E516" t="s">
        <v>4879</v>
      </c>
      <c r="F516" t="s">
        <v>4879</v>
      </c>
      <c r="G516" t="s">
        <v>4879</v>
      </c>
      <c r="H516">
        <v>47</v>
      </c>
    </row>
    <row r="517" spans="1:8" x14ac:dyDescent="0.25">
      <c r="A517" t="s">
        <v>3512</v>
      </c>
      <c r="B517">
        <v>1</v>
      </c>
      <c r="C517">
        <v>1</v>
      </c>
      <c r="D517">
        <v>1</v>
      </c>
      <c r="E517" t="s">
        <v>4880</v>
      </c>
      <c r="F517" t="s">
        <v>4880</v>
      </c>
      <c r="G517" t="s">
        <v>4880</v>
      </c>
      <c r="H517">
        <v>13</v>
      </c>
    </row>
    <row r="518" spans="1:8" x14ac:dyDescent="0.25">
      <c r="A518" t="s">
        <v>3582</v>
      </c>
      <c r="B518">
        <v>1</v>
      </c>
      <c r="C518">
        <v>1</v>
      </c>
      <c r="D518">
        <v>1</v>
      </c>
      <c r="E518" t="s">
        <v>4881</v>
      </c>
      <c r="F518" t="s">
        <v>4881</v>
      </c>
      <c r="G518" t="s">
        <v>4881</v>
      </c>
      <c r="H518">
        <v>1</v>
      </c>
    </row>
    <row r="519" spans="1:8" x14ac:dyDescent="0.25">
      <c r="A519" t="s">
        <v>2879</v>
      </c>
      <c r="B519">
        <v>1</v>
      </c>
      <c r="C519">
        <v>1</v>
      </c>
      <c r="D519">
        <v>1</v>
      </c>
      <c r="E519" t="s">
        <v>4882</v>
      </c>
      <c r="F519" t="s">
        <v>4883</v>
      </c>
      <c r="G519" t="s">
        <v>4883</v>
      </c>
      <c r="H519">
        <v>59</v>
      </c>
    </row>
    <row r="520" spans="1:8" x14ac:dyDescent="0.25">
      <c r="A520" t="s">
        <v>935</v>
      </c>
      <c r="B520">
        <v>1</v>
      </c>
      <c r="C520">
        <v>1</v>
      </c>
      <c r="D520">
        <v>1</v>
      </c>
      <c r="E520" t="s">
        <v>4884</v>
      </c>
      <c r="F520" t="s">
        <v>4885</v>
      </c>
      <c r="G520" t="s">
        <v>4885</v>
      </c>
      <c r="H520">
        <v>226</v>
      </c>
    </row>
    <row r="521" spans="1:8" x14ac:dyDescent="0.25">
      <c r="A521" t="s">
        <v>364</v>
      </c>
      <c r="B521">
        <v>1</v>
      </c>
      <c r="C521">
        <v>1</v>
      </c>
      <c r="D521">
        <v>1</v>
      </c>
      <c r="E521" t="s">
        <v>4886</v>
      </c>
      <c r="F521" t="s">
        <v>4886</v>
      </c>
      <c r="G521" t="s">
        <v>4886</v>
      </c>
      <c r="H521">
        <v>585</v>
      </c>
    </row>
    <row r="522" spans="1:8" x14ac:dyDescent="0.25">
      <c r="A522" t="s">
        <v>2811</v>
      </c>
      <c r="B522">
        <v>1</v>
      </c>
      <c r="C522">
        <v>1</v>
      </c>
      <c r="D522">
        <v>1</v>
      </c>
      <c r="E522" t="s">
        <v>4887</v>
      </c>
      <c r="F522" t="s">
        <v>4887</v>
      </c>
      <c r="G522" t="s">
        <v>4887</v>
      </c>
      <c r="H522">
        <v>18</v>
      </c>
    </row>
    <row r="523" spans="1:8" x14ac:dyDescent="0.25">
      <c r="A523" t="s">
        <v>2077</v>
      </c>
      <c r="B523">
        <v>1</v>
      </c>
      <c r="C523">
        <v>1</v>
      </c>
      <c r="D523">
        <v>1</v>
      </c>
      <c r="E523" t="s">
        <v>4888</v>
      </c>
      <c r="F523" t="s">
        <v>4888</v>
      </c>
      <c r="G523" t="s">
        <v>4888</v>
      </c>
      <c r="H523">
        <v>37</v>
      </c>
    </row>
    <row r="524" spans="1:8" x14ac:dyDescent="0.25">
      <c r="A524" t="s">
        <v>2447</v>
      </c>
      <c r="B524">
        <v>1</v>
      </c>
      <c r="C524">
        <v>1</v>
      </c>
      <c r="D524">
        <v>1</v>
      </c>
      <c r="E524" t="s">
        <v>4889</v>
      </c>
      <c r="F524" t="s">
        <v>4890</v>
      </c>
      <c r="G524" t="s">
        <v>4890</v>
      </c>
      <c r="H524">
        <v>57</v>
      </c>
    </row>
    <row r="525" spans="1:8" x14ac:dyDescent="0.25">
      <c r="A525" t="s">
        <v>2911</v>
      </c>
      <c r="B525">
        <v>2</v>
      </c>
      <c r="C525">
        <v>2</v>
      </c>
      <c r="D525">
        <v>2</v>
      </c>
      <c r="E525" t="s">
        <v>4891</v>
      </c>
      <c r="F525" t="s">
        <v>4892</v>
      </c>
      <c r="G525" t="s">
        <v>4256</v>
      </c>
      <c r="H525">
        <v>21</v>
      </c>
    </row>
    <row r="526" spans="1:8" x14ac:dyDescent="0.25">
      <c r="A526" t="s">
        <v>2536</v>
      </c>
      <c r="B526">
        <v>2</v>
      </c>
      <c r="C526">
        <v>2</v>
      </c>
      <c r="D526">
        <v>2</v>
      </c>
      <c r="E526" t="s">
        <v>4893</v>
      </c>
      <c r="F526" t="s">
        <v>4894</v>
      </c>
      <c r="G526" t="s">
        <v>4256</v>
      </c>
      <c r="H526">
        <v>23</v>
      </c>
    </row>
    <row r="527" spans="1:8" x14ac:dyDescent="0.25">
      <c r="A527" t="s">
        <v>2727</v>
      </c>
      <c r="B527">
        <v>1</v>
      </c>
      <c r="C527">
        <v>1</v>
      </c>
      <c r="D527">
        <v>1</v>
      </c>
      <c r="E527" t="s">
        <v>4895</v>
      </c>
      <c r="F527" t="s">
        <v>4895</v>
      </c>
      <c r="G527" t="s">
        <v>4895</v>
      </c>
      <c r="H527">
        <v>31</v>
      </c>
    </row>
    <row r="528" spans="1:8" x14ac:dyDescent="0.25">
      <c r="A528" t="s">
        <v>492</v>
      </c>
      <c r="B528">
        <v>1</v>
      </c>
      <c r="C528">
        <v>1</v>
      </c>
      <c r="D528">
        <v>1</v>
      </c>
      <c r="E528" t="s">
        <v>4896</v>
      </c>
      <c r="F528" t="s">
        <v>4896</v>
      </c>
      <c r="G528" t="s">
        <v>4896</v>
      </c>
      <c r="H528">
        <v>355</v>
      </c>
    </row>
    <row r="529" spans="1:8" x14ac:dyDescent="0.25">
      <c r="A529" t="s">
        <v>1439</v>
      </c>
      <c r="B529">
        <v>1</v>
      </c>
      <c r="C529">
        <v>1</v>
      </c>
      <c r="D529">
        <v>1</v>
      </c>
      <c r="E529" t="s">
        <v>4897</v>
      </c>
      <c r="F529" t="s">
        <v>4898</v>
      </c>
      <c r="G529" t="s">
        <v>4898</v>
      </c>
      <c r="H529">
        <v>256</v>
      </c>
    </row>
    <row r="530" spans="1:8" x14ac:dyDescent="0.25">
      <c r="A530" t="s">
        <v>1049</v>
      </c>
      <c r="B530">
        <v>1</v>
      </c>
      <c r="C530">
        <v>1</v>
      </c>
      <c r="D530">
        <v>1</v>
      </c>
      <c r="E530" t="s">
        <v>4899</v>
      </c>
      <c r="F530" t="s">
        <v>4900</v>
      </c>
      <c r="G530" t="s">
        <v>4900</v>
      </c>
      <c r="H530">
        <v>353</v>
      </c>
    </row>
    <row r="531" spans="1:8" x14ac:dyDescent="0.25">
      <c r="A531" t="s">
        <v>1301</v>
      </c>
      <c r="B531">
        <v>1</v>
      </c>
      <c r="C531">
        <v>1</v>
      </c>
      <c r="D531">
        <v>1</v>
      </c>
      <c r="E531" t="s">
        <v>4901</v>
      </c>
      <c r="F531" t="s">
        <v>4902</v>
      </c>
      <c r="G531" t="s">
        <v>4902</v>
      </c>
      <c r="H531">
        <v>291</v>
      </c>
    </row>
    <row r="532" spans="1:8" x14ac:dyDescent="0.25">
      <c r="A532" t="s">
        <v>4903</v>
      </c>
      <c r="B532">
        <v>0</v>
      </c>
      <c r="C532">
        <v>0</v>
      </c>
      <c r="D532">
        <v>0</v>
      </c>
      <c r="G532" t="s">
        <v>4256</v>
      </c>
      <c r="H532">
        <v>1</v>
      </c>
    </row>
    <row r="533" spans="1:8" x14ac:dyDescent="0.25">
      <c r="A533" t="s">
        <v>2939</v>
      </c>
      <c r="B533">
        <v>1</v>
      </c>
      <c r="C533">
        <v>1</v>
      </c>
      <c r="D533">
        <v>1</v>
      </c>
      <c r="E533" t="s">
        <v>4904</v>
      </c>
      <c r="F533" t="s">
        <v>4904</v>
      </c>
      <c r="G533" t="s">
        <v>4904</v>
      </c>
      <c r="H533">
        <v>8</v>
      </c>
    </row>
    <row r="534" spans="1:8" x14ac:dyDescent="0.25">
      <c r="A534" t="s">
        <v>2706</v>
      </c>
      <c r="B534">
        <v>1</v>
      </c>
      <c r="C534">
        <v>1</v>
      </c>
      <c r="D534">
        <v>1</v>
      </c>
      <c r="E534" t="s">
        <v>4905</v>
      </c>
      <c r="F534" t="s">
        <v>4905</v>
      </c>
      <c r="G534" t="s">
        <v>4905</v>
      </c>
      <c r="H534">
        <v>14</v>
      </c>
    </row>
    <row r="535" spans="1:8" x14ac:dyDescent="0.25">
      <c r="A535" t="s">
        <v>2932</v>
      </c>
      <c r="B535">
        <v>1</v>
      </c>
      <c r="C535">
        <v>1</v>
      </c>
      <c r="D535">
        <v>1</v>
      </c>
      <c r="E535" t="s">
        <v>4906</v>
      </c>
      <c r="F535" t="s">
        <v>4906</v>
      </c>
      <c r="G535" t="s">
        <v>4906</v>
      </c>
      <c r="H535">
        <v>16</v>
      </c>
    </row>
    <row r="536" spans="1:8" x14ac:dyDescent="0.25">
      <c r="A536" t="s">
        <v>3391</v>
      </c>
      <c r="B536">
        <v>1</v>
      </c>
      <c r="C536">
        <v>1</v>
      </c>
      <c r="D536">
        <v>1</v>
      </c>
      <c r="E536" t="s">
        <v>4907</v>
      </c>
      <c r="F536" t="s">
        <v>4907</v>
      </c>
      <c r="G536" t="s">
        <v>4907</v>
      </c>
      <c r="H536">
        <v>10</v>
      </c>
    </row>
    <row r="537" spans="1:8" x14ac:dyDescent="0.25">
      <c r="A537" t="s">
        <v>4908</v>
      </c>
      <c r="B537">
        <v>0</v>
      </c>
      <c r="C537">
        <v>0</v>
      </c>
      <c r="D537">
        <v>0</v>
      </c>
      <c r="G537" t="s">
        <v>4256</v>
      </c>
      <c r="H537">
        <v>1</v>
      </c>
    </row>
    <row r="538" spans="1:8" x14ac:dyDescent="0.25">
      <c r="A538" t="s">
        <v>321</v>
      </c>
      <c r="B538">
        <v>1</v>
      </c>
      <c r="C538">
        <v>1</v>
      </c>
      <c r="D538">
        <v>1</v>
      </c>
      <c r="E538" t="s">
        <v>4909</v>
      </c>
      <c r="F538" t="s">
        <v>4909</v>
      </c>
      <c r="G538" t="s">
        <v>4909</v>
      </c>
      <c r="H538">
        <v>301</v>
      </c>
    </row>
    <row r="539" spans="1:8" x14ac:dyDescent="0.25">
      <c r="A539" t="s">
        <v>2956</v>
      </c>
      <c r="B539">
        <v>1</v>
      </c>
      <c r="C539">
        <v>1</v>
      </c>
      <c r="D539">
        <v>1</v>
      </c>
      <c r="E539" t="s">
        <v>4910</v>
      </c>
      <c r="F539" t="s">
        <v>4910</v>
      </c>
      <c r="G539" t="s">
        <v>4910</v>
      </c>
      <c r="H539">
        <v>7</v>
      </c>
    </row>
    <row r="540" spans="1:8" x14ac:dyDescent="0.25">
      <c r="A540" t="s">
        <v>2540</v>
      </c>
      <c r="B540">
        <v>1</v>
      </c>
      <c r="C540">
        <v>1</v>
      </c>
      <c r="D540">
        <v>1</v>
      </c>
      <c r="E540" t="s">
        <v>4911</v>
      </c>
      <c r="F540" t="s">
        <v>4912</v>
      </c>
      <c r="G540" t="s">
        <v>4912</v>
      </c>
      <c r="H540">
        <v>7</v>
      </c>
    </row>
    <row r="541" spans="1:8" x14ac:dyDescent="0.25">
      <c r="A541" t="s">
        <v>2971</v>
      </c>
      <c r="B541">
        <v>2</v>
      </c>
      <c r="C541">
        <v>2</v>
      </c>
      <c r="D541">
        <v>2</v>
      </c>
      <c r="E541" t="s">
        <v>4913</v>
      </c>
      <c r="F541" t="s">
        <v>4913</v>
      </c>
      <c r="G541" t="s">
        <v>4256</v>
      </c>
      <c r="H541">
        <v>15</v>
      </c>
    </row>
    <row r="542" spans="1:8" x14ac:dyDescent="0.25">
      <c r="A542" t="s">
        <v>2097</v>
      </c>
      <c r="B542">
        <v>2</v>
      </c>
      <c r="C542">
        <v>2</v>
      </c>
      <c r="D542">
        <v>2</v>
      </c>
      <c r="E542" t="s">
        <v>4914</v>
      </c>
      <c r="F542" t="s">
        <v>4914</v>
      </c>
      <c r="G542" t="s">
        <v>4256</v>
      </c>
      <c r="H542">
        <v>39</v>
      </c>
    </row>
    <row r="543" spans="1:8" x14ac:dyDescent="0.25">
      <c r="A543" t="s">
        <v>1421</v>
      </c>
      <c r="B543">
        <v>2</v>
      </c>
      <c r="C543">
        <v>2</v>
      </c>
      <c r="D543">
        <v>2</v>
      </c>
      <c r="E543" t="s">
        <v>4915</v>
      </c>
      <c r="F543" t="s">
        <v>4915</v>
      </c>
      <c r="G543" t="s">
        <v>4256</v>
      </c>
      <c r="H543">
        <v>80</v>
      </c>
    </row>
    <row r="544" spans="1:8" x14ac:dyDescent="0.25">
      <c r="A544" t="s">
        <v>1751</v>
      </c>
      <c r="B544">
        <v>1</v>
      </c>
      <c r="C544">
        <v>1</v>
      </c>
      <c r="D544">
        <v>1</v>
      </c>
      <c r="E544" t="s">
        <v>4916</v>
      </c>
      <c r="F544" t="s">
        <v>4916</v>
      </c>
      <c r="G544" t="s">
        <v>4916</v>
      </c>
      <c r="H544">
        <v>97</v>
      </c>
    </row>
    <row r="545" spans="1:8" x14ac:dyDescent="0.25">
      <c r="A545" t="s">
        <v>1762</v>
      </c>
      <c r="B545">
        <v>1</v>
      </c>
      <c r="C545">
        <v>1</v>
      </c>
      <c r="D545">
        <v>1</v>
      </c>
      <c r="E545" t="s">
        <v>4917</v>
      </c>
      <c r="F545" t="s">
        <v>4918</v>
      </c>
      <c r="G545" t="s">
        <v>4918</v>
      </c>
      <c r="H545">
        <v>129</v>
      </c>
    </row>
    <row r="546" spans="1:8" x14ac:dyDescent="0.25">
      <c r="A546" t="s">
        <v>2058</v>
      </c>
      <c r="B546">
        <v>1</v>
      </c>
      <c r="C546">
        <v>1</v>
      </c>
      <c r="D546">
        <v>1</v>
      </c>
      <c r="E546" t="s">
        <v>4919</v>
      </c>
      <c r="F546" t="s">
        <v>4919</v>
      </c>
      <c r="G546" t="s">
        <v>4919</v>
      </c>
      <c r="H546">
        <v>153</v>
      </c>
    </row>
    <row r="547" spans="1:8" x14ac:dyDescent="0.25">
      <c r="A547" t="s">
        <v>3657</v>
      </c>
      <c r="B547">
        <v>1</v>
      </c>
      <c r="C547">
        <v>1</v>
      </c>
      <c r="D547">
        <v>1</v>
      </c>
      <c r="E547" t="s">
        <v>4920</v>
      </c>
      <c r="F547" t="s">
        <v>4920</v>
      </c>
      <c r="G547" t="s">
        <v>4920</v>
      </c>
      <c r="H547">
        <v>13</v>
      </c>
    </row>
    <row r="548" spans="1:8" x14ac:dyDescent="0.25">
      <c r="A548" t="s">
        <v>2351</v>
      </c>
      <c r="B548">
        <v>1</v>
      </c>
      <c r="C548">
        <v>1</v>
      </c>
      <c r="D548">
        <v>1</v>
      </c>
      <c r="E548" t="s">
        <v>4921</v>
      </c>
      <c r="F548" t="s">
        <v>4921</v>
      </c>
      <c r="G548" t="s">
        <v>4921</v>
      </c>
      <c r="H548">
        <v>109</v>
      </c>
    </row>
    <row r="549" spans="1:8" x14ac:dyDescent="0.25">
      <c r="A549" t="s">
        <v>1884</v>
      </c>
      <c r="B549">
        <v>1</v>
      </c>
      <c r="C549">
        <v>1</v>
      </c>
      <c r="D549">
        <v>1</v>
      </c>
      <c r="E549" t="s">
        <v>4922</v>
      </c>
      <c r="F549" t="s">
        <v>4922</v>
      </c>
      <c r="G549" t="s">
        <v>4922</v>
      </c>
      <c r="H549">
        <v>34</v>
      </c>
    </row>
    <row r="550" spans="1:8" x14ac:dyDescent="0.25">
      <c r="A550" t="s">
        <v>2771</v>
      </c>
      <c r="B550">
        <v>2</v>
      </c>
      <c r="C550">
        <v>2</v>
      </c>
      <c r="D550">
        <v>2</v>
      </c>
      <c r="E550" t="s">
        <v>4923</v>
      </c>
      <c r="F550" t="s">
        <v>4923</v>
      </c>
      <c r="G550" t="s">
        <v>4256</v>
      </c>
      <c r="H550">
        <v>17</v>
      </c>
    </row>
    <row r="551" spans="1:8" x14ac:dyDescent="0.25">
      <c r="A551" t="s">
        <v>1424</v>
      </c>
      <c r="B551">
        <v>1</v>
      </c>
      <c r="C551">
        <v>1</v>
      </c>
      <c r="D551">
        <v>1</v>
      </c>
      <c r="E551" t="s">
        <v>4924</v>
      </c>
      <c r="F551" t="s">
        <v>4925</v>
      </c>
      <c r="G551" t="s">
        <v>4925</v>
      </c>
      <c r="H551">
        <v>73</v>
      </c>
    </row>
    <row r="552" spans="1:8" x14ac:dyDescent="0.25">
      <c r="A552" t="s">
        <v>1475</v>
      </c>
      <c r="B552">
        <v>1</v>
      </c>
      <c r="C552">
        <v>1</v>
      </c>
      <c r="D552">
        <v>1</v>
      </c>
      <c r="E552" t="s">
        <v>4926</v>
      </c>
      <c r="F552" t="s">
        <v>4926</v>
      </c>
      <c r="G552" t="s">
        <v>4926</v>
      </c>
      <c r="H552">
        <v>137</v>
      </c>
    </row>
    <row r="553" spans="1:8" x14ac:dyDescent="0.25">
      <c r="A553" t="s">
        <v>2801</v>
      </c>
      <c r="B553">
        <v>1</v>
      </c>
      <c r="C553">
        <v>1</v>
      </c>
      <c r="D553">
        <v>1</v>
      </c>
      <c r="E553" t="s">
        <v>4927</v>
      </c>
      <c r="F553" t="s">
        <v>4927</v>
      </c>
      <c r="G553" t="s">
        <v>4927</v>
      </c>
      <c r="H553">
        <v>25</v>
      </c>
    </row>
    <row r="554" spans="1:8" x14ac:dyDescent="0.25">
      <c r="A554" t="s">
        <v>2415</v>
      </c>
      <c r="B554">
        <v>1</v>
      </c>
      <c r="C554">
        <v>1</v>
      </c>
      <c r="D554">
        <v>1</v>
      </c>
      <c r="E554" t="s">
        <v>4928</v>
      </c>
      <c r="F554" t="s">
        <v>4928</v>
      </c>
      <c r="G554" t="s">
        <v>4928</v>
      </c>
      <c r="H554">
        <v>54</v>
      </c>
    </row>
    <row r="555" spans="1:8" x14ac:dyDescent="0.25">
      <c r="A555" t="s">
        <v>2379</v>
      </c>
      <c r="B555">
        <v>1</v>
      </c>
      <c r="C555">
        <v>1</v>
      </c>
      <c r="D555">
        <v>1</v>
      </c>
      <c r="E555" t="s">
        <v>4929</v>
      </c>
      <c r="F555" t="s">
        <v>4929</v>
      </c>
      <c r="G555" t="s">
        <v>4929</v>
      </c>
      <c r="H555">
        <v>47</v>
      </c>
    </row>
    <row r="556" spans="1:8" x14ac:dyDescent="0.25">
      <c r="A556" t="s">
        <v>2852</v>
      </c>
      <c r="B556">
        <v>1</v>
      </c>
      <c r="C556">
        <v>1</v>
      </c>
      <c r="D556">
        <v>1</v>
      </c>
      <c r="E556" t="s">
        <v>4930</v>
      </c>
      <c r="F556" t="s">
        <v>4930</v>
      </c>
      <c r="G556" t="s">
        <v>4930</v>
      </c>
      <c r="H556">
        <v>43</v>
      </c>
    </row>
    <row r="557" spans="1:8" x14ac:dyDescent="0.25">
      <c r="A557" t="s">
        <v>3011</v>
      </c>
      <c r="B557">
        <v>1</v>
      </c>
      <c r="C557">
        <v>1</v>
      </c>
      <c r="D557">
        <v>1</v>
      </c>
      <c r="E557" t="s">
        <v>4931</v>
      </c>
      <c r="F557" t="s">
        <v>4931</v>
      </c>
      <c r="G557" t="s">
        <v>4931</v>
      </c>
      <c r="H557">
        <v>34</v>
      </c>
    </row>
    <row r="558" spans="1:8" x14ac:dyDescent="0.25">
      <c r="A558" t="s">
        <v>2953</v>
      </c>
      <c r="B558">
        <v>1</v>
      </c>
      <c r="C558">
        <v>1</v>
      </c>
      <c r="D558">
        <v>1</v>
      </c>
      <c r="E558" t="s">
        <v>4932</v>
      </c>
      <c r="F558" t="s">
        <v>4932</v>
      </c>
      <c r="G558" t="s">
        <v>4932</v>
      </c>
      <c r="H558">
        <v>16</v>
      </c>
    </row>
    <row r="559" spans="1:8" x14ac:dyDescent="0.25">
      <c r="A559" t="s">
        <v>3162</v>
      </c>
      <c r="B559">
        <v>1</v>
      </c>
      <c r="C559">
        <v>1</v>
      </c>
      <c r="D559">
        <v>1</v>
      </c>
      <c r="E559" t="s">
        <v>4933</v>
      </c>
      <c r="F559" t="s">
        <v>4933</v>
      </c>
      <c r="G559" t="s">
        <v>4933</v>
      </c>
      <c r="H559">
        <v>9</v>
      </c>
    </row>
    <row r="560" spans="1:8" x14ac:dyDescent="0.25">
      <c r="A560" t="s">
        <v>2610</v>
      </c>
      <c r="B560">
        <v>1</v>
      </c>
      <c r="C560">
        <v>1</v>
      </c>
      <c r="D560">
        <v>1</v>
      </c>
      <c r="E560" t="s">
        <v>4934</v>
      </c>
      <c r="F560" t="s">
        <v>4934</v>
      </c>
      <c r="G560" t="s">
        <v>4934</v>
      </c>
      <c r="H560">
        <v>38</v>
      </c>
    </row>
    <row r="561" spans="1:8" x14ac:dyDescent="0.25">
      <c r="A561" t="s">
        <v>3133</v>
      </c>
      <c r="B561">
        <v>1</v>
      </c>
      <c r="C561">
        <v>1</v>
      </c>
      <c r="D561">
        <v>1</v>
      </c>
      <c r="E561" t="s">
        <v>4935</v>
      </c>
      <c r="F561" t="s">
        <v>4935</v>
      </c>
      <c r="G561" t="s">
        <v>4935</v>
      </c>
      <c r="H561">
        <v>33</v>
      </c>
    </row>
    <row r="562" spans="1:8" x14ac:dyDescent="0.25">
      <c r="A562" t="s">
        <v>2503</v>
      </c>
      <c r="B562">
        <v>1</v>
      </c>
      <c r="C562">
        <v>1</v>
      </c>
      <c r="D562">
        <v>1</v>
      </c>
      <c r="E562" t="s">
        <v>4936</v>
      </c>
      <c r="F562" t="s">
        <v>4936</v>
      </c>
      <c r="G562" t="s">
        <v>4936</v>
      </c>
      <c r="H562">
        <v>48</v>
      </c>
    </row>
    <row r="563" spans="1:8" x14ac:dyDescent="0.25">
      <c r="A563" t="s">
        <v>2388</v>
      </c>
      <c r="B563">
        <v>1</v>
      </c>
      <c r="C563">
        <v>1</v>
      </c>
      <c r="D563">
        <v>1</v>
      </c>
      <c r="E563" t="s">
        <v>4937</v>
      </c>
      <c r="F563" t="s">
        <v>4937</v>
      </c>
      <c r="G563" t="s">
        <v>4937</v>
      </c>
      <c r="H563">
        <v>46</v>
      </c>
    </row>
    <row r="564" spans="1:8" x14ac:dyDescent="0.25">
      <c r="A564" t="s">
        <v>2624</v>
      </c>
      <c r="B564">
        <v>1</v>
      </c>
      <c r="C564">
        <v>1</v>
      </c>
      <c r="D564">
        <v>1</v>
      </c>
      <c r="E564" t="s">
        <v>4938</v>
      </c>
      <c r="F564" t="s">
        <v>4939</v>
      </c>
      <c r="G564" t="s">
        <v>4939</v>
      </c>
      <c r="H564">
        <v>29</v>
      </c>
    </row>
    <row r="565" spans="1:8" x14ac:dyDescent="0.25">
      <c r="A565" t="s">
        <v>2854</v>
      </c>
      <c r="B565">
        <v>1</v>
      </c>
      <c r="C565">
        <v>1</v>
      </c>
      <c r="D565">
        <v>1</v>
      </c>
      <c r="E565" t="s">
        <v>4940</v>
      </c>
      <c r="F565" t="s">
        <v>4941</v>
      </c>
      <c r="G565" t="s">
        <v>4941</v>
      </c>
      <c r="H565">
        <v>19</v>
      </c>
    </row>
    <row r="566" spans="1:8" x14ac:dyDescent="0.25">
      <c r="A566" t="s">
        <v>2818</v>
      </c>
      <c r="B566">
        <v>1</v>
      </c>
      <c r="C566">
        <v>1</v>
      </c>
      <c r="D566">
        <v>1</v>
      </c>
      <c r="E566" t="s">
        <v>4942</v>
      </c>
      <c r="F566" t="s">
        <v>4942</v>
      </c>
      <c r="G566" t="s">
        <v>4942</v>
      </c>
      <c r="H566">
        <v>41</v>
      </c>
    </row>
    <row r="567" spans="1:8" x14ac:dyDescent="0.25">
      <c r="A567" t="s">
        <v>2810</v>
      </c>
      <c r="B567">
        <v>1</v>
      </c>
      <c r="C567">
        <v>1</v>
      </c>
      <c r="D567">
        <v>1</v>
      </c>
      <c r="E567" t="s">
        <v>4943</v>
      </c>
      <c r="F567" t="s">
        <v>4943</v>
      </c>
      <c r="G567" t="s">
        <v>4943</v>
      </c>
      <c r="H567">
        <v>34</v>
      </c>
    </row>
    <row r="568" spans="1:8" x14ac:dyDescent="0.25">
      <c r="A568" t="s">
        <v>2736</v>
      </c>
      <c r="B568">
        <v>1</v>
      </c>
      <c r="C568">
        <v>1</v>
      </c>
      <c r="D568">
        <v>1</v>
      </c>
      <c r="E568" t="s">
        <v>4944</v>
      </c>
      <c r="F568" t="s">
        <v>4944</v>
      </c>
      <c r="G568" t="s">
        <v>4944</v>
      </c>
      <c r="H568">
        <v>51</v>
      </c>
    </row>
    <row r="569" spans="1:8" x14ac:dyDescent="0.25">
      <c r="A569" t="s">
        <v>535</v>
      </c>
      <c r="B569">
        <v>1</v>
      </c>
      <c r="C569">
        <v>1</v>
      </c>
      <c r="D569">
        <v>1</v>
      </c>
      <c r="E569" t="s">
        <v>4945</v>
      </c>
      <c r="F569" t="s">
        <v>4945</v>
      </c>
      <c r="G569" t="s">
        <v>4945</v>
      </c>
      <c r="H569">
        <v>294</v>
      </c>
    </row>
    <row r="570" spans="1:8" x14ac:dyDescent="0.25">
      <c r="A570" t="s">
        <v>894</v>
      </c>
      <c r="B570">
        <v>1</v>
      </c>
      <c r="C570">
        <v>1</v>
      </c>
      <c r="D570">
        <v>1</v>
      </c>
      <c r="E570" t="s">
        <v>4946</v>
      </c>
      <c r="F570" t="s">
        <v>4946</v>
      </c>
      <c r="G570" t="s">
        <v>4946</v>
      </c>
      <c r="H570">
        <v>232</v>
      </c>
    </row>
    <row r="571" spans="1:8" x14ac:dyDescent="0.25">
      <c r="A571" t="s">
        <v>1493</v>
      </c>
      <c r="B571">
        <v>1</v>
      </c>
      <c r="C571">
        <v>1</v>
      </c>
      <c r="D571">
        <v>1</v>
      </c>
      <c r="E571" t="s">
        <v>4947</v>
      </c>
      <c r="F571" t="s">
        <v>4947</v>
      </c>
      <c r="G571" t="s">
        <v>4947</v>
      </c>
      <c r="H571">
        <v>132</v>
      </c>
    </row>
    <row r="572" spans="1:8" x14ac:dyDescent="0.25">
      <c r="A572" t="s">
        <v>1996</v>
      </c>
      <c r="B572">
        <v>1</v>
      </c>
      <c r="C572">
        <v>1</v>
      </c>
      <c r="D572">
        <v>1</v>
      </c>
      <c r="E572" t="s">
        <v>4948</v>
      </c>
      <c r="F572" t="s">
        <v>4948</v>
      </c>
      <c r="G572" t="s">
        <v>4948</v>
      </c>
      <c r="H572">
        <v>176</v>
      </c>
    </row>
    <row r="573" spans="1:8" x14ac:dyDescent="0.25">
      <c r="A573" t="s">
        <v>842</v>
      </c>
      <c r="B573">
        <v>1</v>
      </c>
      <c r="C573">
        <v>1</v>
      </c>
      <c r="D573">
        <v>1</v>
      </c>
      <c r="E573" t="s">
        <v>4949</v>
      </c>
      <c r="F573" t="s">
        <v>4949</v>
      </c>
      <c r="G573" t="s">
        <v>4949</v>
      </c>
      <c r="H573">
        <v>331</v>
      </c>
    </row>
    <row r="574" spans="1:8" x14ac:dyDescent="0.25">
      <c r="A574" t="s">
        <v>2660</v>
      </c>
      <c r="B574">
        <v>1</v>
      </c>
      <c r="C574">
        <v>1</v>
      </c>
      <c r="D574">
        <v>1</v>
      </c>
      <c r="E574" t="s">
        <v>4950</v>
      </c>
      <c r="F574" t="s">
        <v>4950</v>
      </c>
      <c r="G574" t="s">
        <v>4950</v>
      </c>
      <c r="H574">
        <v>56</v>
      </c>
    </row>
    <row r="575" spans="1:8" x14ac:dyDescent="0.25">
      <c r="A575" t="s">
        <v>1790</v>
      </c>
      <c r="B575">
        <v>1</v>
      </c>
      <c r="C575">
        <v>1</v>
      </c>
      <c r="D575">
        <v>1</v>
      </c>
      <c r="E575" t="s">
        <v>4951</v>
      </c>
      <c r="F575" t="s">
        <v>4951</v>
      </c>
      <c r="G575" t="s">
        <v>4951</v>
      </c>
      <c r="H575">
        <v>137</v>
      </c>
    </row>
    <row r="576" spans="1:8" x14ac:dyDescent="0.25">
      <c r="A576" t="s">
        <v>651</v>
      </c>
      <c r="B576">
        <v>1</v>
      </c>
      <c r="C576">
        <v>1</v>
      </c>
      <c r="D576">
        <v>1</v>
      </c>
      <c r="E576" t="s">
        <v>4952</v>
      </c>
      <c r="F576" t="s">
        <v>4952</v>
      </c>
      <c r="G576" t="s">
        <v>4952</v>
      </c>
      <c r="H576">
        <v>222</v>
      </c>
    </row>
    <row r="577" spans="1:8" x14ac:dyDescent="0.25">
      <c r="A577" t="s">
        <v>1705</v>
      </c>
      <c r="B577">
        <v>2</v>
      </c>
      <c r="C577">
        <v>2</v>
      </c>
      <c r="D577">
        <v>2</v>
      </c>
      <c r="E577" t="s">
        <v>4953</v>
      </c>
      <c r="F577" t="s">
        <v>4953</v>
      </c>
      <c r="G577" t="s">
        <v>4256</v>
      </c>
      <c r="H577">
        <v>115</v>
      </c>
    </row>
    <row r="578" spans="1:8" x14ac:dyDescent="0.25">
      <c r="A578" t="s">
        <v>3457</v>
      </c>
      <c r="B578">
        <v>1</v>
      </c>
      <c r="C578">
        <v>1</v>
      </c>
      <c r="D578">
        <v>1</v>
      </c>
      <c r="E578" t="s">
        <v>4954</v>
      </c>
      <c r="F578" t="s">
        <v>4954</v>
      </c>
      <c r="G578" t="s">
        <v>4954</v>
      </c>
      <c r="H578">
        <v>9</v>
      </c>
    </row>
    <row r="579" spans="1:8" x14ac:dyDescent="0.25">
      <c r="A579" t="s">
        <v>3517</v>
      </c>
      <c r="B579">
        <v>1</v>
      </c>
      <c r="C579">
        <v>1</v>
      </c>
      <c r="D579">
        <v>1</v>
      </c>
      <c r="E579" t="s">
        <v>4955</v>
      </c>
      <c r="F579" t="s">
        <v>4955</v>
      </c>
      <c r="G579" t="s">
        <v>4955</v>
      </c>
      <c r="H579">
        <v>9</v>
      </c>
    </row>
    <row r="580" spans="1:8" x14ac:dyDescent="0.25">
      <c r="A580" t="s">
        <v>1373</v>
      </c>
      <c r="B580">
        <v>2</v>
      </c>
      <c r="C580">
        <v>2</v>
      </c>
      <c r="D580">
        <v>2</v>
      </c>
      <c r="E580" t="s">
        <v>4956</v>
      </c>
      <c r="F580" t="s">
        <v>4957</v>
      </c>
      <c r="G580" t="s">
        <v>4256</v>
      </c>
      <c r="H580">
        <v>138</v>
      </c>
    </row>
    <row r="581" spans="1:8" x14ac:dyDescent="0.25">
      <c r="A581" t="s">
        <v>1643</v>
      </c>
      <c r="B581">
        <v>1</v>
      </c>
      <c r="C581">
        <v>1</v>
      </c>
      <c r="D581">
        <v>1</v>
      </c>
      <c r="E581" t="s">
        <v>4958</v>
      </c>
      <c r="F581" t="s">
        <v>4959</v>
      </c>
      <c r="G581" t="s">
        <v>4959</v>
      </c>
      <c r="H581">
        <v>95</v>
      </c>
    </row>
    <row r="582" spans="1:8" x14ac:dyDescent="0.25">
      <c r="A582" t="s">
        <v>2275</v>
      </c>
      <c r="B582">
        <v>2</v>
      </c>
      <c r="C582">
        <v>2</v>
      </c>
      <c r="D582">
        <v>2</v>
      </c>
      <c r="E582" t="s">
        <v>4960</v>
      </c>
      <c r="F582" t="s">
        <v>4961</v>
      </c>
      <c r="G582" t="s">
        <v>4256</v>
      </c>
      <c r="H582">
        <v>66</v>
      </c>
    </row>
    <row r="583" spans="1:8" x14ac:dyDescent="0.25">
      <c r="A583" t="s">
        <v>2028</v>
      </c>
      <c r="B583">
        <v>2</v>
      </c>
      <c r="C583">
        <v>2</v>
      </c>
      <c r="D583">
        <v>2</v>
      </c>
      <c r="E583" t="s">
        <v>4962</v>
      </c>
      <c r="F583" t="s">
        <v>4962</v>
      </c>
      <c r="G583" t="s">
        <v>4256</v>
      </c>
      <c r="H583">
        <v>64</v>
      </c>
    </row>
    <row r="584" spans="1:8" x14ac:dyDescent="0.25">
      <c r="A584" t="s">
        <v>1875</v>
      </c>
      <c r="B584">
        <v>1</v>
      </c>
      <c r="C584">
        <v>1</v>
      </c>
      <c r="D584">
        <v>1</v>
      </c>
      <c r="E584" t="s">
        <v>4963</v>
      </c>
      <c r="F584" t="s">
        <v>4963</v>
      </c>
      <c r="G584" t="s">
        <v>4963</v>
      </c>
      <c r="H584">
        <v>77</v>
      </c>
    </row>
    <row r="585" spans="1:8" x14ac:dyDescent="0.25">
      <c r="A585" t="s">
        <v>3059</v>
      </c>
      <c r="B585">
        <v>1</v>
      </c>
      <c r="C585">
        <v>1</v>
      </c>
      <c r="D585">
        <v>1</v>
      </c>
      <c r="E585" t="s">
        <v>4964</v>
      </c>
      <c r="F585" t="s">
        <v>4964</v>
      </c>
      <c r="G585" t="s">
        <v>4964</v>
      </c>
      <c r="H585">
        <v>72</v>
      </c>
    </row>
    <row r="586" spans="1:8" x14ac:dyDescent="0.25">
      <c r="A586" t="s">
        <v>2982</v>
      </c>
      <c r="B586">
        <v>1</v>
      </c>
      <c r="C586">
        <v>1</v>
      </c>
      <c r="D586">
        <v>1</v>
      </c>
      <c r="E586" t="s">
        <v>4965</v>
      </c>
      <c r="F586" t="s">
        <v>4965</v>
      </c>
      <c r="G586" t="s">
        <v>4965</v>
      </c>
      <c r="H586">
        <v>83</v>
      </c>
    </row>
    <row r="587" spans="1:8" x14ac:dyDescent="0.25">
      <c r="A587" t="s">
        <v>2886</v>
      </c>
      <c r="B587">
        <v>1</v>
      </c>
      <c r="C587">
        <v>1</v>
      </c>
      <c r="D587">
        <v>1</v>
      </c>
      <c r="E587" t="s">
        <v>4966</v>
      </c>
      <c r="F587" t="s">
        <v>4966</v>
      </c>
      <c r="G587" t="s">
        <v>4966</v>
      </c>
      <c r="H587">
        <v>93</v>
      </c>
    </row>
    <row r="588" spans="1:8" x14ac:dyDescent="0.25">
      <c r="A588" t="s">
        <v>2605</v>
      </c>
      <c r="B588">
        <v>1</v>
      </c>
      <c r="C588">
        <v>1</v>
      </c>
      <c r="D588">
        <v>1</v>
      </c>
      <c r="E588" t="s">
        <v>4967</v>
      </c>
      <c r="F588" t="s">
        <v>4967</v>
      </c>
      <c r="G588" t="s">
        <v>4967</v>
      </c>
      <c r="H588">
        <v>106</v>
      </c>
    </row>
    <row r="589" spans="1:8" x14ac:dyDescent="0.25">
      <c r="A589" t="s">
        <v>1470</v>
      </c>
      <c r="B589">
        <v>1</v>
      </c>
      <c r="C589">
        <v>1</v>
      </c>
      <c r="D589">
        <v>1</v>
      </c>
      <c r="E589" t="s">
        <v>4968</v>
      </c>
      <c r="F589" t="s">
        <v>4969</v>
      </c>
      <c r="G589" t="s">
        <v>4969</v>
      </c>
      <c r="H589">
        <v>140</v>
      </c>
    </row>
    <row r="590" spans="1:8" x14ac:dyDescent="0.25">
      <c r="A590" t="s">
        <v>1551</v>
      </c>
      <c r="B590">
        <v>1</v>
      </c>
      <c r="C590">
        <v>1</v>
      </c>
      <c r="D590">
        <v>1</v>
      </c>
      <c r="E590" t="s">
        <v>4970</v>
      </c>
      <c r="F590" t="s">
        <v>4970</v>
      </c>
      <c r="G590" t="s">
        <v>4970</v>
      </c>
      <c r="H590">
        <v>121</v>
      </c>
    </row>
    <row r="591" spans="1:8" x14ac:dyDescent="0.25">
      <c r="A591" t="s">
        <v>3870</v>
      </c>
      <c r="B591">
        <v>1</v>
      </c>
      <c r="C591">
        <v>1</v>
      </c>
      <c r="D591">
        <v>1</v>
      </c>
      <c r="E591" t="s">
        <v>4971</v>
      </c>
      <c r="F591" t="s">
        <v>4971</v>
      </c>
      <c r="G591" t="s">
        <v>4971</v>
      </c>
      <c r="H591">
        <v>2</v>
      </c>
    </row>
    <row r="592" spans="1:8" x14ac:dyDescent="0.25">
      <c r="A592" t="s">
        <v>920</v>
      </c>
      <c r="B592">
        <v>1</v>
      </c>
      <c r="C592">
        <v>1</v>
      </c>
      <c r="D592">
        <v>1</v>
      </c>
      <c r="E592" t="s">
        <v>4972</v>
      </c>
      <c r="F592" t="s">
        <v>4972</v>
      </c>
      <c r="G592" t="s">
        <v>4972</v>
      </c>
      <c r="H592">
        <v>247</v>
      </c>
    </row>
    <row r="593" spans="1:8" x14ac:dyDescent="0.25">
      <c r="A593" t="s">
        <v>4037</v>
      </c>
      <c r="B593">
        <v>1</v>
      </c>
      <c r="C593">
        <v>1</v>
      </c>
      <c r="D593">
        <v>1</v>
      </c>
      <c r="E593" t="s">
        <v>4973</v>
      </c>
      <c r="F593" t="s">
        <v>4973</v>
      </c>
      <c r="G593" t="s">
        <v>4973</v>
      </c>
      <c r="H593">
        <v>2</v>
      </c>
    </row>
    <row r="594" spans="1:8" x14ac:dyDescent="0.25">
      <c r="A594" t="s">
        <v>3264</v>
      </c>
      <c r="B594">
        <v>1</v>
      </c>
      <c r="C594">
        <v>1</v>
      </c>
      <c r="D594">
        <v>1</v>
      </c>
      <c r="E594" t="s">
        <v>4974</v>
      </c>
      <c r="F594" t="s">
        <v>4974</v>
      </c>
      <c r="G594" t="s">
        <v>4974</v>
      </c>
      <c r="H594">
        <v>17</v>
      </c>
    </row>
    <row r="595" spans="1:8" x14ac:dyDescent="0.25">
      <c r="A595" t="s">
        <v>4008</v>
      </c>
      <c r="B595">
        <v>1</v>
      </c>
      <c r="C595">
        <v>1</v>
      </c>
      <c r="D595">
        <v>1</v>
      </c>
      <c r="E595" t="s">
        <v>4975</v>
      </c>
      <c r="F595" t="s">
        <v>4975</v>
      </c>
      <c r="G595" t="s">
        <v>4975</v>
      </c>
      <c r="H595">
        <v>3</v>
      </c>
    </row>
    <row r="596" spans="1:8" x14ac:dyDescent="0.25">
      <c r="A596" t="s">
        <v>2401</v>
      </c>
      <c r="B596">
        <v>1</v>
      </c>
      <c r="C596">
        <v>1</v>
      </c>
      <c r="D596">
        <v>1</v>
      </c>
      <c r="E596" t="s">
        <v>4976</v>
      </c>
      <c r="F596" t="s">
        <v>4977</v>
      </c>
      <c r="G596" t="s">
        <v>4977</v>
      </c>
      <c r="H596">
        <v>48</v>
      </c>
    </row>
    <row r="597" spans="1:8" x14ac:dyDescent="0.25">
      <c r="A597" t="s">
        <v>3704</v>
      </c>
      <c r="B597">
        <v>1</v>
      </c>
      <c r="C597">
        <v>1</v>
      </c>
      <c r="D597">
        <v>1</v>
      </c>
      <c r="E597" t="s">
        <v>4978</v>
      </c>
      <c r="F597" t="s">
        <v>4978</v>
      </c>
      <c r="G597" t="s">
        <v>4978</v>
      </c>
      <c r="H597">
        <v>5</v>
      </c>
    </row>
    <row r="598" spans="1:8" x14ac:dyDescent="0.25">
      <c r="A598" t="s">
        <v>2151</v>
      </c>
      <c r="B598">
        <v>1</v>
      </c>
      <c r="C598">
        <v>1</v>
      </c>
      <c r="D598">
        <v>1</v>
      </c>
      <c r="E598" t="s">
        <v>4979</v>
      </c>
      <c r="F598" t="s">
        <v>4979</v>
      </c>
      <c r="G598" t="s">
        <v>4979</v>
      </c>
      <c r="H598">
        <v>69</v>
      </c>
    </row>
    <row r="599" spans="1:8" x14ac:dyDescent="0.25">
      <c r="A599" t="s">
        <v>2876</v>
      </c>
      <c r="B599">
        <v>1</v>
      </c>
      <c r="C599">
        <v>1</v>
      </c>
      <c r="D599">
        <v>1</v>
      </c>
      <c r="E599" t="s">
        <v>4980</v>
      </c>
      <c r="F599" t="s">
        <v>4980</v>
      </c>
      <c r="G599" t="s">
        <v>4980</v>
      </c>
      <c r="H599">
        <v>26</v>
      </c>
    </row>
    <row r="600" spans="1:8" x14ac:dyDescent="0.25">
      <c r="A600" t="s">
        <v>3075</v>
      </c>
      <c r="B600">
        <v>1</v>
      </c>
      <c r="C600">
        <v>1</v>
      </c>
      <c r="D600">
        <v>1</v>
      </c>
      <c r="E600" t="s">
        <v>4981</v>
      </c>
      <c r="F600" t="s">
        <v>4981</v>
      </c>
      <c r="G600" t="s">
        <v>4981</v>
      </c>
      <c r="H600">
        <v>21</v>
      </c>
    </row>
    <row r="601" spans="1:8" x14ac:dyDescent="0.25">
      <c r="A601" t="s">
        <v>2570</v>
      </c>
      <c r="B601">
        <v>2</v>
      </c>
      <c r="C601">
        <v>2</v>
      </c>
      <c r="D601">
        <v>2</v>
      </c>
      <c r="E601" t="s">
        <v>4982</v>
      </c>
      <c r="F601" t="s">
        <v>4983</v>
      </c>
      <c r="G601" t="s">
        <v>4256</v>
      </c>
      <c r="H601">
        <v>17</v>
      </c>
    </row>
    <row r="602" spans="1:8" x14ac:dyDescent="0.25">
      <c r="A602" t="s">
        <v>1552</v>
      </c>
      <c r="B602">
        <v>1</v>
      </c>
      <c r="C602">
        <v>1</v>
      </c>
      <c r="D602">
        <v>1</v>
      </c>
      <c r="E602" t="s">
        <v>4984</v>
      </c>
      <c r="F602" t="s">
        <v>4984</v>
      </c>
      <c r="G602" t="s">
        <v>4984</v>
      </c>
      <c r="H602">
        <v>66</v>
      </c>
    </row>
    <row r="603" spans="1:8" x14ac:dyDescent="0.25">
      <c r="A603" t="s">
        <v>1484</v>
      </c>
      <c r="B603">
        <v>2</v>
      </c>
      <c r="C603">
        <v>2</v>
      </c>
      <c r="D603">
        <v>2</v>
      </c>
      <c r="E603" t="s">
        <v>4985</v>
      </c>
      <c r="F603" t="s">
        <v>4986</v>
      </c>
      <c r="G603" t="s">
        <v>4256</v>
      </c>
      <c r="H603">
        <v>76</v>
      </c>
    </row>
    <row r="604" spans="1:8" x14ac:dyDescent="0.25">
      <c r="A604" t="s">
        <v>2608</v>
      </c>
      <c r="B604">
        <v>1</v>
      </c>
      <c r="C604">
        <v>1</v>
      </c>
      <c r="D604">
        <v>1</v>
      </c>
      <c r="E604" t="s">
        <v>4987</v>
      </c>
      <c r="F604" t="s">
        <v>4987</v>
      </c>
      <c r="G604" t="s">
        <v>4987</v>
      </c>
      <c r="H604">
        <v>30</v>
      </c>
    </row>
    <row r="605" spans="1:8" x14ac:dyDescent="0.25">
      <c r="A605" t="s">
        <v>2163</v>
      </c>
      <c r="B605">
        <v>1</v>
      </c>
      <c r="C605">
        <v>1</v>
      </c>
      <c r="D605">
        <v>1</v>
      </c>
      <c r="E605" t="s">
        <v>4988</v>
      </c>
      <c r="F605" t="s">
        <v>4988</v>
      </c>
      <c r="G605" t="s">
        <v>4988</v>
      </c>
      <c r="H605">
        <v>50</v>
      </c>
    </row>
    <row r="606" spans="1:8" x14ac:dyDescent="0.25">
      <c r="A606" t="s">
        <v>2733</v>
      </c>
      <c r="B606">
        <v>1</v>
      </c>
      <c r="C606">
        <v>1</v>
      </c>
      <c r="D606">
        <v>1</v>
      </c>
      <c r="E606" t="s">
        <v>4989</v>
      </c>
      <c r="F606" t="s">
        <v>4989</v>
      </c>
      <c r="G606" t="s">
        <v>4989</v>
      </c>
      <c r="H606">
        <v>44</v>
      </c>
    </row>
    <row r="607" spans="1:8" x14ac:dyDescent="0.25">
      <c r="A607" t="s">
        <v>614</v>
      </c>
      <c r="B607">
        <v>1</v>
      </c>
      <c r="C607">
        <v>1</v>
      </c>
      <c r="D607">
        <v>1</v>
      </c>
      <c r="E607" t="s">
        <v>4990</v>
      </c>
      <c r="F607" t="s">
        <v>4991</v>
      </c>
      <c r="G607" t="s">
        <v>4991</v>
      </c>
      <c r="H607">
        <v>269</v>
      </c>
    </row>
    <row r="608" spans="1:8" x14ac:dyDescent="0.25">
      <c r="A608" t="s">
        <v>855</v>
      </c>
      <c r="B608">
        <v>1</v>
      </c>
      <c r="C608">
        <v>1</v>
      </c>
      <c r="D608">
        <v>1</v>
      </c>
      <c r="E608" t="s">
        <v>4992</v>
      </c>
      <c r="F608" t="s">
        <v>4992</v>
      </c>
      <c r="G608" t="s">
        <v>4992</v>
      </c>
      <c r="H608">
        <v>306</v>
      </c>
    </row>
    <row r="609" spans="1:8" x14ac:dyDescent="0.25">
      <c r="A609" t="s">
        <v>308</v>
      </c>
      <c r="B609">
        <v>1</v>
      </c>
      <c r="C609">
        <v>1</v>
      </c>
      <c r="D609">
        <v>1</v>
      </c>
      <c r="E609" t="s">
        <v>4993</v>
      </c>
      <c r="F609" t="s">
        <v>4993</v>
      </c>
      <c r="G609" t="s">
        <v>4993</v>
      </c>
      <c r="H609">
        <v>494</v>
      </c>
    </row>
    <row r="610" spans="1:8" x14ac:dyDescent="0.25">
      <c r="A610" t="s">
        <v>4994</v>
      </c>
      <c r="B610">
        <v>0</v>
      </c>
      <c r="C610">
        <v>0</v>
      </c>
      <c r="D610">
        <v>0</v>
      </c>
      <c r="G610" t="s">
        <v>4256</v>
      </c>
      <c r="H610">
        <v>1</v>
      </c>
    </row>
    <row r="611" spans="1:8" x14ac:dyDescent="0.25">
      <c r="A611" t="s">
        <v>4995</v>
      </c>
      <c r="B611">
        <v>0</v>
      </c>
      <c r="C611">
        <v>0</v>
      </c>
      <c r="D611">
        <v>0</v>
      </c>
      <c r="G611" t="s">
        <v>4256</v>
      </c>
      <c r="H611">
        <v>1</v>
      </c>
    </row>
    <row r="612" spans="1:8" x14ac:dyDescent="0.25">
      <c r="A612" t="s">
        <v>1285</v>
      </c>
      <c r="B612">
        <v>1</v>
      </c>
      <c r="C612">
        <v>1</v>
      </c>
      <c r="D612">
        <v>1</v>
      </c>
      <c r="E612" t="s">
        <v>4996</v>
      </c>
      <c r="F612" t="s">
        <v>4996</v>
      </c>
      <c r="G612" t="s">
        <v>4996</v>
      </c>
      <c r="H612">
        <v>132</v>
      </c>
    </row>
    <row r="613" spans="1:8" x14ac:dyDescent="0.25">
      <c r="A613" t="s">
        <v>2657</v>
      </c>
      <c r="B613">
        <v>1</v>
      </c>
      <c r="C613">
        <v>1</v>
      </c>
      <c r="D613">
        <v>1</v>
      </c>
      <c r="E613" t="s">
        <v>4997</v>
      </c>
      <c r="F613" t="s">
        <v>4997</v>
      </c>
      <c r="G613" t="s">
        <v>4997</v>
      </c>
      <c r="H613">
        <v>62</v>
      </c>
    </row>
    <row r="614" spans="1:8" x14ac:dyDescent="0.25">
      <c r="A614" t="s">
        <v>2633</v>
      </c>
      <c r="B614">
        <v>1</v>
      </c>
      <c r="C614">
        <v>1</v>
      </c>
      <c r="D614">
        <v>1</v>
      </c>
      <c r="E614" t="s">
        <v>4998</v>
      </c>
      <c r="F614" t="s">
        <v>4998</v>
      </c>
      <c r="G614" t="s">
        <v>4998</v>
      </c>
      <c r="H614">
        <v>60</v>
      </c>
    </row>
    <row r="615" spans="1:8" x14ac:dyDescent="0.25">
      <c r="A615" t="s">
        <v>2708</v>
      </c>
      <c r="B615">
        <v>1</v>
      </c>
      <c r="C615">
        <v>1</v>
      </c>
      <c r="D615">
        <v>1</v>
      </c>
      <c r="E615" t="s">
        <v>4999</v>
      </c>
      <c r="F615" t="s">
        <v>4999</v>
      </c>
      <c r="G615" t="s">
        <v>4999</v>
      </c>
      <c r="H615">
        <v>25</v>
      </c>
    </row>
    <row r="616" spans="1:8" x14ac:dyDescent="0.25">
      <c r="A616" t="s">
        <v>2136</v>
      </c>
      <c r="B616">
        <v>1</v>
      </c>
      <c r="C616">
        <v>1</v>
      </c>
      <c r="D616">
        <v>1</v>
      </c>
      <c r="E616" t="s">
        <v>5000</v>
      </c>
      <c r="F616" t="s">
        <v>5000</v>
      </c>
      <c r="G616" t="s">
        <v>5000</v>
      </c>
      <c r="H616">
        <v>117</v>
      </c>
    </row>
    <row r="617" spans="1:8" x14ac:dyDescent="0.25">
      <c r="A617" t="s">
        <v>1443</v>
      </c>
      <c r="B617">
        <v>1</v>
      </c>
      <c r="C617">
        <v>1</v>
      </c>
      <c r="D617">
        <v>1</v>
      </c>
      <c r="E617" t="s">
        <v>5001</v>
      </c>
      <c r="F617" t="s">
        <v>5001</v>
      </c>
      <c r="G617" t="s">
        <v>5001</v>
      </c>
      <c r="H617">
        <v>152</v>
      </c>
    </row>
    <row r="618" spans="1:8" x14ac:dyDescent="0.25">
      <c r="A618" t="s">
        <v>2195</v>
      </c>
      <c r="B618">
        <v>1</v>
      </c>
      <c r="C618">
        <v>1</v>
      </c>
      <c r="D618">
        <v>1</v>
      </c>
      <c r="E618" t="s">
        <v>5002</v>
      </c>
      <c r="F618" t="s">
        <v>5002</v>
      </c>
      <c r="G618" t="s">
        <v>5002</v>
      </c>
      <c r="H618">
        <v>85</v>
      </c>
    </row>
    <row r="619" spans="1:8" x14ac:dyDescent="0.25">
      <c r="A619" t="s">
        <v>1022</v>
      </c>
      <c r="B619">
        <v>1</v>
      </c>
      <c r="C619">
        <v>1</v>
      </c>
      <c r="D619">
        <v>1</v>
      </c>
      <c r="E619" t="s">
        <v>5003</v>
      </c>
      <c r="F619" t="s">
        <v>5003</v>
      </c>
      <c r="G619" t="s">
        <v>5003</v>
      </c>
      <c r="H619">
        <v>200</v>
      </c>
    </row>
    <row r="620" spans="1:8" x14ac:dyDescent="0.25">
      <c r="A620" t="s">
        <v>2360</v>
      </c>
      <c r="B620">
        <v>1</v>
      </c>
      <c r="C620">
        <v>1</v>
      </c>
      <c r="D620">
        <v>1</v>
      </c>
      <c r="E620" t="s">
        <v>5004</v>
      </c>
      <c r="F620" t="s">
        <v>5005</v>
      </c>
      <c r="G620" t="s">
        <v>5005</v>
      </c>
      <c r="H620">
        <v>140</v>
      </c>
    </row>
    <row r="621" spans="1:8" x14ac:dyDescent="0.25">
      <c r="A621" t="s">
        <v>2317</v>
      </c>
      <c r="B621">
        <v>1</v>
      </c>
      <c r="C621">
        <v>1</v>
      </c>
      <c r="D621">
        <v>1</v>
      </c>
      <c r="E621" t="s">
        <v>5006</v>
      </c>
      <c r="F621" t="s">
        <v>5006</v>
      </c>
      <c r="G621" t="s">
        <v>5006</v>
      </c>
      <c r="H621">
        <v>121</v>
      </c>
    </row>
    <row r="622" spans="1:8" x14ac:dyDescent="0.25">
      <c r="A622" t="s">
        <v>2802</v>
      </c>
      <c r="B622">
        <v>1</v>
      </c>
      <c r="C622">
        <v>1</v>
      </c>
      <c r="D622">
        <v>1</v>
      </c>
      <c r="E622" t="s">
        <v>5007</v>
      </c>
      <c r="F622" t="s">
        <v>5007</v>
      </c>
      <c r="G622" t="s">
        <v>5007</v>
      </c>
      <c r="H622">
        <v>26</v>
      </c>
    </row>
    <row r="623" spans="1:8" x14ac:dyDescent="0.25">
      <c r="A623" t="s">
        <v>2937</v>
      </c>
      <c r="B623">
        <v>1</v>
      </c>
      <c r="C623">
        <v>1</v>
      </c>
      <c r="D623">
        <v>1</v>
      </c>
      <c r="E623" t="s">
        <v>5008</v>
      </c>
      <c r="F623" t="s">
        <v>5008</v>
      </c>
      <c r="G623" t="s">
        <v>5008</v>
      </c>
      <c r="H623">
        <v>25</v>
      </c>
    </row>
    <row r="624" spans="1:8" x14ac:dyDescent="0.25">
      <c r="A624" t="s">
        <v>2732</v>
      </c>
      <c r="B624">
        <v>1</v>
      </c>
      <c r="C624">
        <v>1</v>
      </c>
      <c r="D624">
        <v>1</v>
      </c>
      <c r="E624" t="s">
        <v>5009</v>
      </c>
      <c r="F624" t="s">
        <v>5009</v>
      </c>
      <c r="G624" t="s">
        <v>5009</v>
      </c>
      <c r="H624">
        <v>36</v>
      </c>
    </row>
    <row r="625" spans="1:8" x14ac:dyDescent="0.25">
      <c r="A625" t="s">
        <v>2988</v>
      </c>
      <c r="B625">
        <v>1</v>
      </c>
      <c r="C625">
        <v>1</v>
      </c>
      <c r="D625">
        <v>1</v>
      </c>
      <c r="E625" t="s">
        <v>5010</v>
      </c>
      <c r="F625" t="s">
        <v>5010</v>
      </c>
      <c r="G625" t="s">
        <v>5010</v>
      </c>
      <c r="H625">
        <v>21</v>
      </c>
    </row>
    <row r="626" spans="1:8" x14ac:dyDescent="0.25">
      <c r="A626" t="s">
        <v>3379</v>
      </c>
      <c r="B626">
        <v>1</v>
      </c>
      <c r="C626">
        <v>1</v>
      </c>
      <c r="D626">
        <v>1</v>
      </c>
      <c r="E626" t="s">
        <v>5011</v>
      </c>
      <c r="F626" t="s">
        <v>5011</v>
      </c>
      <c r="G626" t="s">
        <v>5011</v>
      </c>
      <c r="H626">
        <v>11</v>
      </c>
    </row>
    <row r="627" spans="1:8" x14ac:dyDescent="0.25">
      <c r="A627" t="s">
        <v>3629</v>
      </c>
      <c r="B627">
        <v>1</v>
      </c>
      <c r="C627">
        <v>1</v>
      </c>
      <c r="D627">
        <v>1</v>
      </c>
      <c r="E627" t="s">
        <v>5012</v>
      </c>
      <c r="F627" t="s">
        <v>5012</v>
      </c>
      <c r="G627" t="s">
        <v>5012</v>
      </c>
      <c r="H627">
        <v>9</v>
      </c>
    </row>
    <row r="628" spans="1:8" x14ac:dyDescent="0.25">
      <c r="A628" t="s">
        <v>1816</v>
      </c>
      <c r="B628">
        <v>1</v>
      </c>
      <c r="C628">
        <v>1</v>
      </c>
      <c r="D628">
        <v>1</v>
      </c>
      <c r="E628" t="s">
        <v>5013</v>
      </c>
      <c r="F628" t="s">
        <v>5013</v>
      </c>
      <c r="G628" t="s">
        <v>5013</v>
      </c>
      <c r="H628">
        <v>73</v>
      </c>
    </row>
    <row r="629" spans="1:8" x14ac:dyDescent="0.25">
      <c r="A629" t="s">
        <v>843</v>
      </c>
      <c r="B629">
        <v>1</v>
      </c>
      <c r="C629">
        <v>1</v>
      </c>
      <c r="D629">
        <v>1</v>
      </c>
      <c r="E629" t="s">
        <v>5014</v>
      </c>
      <c r="F629" t="s">
        <v>5015</v>
      </c>
      <c r="G629" t="s">
        <v>5015</v>
      </c>
      <c r="H629">
        <v>144</v>
      </c>
    </row>
    <row r="630" spans="1:8" x14ac:dyDescent="0.25">
      <c r="A630" t="s">
        <v>1714</v>
      </c>
      <c r="B630">
        <v>1</v>
      </c>
      <c r="C630">
        <v>1</v>
      </c>
      <c r="D630">
        <v>1</v>
      </c>
      <c r="E630" t="s">
        <v>5016</v>
      </c>
      <c r="F630" t="s">
        <v>5016</v>
      </c>
      <c r="G630" t="s">
        <v>5016</v>
      </c>
      <c r="H630">
        <v>109</v>
      </c>
    </row>
    <row r="631" spans="1:8" x14ac:dyDescent="0.25">
      <c r="A631" t="s">
        <v>1847</v>
      </c>
      <c r="B631">
        <v>1</v>
      </c>
      <c r="C631">
        <v>1</v>
      </c>
      <c r="D631">
        <v>1</v>
      </c>
      <c r="E631" t="s">
        <v>5017</v>
      </c>
      <c r="F631" t="s">
        <v>5017</v>
      </c>
      <c r="G631" t="s">
        <v>5017</v>
      </c>
      <c r="H631">
        <v>79</v>
      </c>
    </row>
    <row r="632" spans="1:8" x14ac:dyDescent="0.25">
      <c r="A632" t="s">
        <v>1667</v>
      </c>
      <c r="B632">
        <v>1</v>
      </c>
      <c r="C632">
        <v>1</v>
      </c>
      <c r="D632">
        <v>1</v>
      </c>
      <c r="E632" t="s">
        <v>5018</v>
      </c>
      <c r="F632" t="s">
        <v>5018</v>
      </c>
      <c r="G632" t="s">
        <v>5018</v>
      </c>
      <c r="H632">
        <v>112</v>
      </c>
    </row>
    <row r="633" spans="1:8" x14ac:dyDescent="0.25">
      <c r="A633" t="s">
        <v>1757</v>
      </c>
      <c r="B633">
        <v>1</v>
      </c>
      <c r="C633">
        <v>1</v>
      </c>
      <c r="D633">
        <v>1</v>
      </c>
      <c r="E633" t="s">
        <v>5019</v>
      </c>
      <c r="F633" t="s">
        <v>5019</v>
      </c>
      <c r="G633" t="s">
        <v>5019</v>
      </c>
      <c r="H633">
        <v>106</v>
      </c>
    </row>
    <row r="634" spans="1:8" x14ac:dyDescent="0.25">
      <c r="A634" t="s">
        <v>2232</v>
      </c>
      <c r="B634">
        <v>1</v>
      </c>
      <c r="C634">
        <v>1</v>
      </c>
      <c r="D634">
        <v>1</v>
      </c>
      <c r="E634" t="s">
        <v>5020</v>
      </c>
      <c r="F634" t="s">
        <v>5020</v>
      </c>
      <c r="G634" t="s">
        <v>5020</v>
      </c>
      <c r="H634">
        <v>66</v>
      </c>
    </row>
    <row r="635" spans="1:8" x14ac:dyDescent="0.25">
      <c r="A635" t="s">
        <v>1691</v>
      </c>
      <c r="B635">
        <v>1</v>
      </c>
      <c r="C635">
        <v>1</v>
      </c>
      <c r="D635">
        <v>1</v>
      </c>
      <c r="E635" t="s">
        <v>5021</v>
      </c>
      <c r="F635" t="s">
        <v>5021</v>
      </c>
      <c r="G635" t="s">
        <v>5021</v>
      </c>
      <c r="H635">
        <v>91</v>
      </c>
    </row>
    <row r="636" spans="1:8" x14ac:dyDescent="0.25">
      <c r="A636" t="s">
        <v>1444</v>
      </c>
      <c r="B636">
        <v>1</v>
      </c>
      <c r="C636">
        <v>1</v>
      </c>
      <c r="D636">
        <v>1</v>
      </c>
      <c r="E636" t="s">
        <v>5022</v>
      </c>
      <c r="F636" t="s">
        <v>5022</v>
      </c>
      <c r="G636" t="s">
        <v>5022</v>
      </c>
      <c r="H636">
        <v>143</v>
      </c>
    </row>
    <row r="637" spans="1:8" x14ac:dyDescent="0.25">
      <c r="A637" t="s">
        <v>1103</v>
      </c>
      <c r="B637">
        <v>1</v>
      </c>
      <c r="C637">
        <v>1</v>
      </c>
      <c r="D637">
        <v>1</v>
      </c>
      <c r="E637" t="s">
        <v>5023</v>
      </c>
      <c r="F637" t="s">
        <v>5023</v>
      </c>
      <c r="G637" t="s">
        <v>5023</v>
      </c>
      <c r="H637">
        <v>168</v>
      </c>
    </row>
    <row r="638" spans="1:8" x14ac:dyDescent="0.25">
      <c r="A638" t="s">
        <v>2375</v>
      </c>
      <c r="B638">
        <v>1</v>
      </c>
      <c r="C638">
        <v>1</v>
      </c>
      <c r="D638">
        <v>1</v>
      </c>
      <c r="E638" t="s">
        <v>5024</v>
      </c>
      <c r="F638" t="s">
        <v>5024</v>
      </c>
      <c r="G638" t="s">
        <v>5024</v>
      </c>
      <c r="H638">
        <v>40</v>
      </c>
    </row>
    <row r="639" spans="1:8" x14ac:dyDescent="0.25">
      <c r="A639" t="s">
        <v>2173</v>
      </c>
      <c r="B639">
        <v>1</v>
      </c>
      <c r="C639">
        <v>1</v>
      </c>
      <c r="D639">
        <v>1</v>
      </c>
      <c r="E639" t="s">
        <v>5025</v>
      </c>
      <c r="F639" t="s">
        <v>5025</v>
      </c>
      <c r="G639" t="s">
        <v>5025</v>
      </c>
      <c r="H639">
        <v>21</v>
      </c>
    </row>
    <row r="640" spans="1:8" x14ac:dyDescent="0.25">
      <c r="A640" t="s">
        <v>5026</v>
      </c>
      <c r="B640">
        <v>0</v>
      </c>
      <c r="C640">
        <v>0</v>
      </c>
      <c r="D640">
        <v>0</v>
      </c>
      <c r="G640" t="s">
        <v>4256</v>
      </c>
      <c r="H640">
        <v>1</v>
      </c>
    </row>
    <row r="641" spans="1:8" x14ac:dyDescent="0.25">
      <c r="A641" t="s">
        <v>2062</v>
      </c>
      <c r="B641">
        <v>1</v>
      </c>
      <c r="C641">
        <v>1</v>
      </c>
      <c r="D641">
        <v>1</v>
      </c>
      <c r="E641" t="s">
        <v>5027</v>
      </c>
      <c r="F641" t="s">
        <v>5027</v>
      </c>
      <c r="G641" t="s">
        <v>5027</v>
      </c>
      <c r="H641">
        <v>24</v>
      </c>
    </row>
    <row r="642" spans="1:8" x14ac:dyDescent="0.25">
      <c r="A642" t="s">
        <v>219</v>
      </c>
      <c r="B642">
        <v>2</v>
      </c>
      <c r="C642">
        <v>2</v>
      </c>
      <c r="D642">
        <v>2</v>
      </c>
      <c r="E642" t="s">
        <v>5028</v>
      </c>
      <c r="F642" t="s">
        <v>5029</v>
      </c>
      <c r="G642" t="s">
        <v>4256</v>
      </c>
      <c r="H642">
        <v>519</v>
      </c>
    </row>
    <row r="643" spans="1:8" x14ac:dyDescent="0.25">
      <c r="A643" t="s">
        <v>317</v>
      </c>
      <c r="B643">
        <v>1</v>
      </c>
      <c r="C643">
        <v>1</v>
      </c>
      <c r="D643">
        <v>1</v>
      </c>
      <c r="E643" t="s">
        <v>5030</v>
      </c>
      <c r="F643" t="s">
        <v>5030</v>
      </c>
      <c r="G643" t="s">
        <v>5030</v>
      </c>
      <c r="H643">
        <v>513</v>
      </c>
    </row>
    <row r="644" spans="1:8" x14ac:dyDescent="0.25">
      <c r="A644" t="s">
        <v>408</v>
      </c>
      <c r="B644">
        <v>1</v>
      </c>
      <c r="C644">
        <v>1</v>
      </c>
      <c r="D644">
        <v>1</v>
      </c>
      <c r="E644" t="s">
        <v>5031</v>
      </c>
      <c r="F644" t="s">
        <v>5031</v>
      </c>
      <c r="G644" t="s">
        <v>5031</v>
      </c>
      <c r="H644">
        <v>423</v>
      </c>
    </row>
    <row r="645" spans="1:8" x14ac:dyDescent="0.25">
      <c r="A645" t="s">
        <v>235</v>
      </c>
      <c r="B645">
        <v>1</v>
      </c>
      <c r="C645">
        <v>1</v>
      </c>
      <c r="D645">
        <v>1</v>
      </c>
      <c r="E645" t="s">
        <v>5032</v>
      </c>
      <c r="F645" t="s">
        <v>5032</v>
      </c>
      <c r="G645" t="s">
        <v>5032</v>
      </c>
      <c r="H645">
        <v>655</v>
      </c>
    </row>
    <row r="646" spans="1:8" x14ac:dyDescent="0.25">
      <c r="A646" t="s">
        <v>2997</v>
      </c>
      <c r="B646">
        <v>1</v>
      </c>
      <c r="C646">
        <v>1</v>
      </c>
      <c r="D646">
        <v>1</v>
      </c>
      <c r="E646" t="s">
        <v>5033</v>
      </c>
      <c r="F646" t="s">
        <v>5033</v>
      </c>
      <c r="G646" t="s">
        <v>5033</v>
      </c>
      <c r="H646">
        <v>12</v>
      </c>
    </row>
    <row r="647" spans="1:8" x14ac:dyDescent="0.25">
      <c r="A647" t="s">
        <v>2243</v>
      </c>
      <c r="B647">
        <v>1</v>
      </c>
      <c r="C647">
        <v>1</v>
      </c>
      <c r="D647">
        <v>1</v>
      </c>
      <c r="E647" t="s">
        <v>5034</v>
      </c>
      <c r="F647" t="s">
        <v>5034</v>
      </c>
      <c r="G647" t="s">
        <v>5034</v>
      </c>
      <c r="H647">
        <v>18</v>
      </c>
    </row>
    <row r="648" spans="1:8" x14ac:dyDescent="0.25">
      <c r="A648" t="s">
        <v>4014</v>
      </c>
      <c r="B648">
        <v>1</v>
      </c>
      <c r="C648">
        <v>1</v>
      </c>
      <c r="D648">
        <v>1</v>
      </c>
      <c r="E648" t="s">
        <v>5035</v>
      </c>
      <c r="F648" t="s">
        <v>5035</v>
      </c>
      <c r="G648" t="s">
        <v>5035</v>
      </c>
      <c r="H648">
        <v>2</v>
      </c>
    </row>
    <row r="649" spans="1:8" x14ac:dyDescent="0.25">
      <c r="A649" t="s">
        <v>814</v>
      </c>
      <c r="B649">
        <v>1</v>
      </c>
      <c r="C649">
        <v>1</v>
      </c>
      <c r="D649">
        <v>1</v>
      </c>
      <c r="E649" t="s">
        <v>5036</v>
      </c>
      <c r="F649" t="s">
        <v>5036</v>
      </c>
      <c r="G649" t="s">
        <v>5036</v>
      </c>
      <c r="H649">
        <v>322</v>
      </c>
    </row>
    <row r="650" spans="1:8" x14ac:dyDescent="0.25">
      <c r="A650" t="s">
        <v>1069</v>
      </c>
      <c r="B650">
        <v>1</v>
      </c>
      <c r="C650">
        <v>1</v>
      </c>
      <c r="D650">
        <v>1</v>
      </c>
      <c r="E650" t="s">
        <v>5037</v>
      </c>
      <c r="F650" t="s">
        <v>5037</v>
      </c>
      <c r="G650" t="s">
        <v>5037</v>
      </c>
      <c r="H650">
        <v>166</v>
      </c>
    </row>
    <row r="651" spans="1:8" x14ac:dyDescent="0.25">
      <c r="A651" t="s">
        <v>849</v>
      </c>
      <c r="B651">
        <v>1</v>
      </c>
      <c r="C651">
        <v>1</v>
      </c>
      <c r="D651">
        <v>1</v>
      </c>
      <c r="E651" t="s">
        <v>5038</v>
      </c>
      <c r="F651" t="s">
        <v>5038</v>
      </c>
      <c r="G651" t="s">
        <v>5038</v>
      </c>
      <c r="H651">
        <v>232</v>
      </c>
    </row>
    <row r="652" spans="1:8" x14ac:dyDescent="0.25">
      <c r="A652" t="s">
        <v>709</v>
      </c>
      <c r="B652">
        <v>1</v>
      </c>
      <c r="C652">
        <v>1</v>
      </c>
      <c r="D652">
        <v>1</v>
      </c>
      <c r="E652" t="s">
        <v>5039</v>
      </c>
      <c r="F652" t="s">
        <v>5040</v>
      </c>
      <c r="G652" t="s">
        <v>5040</v>
      </c>
      <c r="H652">
        <v>339</v>
      </c>
    </row>
    <row r="653" spans="1:8" x14ac:dyDescent="0.25">
      <c r="A653" t="s">
        <v>955</v>
      </c>
      <c r="B653">
        <v>1</v>
      </c>
      <c r="C653">
        <v>1</v>
      </c>
      <c r="D653">
        <v>1</v>
      </c>
      <c r="E653" t="s">
        <v>5041</v>
      </c>
      <c r="F653" t="s">
        <v>5041</v>
      </c>
      <c r="G653" t="s">
        <v>5041</v>
      </c>
      <c r="H653">
        <v>220</v>
      </c>
    </row>
    <row r="654" spans="1:8" x14ac:dyDescent="0.25">
      <c r="A654" t="s">
        <v>1012</v>
      </c>
      <c r="B654">
        <v>1</v>
      </c>
      <c r="C654">
        <v>1</v>
      </c>
      <c r="D654">
        <v>1</v>
      </c>
      <c r="E654" t="s">
        <v>5042</v>
      </c>
      <c r="F654" t="s">
        <v>5043</v>
      </c>
      <c r="G654" t="s">
        <v>5043</v>
      </c>
      <c r="H654">
        <v>213</v>
      </c>
    </row>
    <row r="655" spans="1:8" x14ac:dyDescent="0.25">
      <c r="A655" t="s">
        <v>2664</v>
      </c>
      <c r="B655">
        <v>1</v>
      </c>
      <c r="C655">
        <v>1</v>
      </c>
      <c r="D655">
        <v>1</v>
      </c>
      <c r="E655" t="s">
        <v>5044</v>
      </c>
      <c r="F655" t="s">
        <v>5045</v>
      </c>
      <c r="G655" t="s">
        <v>5045</v>
      </c>
      <c r="H655">
        <v>26</v>
      </c>
    </row>
    <row r="656" spans="1:8" x14ac:dyDescent="0.25">
      <c r="A656" t="s">
        <v>1947</v>
      </c>
      <c r="B656">
        <v>1</v>
      </c>
      <c r="C656">
        <v>1</v>
      </c>
      <c r="D656">
        <v>1</v>
      </c>
      <c r="E656" t="s">
        <v>5046</v>
      </c>
      <c r="F656" t="s">
        <v>5046</v>
      </c>
      <c r="G656" t="s">
        <v>5046</v>
      </c>
      <c r="H656">
        <v>117</v>
      </c>
    </row>
    <row r="657" spans="1:8" x14ac:dyDescent="0.25">
      <c r="A657" t="s">
        <v>1155</v>
      </c>
      <c r="B657">
        <v>1</v>
      </c>
      <c r="C657">
        <v>1</v>
      </c>
      <c r="D657">
        <v>1</v>
      </c>
      <c r="E657" t="s">
        <v>5047</v>
      </c>
      <c r="F657" t="s">
        <v>5048</v>
      </c>
      <c r="G657" t="s">
        <v>5048</v>
      </c>
      <c r="H657">
        <v>327</v>
      </c>
    </row>
    <row r="658" spans="1:8" x14ac:dyDescent="0.25">
      <c r="A658" t="s">
        <v>1467</v>
      </c>
      <c r="B658">
        <v>2</v>
      </c>
      <c r="C658">
        <v>2</v>
      </c>
      <c r="D658">
        <v>2</v>
      </c>
      <c r="E658" t="s">
        <v>5049</v>
      </c>
      <c r="F658" t="s">
        <v>5050</v>
      </c>
      <c r="G658" t="s">
        <v>4256</v>
      </c>
      <c r="H658">
        <v>265</v>
      </c>
    </row>
    <row r="659" spans="1:8" x14ac:dyDescent="0.25">
      <c r="A659" t="s">
        <v>1721</v>
      </c>
      <c r="B659">
        <v>1</v>
      </c>
      <c r="C659">
        <v>1</v>
      </c>
      <c r="D659">
        <v>1</v>
      </c>
      <c r="E659" t="s">
        <v>5051</v>
      </c>
      <c r="F659" t="s">
        <v>5052</v>
      </c>
      <c r="G659" t="s">
        <v>5052</v>
      </c>
      <c r="H659">
        <v>215</v>
      </c>
    </row>
    <row r="660" spans="1:8" x14ac:dyDescent="0.25">
      <c r="A660" t="s">
        <v>1390</v>
      </c>
      <c r="B660">
        <v>1</v>
      </c>
      <c r="C660">
        <v>1</v>
      </c>
      <c r="D660">
        <v>1</v>
      </c>
      <c r="E660" t="s">
        <v>5053</v>
      </c>
      <c r="F660" t="s">
        <v>5054</v>
      </c>
      <c r="G660" t="s">
        <v>5054</v>
      </c>
      <c r="H660">
        <v>274</v>
      </c>
    </row>
    <row r="661" spans="1:8" x14ac:dyDescent="0.25">
      <c r="A661" t="s">
        <v>5055</v>
      </c>
      <c r="B661">
        <v>0</v>
      </c>
      <c r="C661">
        <v>0</v>
      </c>
      <c r="D661">
        <v>0</v>
      </c>
      <c r="G661" t="s">
        <v>4256</v>
      </c>
      <c r="H661">
        <v>1</v>
      </c>
    </row>
    <row r="662" spans="1:8" x14ac:dyDescent="0.25">
      <c r="A662" t="s">
        <v>3047</v>
      </c>
      <c r="B662">
        <v>1</v>
      </c>
      <c r="C662">
        <v>1</v>
      </c>
      <c r="D662">
        <v>1</v>
      </c>
      <c r="E662" t="s">
        <v>5056</v>
      </c>
      <c r="F662" t="s">
        <v>5057</v>
      </c>
      <c r="G662" t="s">
        <v>5057</v>
      </c>
      <c r="H662">
        <v>39</v>
      </c>
    </row>
    <row r="663" spans="1:8" x14ac:dyDescent="0.25">
      <c r="A663" t="s">
        <v>1492</v>
      </c>
      <c r="B663">
        <v>2</v>
      </c>
      <c r="C663">
        <v>2</v>
      </c>
      <c r="D663">
        <v>2</v>
      </c>
      <c r="E663" t="s">
        <v>5058</v>
      </c>
      <c r="F663" t="s">
        <v>5059</v>
      </c>
      <c r="G663" t="s">
        <v>4256</v>
      </c>
      <c r="H663">
        <v>250</v>
      </c>
    </row>
    <row r="664" spans="1:8" x14ac:dyDescent="0.25">
      <c r="A664" t="s">
        <v>2820</v>
      </c>
      <c r="B664">
        <v>1</v>
      </c>
      <c r="C664">
        <v>1</v>
      </c>
      <c r="D664">
        <v>1</v>
      </c>
      <c r="E664" t="s">
        <v>5060</v>
      </c>
      <c r="F664" t="s">
        <v>5061</v>
      </c>
      <c r="G664" t="s">
        <v>5061</v>
      </c>
      <c r="H664">
        <v>59</v>
      </c>
    </row>
    <row r="665" spans="1:8" x14ac:dyDescent="0.25">
      <c r="A665" t="s">
        <v>209</v>
      </c>
      <c r="B665">
        <v>1</v>
      </c>
      <c r="C665">
        <v>1</v>
      </c>
      <c r="D665">
        <v>1</v>
      </c>
      <c r="E665" t="s">
        <v>5062</v>
      </c>
      <c r="F665" t="s">
        <v>5062</v>
      </c>
      <c r="G665" t="s">
        <v>5062</v>
      </c>
      <c r="H665">
        <v>506</v>
      </c>
    </row>
    <row r="666" spans="1:8" x14ac:dyDescent="0.25">
      <c r="A666" t="s">
        <v>279</v>
      </c>
      <c r="B666">
        <v>1</v>
      </c>
      <c r="C666">
        <v>1</v>
      </c>
      <c r="D666">
        <v>1</v>
      </c>
      <c r="E666" t="s">
        <v>5063</v>
      </c>
      <c r="F666" t="s">
        <v>5063</v>
      </c>
      <c r="G666" t="s">
        <v>5063</v>
      </c>
      <c r="H666">
        <v>489</v>
      </c>
    </row>
    <row r="667" spans="1:8" x14ac:dyDescent="0.25">
      <c r="A667" t="s">
        <v>786</v>
      </c>
      <c r="B667">
        <v>2</v>
      </c>
      <c r="C667">
        <v>2</v>
      </c>
      <c r="D667">
        <v>2</v>
      </c>
      <c r="E667" t="s">
        <v>5064</v>
      </c>
      <c r="F667" t="s">
        <v>5065</v>
      </c>
      <c r="G667" t="s">
        <v>4256</v>
      </c>
      <c r="H667">
        <v>173</v>
      </c>
    </row>
    <row r="668" spans="1:8" x14ac:dyDescent="0.25">
      <c r="A668" t="s">
        <v>1385</v>
      </c>
      <c r="B668">
        <v>1</v>
      </c>
      <c r="C668">
        <v>1</v>
      </c>
      <c r="D668">
        <v>1</v>
      </c>
      <c r="E668" t="s">
        <v>5066</v>
      </c>
      <c r="F668" t="s">
        <v>5067</v>
      </c>
      <c r="G668" t="s">
        <v>5067</v>
      </c>
      <c r="H668">
        <v>124</v>
      </c>
    </row>
    <row r="669" spans="1:8" x14ac:dyDescent="0.25">
      <c r="A669" t="s">
        <v>1976</v>
      </c>
      <c r="B669">
        <v>1</v>
      </c>
      <c r="C669">
        <v>1</v>
      </c>
      <c r="D669">
        <v>1</v>
      </c>
      <c r="E669" t="s">
        <v>5068</v>
      </c>
      <c r="F669" t="s">
        <v>5068</v>
      </c>
      <c r="G669" t="s">
        <v>5068</v>
      </c>
      <c r="H669">
        <v>113</v>
      </c>
    </row>
    <row r="670" spans="1:8" x14ac:dyDescent="0.25">
      <c r="A670" t="s">
        <v>795</v>
      </c>
      <c r="B670">
        <v>1</v>
      </c>
      <c r="C670">
        <v>1</v>
      </c>
      <c r="D670">
        <v>1</v>
      </c>
      <c r="E670" t="s">
        <v>5069</v>
      </c>
      <c r="F670" t="s">
        <v>5069</v>
      </c>
      <c r="G670" t="s">
        <v>5069</v>
      </c>
      <c r="H670">
        <v>264</v>
      </c>
    </row>
    <row r="671" spans="1:8" x14ac:dyDescent="0.25">
      <c r="A671" t="s">
        <v>507</v>
      </c>
      <c r="B671">
        <v>1</v>
      </c>
      <c r="C671">
        <v>1</v>
      </c>
      <c r="D671">
        <v>1</v>
      </c>
      <c r="E671" t="s">
        <v>5070</v>
      </c>
      <c r="F671" t="s">
        <v>5070</v>
      </c>
      <c r="G671" t="s">
        <v>5070</v>
      </c>
      <c r="H671">
        <v>361</v>
      </c>
    </row>
    <row r="672" spans="1:8" x14ac:dyDescent="0.25">
      <c r="A672" t="s">
        <v>1231</v>
      </c>
      <c r="B672">
        <v>1</v>
      </c>
      <c r="C672">
        <v>1</v>
      </c>
      <c r="D672">
        <v>1</v>
      </c>
      <c r="E672" t="s">
        <v>5071</v>
      </c>
      <c r="F672" t="s">
        <v>5071</v>
      </c>
      <c r="G672" t="s">
        <v>5071</v>
      </c>
      <c r="H672">
        <v>170</v>
      </c>
    </row>
    <row r="673" spans="1:8" x14ac:dyDescent="0.25">
      <c r="A673" t="s">
        <v>551</v>
      </c>
      <c r="B673">
        <v>1</v>
      </c>
      <c r="C673">
        <v>1</v>
      </c>
      <c r="D673">
        <v>1</v>
      </c>
      <c r="E673" t="s">
        <v>5072</v>
      </c>
      <c r="F673" t="s">
        <v>5072</v>
      </c>
      <c r="G673" t="s">
        <v>5072</v>
      </c>
      <c r="H673">
        <v>370</v>
      </c>
    </row>
    <row r="674" spans="1:8" x14ac:dyDescent="0.25">
      <c r="A674" t="s">
        <v>1489</v>
      </c>
      <c r="B674">
        <v>2</v>
      </c>
      <c r="C674">
        <v>2</v>
      </c>
      <c r="D674">
        <v>2</v>
      </c>
      <c r="E674" t="s">
        <v>5073</v>
      </c>
      <c r="F674" t="s">
        <v>5073</v>
      </c>
      <c r="G674" t="s">
        <v>4256</v>
      </c>
      <c r="H674">
        <v>70</v>
      </c>
    </row>
    <row r="675" spans="1:8" x14ac:dyDescent="0.25">
      <c r="A675" t="s">
        <v>3705</v>
      </c>
      <c r="B675">
        <v>1</v>
      </c>
      <c r="C675">
        <v>1</v>
      </c>
      <c r="D675">
        <v>1</v>
      </c>
      <c r="E675" t="s">
        <v>5074</v>
      </c>
      <c r="F675" t="s">
        <v>5074</v>
      </c>
      <c r="G675" t="s">
        <v>5074</v>
      </c>
      <c r="H675">
        <v>3</v>
      </c>
    </row>
    <row r="676" spans="1:8" x14ac:dyDescent="0.25">
      <c r="A676" t="s">
        <v>660</v>
      </c>
      <c r="B676">
        <v>3</v>
      </c>
      <c r="C676">
        <v>3</v>
      </c>
      <c r="D676">
        <v>3</v>
      </c>
      <c r="E676" t="s">
        <v>5075</v>
      </c>
      <c r="F676" t="s">
        <v>5075</v>
      </c>
      <c r="G676" t="s">
        <v>4256</v>
      </c>
      <c r="H676">
        <v>261</v>
      </c>
    </row>
    <row r="677" spans="1:8" x14ac:dyDescent="0.25">
      <c r="A677" t="s">
        <v>1320</v>
      </c>
      <c r="B677">
        <v>1</v>
      </c>
      <c r="C677">
        <v>1</v>
      </c>
      <c r="D677">
        <v>1</v>
      </c>
      <c r="E677" t="s">
        <v>5076</v>
      </c>
      <c r="F677" t="s">
        <v>5077</v>
      </c>
      <c r="G677" t="s">
        <v>5077</v>
      </c>
      <c r="H677">
        <v>176</v>
      </c>
    </row>
    <row r="678" spans="1:8" x14ac:dyDescent="0.25">
      <c r="A678" t="s">
        <v>2737</v>
      </c>
      <c r="B678">
        <v>1</v>
      </c>
      <c r="C678">
        <v>1</v>
      </c>
      <c r="D678">
        <v>1</v>
      </c>
      <c r="E678" t="s">
        <v>5078</v>
      </c>
      <c r="F678" t="s">
        <v>5078</v>
      </c>
      <c r="G678" t="s">
        <v>5078</v>
      </c>
      <c r="H678">
        <v>24</v>
      </c>
    </row>
    <row r="679" spans="1:8" x14ac:dyDescent="0.25">
      <c r="A679" t="s">
        <v>2566</v>
      </c>
      <c r="B679">
        <v>1</v>
      </c>
      <c r="C679">
        <v>1</v>
      </c>
      <c r="D679">
        <v>1</v>
      </c>
      <c r="E679" t="s">
        <v>5079</v>
      </c>
      <c r="F679" t="s">
        <v>5079</v>
      </c>
      <c r="G679" t="s">
        <v>5079</v>
      </c>
      <c r="H679">
        <v>70</v>
      </c>
    </row>
    <row r="680" spans="1:8" x14ac:dyDescent="0.25">
      <c r="A680" t="s">
        <v>1029</v>
      </c>
      <c r="B680">
        <v>1</v>
      </c>
      <c r="C680">
        <v>1</v>
      </c>
      <c r="D680">
        <v>1</v>
      </c>
      <c r="E680" t="s">
        <v>5080</v>
      </c>
      <c r="F680" t="s">
        <v>5080</v>
      </c>
      <c r="G680" t="s">
        <v>5080</v>
      </c>
      <c r="H680">
        <v>118</v>
      </c>
    </row>
    <row r="681" spans="1:8" x14ac:dyDescent="0.25">
      <c r="A681" t="s">
        <v>1257</v>
      </c>
      <c r="B681">
        <v>1</v>
      </c>
      <c r="C681">
        <v>1</v>
      </c>
      <c r="D681">
        <v>1</v>
      </c>
      <c r="E681" t="s">
        <v>5081</v>
      </c>
      <c r="F681" t="s">
        <v>5081</v>
      </c>
      <c r="G681" t="s">
        <v>5081</v>
      </c>
      <c r="H681">
        <v>163</v>
      </c>
    </row>
    <row r="682" spans="1:8" x14ac:dyDescent="0.25">
      <c r="A682" t="s">
        <v>581</v>
      </c>
      <c r="B682">
        <v>1</v>
      </c>
      <c r="C682">
        <v>1</v>
      </c>
      <c r="D682">
        <v>1</v>
      </c>
      <c r="E682" t="s">
        <v>5082</v>
      </c>
      <c r="F682" t="s">
        <v>5083</v>
      </c>
      <c r="G682" t="s">
        <v>5083</v>
      </c>
      <c r="H682">
        <v>427</v>
      </c>
    </row>
    <row r="683" spans="1:8" x14ac:dyDescent="0.25">
      <c r="A683" t="s">
        <v>367</v>
      </c>
      <c r="B683">
        <v>1</v>
      </c>
      <c r="C683">
        <v>1</v>
      </c>
      <c r="D683">
        <v>1</v>
      </c>
      <c r="E683" t="s">
        <v>5084</v>
      </c>
      <c r="F683" t="s">
        <v>5084</v>
      </c>
      <c r="G683" t="s">
        <v>5084</v>
      </c>
      <c r="H683">
        <v>598</v>
      </c>
    </row>
    <row r="684" spans="1:8" x14ac:dyDescent="0.25">
      <c r="A684" t="s">
        <v>895</v>
      </c>
      <c r="B684">
        <v>1</v>
      </c>
      <c r="C684">
        <v>1</v>
      </c>
      <c r="D684">
        <v>1</v>
      </c>
      <c r="E684" t="s">
        <v>5085</v>
      </c>
      <c r="F684" t="s">
        <v>5085</v>
      </c>
      <c r="G684" t="s">
        <v>5085</v>
      </c>
      <c r="H684">
        <v>217</v>
      </c>
    </row>
    <row r="685" spans="1:8" x14ac:dyDescent="0.25">
      <c r="A685" t="s">
        <v>2513</v>
      </c>
      <c r="B685">
        <v>1</v>
      </c>
      <c r="C685">
        <v>1</v>
      </c>
      <c r="D685">
        <v>1</v>
      </c>
      <c r="E685" t="s">
        <v>5086</v>
      </c>
      <c r="F685" t="s">
        <v>5087</v>
      </c>
      <c r="G685" t="s">
        <v>5087</v>
      </c>
      <c r="H685">
        <v>28</v>
      </c>
    </row>
    <row r="686" spans="1:8" x14ac:dyDescent="0.25">
      <c r="A686" t="s">
        <v>956</v>
      </c>
      <c r="B686">
        <v>1</v>
      </c>
      <c r="C686">
        <v>1</v>
      </c>
      <c r="D686">
        <v>1</v>
      </c>
      <c r="E686" t="s">
        <v>5088</v>
      </c>
      <c r="F686" t="s">
        <v>5089</v>
      </c>
      <c r="G686" t="s">
        <v>5089</v>
      </c>
      <c r="H686">
        <v>159</v>
      </c>
    </row>
    <row r="687" spans="1:8" x14ac:dyDescent="0.25">
      <c r="A687" t="s">
        <v>1264</v>
      </c>
      <c r="B687">
        <v>1</v>
      </c>
      <c r="C687">
        <v>1</v>
      </c>
      <c r="D687">
        <v>1</v>
      </c>
      <c r="E687" t="s">
        <v>5090</v>
      </c>
      <c r="F687" t="s">
        <v>5091</v>
      </c>
      <c r="G687" t="s">
        <v>5091</v>
      </c>
      <c r="H687">
        <v>126</v>
      </c>
    </row>
    <row r="688" spans="1:8" x14ac:dyDescent="0.25">
      <c r="A688" t="s">
        <v>2214</v>
      </c>
      <c r="B688">
        <v>1</v>
      </c>
      <c r="C688">
        <v>1</v>
      </c>
      <c r="D688">
        <v>1</v>
      </c>
      <c r="E688" t="s">
        <v>5092</v>
      </c>
      <c r="F688" t="s">
        <v>5092</v>
      </c>
      <c r="G688" t="s">
        <v>5092</v>
      </c>
      <c r="H688">
        <v>78</v>
      </c>
    </row>
    <row r="689" spans="1:8" x14ac:dyDescent="0.25">
      <c r="A689" t="s">
        <v>1332</v>
      </c>
      <c r="B689">
        <v>1</v>
      </c>
      <c r="C689">
        <v>1</v>
      </c>
      <c r="D689">
        <v>1</v>
      </c>
      <c r="E689" t="s">
        <v>5093</v>
      </c>
      <c r="F689" t="s">
        <v>5093</v>
      </c>
      <c r="G689" t="s">
        <v>5093</v>
      </c>
      <c r="H689">
        <v>177</v>
      </c>
    </row>
    <row r="690" spans="1:8" x14ac:dyDescent="0.25">
      <c r="A690" t="s">
        <v>1333</v>
      </c>
      <c r="B690">
        <v>3</v>
      </c>
      <c r="C690">
        <v>3</v>
      </c>
      <c r="D690">
        <v>3</v>
      </c>
      <c r="E690" t="s">
        <v>5094</v>
      </c>
      <c r="F690" t="s">
        <v>5094</v>
      </c>
      <c r="G690" t="s">
        <v>4256</v>
      </c>
      <c r="H690">
        <v>134</v>
      </c>
    </row>
    <row r="691" spans="1:8" x14ac:dyDescent="0.25">
      <c r="A691" t="s">
        <v>2467</v>
      </c>
      <c r="B691">
        <v>1</v>
      </c>
      <c r="C691">
        <v>1</v>
      </c>
      <c r="D691">
        <v>1</v>
      </c>
      <c r="E691" t="s">
        <v>5095</v>
      </c>
      <c r="F691" t="s">
        <v>5095</v>
      </c>
      <c r="G691" t="s">
        <v>5095</v>
      </c>
      <c r="H691">
        <v>55</v>
      </c>
    </row>
    <row r="692" spans="1:8" x14ac:dyDescent="0.25">
      <c r="A692" t="s">
        <v>2423</v>
      </c>
      <c r="B692">
        <v>1</v>
      </c>
      <c r="C692">
        <v>1</v>
      </c>
      <c r="D692">
        <v>1</v>
      </c>
      <c r="E692" t="s">
        <v>5096</v>
      </c>
      <c r="F692" t="s">
        <v>5096</v>
      </c>
      <c r="G692" t="s">
        <v>5096</v>
      </c>
      <c r="H692">
        <v>62</v>
      </c>
    </row>
    <row r="693" spans="1:8" x14ac:dyDescent="0.25">
      <c r="A693" t="s">
        <v>2205</v>
      </c>
      <c r="B693">
        <v>1</v>
      </c>
      <c r="C693">
        <v>1</v>
      </c>
      <c r="D693">
        <v>1</v>
      </c>
      <c r="E693" t="s">
        <v>5097</v>
      </c>
      <c r="F693" t="s">
        <v>5097</v>
      </c>
      <c r="G693" t="s">
        <v>5097</v>
      </c>
      <c r="H693">
        <v>80</v>
      </c>
    </row>
    <row r="694" spans="1:8" x14ac:dyDescent="0.25">
      <c r="A694" t="s">
        <v>1292</v>
      </c>
      <c r="B694">
        <v>1</v>
      </c>
      <c r="C694">
        <v>1</v>
      </c>
      <c r="D694">
        <v>1</v>
      </c>
      <c r="E694" t="s">
        <v>5098</v>
      </c>
      <c r="F694" t="s">
        <v>5098</v>
      </c>
      <c r="G694" t="s">
        <v>5098</v>
      </c>
      <c r="H694">
        <v>160</v>
      </c>
    </row>
    <row r="695" spans="1:8" x14ac:dyDescent="0.25">
      <c r="A695" t="s">
        <v>1304</v>
      </c>
      <c r="B695">
        <v>1</v>
      </c>
      <c r="C695">
        <v>1</v>
      </c>
      <c r="D695">
        <v>1</v>
      </c>
      <c r="E695" t="s">
        <v>5099</v>
      </c>
      <c r="F695" t="s">
        <v>5099</v>
      </c>
      <c r="G695" t="s">
        <v>5099</v>
      </c>
      <c r="H695">
        <v>71</v>
      </c>
    </row>
    <row r="696" spans="1:8" x14ac:dyDescent="0.25">
      <c r="A696" t="s">
        <v>2368</v>
      </c>
      <c r="B696">
        <v>1</v>
      </c>
      <c r="C696">
        <v>1</v>
      </c>
      <c r="D696">
        <v>1</v>
      </c>
      <c r="E696" t="s">
        <v>5100</v>
      </c>
      <c r="F696" t="s">
        <v>5100</v>
      </c>
      <c r="G696" t="s">
        <v>5100</v>
      </c>
      <c r="H696">
        <v>32</v>
      </c>
    </row>
    <row r="697" spans="1:8" x14ac:dyDescent="0.25">
      <c r="A697" t="s">
        <v>839</v>
      </c>
      <c r="B697">
        <v>1</v>
      </c>
      <c r="C697">
        <v>1</v>
      </c>
      <c r="D697">
        <v>1</v>
      </c>
      <c r="E697" t="s">
        <v>5101</v>
      </c>
      <c r="F697" t="s">
        <v>5101</v>
      </c>
      <c r="G697" t="s">
        <v>5101</v>
      </c>
      <c r="H697">
        <v>139</v>
      </c>
    </row>
    <row r="698" spans="1:8" x14ac:dyDescent="0.25">
      <c r="A698" t="s">
        <v>5102</v>
      </c>
      <c r="B698">
        <v>0</v>
      </c>
      <c r="C698">
        <v>0</v>
      </c>
      <c r="D698">
        <v>0</v>
      </c>
      <c r="G698" t="s">
        <v>4256</v>
      </c>
      <c r="H698">
        <v>1</v>
      </c>
    </row>
    <row r="699" spans="1:8" x14ac:dyDescent="0.25">
      <c r="A699" t="s">
        <v>1198</v>
      </c>
      <c r="B699">
        <v>2</v>
      </c>
      <c r="C699">
        <v>2</v>
      </c>
      <c r="D699">
        <v>2</v>
      </c>
      <c r="E699" t="s">
        <v>5103</v>
      </c>
      <c r="F699" t="s">
        <v>5104</v>
      </c>
      <c r="G699" t="s">
        <v>4256</v>
      </c>
      <c r="H699">
        <v>160</v>
      </c>
    </row>
    <row r="700" spans="1:8" x14ac:dyDescent="0.25">
      <c r="A700" t="s">
        <v>1128</v>
      </c>
      <c r="B700">
        <v>1</v>
      </c>
      <c r="C700">
        <v>1</v>
      </c>
      <c r="D700">
        <v>1</v>
      </c>
      <c r="E700" t="s">
        <v>5105</v>
      </c>
      <c r="F700" t="s">
        <v>5106</v>
      </c>
      <c r="G700" t="s">
        <v>5106</v>
      </c>
      <c r="H700">
        <v>231</v>
      </c>
    </row>
    <row r="701" spans="1:8" x14ac:dyDescent="0.25">
      <c r="A701" t="s">
        <v>3877</v>
      </c>
      <c r="B701">
        <v>1</v>
      </c>
      <c r="C701">
        <v>1</v>
      </c>
      <c r="D701">
        <v>1</v>
      </c>
      <c r="E701" t="s">
        <v>5107</v>
      </c>
      <c r="F701" t="s">
        <v>5107</v>
      </c>
      <c r="G701" t="s">
        <v>5107</v>
      </c>
      <c r="H701">
        <v>3</v>
      </c>
    </row>
    <row r="702" spans="1:8" x14ac:dyDescent="0.25">
      <c r="A702" t="s">
        <v>3731</v>
      </c>
      <c r="B702">
        <v>1</v>
      </c>
      <c r="C702">
        <v>1</v>
      </c>
      <c r="D702">
        <v>1</v>
      </c>
      <c r="E702" t="s">
        <v>5108</v>
      </c>
      <c r="F702" t="s">
        <v>5108</v>
      </c>
      <c r="G702" t="s">
        <v>5108</v>
      </c>
      <c r="H702">
        <v>3</v>
      </c>
    </row>
    <row r="703" spans="1:8" x14ac:dyDescent="0.25">
      <c r="A703" t="s">
        <v>1162</v>
      </c>
      <c r="B703">
        <v>1</v>
      </c>
      <c r="C703">
        <v>1</v>
      </c>
      <c r="D703">
        <v>1</v>
      </c>
      <c r="E703" t="s">
        <v>5109</v>
      </c>
      <c r="F703" t="s">
        <v>5109</v>
      </c>
      <c r="G703" t="s">
        <v>5109</v>
      </c>
      <c r="H703">
        <v>80</v>
      </c>
    </row>
    <row r="704" spans="1:8" x14ac:dyDescent="0.25">
      <c r="A704" t="s">
        <v>5110</v>
      </c>
      <c r="B704">
        <v>0</v>
      </c>
      <c r="C704">
        <v>0</v>
      </c>
      <c r="D704">
        <v>0</v>
      </c>
      <c r="G704" t="s">
        <v>4256</v>
      </c>
      <c r="H704">
        <v>1</v>
      </c>
    </row>
    <row r="705" spans="1:8" x14ac:dyDescent="0.25">
      <c r="A705" t="s">
        <v>2110</v>
      </c>
      <c r="B705">
        <v>1</v>
      </c>
      <c r="C705">
        <v>1</v>
      </c>
      <c r="D705">
        <v>1</v>
      </c>
      <c r="E705" t="s">
        <v>5111</v>
      </c>
      <c r="F705" t="s">
        <v>5111</v>
      </c>
      <c r="G705" t="s">
        <v>5111</v>
      </c>
      <c r="H705">
        <v>43</v>
      </c>
    </row>
    <row r="706" spans="1:8" x14ac:dyDescent="0.25">
      <c r="A706" t="s">
        <v>2976</v>
      </c>
      <c r="B706">
        <v>1</v>
      </c>
      <c r="C706">
        <v>1</v>
      </c>
      <c r="D706">
        <v>1</v>
      </c>
      <c r="E706" t="s">
        <v>5112</v>
      </c>
      <c r="F706" t="s">
        <v>5112</v>
      </c>
      <c r="G706" t="s">
        <v>5112</v>
      </c>
      <c r="H706">
        <v>11</v>
      </c>
    </row>
    <row r="707" spans="1:8" x14ac:dyDescent="0.25">
      <c r="A707" t="s">
        <v>1518</v>
      </c>
      <c r="B707">
        <v>2</v>
      </c>
      <c r="C707">
        <v>2</v>
      </c>
      <c r="D707">
        <v>2</v>
      </c>
      <c r="E707" t="s">
        <v>5113</v>
      </c>
      <c r="F707" t="s">
        <v>5113</v>
      </c>
      <c r="G707" t="s">
        <v>4256</v>
      </c>
      <c r="H707">
        <v>140</v>
      </c>
    </row>
    <row r="708" spans="1:8" x14ac:dyDescent="0.25">
      <c r="A708" t="s">
        <v>1554</v>
      </c>
      <c r="B708">
        <v>1</v>
      </c>
      <c r="C708">
        <v>1</v>
      </c>
      <c r="D708">
        <v>1</v>
      </c>
      <c r="E708" t="s">
        <v>5114</v>
      </c>
      <c r="F708" t="s">
        <v>5114</v>
      </c>
      <c r="G708" t="s">
        <v>5114</v>
      </c>
      <c r="H708">
        <v>142</v>
      </c>
    </row>
    <row r="709" spans="1:8" x14ac:dyDescent="0.25">
      <c r="A709" t="s">
        <v>1750</v>
      </c>
      <c r="B709">
        <v>1</v>
      </c>
      <c r="C709">
        <v>1</v>
      </c>
      <c r="D709">
        <v>1</v>
      </c>
      <c r="E709" t="s">
        <v>5115</v>
      </c>
      <c r="F709" t="s">
        <v>5115</v>
      </c>
      <c r="G709" t="s">
        <v>5115</v>
      </c>
      <c r="H709">
        <v>106</v>
      </c>
    </row>
    <row r="710" spans="1:8" x14ac:dyDescent="0.25">
      <c r="A710" t="s">
        <v>1971</v>
      </c>
      <c r="B710">
        <v>2</v>
      </c>
      <c r="C710">
        <v>2</v>
      </c>
      <c r="D710">
        <v>2</v>
      </c>
      <c r="E710" t="s">
        <v>5116</v>
      </c>
      <c r="F710" t="s">
        <v>5116</v>
      </c>
      <c r="G710" t="s">
        <v>4256</v>
      </c>
      <c r="H710">
        <v>100</v>
      </c>
    </row>
    <row r="711" spans="1:8" x14ac:dyDescent="0.25">
      <c r="A711" t="s">
        <v>1442</v>
      </c>
      <c r="B711">
        <v>2</v>
      </c>
      <c r="C711">
        <v>2</v>
      </c>
      <c r="D711">
        <v>2</v>
      </c>
      <c r="E711" t="s">
        <v>5117</v>
      </c>
      <c r="F711" t="s">
        <v>5117</v>
      </c>
      <c r="G711" t="s">
        <v>4256</v>
      </c>
      <c r="H711">
        <v>169</v>
      </c>
    </row>
    <row r="712" spans="1:8" x14ac:dyDescent="0.25">
      <c r="A712" t="s">
        <v>1457</v>
      </c>
      <c r="B712">
        <v>3</v>
      </c>
      <c r="C712">
        <v>3</v>
      </c>
      <c r="D712">
        <v>3</v>
      </c>
      <c r="E712" t="s">
        <v>5118</v>
      </c>
      <c r="F712" t="s">
        <v>5118</v>
      </c>
      <c r="G712" t="s">
        <v>4256</v>
      </c>
      <c r="H712">
        <v>175</v>
      </c>
    </row>
    <row r="713" spans="1:8" x14ac:dyDescent="0.25">
      <c r="A713" t="s">
        <v>179</v>
      </c>
      <c r="B713">
        <v>4</v>
      </c>
      <c r="C713">
        <v>4</v>
      </c>
      <c r="D713">
        <v>4</v>
      </c>
      <c r="E713" t="s">
        <v>5119</v>
      </c>
      <c r="F713" t="s">
        <v>5119</v>
      </c>
      <c r="G713" t="s">
        <v>4256</v>
      </c>
      <c r="H713">
        <v>495</v>
      </c>
    </row>
    <row r="714" spans="1:8" x14ac:dyDescent="0.25">
      <c r="A714" t="s">
        <v>1191</v>
      </c>
      <c r="B714">
        <v>3</v>
      </c>
      <c r="C714">
        <v>3</v>
      </c>
      <c r="D714">
        <v>3</v>
      </c>
      <c r="E714" t="s">
        <v>5120</v>
      </c>
      <c r="F714" t="s">
        <v>5120</v>
      </c>
      <c r="G714" t="s">
        <v>4256</v>
      </c>
      <c r="H714">
        <v>114</v>
      </c>
    </row>
    <row r="715" spans="1:8" x14ac:dyDescent="0.25">
      <c r="A715" t="s">
        <v>194</v>
      </c>
      <c r="B715">
        <v>1</v>
      </c>
      <c r="C715">
        <v>1</v>
      </c>
      <c r="D715">
        <v>1</v>
      </c>
      <c r="E715" t="s">
        <v>5121</v>
      </c>
      <c r="F715" t="s">
        <v>5121</v>
      </c>
      <c r="G715" t="s">
        <v>5121</v>
      </c>
      <c r="H715">
        <v>228</v>
      </c>
    </row>
    <row r="716" spans="1:8" x14ac:dyDescent="0.25">
      <c r="A716" t="s">
        <v>1526</v>
      </c>
      <c r="B716">
        <v>1</v>
      </c>
      <c r="C716">
        <v>1</v>
      </c>
      <c r="D716">
        <v>1</v>
      </c>
      <c r="E716" t="s">
        <v>5122</v>
      </c>
      <c r="F716" t="s">
        <v>5122</v>
      </c>
      <c r="G716" t="s">
        <v>5122</v>
      </c>
      <c r="H716">
        <v>100</v>
      </c>
    </row>
    <row r="717" spans="1:8" x14ac:dyDescent="0.25">
      <c r="A717" t="s">
        <v>922</v>
      </c>
      <c r="B717">
        <v>1</v>
      </c>
      <c r="C717">
        <v>1</v>
      </c>
      <c r="D717">
        <v>1</v>
      </c>
      <c r="E717" t="s">
        <v>5123</v>
      </c>
      <c r="F717" t="s">
        <v>5123</v>
      </c>
      <c r="G717" t="s">
        <v>5123</v>
      </c>
      <c r="H717">
        <v>174</v>
      </c>
    </row>
    <row r="718" spans="1:8" x14ac:dyDescent="0.25">
      <c r="A718" t="s">
        <v>1378</v>
      </c>
      <c r="B718">
        <v>1</v>
      </c>
      <c r="C718">
        <v>1</v>
      </c>
      <c r="D718">
        <v>1</v>
      </c>
      <c r="E718" t="s">
        <v>5124</v>
      </c>
      <c r="F718" t="s">
        <v>5124</v>
      </c>
      <c r="G718" t="s">
        <v>5124</v>
      </c>
      <c r="H718">
        <v>106</v>
      </c>
    </row>
    <row r="719" spans="1:8" x14ac:dyDescent="0.25">
      <c r="A719" t="s">
        <v>1546</v>
      </c>
      <c r="B719">
        <v>2</v>
      </c>
      <c r="C719">
        <v>2</v>
      </c>
      <c r="D719">
        <v>2</v>
      </c>
      <c r="E719" t="s">
        <v>5125</v>
      </c>
      <c r="F719" t="s">
        <v>5125</v>
      </c>
      <c r="G719" t="s">
        <v>4256</v>
      </c>
      <c r="H719">
        <v>48</v>
      </c>
    </row>
    <row r="720" spans="1:8" x14ac:dyDescent="0.25">
      <c r="A720" t="s">
        <v>1609</v>
      </c>
      <c r="B720">
        <v>1</v>
      </c>
      <c r="C720">
        <v>1</v>
      </c>
      <c r="D720">
        <v>1</v>
      </c>
      <c r="E720" t="s">
        <v>5126</v>
      </c>
      <c r="F720" t="s">
        <v>5127</v>
      </c>
      <c r="G720" t="s">
        <v>5127</v>
      </c>
      <c r="H720">
        <v>35</v>
      </c>
    </row>
    <row r="721" spans="1:8" x14ac:dyDescent="0.25">
      <c r="A721" t="s">
        <v>2081</v>
      </c>
      <c r="B721">
        <v>1</v>
      </c>
      <c r="C721">
        <v>1</v>
      </c>
      <c r="D721">
        <v>1</v>
      </c>
      <c r="E721" t="s">
        <v>5128</v>
      </c>
      <c r="F721" t="s">
        <v>5128</v>
      </c>
      <c r="G721" t="s">
        <v>5128</v>
      </c>
      <c r="H721">
        <v>44</v>
      </c>
    </row>
    <row r="722" spans="1:8" x14ac:dyDescent="0.25">
      <c r="A722" t="s">
        <v>2043</v>
      </c>
      <c r="B722">
        <v>1</v>
      </c>
      <c r="C722">
        <v>1</v>
      </c>
      <c r="D722">
        <v>1</v>
      </c>
      <c r="E722" t="s">
        <v>5129</v>
      </c>
      <c r="F722" t="s">
        <v>5129</v>
      </c>
      <c r="G722" t="s">
        <v>5129</v>
      </c>
      <c r="H722">
        <v>36</v>
      </c>
    </row>
    <row r="723" spans="1:8" x14ac:dyDescent="0.25">
      <c r="A723" t="s">
        <v>1851</v>
      </c>
      <c r="B723">
        <v>1</v>
      </c>
      <c r="C723">
        <v>1</v>
      </c>
      <c r="D723">
        <v>1</v>
      </c>
      <c r="E723" t="s">
        <v>5130</v>
      </c>
      <c r="F723" t="s">
        <v>5130</v>
      </c>
      <c r="G723" t="s">
        <v>5130</v>
      </c>
      <c r="H723">
        <v>27</v>
      </c>
    </row>
    <row r="724" spans="1:8" x14ac:dyDescent="0.25">
      <c r="A724" t="s">
        <v>2355</v>
      </c>
      <c r="B724">
        <v>1</v>
      </c>
      <c r="C724">
        <v>1</v>
      </c>
      <c r="D724">
        <v>1</v>
      </c>
      <c r="E724" t="s">
        <v>5131</v>
      </c>
      <c r="F724" t="s">
        <v>5131</v>
      </c>
      <c r="G724" t="s">
        <v>5131</v>
      </c>
      <c r="H724">
        <v>26</v>
      </c>
    </row>
    <row r="725" spans="1:8" x14ac:dyDescent="0.25">
      <c r="A725" t="s">
        <v>1854</v>
      </c>
      <c r="B725">
        <v>1</v>
      </c>
      <c r="C725">
        <v>1</v>
      </c>
      <c r="D725">
        <v>1</v>
      </c>
      <c r="E725" t="s">
        <v>5132</v>
      </c>
      <c r="F725" t="s">
        <v>5132</v>
      </c>
      <c r="G725" t="s">
        <v>5132</v>
      </c>
      <c r="H725">
        <v>43</v>
      </c>
    </row>
    <row r="726" spans="1:8" x14ac:dyDescent="0.25">
      <c r="A726" t="s">
        <v>2364</v>
      </c>
      <c r="B726">
        <v>1</v>
      </c>
      <c r="C726">
        <v>1</v>
      </c>
      <c r="D726">
        <v>1</v>
      </c>
      <c r="E726" t="s">
        <v>5133</v>
      </c>
      <c r="F726" t="s">
        <v>5133</v>
      </c>
      <c r="G726" t="s">
        <v>5133</v>
      </c>
      <c r="H726">
        <v>29</v>
      </c>
    </row>
    <row r="727" spans="1:8" x14ac:dyDescent="0.25">
      <c r="A727" t="s">
        <v>2523</v>
      </c>
      <c r="B727">
        <v>1</v>
      </c>
      <c r="C727">
        <v>1</v>
      </c>
      <c r="D727">
        <v>1</v>
      </c>
      <c r="E727" t="s">
        <v>5134</v>
      </c>
      <c r="F727" t="s">
        <v>5135</v>
      </c>
      <c r="G727" t="s">
        <v>5135</v>
      </c>
      <c r="H727">
        <v>18</v>
      </c>
    </row>
    <row r="728" spans="1:8" x14ac:dyDescent="0.25">
      <c r="A728" t="s">
        <v>2051</v>
      </c>
      <c r="B728">
        <v>2</v>
      </c>
      <c r="C728">
        <v>2</v>
      </c>
      <c r="D728">
        <v>2</v>
      </c>
      <c r="E728" t="s">
        <v>5136</v>
      </c>
      <c r="F728" t="s">
        <v>5136</v>
      </c>
      <c r="G728" t="s">
        <v>4256</v>
      </c>
      <c r="H728">
        <v>81</v>
      </c>
    </row>
    <row r="729" spans="1:8" x14ac:dyDescent="0.25">
      <c r="A729" t="s">
        <v>3035</v>
      </c>
      <c r="B729">
        <v>1</v>
      </c>
      <c r="C729">
        <v>1</v>
      </c>
      <c r="D729">
        <v>1</v>
      </c>
      <c r="E729" t="s">
        <v>5137</v>
      </c>
      <c r="F729" t="s">
        <v>5137</v>
      </c>
      <c r="G729" t="s">
        <v>5137</v>
      </c>
      <c r="H729">
        <v>7</v>
      </c>
    </row>
    <row r="730" spans="1:8" x14ac:dyDescent="0.25">
      <c r="A730" t="s">
        <v>2270</v>
      </c>
      <c r="B730">
        <v>1</v>
      </c>
      <c r="C730">
        <v>1</v>
      </c>
      <c r="D730">
        <v>1</v>
      </c>
      <c r="E730" t="s">
        <v>5138</v>
      </c>
      <c r="F730" t="s">
        <v>5138</v>
      </c>
      <c r="G730" t="s">
        <v>5138</v>
      </c>
      <c r="H730">
        <v>42</v>
      </c>
    </row>
    <row r="731" spans="1:8" x14ac:dyDescent="0.25">
      <c r="A731" t="s">
        <v>2132</v>
      </c>
      <c r="B731">
        <v>1</v>
      </c>
      <c r="C731">
        <v>1</v>
      </c>
      <c r="D731">
        <v>1</v>
      </c>
      <c r="E731" t="s">
        <v>5139</v>
      </c>
      <c r="F731" t="s">
        <v>5139</v>
      </c>
      <c r="G731" t="s">
        <v>5139</v>
      </c>
      <c r="H731">
        <v>85</v>
      </c>
    </row>
    <row r="732" spans="1:8" x14ac:dyDescent="0.25">
      <c r="A732" t="s">
        <v>2407</v>
      </c>
      <c r="B732">
        <v>1</v>
      </c>
      <c r="C732">
        <v>1</v>
      </c>
      <c r="D732">
        <v>1</v>
      </c>
      <c r="E732" t="s">
        <v>5140</v>
      </c>
      <c r="F732" t="s">
        <v>5140</v>
      </c>
      <c r="G732" t="s">
        <v>5140</v>
      </c>
      <c r="H732">
        <v>50</v>
      </c>
    </row>
    <row r="733" spans="1:8" x14ac:dyDescent="0.25">
      <c r="A733" t="s">
        <v>1910</v>
      </c>
      <c r="B733">
        <v>2</v>
      </c>
      <c r="C733">
        <v>2</v>
      </c>
      <c r="D733">
        <v>2</v>
      </c>
      <c r="E733" t="s">
        <v>5141</v>
      </c>
      <c r="F733" t="s">
        <v>5141</v>
      </c>
      <c r="G733" t="s">
        <v>4256</v>
      </c>
      <c r="H733">
        <v>111</v>
      </c>
    </row>
    <row r="734" spans="1:8" x14ac:dyDescent="0.25">
      <c r="A734" t="s">
        <v>2013</v>
      </c>
      <c r="B734">
        <v>2</v>
      </c>
      <c r="C734">
        <v>2</v>
      </c>
      <c r="D734">
        <v>2</v>
      </c>
      <c r="E734" t="s">
        <v>5142</v>
      </c>
      <c r="F734" t="s">
        <v>5142</v>
      </c>
      <c r="G734" t="s">
        <v>4256</v>
      </c>
      <c r="H734">
        <v>62</v>
      </c>
    </row>
    <row r="735" spans="1:8" x14ac:dyDescent="0.25">
      <c r="A735" t="s">
        <v>2705</v>
      </c>
      <c r="B735">
        <v>3</v>
      </c>
      <c r="C735">
        <v>3</v>
      </c>
      <c r="D735">
        <v>3</v>
      </c>
      <c r="E735" t="s">
        <v>5143</v>
      </c>
      <c r="F735" t="s">
        <v>5143</v>
      </c>
      <c r="G735" t="s">
        <v>4256</v>
      </c>
      <c r="H735">
        <v>38</v>
      </c>
    </row>
    <row r="736" spans="1:8" x14ac:dyDescent="0.25">
      <c r="A736" t="s">
        <v>4038</v>
      </c>
      <c r="B736">
        <v>1</v>
      </c>
      <c r="C736">
        <v>1</v>
      </c>
      <c r="D736">
        <v>1</v>
      </c>
      <c r="E736" t="s">
        <v>5144</v>
      </c>
      <c r="F736" t="s">
        <v>5144</v>
      </c>
      <c r="G736" t="s">
        <v>5144</v>
      </c>
      <c r="H736">
        <v>2</v>
      </c>
    </row>
    <row r="737" spans="1:8" x14ac:dyDescent="0.25">
      <c r="A737" t="s">
        <v>2747</v>
      </c>
      <c r="B737">
        <v>1</v>
      </c>
      <c r="C737">
        <v>1</v>
      </c>
      <c r="D737">
        <v>1</v>
      </c>
      <c r="E737" t="s">
        <v>5145</v>
      </c>
      <c r="F737" t="s">
        <v>5145</v>
      </c>
      <c r="G737" t="s">
        <v>5145</v>
      </c>
      <c r="H737">
        <v>31</v>
      </c>
    </row>
    <row r="738" spans="1:8" x14ac:dyDescent="0.25">
      <c r="A738" t="s">
        <v>1770</v>
      </c>
      <c r="B738">
        <v>1</v>
      </c>
      <c r="C738">
        <v>1</v>
      </c>
      <c r="D738">
        <v>1</v>
      </c>
      <c r="E738" t="s">
        <v>5146</v>
      </c>
      <c r="F738" t="s">
        <v>5146</v>
      </c>
      <c r="G738" t="s">
        <v>5146</v>
      </c>
      <c r="H738">
        <v>70</v>
      </c>
    </row>
    <row r="739" spans="1:8" x14ac:dyDescent="0.25">
      <c r="A739" t="s">
        <v>2072</v>
      </c>
      <c r="B739">
        <v>1</v>
      </c>
      <c r="C739">
        <v>1</v>
      </c>
      <c r="D739">
        <v>1</v>
      </c>
      <c r="E739" t="s">
        <v>5147</v>
      </c>
      <c r="F739" t="s">
        <v>5147</v>
      </c>
      <c r="G739" t="s">
        <v>5147</v>
      </c>
      <c r="H739">
        <v>140</v>
      </c>
    </row>
    <row r="740" spans="1:8" x14ac:dyDescent="0.25">
      <c r="A740" t="s">
        <v>2832</v>
      </c>
      <c r="B740">
        <v>1</v>
      </c>
      <c r="C740">
        <v>1</v>
      </c>
      <c r="D740">
        <v>1</v>
      </c>
      <c r="E740" t="s">
        <v>5148</v>
      </c>
      <c r="F740" t="s">
        <v>5148</v>
      </c>
      <c r="G740" t="s">
        <v>5148</v>
      </c>
      <c r="H740">
        <v>14</v>
      </c>
    </row>
    <row r="741" spans="1:8" x14ac:dyDescent="0.25">
      <c r="A741" t="s">
        <v>5149</v>
      </c>
      <c r="B741">
        <v>0</v>
      </c>
      <c r="C741">
        <v>0</v>
      </c>
      <c r="D741">
        <v>0</v>
      </c>
      <c r="G741" t="s">
        <v>4256</v>
      </c>
      <c r="H741">
        <v>1</v>
      </c>
    </row>
    <row r="742" spans="1:8" x14ac:dyDescent="0.25">
      <c r="A742" t="s">
        <v>2323</v>
      </c>
      <c r="B742">
        <v>2</v>
      </c>
      <c r="C742">
        <v>2</v>
      </c>
      <c r="D742">
        <v>2</v>
      </c>
      <c r="E742" t="s">
        <v>5150</v>
      </c>
      <c r="F742" t="s">
        <v>5150</v>
      </c>
      <c r="G742" t="s">
        <v>4256</v>
      </c>
      <c r="H742">
        <v>63</v>
      </c>
    </row>
    <row r="743" spans="1:8" x14ac:dyDescent="0.25">
      <c r="A743" t="s">
        <v>3355</v>
      </c>
      <c r="B743">
        <v>1</v>
      </c>
      <c r="C743">
        <v>1</v>
      </c>
      <c r="D743">
        <v>1</v>
      </c>
      <c r="E743" t="s">
        <v>5151</v>
      </c>
      <c r="F743" t="s">
        <v>5151</v>
      </c>
      <c r="G743" t="s">
        <v>5151</v>
      </c>
      <c r="H743">
        <v>6</v>
      </c>
    </row>
    <row r="744" spans="1:8" x14ac:dyDescent="0.25">
      <c r="A744" t="s">
        <v>2422</v>
      </c>
      <c r="B744">
        <v>2</v>
      </c>
      <c r="C744">
        <v>2</v>
      </c>
      <c r="D744">
        <v>2</v>
      </c>
      <c r="E744" t="s">
        <v>5152</v>
      </c>
      <c r="F744" t="s">
        <v>5153</v>
      </c>
      <c r="G744" t="s">
        <v>4256</v>
      </c>
      <c r="H744">
        <v>48</v>
      </c>
    </row>
    <row r="745" spans="1:8" x14ac:dyDescent="0.25">
      <c r="A745" t="s">
        <v>2799</v>
      </c>
      <c r="B745">
        <v>1</v>
      </c>
      <c r="C745">
        <v>1</v>
      </c>
      <c r="D745">
        <v>1</v>
      </c>
      <c r="E745" t="s">
        <v>5154</v>
      </c>
      <c r="F745" t="s">
        <v>5155</v>
      </c>
      <c r="G745" t="s">
        <v>5155</v>
      </c>
      <c r="H745">
        <v>17</v>
      </c>
    </row>
    <row r="746" spans="1:8" x14ac:dyDescent="0.25">
      <c r="A746" t="s">
        <v>790</v>
      </c>
      <c r="B746">
        <v>1</v>
      </c>
      <c r="C746">
        <v>1</v>
      </c>
      <c r="D746">
        <v>1</v>
      </c>
      <c r="E746" t="s">
        <v>5156</v>
      </c>
      <c r="F746" t="s">
        <v>5156</v>
      </c>
      <c r="G746" t="s">
        <v>5156</v>
      </c>
      <c r="H746">
        <v>242</v>
      </c>
    </row>
    <row r="747" spans="1:8" x14ac:dyDescent="0.25">
      <c r="A747" t="s">
        <v>3711</v>
      </c>
      <c r="B747">
        <v>1</v>
      </c>
      <c r="C747">
        <v>1</v>
      </c>
      <c r="D747">
        <v>1</v>
      </c>
      <c r="E747" t="s">
        <v>5157</v>
      </c>
      <c r="F747" t="s">
        <v>5157</v>
      </c>
      <c r="G747" t="s">
        <v>5157</v>
      </c>
      <c r="H747">
        <v>6</v>
      </c>
    </row>
    <row r="748" spans="1:8" x14ac:dyDescent="0.25">
      <c r="A748" t="s">
        <v>2260</v>
      </c>
      <c r="B748">
        <v>1</v>
      </c>
      <c r="C748">
        <v>1</v>
      </c>
      <c r="D748">
        <v>1</v>
      </c>
      <c r="E748" t="s">
        <v>5158</v>
      </c>
      <c r="F748" t="s">
        <v>5158</v>
      </c>
      <c r="G748" t="s">
        <v>5158</v>
      </c>
      <c r="H748">
        <v>28</v>
      </c>
    </row>
    <row r="749" spans="1:8" x14ac:dyDescent="0.25">
      <c r="A749" t="s">
        <v>2558</v>
      </c>
      <c r="B749">
        <v>1</v>
      </c>
      <c r="C749">
        <v>1</v>
      </c>
      <c r="D749">
        <v>1</v>
      </c>
      <c r="E749" t="s">
        <v>5159</v>
      </c>
      <c r="F749" t="s">
        <v>5159</v>
      </c>
      <c r="G749" t="s">
        <v>5159</v>
      </c>
      <c r="H749">
        <v>21</v>
      </c>
    </row>
    <row r="750" spans="1:8" x14ac:dyDescent="0.25">
      <c r="A750" t="s">
        <v>2671</v>
      </c>
      <c r="B750">
        <v>1</v>
      </c>
      <c r="C750">
        <v>1</v>
      </c>
      <c r="D750">
        <v>1</v>
      </c>
      <c r="E750" t="s">
        <v>5160</v>
      </c>
      <c r="F750" t="s">
        <v>5160</v>
      </c>
      <c r="G750" t="s">
        <v>5160</v>
      </c>
      <c r="H750">
        <v>43</v>
      </c>
    </row>
    <row r="751" spans="1:8" x14ac:dyDescent="0.25">
      <c r="A751" t="s">
        <v>3584</v>
      </c>
      <c r="B751">
        <v>1</v>
      </c>
      <c r="C751">
        <v>1</v>
      </c>
      <c r="D751">
        <v>1</v>
      </c>
      <c r="E751" t="s">
        <v>5161</v>
      </c>
      <c r="F751" t="s">
        <v>5161</v>
      </c>
      <c r="G751" t="s">
        <v>5161</v>
      </c>
      <c r="H751">
        <v>6</v>
      </c>
    </row>
    <row r="752" spans="1:8" x14ac:dyDescent="0.25">
      <c r="A752" t="s">
        <v>449</v>
      </c>
      <c r="B752">
        <v>1</v>
      </c>
      <c r="C752">
        <v>1</v>
      </c>
      <c r="D752">
        <v>1</v>
      </c>
      <c r="E752" t="s">
        <v>5162</v>
      </c>
      <c r="F752" t="s">
        <v>5162</v>
      </c>
      <c r="G752" t="s">
        <v>5162</v>
      </c>
      <c r="H752">
        <v>458</v>
      </c>
    </row>
    <row r="753" spans="1:8" x14ac:dyDescent="0.25">
      <c r="A753" t="s">
        <v>466</v>
      </c>
      <c r="B753">
        <v>1</v>
      </c>
      <c r="C753">
        <v>1</v>
      </c>
      <c r="D753">
        <v>1</v>
      </c>
      <c r="E753" t="s">
        <v>5163</v>
      </c>
      <c r="F753" t="s">
        <v>5163</v>
      </c>
      <c r="G753" t="s">
        <v>5163</v>
      </c>
      <c r="H753">
        <v>451</v>
      </c>
    </row>
    <row r="754" spans="1:8" x14ac:dyDescent="0.25">
      <c r="A754" t="s">
        <v>539</v>
      </c>
      <c r="B754">
        <v>1</v>
      </c>
      <c r="C754">
        <v>1</v>
      </c>
      <c r="D754">
        <v>1</v>
      </c>
      <c r="E754" t="s">
        <v>5164</v>
      </c>
      <c r="F754" t="s">
        <v>5164</v>
      </c>
      <c r="G754" t="s">
        <v>5164</v>
      </c>
      <c r="H754">
        <v>390</v>
      </c>
    </row>
    <row r="755" spans="1:8" x14ac:dyDescent="0.25">
      <c r="A755" t="s">
        <v>543</v>
      </c>
      <c r="B755">
        <v>1</v>
      </c>
      <c r="C755">
        <v>1</v>
      </c>
      <c r="D755">
        <v>1</v>
      </c>
      <c r="E755" t="s">
        <v>5165</v>
      </c>
      <c r="F755" t="s">
        <v>5165</v>
      </c>
      <c r="G755" t="s">
        <v>5165</v>
      </c>
      <c r="H755">
        <v>388</v>
      </c>
    </row>
    <row r="756" spans="1:8" x14ac:dyDescent="0.25">
      <c r="A756" t="s">
        <v>498</v>
      </c>
      <c r="B756">
        <v>1</v>
      </c>
      <c r="C756">
        <v>1</v>
      </c>
      <c r="D756">
        <v>1</v>
      </c>
      <c r="E756" t="s">
        <v>5166</v>
      </c>
      <c r="F756" t="s">
        <v>5166</v>
      </c>
      <c r="G756" t="s">
        <v>5166</v>
      </c>
      <c r="H756">
        <v>426</v>
      </c>
    </row>
    <row r="757" spans="1:8" x14ac:dyDescent="0.25">
      <c r="A757" t="s">
        <v>544</v>
      </c>
      <c r="B757">
        <v>1</v>
      </c>
      <c r="C757">
        <v>1</v>
      </c>
      <c r="D757">
        <v>1</v>
      </c>
      <c r="E757" t="s">
        <v>5167</v>
      </c>
      <c r="F757" t="s">
        <v>5167</v>
      </c>
      <c r="G757" t="s">
        <v>5167</v>
      </c>
      <c r="H757">
        <v>386</v>
      </c>
    </row>
    <row r="758" spans="1:8" x14ac:dyDescent="0.25">
      <c r="A758" t="s">
        <v>2231</v>
      </c>
      <c r="B758">
        <v>1</v>
      </c>
      <c r="C758">
        <v>1</v>
      </c>
      <c r="D758">
        <v>1</v>
      </c>
      <c r="E758" t="s">
        <v>5168</v>
      </c>
      <c r="F758" t="s">
        <v>5168</v>
      </c>
      <c r="G758" t="s">
        <v>5168</v>
      </c>
      <c r="H758">
        <v>112</v>
      </c>
    </row>
    <row r="759" spans="1:8" x14ac:dyDescent="0.25">
      <c r="A759" t="s">
        <v>2755</v>
      </c>
      <c r="B759">
        <v>1</v>
      </c>
      <c r="C759">
        <v>1</v>
      </c>
      <c r="D759">
        <v>1</v>
      </c>
      <c r="E759" t="s">
        <v>5169</v>
      </c>
      <c r="F759" t="s">
        <v>5169</v>
      </c>
      <c r="G759" t="s">
        <v>5169</v>
      </c>
      <c r="H759">
        <v>61</v>
      </c>
    </row>
    <row r="760" spans="1:8" x14ac:dyDescent="0.25">
      <c r="A760" t="s">
        <v>2019</v>
      </c>
      <c r="B760">
        <v>1</v>
      </c>
      <c r="C760">
        <v>1</v>
      </c>
      <c r="D760">
        <v>1</v>
      </c>
      <c r="E760" t="s">
        <v>5170</v>
      </c>
      <c r="F760" t="s">
        <v>5170</v>
      </c>
      <c r="G760" t="s">
        <v>5170</v>
      </c>
      <c r="H760">
        <v>120</v>
      </c>
    </row>
    <row r="761" spans="1:8" x14ac:dyDescent="0.25">
      <c r="A761" t="s">
        <v>3121</v>
      </c>
      <c r="B761">
        <v>1</v>
      </c>
      <c r="C761">
        <v>1</v>
      </c>
      <c r="D761">
        <v>1</v>
      </c>
      <c r="E761" t="s">
        <v>5171</v>
      </c>
      <c r="F761" t="s">
        <v>5171</v>
      </c>
      <c r="G761" t="s">
        <v>5171</v>
      </c>
      <c r="H761">
        <v>32</v>
      </c>
    </row>
    <row r="762" spans="1:8" x14ac:dyDescent="0.25">
      <c r="A762" t="s">
        <v>1737</v>
      </c>
      <c r="B762">
        <v>1</v>
      </c>
      <c r="C762">
        <v>1</v>
      </c>
      <c r="D762">
        <v>1</v>
      </c>
      <c r="E762" t="s">
        <v>5172</v>
      </c>
      <c r="F762" t="s">
        <v>5172</v>
      </c>
      <c r="G762" t="s">
        <v>5172</v>
      </c>
      <c r="H762">
        <v>138</v>
      </c>
    </row>
    <row r="763" spans="1:8" x14ac:dyDescent="0.25">
      <c r="A763" t="s">
        <v>1949</v>
      </c>
      <c r="B763">
        <v>1</v>
      </c>
      <c r="C763">
        <v>1</v>
      </c>
      <c r="D763">
        <v>1</v>
      </c>
      <c r="E763" t="s">
        <v>5173</v>
      </c>
      <c r="F763" t="s">
        <v>5173</v>
      </c>
      <c r="G763" t="s">
        <v>5173</v>
      </c>
      <c r="H763">
        <v>103</v>
      </c>
    </row>
    <row r="764" spans="1:8" x14ac:dyDescent="0.25">
      <c r="A764" t="s">
        <v>3695</v>
      </c>
      <c r="B764">
        <v>1</v>
      </c>
      <c r="C764">
        <v>1</v>
      </c>
      <c r="D764">
        <v>1</v>
      </c>
      <c r="E764" t="s">
        <v>5174</v>
      </c>
      <c r="F764" t="s">
        <v>5175</v>
      </c>
      <c r="G764" t="s">
        <v>5175</v>
      </c>
      <c r="H764">
        <v>3</v>
      </c>
    </row>
    <row r="765" spans="1:8" x14ac:dyDescent="0.25">
      <c r="A765" t="s">
        <v>1818</v>
      </c>
      <c r="B765">
        <v>2</v>
      </c>
      <c r="C765">
        <v>2</v>
      </c>
      <c r="D765">
        <v>2</v>
      </c>
      <c r="E765" t="s">
        <v>5176</v>
      </c>
      <c r="F765" t="s">
        <v>5177</v>
      </c>
      <c r="G765" t="s">
        <v>4256</v>
      </c>
      <c r="H765">
        <v>58</v>
      </c>
    </row>
    <row r="766" spans="1:8" x14ac:dyDescent="0.25">
      <c r="A766" t="s">
        <v>1804</v>
      </c>
      <c r="B766">
        <v>1</v>
      </c>
      <c r="C766">
        <v>1</v>
      </c>
      <c r="D766">
        <v>1</v>
      </c>
      <c r="E766" t="s">
        <v>5178</v>
      </c>
      <c r="F766" t="s">
        <v>5179</v>
      </c>
      <c r="G766" t="s">
        <v>5179</v>
      </c>
      <c r="H766">
        <v>59</v>
      </c>
    </row>
    <row r="767" spans="1:8" x14ac:dyDescent="0.25">
      <c r="A767" t="s">
        <v>2166</v>
      </c>
      <c r="B767">
        <v>1</v>
      </c>
      <c r="C767">
        <v>1</v>
      </c>
      <c r="D767">
        <v>1</v>
      </c>
      <c r="E767" t="s">
        <v>5180</v>
      </c>
      <c r="F767" t="s">
        <v>5181</v>
      </c>
      <c r="G767" t="s">
        <v>5181</v>
      </c>
      <c r="H767">
        <v>49</v>
      </c>
    </row>
    <row r="768" spans="1:8" x14ac:dyDescent="0.25">
      <c r="A768" t="s">
        <v>1517</v>
      </c>
      <c r="B768">
        <v>1</v>
      </c>
      <c r="C768">
        <v>1</v>
      </c>
      <c r="D768">
        <v>1</v>
      </c>
      <c r="E768" t="s">
        <v>5182</v>
      </c>
      <c r="F768" t="s">
        <v>5182</v>
      </c>
      <c r="G768" t="s">
        <v>5182</v>
      </c>
      <c r="H768">
        <v>22</v>
      </c>
    </row>
    <row r="769" spans="1:8" x14ac:dyDescent="0.25">
      <c r="A769" t="s">
        <v>1684</v>
      </c>
      <c r="B769">
        <v>2</v>
      </c>
      <c r="C769">
        <v>2</v>
      </c>
      <c r="D769">
        <v>2</v>
      </c>
      <c r="E769" t="s">
        <v>5183</v>
      </c>
      <c r="F769" t="s">
        <v>5183</v>
      </c>
      <c r="G769" t="s">
        <v>4256</v>
      </c>
      <c r="H769">
        <v>58</v>
      </c>
    </row>
    <row r="770" spans="1:8" x14ac:dyDescent="0.25">
      <c r="A770" t="s">
        <v>2529</v>
      </c>
      <c r="B770">
        <v>2</v>
      </c>
      <c r="C770">
        <v>2</v>
      </c>
      <c r="D770">
        <v>2</v>
      </c>
      <c r="E770" t="s">
        <v>5184</v>
      </c>
      <c r="F770" t="s">
        <v>5184</v>
      </c>
      <c r="G770" t="s">
        <v>4256</v>
      </c>
      <c r="H770">
        <v>27</v>
      </c>
    </row>
    <row r="771" spans="1:8" x14ac:dyDescent="0.25">
      <c r="A771" t="s">
        <v>3205</v>
      </c>
      <c r="B771">
        <v>1</v>
      </c>
      <c r="C771">
        <v>1</v>
      </c>
      <c r="D771">
        <v>1</v>
      </c>
      <c r="E771" t="s">
        <v>5185</v>
      </c>
      <c r="F771" t="s">
        <v>5186</v>
      </c>
      <c r="G771" t="s">
        <v>5186</v>
      </c>
      <c r="H771">
        <v>11</v>
      </c>
    </row>
    <row r="772" spans="1:8" x14ac:dyDescent="0.25">
      <c r="A772" t="s">
        <v>3333</v>
      </c>
      <c r="B772">
        <v>1</v>
      </c>
      <c r="C772">
        <v>1</v>
      </c>
      <c r="D772">
        <v>1</v>
      </c>
      <c r="E772" t="s">
        <v>5187</v>
      </c>
      <c r="F772" t="s">
        <v>5187</v>
      </c>
      <c r="G772" t="s">
        <v>5187</v>
      </c>
      <c r="H772">
        <v>10</v>
      </c>
    </row>
    <row r="773" spans="1:8" x14ac:dyDescent="0.25">
      <c r="A773" t="s">
        <v>1640</v>
      </c>
      <c r="B773">
        <v>2</v>
      </c>
      <c r="C773">
        <v>2</v>
      </c>
      <c r="D773">
        <v>2</v>
      </c>
      <c r="E773" t="s">
        <v>5188</v>
      </c>
      <c r="F773" t="s">
        <v>5189</v>
      </c>
      <c r="G773" t="s">
        <v>4256</v>
      </c>
      <c r="H773">
        <v>53</v>
      </c>
    </row>
    <row r="774" spans="1:8" x14ac:dyDescent="0.25">
      <c r="A774" t="s">
        <v>1901</v>
      </c>
      <c r="B774">
        <v>1</v>
      </c>
      <c r="C774">
        <v>1</v>
      </c>
      <c r="D774">
        <v>1</v>
      </c>
      <c r="E774" t="s">
        <v>5190</v>
      </c>
      <c r="F774" t="s">
        <v>5191</v>
      </c>
      <c r="G774" t="s">
        <v>5191</v>
      </c>
      <c r="H774">
        <v>24</v>
      </c>
    </row>
    <row r="775" spans="1:8" x14ac:dyDescent="0.25">
      <c r="A775" t="s">
        <v>1874</v>
      </c>
      <c r="B775">
        <v>1</v>
      </c>
      <c r="C775">
        <v>1</v>
      </c>
      <c r="D775">
        <v>1</v>
      </c>
      <c r="E775" t="s">
        <v>5192</v>
      </c>
      <c r="F775" t="s">
        <v>5192</v>
      </c>
      <c r="G775" t="s">
        <v>5192</v>
      </c>
      <c r="H775">
        <v>42</v>
      </c>
    </row>
    <row r="776" spans="1:8" x14ac:dyDescent="0.25">
      <c r="A776" t="s">
        <v>2075</v>
      </c>
      <c r="B776">
        <v>1</v>
      </c>
      <c r="C776">
        <v>1</v>
      </c>
      <c r="D776">
        <v>1</v>
      </c>
      <c r="E776" t="s">
        <v>5193</v>
      </c>
      <c r="F776" t="s">
        <v>5193</v>
      </c>
      <c r="G776" t="s">
        <v>5193</v>
      </c>
      <c r="H776">
        <v>36</v>
      </c>
    </row>
    <row r="777" spans="1:8" x14ac:dyDescent="0.25">
      <c r="A777" t="s">
        <v>2943</v>
      </c>
      <c r="B777">
        <v>1</v>
      </c>
      <c r="C777">
        <v>1</v>
      </c>
      <c r="D777">
        <v>1</v>
      </c>
      <c r="E777" t="s">
        <v>5194</v>
      </c>
      <c r="F777" t="s">
        <v>5194</v>
      </c>
      <c r="G777" t="s">
        <v>5194</v>
      </c>
      <c r="H777">
        <v>45</v>
      </c>
    </row>
    <row r="778" spans="1:8" x14ac:dyDescent="0.25">
      <c r="A778" t="s">
        <v>1074</v>
      </c>
      <c r="B778">
        <v>3</v>
      </c>
      <c r="C778">
        <v>3</v>
      </c>
      <c r="D778">
        <v>3</v>
      </c>
      <c r="E778" t="s">
        <v>5195</v>
      </c>
      <c r="F778" t="s">
        <v>5195</v>
      </c>
      <c r="G778" t="s">
        <v>4256</v>
      </c>
      <c r="H778">
        <v>204</v>
      </c>
    </row>
    <row r="779" spans="1:8" x14ac:dyDescent="0.25">
      <c r="A779" t="s">
        <v>824</v>
      </c>
      <c r="B779">
        <v>1</v>
      </c>
      <c r="C779">
        <v>1</v>
      </c>
      <c r="D779">
        <v>1</v>
      </c>
      <c r="E779" t="s">
        <v>5196</v>
      </c>
      <c r="F779" t="s">
        <v>5196</v>
      </c>
      <c r="G779" t="s">
        <v>5196</v>
      </c>
      <c r="H779">
        <v>304</v>
      </c>
    </row>
    <row r="780" spans="1:8" x14ac:dyDescent="0.25">
      <c r="A780" t="s">
        <v>742</v>
      </c>
      <c r="B780">
        <v>1</v>
      </c>
      <c r="C780">
        <v>1</v>
      </c>
      <c r="D780">
        <v>1</v>
      </c>
      <c r="E780" t="s">
        <v>5197</v>
      </c>
      <c r="F780" t="s">
        <v>5197</v>
      </c>
      <c r="G780" t="s">
        <v>5197</v>
      </c>
      <c r="H780">
        <v>252</v>
      </c>
    </row>
    <row r="781" spans="1:8" x14ac:dyDescent="0.25">
      <c r="A781" t="s">
        <v>1449</v>
      </c>
      <c r="B781">
        <v>1</v>
      </c>
      <c r="C781">
        <v>1</v>
      </c>
      <c r="D781">
        <v>1</v>
      </c>
      <c r="E781" t="s">
        <v>5198</v>
      </c>
      <c r="F781" t="s">
        <v>5198</v>
      </c>
      <c r="G781" t="s">
        <v>5198</v>
      </c>
      <c r="H781">
        <v>146</v>
      </c>
    </row>
    <row r="782" spans="1:8" x14ac:dyDescent="0.25">
      <c r="A782" t="s">
        <v>1359</v>
      </c>
      <c r="B782">
        <v>1</v>
      </c>
      <c r="C782">
        <v>1</v>
      </c>
      <c r="D782">
        <v>1</v>
      </c>
      <c r="E782" t="s">
        <v>5199</v>
      </c>
      <c r="F782" t="s">
        <v>5199</v>
      </c>
      <c r="G782" t="s">
        <v>5199</v>
      </c>
      <c r="H782">
        <v>121</v>
      </c>
    </row>
    <row r="783" spans="1:8" x14ac:dyDescent="0.25">
      <c r="A783" t="s">
        <v>1981</v>
      </c>
      <c r="B783">
        <v>1</v>
      </c>
      <c r="C783">
        <v>1</v>
      </c>
      <c r="D783">
        <v>1</v>
      </c>
      <c r="E783" t="s">
        <v>5200</v>
      </c>
      <c r="F783" t="s">
        <v>5200</v>
      </c>
      <c r="G783" t="s">
        <v>5200</v>
      </c>
      <c r="H783">
        <v>74</v>
      </c>
    </row>
    <row r="784" spans="1:8" x14ac:dyDescent="0.25">
      <c r="A784" t="s">
        <v>1882</v>
      </c>
      <c r="B784">
        <v>1</v>
      </c>
      <c r="C784">
        <v>1</v>
      </c>
      <c r="D784">
        <v>1</v>
      </c>
      <c r="E784" t="s">
        <v>5201</v>
      </c>
      <c r="F784" t="s">
        <v>5201</v>
      </c>
      <c r="G784" t="s">
        <v>5201</v>
      </c>
      <c r="H784">
        <v>66</v>
      </c>
    </row>
    <row r="785" spans="1:8" x14ac:dyDescent="0.25">
      <c r="A785" t="s">
        <v>2187</v>
      </c>
      <c r="B785">
        <v>1</v>
      </c>
      <c r="C785">
        <v>1</v>
      </c>
      <c r="D785">
        <v>1</v>
      </c>
      <c r="E785" t="s">
        <v>5202</v>
      </c>
      <c r="F785" t="s">
        <v>5202</v>
      </c>
      <c r="G785" t="s">
        <v>5202</v>
      </c>
      <c r="H785">
        <v>59</v>
      </c>
    </row>
    <row r="786" spans="1:8" x14ac:dyDescent="0.25">
      <c r="A786" t="s">
        <v>2337</v>
      </c>
      <c r="B786">
        <v>1</v>
      </c>
      <c r="C786">
        <v>1</v>
      </c>
      <c r="D786">
        <v>1</v>
      </c>
      <c r="E786" t="s">
        <v>5203</v>
      </c>
      <c r="F786" t="s">
        <v>5203</v>
      </c>
      <c r="G786" t="s">
        <v>5203</v>
      </c>
      <c r="H786">
        <v>45</v>
      </c>
    </row>
    <row r="787" spans="1:8" x14ac:dyDescent="0.25">
      <c r="A787" t="s">
        <v>2318</v>
      </c>
      <c r="B787">
        <v>1</v>
      </c>
      <c r="C787">
        <v>1</v>
      </c>
      <c r="D787">
        <v>1</v>
      </c>
      <c r="E787" t="s">
        <v>5204</v>
      </c>
      <c r="F787" t="s">
        <v>5204</v>
      </c>
      <c r="G787" t="s">
        <v>5204</v>
      </c>
      <c r="H787">
        <v>36</v>
      </c>
    </row>
    <row r="788" spans="1:8" x14ac:dyDescent="0.25">
      <c r="A788" t="s">
        <v>1263</v>
      </c>
      <c r="B788">
        <v>1</v>
      </c>
      <c r="C788">
        <v>1</v>
      </c>
      <c r="D788">
        <v>1</v>
      </c>
      <c r="E788" t="s">
        <v>5205</v>
      </c>
      <c r="F788" t="s">
        <v>5205</v>
      </c>
      <c r="G788" t="s">
        <v>5205</v>
      </c>
      <c r="H788">
        <v>167</v>
      </c>
    </row>
    <row r="789" spans="1:8" x14ac:dyDescent="0.25">
      <c r="A789" t="s">
        <v>914</v>
      </c>
      <c r="B789">
        <v>1</v>
      </c>
      <c r="C789">
        <v>1</v>
      </c>
      <c r="D789">
        <v>1</v>
      </c>
      <c r="E789" t="s">
        <v>5206</v>
      </c>
      <c r="F789" t="s">
        <v>5206</v>
      </c>
      <c r="G789" t="s">
        <v>5206</v>
      </c>
      <c r="H789">
        <v>233</v>
      </c>
    </row>
    <row r="790" spans="1:8" x14ac:dyDescent="0.25">
      <c r="A790" t="s">
        <v>828</v>
      </c>
      <c r="B790">
        <v>1</v>
      </c>
      <c r="C790">
        <v>1</v>
      </c>
      <c r="D790">
        <v>1</v>
      </c>
      <c r="E790" t="s">
        <v>5207</v>
      </c>
      <c r="F790" t="s">
        <v>5207</v>
      </c>
      <c r="G790" t="s">
        <v>5207</v>
      </c>
      <c r="H790">
        <v>232</v>
      </c>
    </row>
    <row r="791" spans="1:8" x14ac:dyDescent="0.25">
      <c r="A791" t="s">
        <v>759</v>
      </c>
      <c r="B791">
        <v>1</v>
      </c>
      <c r="C791">
        <v>1</v>
      </c>
      <c r="D791">
        <v>1</v>
      </c>
      <c r="E791" t="s">
        <v>5208</v>
      </c>
      <c r="F791" t="s">
        <v>5208</v>
      </c>
      <c r="G791" t="s">
        <v>5208</v>
      </c>
      <c r="H791">
        <v>247</v>
      </c>
    </row>
    <row r="792" spans="1:8" x14ac:dyDescent="0.25">
      <c r="A792" t="s">
        <v>1806</v>
      </c>
      <c r="B792">
        <v>1</v>
      </c>
      <c r="C792">
        <v>1</v>
      </c>
      <c r="D792">
        <v>1</v>
      </c>
      <c r="E792" t="s">
        <v>5209</v>
      </c>
      <c r="F792" t="s">
        <v>5209</v>
      </c>
      <c r="G792" t="s">
        <v>5209</v>
      </c>
      <c r="H792">
        <v>43</v>
      </c>
    </row>
    <row r="793" spans="1:8" x14ac:dyDescent="0.25">
      <c r="A793" t="s">
        <v>1150</v>
      </c>
      <c r="B793">
        <v>1</v>
      </c>
      <c r="C793">
        <v>1</v>
      </c>
      <c r="D793">
        <v>1</v>
      </c>
      <c r="E793" t="s">
        <v>5210</v>
      </c>
      <c r="F793" t="s">
        <v>5211</v>
      </c>
      <c r="G793" t="s">
        <v>5211</v>
      </c>
      <c r="H793">
        <v>232</v>
      </c>
    </row>
    <row r="794" spans="1:8" x14ac:dyDescent="0.25">
      <c r="A794" t="s">
        <v>2637</v>
      </c>
      <c r="B794">
        <v>1</v>
      </c>
      <c r="C794">
        <v>1</v>
      </c>
      <c r="D794">
        <v>1</v>
      </c>
      <c r="E794" t="s">
        <v>5212</v>
      </c>
      <c r="F794" t="s">
        <v>5212</v>
      </c>
      <c r="G794" t="s">
        <v>5212</v>
      </c>
      <c r="H794">
        <v>59</v>
      </c>
    </row>
    <row r="795" spans="1:8" x14ac:dyDescent="0.25">
      <c r="A795" t="s">
        <v>3440</v>
      </c>
      <c r="B795">
        <v>1</v>
      </c>
      <c r="C795">
        <v>1</v>
      </c>
      <c r="D795">
        <v>1</v>
      </c>
      <c r="E795" t="s">
        <v>5213</v>
      </c>
      <c r="F795" t="s">
        <v>5213</v>
      </c>
      <c r="G795" t="s">
        <v>5213</v>
      </c>
      <c r="H795">
        <v>8</v>
      </c>
    </row>
    <row r="796" spans="1:8" x14ac:dyDescent="0.25">
      <c r="A796" t="s">
        <v>2903</v>
      </c>
      <c r="B796">
        <v>1</v>
      </c>
      <c r="C796">
        <v>1</v>
      </c>
      <c r="D796">
        <v>1</v>
      </c>
      <c r="E796" t="s">
        <v>5214</v>
      </c>
      <c r="F796" t="s">
        <v>5214</v>
      </c>
      <c r="G796" t="s">
        <v>5214</v>
      </c>
      <c r="H796">
        <v>35</v>
      </c>
    </row>
    <row r="797" spans="1:8" x14ac:dyDescent="0.25">
      <c r="A797" t="s">
        <v>3181</v>
      </c>
      <c r="B797">
        <v>1</v>
      </c>
      <c r="C797">
        <v>1</v>
      </c>
      <c r="D797">
        <v>1</v>
      </c>
      <c r="E797" t="s">
        <v>5215</v>
      </c>
      <c r="F797" t="s">
        <v>5215</v>
      </c>
      <c r="G797" t="s">
        <v>5215</v>
      </c>
      <c r="H797">
        <v>37</v>
      </c>
    </row>
    <row r="798" spans="1:8" x14ac:dyDescent="0.25">
      <c r="A798" t="s">
        <v>2559</v>
      </c>
      <c r="B798">
        <v>1</v>
      </c>
      <c r="C798">
        <v>1</v>
      </c>
      <c r="D798">
        <v>1</v>
      </c>
      <c r="E798" t="s">
        <v>5216</v>
      </c>
      <c r="F798" t="s">
        <v>5216</v>
      </c>
      <c r="G798" t="s">
        <v>5216</v>
      </c>
      <c r="H798">
        <v>61</v>
      </c>
    </row>
    <row r="799" spans="1:8" x14ac:dyDescent="0.25">
      <c r="A799" t="s">
        <v>2555</v>
      </c>
      <c r="B799">
        <v>1</v>
      </c>
      <c r="C799">
        <v>1</v>
      </c>
      <c r="D799">
        <v>1</v>
      </c>
      <c r="E799" t="s">
        <v>5217</v>
      </c>
      <c r="F799" t="s">
        <v>5217</v>
      </c>
      <c r="G799" t="s">
        <v>5217</v>
      </c>
      <c r="H799">
        <v>81</v>
      </c>
    </row>
    <row r="800" spans="1:8" x14ac:dyDescent="0.25">
      <c r="A800" t="s">
        <v>2681</v>
      </c>
      <c r="B800">
        <v>1</v>
      </c>
      <c r="C800">
        <v>1</v>
      </c>
      <c r="D800">
        <v>1</v>
      </c>
      <c r="E800" t="s">
        <v>5218</v>
      </c>
      <c r="F800" t="s">
        <v>5218</v>
      </c>
      <c r="G800" t="s">
        <v>5218</v>
      </c>
      <c r="H800">
        <v>50</v>
      </c>
    </row>
    <row r="801" spans="1:8" x14ac:dyDescent="0.25">
      <c r="A801" t="s">
        <v>2836</v>
      </c>
      <c r="B801">
        <v>1</v>
      </c>
      <c r="C801">
        <v>1</v>
      </c>
      <c r="D801">
        <v>1</v>
      </c>
      <c r="E801" t="s">
        <v>5219</v>
      </c>
      <c r="F801" t="s">
        <v>5219</v>
      </c>
      <c r="G801" t="s">
        <v>5219</v>
      </c>
      <c r="H801">
        <v>42</v>
      </c>
    </row>
    <row r="802" spans="1:8" x14ac:dyDescent="0.25">
      <c r="A802" t="s">
        <v>1027</v>
      </c>
      <c r="B802">
        <v>1</v>
      </c>
      <c r="C802">
        <v>1</v>
      </c>
      <c r="D802">
        <v>1</v>
      </c>
      <c r="E802" t="s">
        <v>5220</v>
      </c>
      <c r="F802" t="s">
        <v>5220</v>
      </c>
      <c r="G802" t="s">
        <v>5220</v>
      </c>
      <c r="H802">
        <v>141</v>
      </c>
    </row>
    <row r="803" spans="1:8" x14ac:dyDescent="0.25">
      <c r="A803" t="s">
        <v>185</v>
      </c>
      <c r="B803">
        <v>1</v>
      </c>
      <c r="C803">
        <v>1</v>
      </c>
      <c r="D803">
        <v>1</v>
      </c>
      <c r="E803" t="s">
        <v>5221</v>
      </c>
      <c r="F803" t="s">
        <v>5221</v>
      </c>
      <c r="G803" t="s">
        <v>5221</v>
      </c>
      <c r="H803">
        <v>874</v>
      </c>
    </row>
    <row r="804" spans="1:8" x14ac:dyDescent="0.25">
      <c r="A804" t="s">
        <v>190</v>
      </c>
      <c r="B804">
        <v>1</v>
      </c>
      <c r="C804">
        <v>1</v>
      </c>
      <c r="D804">
        <v>1</v>
      </c>
      <c r="E804" t="s">
        <v>5222</v>
      </c>
      <c r="F804" t="s">
        <v>5222</v>
      </c>
      <c r="G804" t="s">
        <v>5222</v>
      </c>
      <c r="H804">
        <v>773</v>
      </c>
    </row>
    <row r="805" spans="1:8" x14ac:dyDescent="0.25">
      <c r="A805" t="s">
        <v>1017</v>
      </c>
      <c r="B805">
        <v>2</v>
      </c>
      <c r="C805">
        <v>2</v>
      </c>
      <c r="D805">
        <v>2</v>
      </c>
      <c r="E805" t="s">
        <v>5223</v>
      </c>
      <c r="F805" t="s">
        <v>5223</v>
      </c>
      <c r="G805" t="s">
        <v>4256</v>
      </c>
      <c r="H805">
        <v>97</v>
      </c>
    </row>
    <row r="806" spans="1:8" x14ac:dyDescent="0.25">
      <c r="A806" t="s">
        <v>3034</v>
      </c>
      <c r="B806">
        <v>2</v>
      </c>
      <c r="C806">
        <v>2</v>
      </c>
      <c r="D806">
        <v>2</v>
      </c>
      <c r="E806" t="s">
        <v>5224</v>
      </c>
      <c r="F806" t="s">
        <v>5224</v>
      </c>
      <c r="G806" t="s">
        <v>4256</v>
      </c>
      <c r="H806">
        <v>9</v>
      </c>
    </row>
    <row r="807" spans="1:8" x14ac:dyDescent="0.25">
      <c r="A807" t="s">
        <v>2987</v>
      </c>
      <c r="B807">
        <v>1</v>
      </c>
      <c r="C807">
        <v>1</v>
      </c>
      <c r="D807">
        <v>1</v>
      </c>
      <c r="E807" t="s">
        <v>5225</v>
      </c>
      <c r="F807" t="s">
        <v>5226</v>
      </c>
      <c r="G807" t="s">
        <v>5226</v>
      </c>
      <c r="H807">
        <v>27</v>
      </c>
    </row>
    <row r="808" spans="1:8" x14ac:dyDescent="0.25">
      <c r="A808" t="s">
        <v>2054</v>
      </c>
      <c r="B808">
        <v>1</v>
      </c>
      <c r="C808">
        <v>1</v>
      </c>
      <c r="D808">
        <v>1</v>
      </c>
      <c r="E808" t="s">
        <v>5227</v>
      </c>
      <c r="F808" t="s">
        <v>5227</v>
      </c>
      <c r="G808" t="s">
        <v>5227</v>
      </c>
      <c r="H808">
        <v>113</v>
      </c>
    </row>
    <row r="809" spans="1:8" x14ac:dyDescent="0.25">
      <c r="A809" t="s">
        <v>2370</v>
      </c>
      <c r="B809">
        <v>1</v>
      </c>
      <c r="C809">
        <v>1</v>
      </c>
      <c r="D809">
        <v>1</v>
      </c>
      <c r="E809" t="s">
        <v>5228</v>
      </c>
      <c r="F809" t="s">
        <v>5228</v>
      </c>
      <c r="G809" t="s">
        <v>5228</v>
      </c>
      <c r="H809">
        <v>40</v>
      </c>
    </row>
    <row r="810" spans="1:8" x14ac:dyDescent="0.25">
      <c r="A810" t="s">
        <v>1614</v>
      </c>
      <c r="B810">
        <v>1</v>
      </c>
      <c r="C810">
        <v>1</v>
      </c>
      <c r="D810">
        <v>1</v>
      </c>
      <c r="E810" t="s">
        <v>5229</v>
      </c>
      <c r="F810" t="s">
        <v>5230</v>
      </c>
      <c r="G810" t="s">
        <v>5230</v>
      </c>
      <c r="H810">
        <v>94</v>
      </c>
    </row>
    <row r="811" spans="1:8" x14ac:dyDescent="0.25">
      <c r="A811" t="s">
        <v>1858</v>
      </c>
      <c r="B811">
        <v>1</v>
      </c>
      <c r="C811">
        <v>1</v>
      </c>
      <c r="D811">
        <v>1</v>
      </c>
      <c r="E811" t="s">
        <v>5231</v>
      </c>
      <c r="F811" t="s">
        <v>5232</v>
      </c>
      <c r="G811" t="s">
        <v>5232</v>
      </c>
      <c r="H811">
        <v>53</v>
      </c>
    </row>
    <row r="812" spans="1:8" x14ac:dyDescent="0.25">
      <c r="A812" t="s">
        <v>1396</v>
      </c>
      <c r="B812">
        <v>2</v>
      </c>
      <c r="C812">
        <v>2</v>
      </c>
      <c r="D812">
        <v>2</v>
      </c>
      <c r="E812" t="s">
        <v>5233</v>
      </c>
      <c r="F812" t="s">
        <v>5234</v>
      </c>
      <c r="G812" t="s">
        <v>4256</v>
      </c>
      <c r="H812">
        <v>132</v>
      </c>
    </row>
    <row r="813" spans="1:8" x14ac:dyDescent="0.25">
      <c r="A813" t="s">
        <v>831</v>
      </c>
      <c r="B813">
        <v>1</v>
      </c>
      <c r="C813">
        <v>1</v>
      </c>
      <c r="D813">
        <v>1</v>
      </c>
      <c r="E813" t="s">
        <v>5235</v>
      </c>
      <c r="F813" t="s">
        <v>5236</v>
      </c>
      <c r="G813" t="s">
        <v>5236</v>
      </c>
      <c r="H813">
        <v>219</v>
      </c>
    </row>
    <row r="814" spans="1:8" x14ac:dyDescent="0.25">
      <c r="A814" t="s">
        <v>784</v>
      </c>
      <c r="B814">
        <v>1</v>
      </c>
      <c r="C814">
        <v>1</v>
      </c>
      <c r="D814">
        <v>1</v>
      </c>
      <c r="E814" t="s">
        <v>5237</v>
      </c>
      <c r="F814" t="s">
        <v>5237</v>
      </c>
      <c r="G814" t="s">
        <v>5237</v>
      </c>
      <c r="H814">
        <v>231</v>
      </c>
    </row>
    <row r="815" spans="1:8" x14ac:dyDescent="0.25">
      <c r="A815" t="s">
        <v>2127</v>
      </c>
      <c r="B815">
        <v>1</v>
      </c>
      <c r="C815">
        <v>1</v>
      </c>
      <c r="D815">
        <v>1</v>
      </c>
      <c r="E815" t="s">
        <v>5238</v>
      </c>
      <c r="F815" t="s">
        <v>5238</v>
      </c>
      <c r="G815" t="s">
        <v>5238</v>
      </c>
      <c r="H815">
        <v>55</v>
      </c>
    </row>
    <row r="816" spans="1:8" x14ac:dyDescent="0.25">
      <c r="A816" t="s">
        <v>766</v>
      </c>
      <c r="B816">
        <v>1</v>
      </c>
      <c r="C816">
        <v>1</v>
      </c>
      <c r="D816">
        <v>1</v>
      </c>
      <c r="E816" t="s">
        <v>5239</v>
      </c>
      <c r="F816" t="s">
        <v>5239</v>
      </c>
      <c r="G816" t="s">
        <v>5239</v>
      </c>
      <c r="H816">
        <v>143</v>
      </c>
    </row>
    <row r="817" spans="1:8" x14ac:dyDescent="0.25">
      <c r="A817" t="s">
        <v>2830</v>
      </c>
      <c r="B817">
        <v>1</v>
      </c>
      <c r="C817">
        <v>1</v>
      </c>
      <c r="D817">
        <v>1</v>
      </c>
      <c r="E817" t="s">
        <v>5240</v>
      </c>
      <c r="F817" t="s">
        <v>5240</v>
      </c>
      <c r="G817" t="s">
        <v>5240</v>
      </c>
      <c r="H817">
        <v>25</v>
      </c>
    </row>
    <row r="818" spans="1:8" x14ac:dyDescent="0.25">
      <c r="A818" t="s">
        <v>240</v>
      </c>
      <c r="B818">
        <v>1</v>
      </c>
      <c r="C818">
        <v>1</v>
      </c>
      <c r="D818">
        <v>1</v>
      </c>
      <c r="E818" t="s">
        <v>5241</v>
      </c>
      <c r="F818" t="s">
        <v>5241</v>
      </c>
      <c r="G818" t="s">
        <v>5241</v>
      </c>
      <c r="H818">
        <v>806</v>
      </c>
    </row>
    <row r="819" spans="1:8" x14ac:dyDescent="0.25">
      <c r="A819" t="s">
        <v>293</v>
      </c>
      <c r="B819">
        <v>1</v>
      </c>
      <c r="C819">
        <v>1</v>
      </c>
      <c r="D819">
        <v>1</v>
      </c>
      <c r="E819" t="s">
        <v>5242</v>
      </c>
      <c r="F819" t="s">
        <v>5242</v>
      </c>
      <c r="G819" t="s">
        <v>5242</v>
      </c>
      <c r="H819">
        <v>656</v>
      </c>
    </row>
    <row r="820" spans="1:8" x14ac:dyDescent="0.25">
      <c r="A820" t="s">
        <v>623</v>
      </c>
      <c r="B820">
        <v>1</v>
      </c>
      <c r="C820">
        <v>1</v>
      </c>
      <c r="D820">
        <v>1</v>
      </c>
      <c r="E820" t="s">
        <v>5243</v>
      </c>
      <c r="F820" t="s">
        <v>5243</v>
      </c>
      <c r="G820" t="s">
        <v>5243</v>
      </c>
      <c r="H820">
        <v>285</v>
      </c>
    </row>
    <row r="821" spans="1:8" x14ac:dyDescent="0.25">
      <c r="A821" t="s">
        <v>3591</v>
      </c>
      <c r="B821">
        <v>1</v>
      </c>
      <c r="C821">
        <v>1</v>
      </c>
      <c r="D821">
        <v>1</v>
      </c>
      <c r="E821" t="s">
        <v>5244</v>
      </c>
      <c r="F821" t="s">
        <v>5244</v>
      </c>
      <c r="G821" t="s">
        <v>5244</v>
      </c>
      <c r="H821">
        <v>3</v>
      </c>
    </row>
    <row r="822" spans="1:8" x14ac:dyDescent="0.25">
      <c r="A822" t="s">
        <v>2445</v>
      </c>
      <c r="B822">
        <v>1</v>
      </c>
      <c r="C822">
        <v>1</v>
      </c>
      <c r="D822">
        <v>1</v>
      </c>
      <c r="E822" t="s">
        <v>5245</v>
      </c>
      <c r="F822" t="s">
        <v>5245</v>
      </c>
      <c r="G822" t="s">
        <v>5245</v>
      </c>
      <c r="H822">
        <v>33</v>
      </c>
    </row>
    <row r="823" spans="1:8" x14ac:dyDescent="0.25">
      <c r="A823" t="s">
        <v>2647</v>
      </c>
      <c r="B823">
        <v>2</v>
      </c>
      <c r="C823">
        <v>2</v>
      </c>
      <c r="D823">
        <v>2</v>
      </c>
      <c r="E823" t="s">
        <v>5246</v>
      </c>
      <c r="F823" t="s">
        <v>5246</v>
      </c>
      <c r="G823" t="s">
        <v>4256</v>
      </c>
      <c r="H823">
        <v>11</v>
      </c>
    </row>
    <row r="824" spans="1:8" x14ac:dyDescent="0.25">
      <c r="A824" t="s">
        <v>2930</v>
      </c>
      <c r="B824">
        <v>1</v>
      </c>
      <c r="C824">
        <v>1</v>
      </c>
      <c r="D824">
        <v>1</v>
      </c>
      <c r="E824" t="s">
        <v>5247</v>
      </c>
      <c r="F824" t="s">
        <v>5247</v>
      </c>
      <c r="G824" t="s">
        <v>5247</v>
      </c>
      <c r="H824">
        <v>7</v>
      </c>
    </row>
    <row r="825" spans="1:8" x14ac:dyDescent="0.25">
      <c r="A825" t="s">
        <v>5248</v>
      </c>
      <c r="B825">
        <v>0</v>
      </c>
      <c r="C825">
        <v>0</v>
      </c>
      <c r="D825">
        <v>0</v>
      </c>
      <c r="G825" t="s">
        <v>4256</v>
      </c>
      <c r="H825">
        <v>1</v>
      </c>
    </row>
    <row r="826" spans="1:8" x14ac:dyDescent="0.25">
      <c r="A826" t="s">
        <v>2186</v>
      </c>
      <c r="B826">
        <v>2</v>
      </c>
      <c r="C826">
        <v>2</v>
      </c>
      <c r="D826">
        <v>2</v>
      </c>
      <c r="E826" t="s">
        <v>5249</v>
      </c>
      <c r="F826" t="s">
        <v>5249</v>
      </c>
      <c r="G826" t="s">
        <v>4256</v>
      </c>
      <c r="H826">
        <v>3</v>
      </c>
    </row>
    <row r="827" spans="1:8" x14ac:dyDescent="0.25">
      <c r="A827" t="s">
        <v>427</v>
      </c>
      <c r="B827">
        <v>1</v>
      </c>
      <c r="C827">
        <v>1</v>
      </c>
      <c r="D827">
        <v>1</v>
      </c>
      <c r="E827" t="s">
        <v>5250</v>
      </c>
      <c r="F827" t="s">
        <v>5250</v>
      </c>
      <c r="G827" t="s">
        <v>5250</v>
      </c>
      <c r="H827">
        <v>392</v>
      </c>
    </row>
    <row r="828" spans="1:8" x14ac:dyDescent="0.25">
      <c r="A828" t="s">
        <v>1630</v>
      </c>
      <c r="B828">
        <v>1</v>
      </c>
      <c r="C828">
        <v>1</v>
      </c>
      <c r="D828">
        <v>1</v>
      </c>
      <c r="E828" t="s">
        <v>4223</v>
      </c>
      <c r="F828" t="s">
        <v>4223</v>
      </c>
      <c r="G828" t="s">
        <v>4223</v>
      </c>
      <c r="H828">
        <v>164</v>
      </c>
    </row>
    <row r="829" spans="1:8" x14ac:dyDescent="0.25">
      <c r="A829" t="s">
        <v>1632</v>
      </c>
      <c r="B829">
        <v>1</v>
      </c>
      <c r="C829">
        <v>1</v>
      </c>
      <c r="D829">
        <v>1</v>
      </c>
      <c r="E829" t="s">
        <v>5251</v>
      </c>
      <c r="F829" t="s">
        <v>5251</v>
      </c>
      <c r="G829" t="s">
        <v>5251</v>
      </c>
      <c r="H829">
        <v>188</v>
      </c>
    </row>
    <row r="830" spans="1:8" x14ac:dyDescent="0.25">
      <c r="A830" t="s">
        <v>2046</v>
      </c>
      <c r="B830">
        <v>1</v>
      </c>
      <c r="C830">
        <v>1</v>
      </c>
      <c r="D830">
        <v>1</v>
      </c>
      <c r="E830" t="s">
        <v>5252</v>
      </c>
      <c r="F830" t="s">
        <v>5252</v>
      </c>
      <c r="G830" t="s">
        <v>5252</v>
      </c>
      <c r="H830">
        <v>140</v>
      </c>
    </row>
    <row r="831" spans="1:8" x14ac:dyDescent="0.25">
      <c r="A831" t="s">
        <v>3183</v>
      </c>
      <c r="B831">
        <v>1</v>
      </c>
      <c r="C831">
        <v>1</v>
      </c>
      <c r="D831">
        <v>1</v>
      </c>
      <c r="E831" t="s">
        <v>5253</v>
      </c>
      <c r="F831" t="s">
        <v>5253</v>
      </c>
      <c r="G831" t="s">
        <v>5253</v>
      </c>
      <c r="H831">
        <v>10</v>
      </c>
    </row>
    <row r="832" spans="1:8" x14ac:dyDescent="0.25">
      <c r="A832" t="s">
        <v>993</v>
      </c>
      <c r="B832">
        <v>2</v>
      </c>
      <c r="C832">
        <v>2</v>
      </c>
      <c r="D832">
        <v>2</v>
      </c>
      <c r="E832" t="s">
        <v>5254</v>
      </c>
      <c r="F832" t="s">
        <v>5254</v>
      </c>
      <c r="G832" t="s">
        <v>4256</v>
      </c>
      <c r="H832">
        <v>112</v>
      </c>
    </row>
    <row r="833" spans="1:8" x14ac:dyDescent="0.25">
      <c r="A833" t="s">
        <v>2146</v>
      </c>
      <c r="B833">
        <v>1</v>
      </c>
      <c r="C833">
        <v>1</v>
      </c>
      <c r="D833">
        <v>1</v>
      </c>
      <c r="E833" t="s">
        <v>5255</v>
      </c>
      <c r="F833" t="s">
        <v>5256</v>
      </c>
      <c r="G833" t="s">
        <v>5256</v>
      </c>
      <c r="H833">
        <v>50</v>
      </c>
    </row>
    <row r="834" spans="1:8" x14ac:dyDescent="0.25">
      <c r="A834" t="s">
        <v>2703</v>
      </c>
      <c r="B834">
        <v>1</v>
      </c>
      <c r="C834">
        <v>1</v>
      </c>
      <c r="D834">
        <v>1</v>
      </c>
      <c r="E834" t="s">
        <v>5257</v>
      </c>
      <c r="F834" t="s">
        <v>5258</v>
      </c>
      <c r="G834" t="s">
        <v>5258</v>
      </c>
      <c r="H834">
        <v>8</v>
      </c>
    </row>
    <row r="835" spans="1:8" x14ac:dyDescent="0.25">
      <c r="A835" t="s">
        <v>1832</v>
      </c>
      <c r="B835">
        <v>2</v>
      </c>
      <c r="C835">
        <v>2</v>
      </c>
      <c r="D835">
        <v>2</v>
      </c>
      <c r="E835" t="s">
        <v>5259</v>
      </c>
      <c r="F835" t="s">
        <v>5260</v>
      </c>
      <c r="G835" t="s">
        <v>4256</v>
      </c>
      <c r="H835">
        <v>237</v>
      </c>
    </row>
    <row r="836" spans="1:8" x14ac:dyDescent="0.25">
      <c r="A836" t="s">
        <v>464</v>
      </c>
      <c r="B836">
        <v>1</v>
      </c>
      <c r="C836">
        <v>1</v>
      </c>
      <c r="D836">
        <v>1</v>
      </c>
      <c r="E836" t="s">
        <v>5261</v>
      </c>
      <c r="F836" t="s">
        <v>5261</v>
      </c>
      <c r="G836" t="s">
        <v>5261</v>
      </c>
      <c r="H836">
        <v>252</v>
      </c>
    </row>
    <row r="837" spans="1:8" x14ac:dyDescent="0.25">
      <c r="A837" t="s">
        <v>1732</v>
      </c>
      <c r="B837">
        <v>1</v>
      </c>
      <c r="C837">
        <v>1</v>
      </c>
      <c r="D837">
        <v>1</v>
      </c>
      <c r="E837" t="s">
        <v>5262</v>
      </c>
      <c r="F837" t="s">
        <v>5262</v>
      </c>
      <c r="G837" t="s">
        <v>5262</v>
      </c>
      <c r="H837">
        <v>91</v>
      </c>
    </row>
    <row r="838" spans="1:8" x14ac:dyDescent="0.25">
      <c r="A838" t="s">
        <v>1929</v>
      </c>
      <c r="B838">
        <v>1</v>
      </c>
      <c r="C838">
        <v>1</v>
      </c>
      <c r="D838">
        <v>1</v>
      </c>
      <c r="E838" t="s">
        <v>5263</v>
      </c>
      <c r="F838" t="s">
        <v>5263</v>
      </c>
      <c r="G838" t="s">
        <v>5263</v>
      </c>
      <c r="H838">
        <v>98</v>
      </c>
    </row>
    <row r="839" spans="1:8" x14ac:dyDescent="0.25">
      <c r="A839" t="s">
        <v>296</v>
      </c>
      <c r="B839">
        <v>1</v>
      </c>
      <c r="C839">
        <v>1</v>
      </c>
      <c r="D839">
        <v>1</v>
      </c>
      <c r="E839" t="s">
        <v>5264</v>
      </c>
      <c r="F839" t="s">
        <v>5264</v>
      </c>
      <c r="G839" t="s">
        <v>5264</v>
      </c>
      <c r="H839">
        <v>944</v>
      </c>
    </row>
    <row r="840" spans="1:8" x14ac:dyDescent="0.25">
      <c r="A840" t="s">
        <v>337</v>
      </c>
      <c r="B840">
        <v>1</v>
      </c>
      <c r="C840">
        <v>1</v>
      </c>
      <c r="D840">
        <v>1</v>
      </c>
      <c r="E840" t="s">
        <v>5265</v>
      </c>
      <c r="F840" t="s">
        <v>5266</v>
      </c>
      <c r="G840" t="s">
        <v>5266</v>
      </c>
      <c r="H840">
        <v>617</v>
      </c>
    </row>
    <row r="841" spans="1:8" x14ac:dyDescent="0.25">
      <c r="A841" t="s">
        <v>1429</v>
      </c>
      <c r="B841">
        <v>1</v>
      </c>
      <c r="C841">
        <v>1</v>
      </c>
      <c r="D841">
        <v>1</v>
      </c>
      <c r="E841" t="s">
        <v>5267</v>
      </c>
      <c r="F841" t="s">
        <v>5268</v>
      </c>
      <c r="G841" t="s">
        <v>5268</v>
      </c>
      <c r="H841">
        <v>79</v>
      </c>
    </row>
    <row r="842" spans="1:8" x14ac:dyDescent="0.25">
      <c r="A842" t="s">
        <v>1548</v>
      </c>
      <c r="B842">
        <v>2</v>
      </c>
      <c r="C842">
        <v>2</v>
      </c>
      <c r="D842">
        <v>2</v>
      </c>
      <c r="E842" t="s">
        <v>5269</v>
      </c>
      <c r="F842" t="s">
        <v>5269</v>
      </c>
      <c r="G842" t="s">
        <v>4256</v>
      </c>
      <c r="H842">
        <v>76</v>
      </c>
    </row>
    <row r="843" spans="1:8" x14ac:dyDescent="0.25">
      <c r="A843" t="s">
        <v>1109</v>
      </c>
      <c r="B843">
        <v>2</v>
      </c>
      <c r="C843">
        <v>2</v>
      </c>
      <c r="D843">
        <v>2</v>
      </c>
      <c r="E843" t="s">
        <v>5270</v>
      </c>
      <c r="F843" t="s">
        <v>5270</v>
      </c>
      <c r="G843" t="s">
        <v>4256</v>
      </c>
      <c r="H843">
        <v>109</v>
      </c>
    </row>
    <row r="844" spans="1:8" x14ac:dyDescent="0.25">
      <c r="A844" t="s">
        <v>2297</v>
      </c>
      <c r="B844">
        <v>1</v>
      </c>
      <c r="C844">
        <v>1</v>
      </c>
      <c r="D844">
        <v>1</v>
      </c>
      <c r="E844" t="s">
        <v>5271</v>
      </c>
      <c r="F844" t="s">
        <v>5271</v>
      </c>
      <c r="G844" t="s">
        <v>5271</v>
      </c>
      <c r="H844">
        <v>128</v>
      </c>
    </row>
    <row r="845" spans="1:8" x14ac:dyDescent="0.25">
      <c r="A845" t="s">
        <v>1829</v>
      </c>
      <c r="B845">
        <v>1</v>
      </c>
      <c r="C845">
        <v>1</v>
      </c>
      <c r="D845">
        <v>1</v>
      </c>
      <c r="E845" t="s">
        <v>5272</v>
      </c>
      <c r="F845" t="s">
        <v>5272</v>
      </c>
      <c r="G845" t="s">
        <v>5272</v>
      </c>
      <c r="H845">
        <v>184</v>
      </c>
    </row>
    <row r="846" spans="1:8" x14ac:dyDescent="0.25">
      <c r="A846" t="s">
        <v>1735</v>
      </c>
      <c r="B846">
        <v>2</v>
      </c>
      <c r="C846">
        <v>2</v>
      </c>
      <c r="D846">
        <v>2</v>
      </c>
      <c r="E846" t="s">
        <v>5273</v>
      </c>
      <c r="F846" t="s">
        <v>5273</v>
      </c>
      <c r="G846" t="s">
        <v>4256</v>
      </c>
      <c r="H846">
        <v>202</v>
      </c>
    </row>
    <row r="847" spans="1:8" x14ac:dyDescent="0.25">
      <c r="A847" t="s">
        <v>1911</v>
      </c>
      <c r="B847">
        <v>3</v>
      </c>
      <c r="C847">
        <v>3</v>
      </c>
      <c r="D847">
        <v>3</v>
      </c>
      <c r="E847" t="s">
        <v>5274</v>
      </c>
      <c r="F847" t="s">
        <v>5274</v>
      </c>
      <c r="G847" t="s">
        <v>4256</v>
      </c>
      <c r="H847">
        <v>71</v>
      </c>
    </row>
    <row r="848" spans="1:8" x14ac:dyDescent="0.25">
      <c r="A848" t="s">
        <v>5275</v>
      </c>
      <c r="B848">
        <v>0</v>
      </c>
      <c r="C848">
        <v>0</v>
      </c>
      <c r="D848">
        <v>0</v>
      </c>
      <c r="G848" t="s">
        <v>4256</v>
      </c>
      <c r="H848">
        <v>1</v>
      </c>
    </row>
    <row r="849" spans="1:8" x14ac:dyDescent="0.25">
      <c r="A849" t="s">
        <v>5276</v>
      </c>
      <c r="B849">
        <v>0</v>
      </c>
      <c r="C849">
        <v>0</v>
      </c>
      <c r="D849">
        <v>0</v>
      </c>
      <c r="G849" t="s">
        <v>4256</v>
      </c>
      <c r="H849">
        <v>1</v>
      </c>
    </row>
    <row r="850" spans="1:8" x14ac:dyDescent="0.25">
      <c r="A850" t="s">
        <v>2878</v>
      </c>
      <c r="B850">
        <v>1</v>
      </c>
      <c r="C850">
        <v>1</v>
      </c>
      <c r="D850">
        <v>1</v>
      </c>
      <c r="E850" t="s">
        <v>5277</v>
      </c>
      <c r="F850" t="s">
        <v>5277</v>
      </c>
      <c r="G850" t="s">
        <v>5277</v>
      </c>
      <c r="H850">
        <v>37</v>
      </c>
    </row>
    <row r="851" spans="1:8" x14ac:dyDescent="0.25">
      <c r="A851" t="s">
        <v>2134</v>
      </c>
      <c r="B851">
        <v>1</v>
      </c>
      <c r="C851">
        <v>1</v>
      </c>
      <c r="D851">
        <v>1</v>
      </c>
      <c r="E851" t="s">
        <v>5278</v>
      </c>
      <c r="F851" t="s">
        <v>5278</v>
      </c>
      <c r="G851" t="s">
        <v>5278</v>
      </c>
      <c r="H851">
        <v>50</v>
      </c>
    </row>
    <row r="852" spans="1:8" x14ac:dyDescent="0.25">
      <c r="A852" t="s">
        <v>1662</v>
      </c>
      <c r="B852">
        <v>1</v>
      </c>
      <c r="C852">
        <v>1</v>
      </c>
      <c r="D852">
        <v>1</v>
      </c>
      <c r="E852" t="s">
        <v>5279</v>
      </c>
      <c r="F852" t="s">
        <v>5279</v>
      </c>
      <c r="G852" t="s">
        <v>5279</v>
      </c>
      <c r="H852">
        <v>126</v>
      </c>
    </row>
    <row r="853" spans="1:8" x14ac:dyDescent="0.25">
      <c r="A853" t="s">
        <v>911</v>
      </c>
      <c r="B853">
        <v>2</v>
      </c>
      <c r="C853">
        <v>2</v>
      </c>
      <c r="D853">
        <v>2</v>
      </c>
      <c r="E853" t="s">
        <v>5280</v>
      </c>
      <c r="F853" t="s">
        <v>5280</v>
      </c>
      <c r="G853" t="s">
        <v>4256</v>
      </c>
      <c r="H853">
        <v>271</v>
      </c>
    </row>
    <row r="854" spans="1:8" x14ac:dyDescent="0.25">
      <c r="A854" t="s">
        <v>988</v>
      </c>
      <c r="B854">
        <v>3</v>
      </c>
      <c r="C854">
        <v>3</v>
      </c>
      <c r="D854">
        <v>3</v>
      </c>
      <c r="E854" t="s">
        <v>5281</v>
      </c>
      <c r="F854" t="s">
        <v>5281</v>
      </c>
      <c r="G854" t="s">
        <v>4256</v>
      </c>
      <c r="H854">
        <v>261</v>
      </c>
    </row>
    <row r="855" spans="1:8" x14ac:dyDescent="0.25">
      <c r="A855" t="s">
        <v>1295</v>
      </c>
      <c r="B855">
        <v>1</v>
      </c>
      <c r="C855">
        <v>1</v>
      </c>
      <c r="D855">
        <v>1</v>
      </c>
      <c r="E855" t="s">
        <v>5282</v>
      </c>
      <c r="F855" t="s">
        <v>5282</v>
      </c>
      <c r="G855" t="s">
        <v>5282</v>
      </c>
      <c r="H855">
        <v>104</v>
      </c>
    </row>
    <row r="856" spans="1:8" x14ac:dyDescent="0.25">
      <c r="A856" t="s">
        <v>1091</v>
      </c>
      <c r="B856">
        <v>1</v>
      </c>
      <c r="C856">
        <v>1</v>
      </c>
      <c r="D856">
        <v>1</v>
      </c>
      <c r="E856" t="s">
        <v>5283</v>
      </c>
      <c r="F856" t="s">
        <v>5283</v>
      </c>
      <c r="G856" t="s">
        <v>5283</v>
      </c>
      <c r="H856">
        <v>115</v>
      </c>
    </row>
    <row r="857" spans="1:8" x14ac:dyDescent="0.25">
      <c r="A857" t="s">
        <v>3101</v>
      </c>
      <c r="B857">
        <v>1</v>
      </c>
      <c r="C857">
        <v>1</v>
      </c>
      <c r="D857">
        <v>1</v>
      </c>
      <c r="E857" t="s">
        <v>5284</v>
      </c>
      <c r="F857" t="s">
        <v>5285</v>
      </c>
      <c r="G857" t="s">
        <v>5285</v>
      </c>
      <c r="H857">
        <v>19</v>
      </c>
    </row>
    <row r="858" spans="1:8" x14ac:dyDescent="0.25">
      <c r="A858" t="s">
        <v>2695</v>
      </c>
      <c r="B858">
        <v>2</v>
      </c>
      <c r="C858">
        <v>2</v>
      </c>
      <c r="D858">
        <v>2</v>
      </c>
      <c r="E858" t="s">
        <v>5286</v>
      </c>
      <c r="F858" t="s">
        <v>5287</v>
      </c>
      <c r="G858" t="s">
        <v>4256</v>
      </c>
      <c r="H858">
        <v>32</v>
      </c>
    </row>
    <row r="859" spans="1:8" x14ac:dyDescent="0.25">
      <c r="A859" t="s">
        <v>3435</v>
      </c>
      <c r="B859">
        <v>1</v>
      </c>
      <c r="C859">
        <v>1</v>
      </c>
      <c r="D859">
        <v>1</v>
      </c>
      <c r="E859" t="s">
        <v>5288</v>
      </c>
      <c r="F859" t="s">
        <v>5288</v>
      </c>
      <c r="G859" t="s">
        <v>5288</v>
      </c>
      <c r="H859">
        <v>9</v>
      </c>
    </row>
    <row r="860" spans="1:8" x14ac:dyDescent="0.25">
      <c r="A860" t="s">
        <v>2466</v>
      </c>
      <c r="B860">
        <v>2</v>
      </c>
      <c r="C860">
        <v>2</v>
      </c>
      <c r="D860">
        <v>2</v>
      </c>
      <c r="E860" t="s">
        <v>5289</v>
      </c>
      <c r="F860" t="s">
        <v>5289</v>
      </c>
      <c r="G860" t="s">
        <v>4256</v>
      </c>
      <c r="H860">
        <v>67</v>
      </c>
    </row>
    <row r="861" spans="1:8" x14ac:dyDescent="0.25">
      <c r="A861" t="s">
        <v>1534</v>
      </c>
      <c r="B861">
        <v>3</v>
      </c>
      <c r="C861">
        <v>3</v>
      </c>
      <c r="D861">
        <v>3</v>
      </c>
      <c r="E861" t="s">
        <v>5290</v>
      </c>
      <c r="F861" t="s">
        <v>5291</v>
      </c>
      <c r="G861" t="s">
        <v>4256</v>
      </c>
      <c r="H861">
        <v>181</v>
      </c>
    </row>
    <row r="862" spans="1:8" x14ac:dyDescent="0.25">
      <c r="A862" t="s">
        <v>1702</v>
      </c>
      <c r="B862">
        <v>2</v>
      </c>
      <c r="C862">
        <v>2</v>
      </c>
      <c r="D862">
        <v>2</v>
      </c>
      <c r="E862" t="s">
        <v>5292</v>
      </c>
      <c r="F862" t="s">
        <v>5293</v>
      </c>
      <c r="G862" t="s">
        <v>4256</v>
      </c>
      <c r="H862">
        <v>136</v>
      </c>
    </row>
    <row r="863" spans="1:8" x14ac:dyDescent="0.25">
      <c r="A863" t="s">
        <v>1503</v>
      </c>
      <c r="B863">
        <v>1</v>
      </c>
      <c r="C863">
        <v>1</v>
      </c>
      <c r="D863">
        <v>1</v>
      </c>
      <c r="E863" t="s">
        <v>5294</v>
      </c>
      <c r="F863" t="s">
        <v>5295</v>
      </c>
      <c r="G863" t="s">
        <v>5295</v>
      </c>
      <c r="H863">
        <v>99</v>
      </c>
    </row>
    <row r="864" spans="1:8" x14ac:dyDescent="0.25">
      <c r="A864" t="s">
        <v>1727</v>
      </c>
      <c r="B864">
        <v>1</v>
      </c>
      <c r="C864">
        <v>1</v>
      </c>
      <c r="D864">
        <v>1</v>
      </c>
      <c r="E864" t="s">
        <v>5296</v>
      </c>
      <c r="F864" t="s">
        <v>5297</v>
      </c>
      <c r="G864" t="s">
        <v>5297</v>
      </c>
      <c r="H864">
        <v>64</v>
      </c>
    </row>
    <row r="865" spans="1:8" x14ac:dyDescent="0.25">
      <c r="A865" t="s">
        <v>1991</v>
      </c>
      <c r="B865">
        <v>1</v>
      </c>
      <c r="C865">
        <v>1</v>
      </c>
      <c r="D865">
        <v>1</v>
      </c>
      <c r="E865" t="s">
        <v>5298</v>
      </c>
      <c r="F865" t="s">
        <v>5298</v>
      </c>
      <c r="G865" t="s">
        <v>5298</v>
      </c>
      <c r="H865">
        <v>108</v>
      </c>
    </row>
    <row r="866" spans="1:8" x14ac:dyDescent="0.25">
      <c r="A866" t="s">
        <v>1888</v>
      </c>
      <c r="B866">
        <v>4</v>
      </c>
      <c r="C866">
        <v>4</v>
      </c>
      <c r="D866">
        <v>4</v>
      </c>
      <c r="E866" t="s">
        <v>5299</v>
      </c>
      <c r="F866" t="s">
        <v>5299</v>
      </c>
      <c r="G866" t="s">
        <v>4256</v>
      </c>
      <c r="H866">
        <v>108</v>
      </c>
    </row>
    <row r="867" spans="1:8" x14ac:dyDescent="0.25">
      <c r="A867" t="s">
        <v>1683</v>
      </c>
      <c r="B867">
        <v>2</v>
      </c>
      <c r="C867">
        <v>2</v>
      </c>
      <c r="D867">
        <v>2</v>
      </c>
      <c r="E867" t="s">
        <v>5300</v>
      </c>
      <c r="F867" t="s">
        <v>5300</v>
      </c>
      <c r="G867" t="s">
        <v>4256</v>
      </c>
      <c r="H867">
        <v>123</v>
      </c>
    </row>
    <row r="868" spans="1:8" x14ac:dyDescent="0.25">
      <c r="A868" t="s">
        <v>5301</v>
      </c>
      <c r="B868">
        <v>0</v>
      </c>
      <c r="C868">
        <v>0</v>
      </c>
      <c r="D868">
        <v>0</v>
      </c>
      <c r="G868" t="s">
        <v>4256</v>
      </c>
      <c r="H868">
        <v>1</v>
      </c>
    </row>
    <row r="869" spans="1:8" x14ac:dyDescent="0.25">
      <c r="A869" t="s">
        <v>2885</v>
      </c>
      <c r="B869">
        <v>1</v>
      </c>
      <c r="C869">
        <v>1</v>
      </c>
      <c r="D869">
        <v>1</v>
      </c>
      <c r="E869" t="s">
        <v>5302</v>
      </c>
      <c r="F869" t="s">
        <v>5302</v>
      </c>
      <c r="G869" t="s">
        <v>5302</v>
      </c>
      <c r="H869">
        <v>40</v>
      </c>
    </row>
    <row r="870" spans="1:8" x14ac:dyDescent="0.25">
      <c r="A870" t="s">
        <v>3888</v>
      </c>
      <c r="B870">
        <v>1</v>
      </c>
      <c r="C870">
        <v>1</v>
      </c>
      <c r="D870">
        <v>1</v>
      </c>
      <c r="E870" t="s">
        <v>5303</v>
      </c>
      <c r="F870" t="s">
        <v>5303</v>
      </c>
      <c r="G870" t="s">
        <v>5303</v>
      </c>
      <c r="H870">
        <v>4</v>
      </c>
    </row>
    <row r="871" spans="1:8" x14ac:dyDescent="0.25">
      <c r="A871" t="s">
        <v>2429</v>
      </c>
      <c r="B871">
        <v>1</v>
      </c>
      <c r="C871">
        <v>1</v>
      </c>
      <c r="D871">
        <v>1</v>
      </c>
      <c r="E871" t="s">
        <v>5304</v>
      </c>
      <c r="F871" t="s">
        <v>5304</v>
      </c>
      <c r="G871" t="s">
        <v>5304</v>
      </c>
      <c r="H871">
        <v>87</v>
      </c>
    </row>
    <row r="872" spans="1:8" x14ac:dyDescent="0.25">
      <c r="A872" t="s">
        <v>1440</v>
      </c>
      <c r="B872">
        <v>4</v>
      </c>
      <c r="C872">
        <v>4</v>
      </c>
      <c r="D872">
        <v>4</v>
      </c>
      <c r="E872" t="s">
        <v>5305</v>
      </c>
      <c r="F872" t="s">
        <v>5305</v>
      </c>
      <c r="G872" t="s">
        <v>4256</v>
      </c>
      <c r="H872">
        <v>185</v>
      </c>
    </row>
    <row r="873" spans="1:8" x14ac:dyDescent="0.25">
      <c r="A873" t="s">
        <v>1656</v>
      </c>
      <c r="B873">
        <v>6</v>
      </c>
      <c r="C873">
        <v>6</v>
      </c>
      <c r="D873">
        <v>6</v>
      </c>
      <c r="E873" t="s">
        <v>5306</v>
      </c>
      <c r="F873" t="s">
        <v>5306</v>
      </c>
      <c r="G873" t="s">
        <v>4256</v>
      </c>
      <c r="H873">
        <v>112</v>
      </c>
    </row>
    <row r="874" spans="1:8" x14ac:dyDescent="0.25">
      <c r="A874" t="s">
        <v>1276</v>
      </c>
      <c r="B874">
        <v>1</v>
      </c>
      <c r="C874">
        <v>1</v>
      </c>
      <c r="D874">
        <v>1</v>
      </c>
      <c r="E874" t="s">
        <v>5307</v>
      </c>
      <c r="F874" t="s">
        <v>5307</v>
      </c>
      <c r="G874" t="s">
        <v>5307</v>
      </c>
      <c r="H874">
        <v>206</v>
      </c>
    </row>
    <row r="875" spans="1:8" x14ac:dyDescent="0.25">
      <c r="A875" t="s">
        <v>681</v>
      </c>
      <c r="B875">
        <v>2</v>
      </c>
      <c r="C875">
        <v>2</v>
      </c>
      <c r="D875">
        <v>2</v>
      </c>
      <c r="E875" t="s">
        <v>5308</v>
      </c>
      <c r="F875" t="s">
        <v>5308</v>
      </c>
      <c r="G875" t="s">
        <v>4256</v>
      </c>
      <c r="H875">
        <v>172</v>
      </c>
    </row>
    <row r="876" spans="1:8" x14ac:dyDescent="0.25">
      <c r="A876" t="s">
        <v>3624</v>
      </c>
      <c r="B876">
        <v>1</v>
      </c>
      <c r="C876">
        <v>1</v>
      </c>
      <c r="D876">
        <v>1</v>
      </c>
      <c r="E876" t="s">
        <v>5309</v>
      </c>
      <c r="F876" t="s">
        <v>5310</v>
      </c>
      <c r="G876" t="s">
        <v>5310</v>
      </c>
      <c r="H876">
        <v>5</v>
      </c>
    </row>
    <row r="877" spans="1:8" x14ac:dyDescent="0.25">
      <c r="A877" t="s">
        <v>3928</v>
      </c>
      <c r="B877">
        <v>1</v>
      </c>
      <c r="C877">
        <v>1</v>
      </c>
      <c r="D877">
        <v>1</v>
      </c>
      <c r="E877" t="s">
        <v>5311</v>
      </c>
      <c r="F877" t="s">
        <v>5311</v>
      </c>
      <c r="G877" t="s">
        <v>5311</v>
      </c>
      <c r="H877">
        <v>2</v>
      </c>
    </row>
    <row r="878" spans="1:8" x14ac:dyDescent="0.25">
      <c r="A878" t="s">
        <v>2628</v>
      </c>
      <c r="B878">
        <v>1</v>
      </c>
      <c r="C878">
        <v>1</v>
      </c>
      <c r="D878">
        <v>1</v>
      </c>
      <c r="E878" t="s">
        <v>5312</v>
      </c>
      <c r="F878" t="s">
        <v>5312</v>
      </c>
      <c r="G878" t="s">
        <v>5312</v>
      </c>
      <c r="H878">
        <v>26</v>
      </c>
    </row>
    <row r="879" spans="1:8" x14ac:dyDescent="0.25">
      <c r="A879" t="s">
        <v>211</v>
      </c>
      <c r="B879">
        <v>2</v>
      </c>
      <c r="C879">
        <v>2</v>
      </c>
      <c r="D879">
        <v>2</v>
      </c>
      <c r="E879" t="s">
        <v>5313</v>
      </c>
      <c r="F879" t="s">
        <v>5313</v>
      </c>
      <c r="G879" t="s">
        <v>4256</v>
      </c>
      <c r="H879">
        <v>585</v>
      </c>
    </row>
    <row r="880" spans="1:8" x14ac:dyDescent="0.25">
      <c r="A880" t="s">
        <v>612</v>
      </c>
      <c r="B880">
        <v>1</v>
      </c>
      <c r="C880">
        <v>1</v>
      </c>
      <c r="D880">
        <v>1</v>
      </c>
      <c r="E880" t="s">
        <v>5314</v>
      </c>
      <c r="F880" t="s">
        <v>5314</v>
      </c>
      <c r="G880" t="s">
        <v>5314</v>
      </c>
      <c r="H880">
        <v>169</v>
      </c>
    </row>
    <row r="881" spans="1:8" x14ac:dyDescent="0.25">
      <c r="A881" t="s">
        <v>1305</v>
      </c>
      <c r="B881">
        <v>1</v>
      </c>
      <c r="C881">
        <v>1</v>
      </c>
      <c r="D881">
        <v>1</v>
      </c>
      <c r="E881" t="s">
        <v>5315</v>
      </c>
      <c r="F881" t="s">
        <v>5315</v>
      </c>
      <c r="G881" t="s">
        <v>5315</v>
      </c>
      <c r="H881">
        <v>91</v>
      </c>
    </row>
    <row r="882" spans="1:8" x14ac:dyDescent="0.25">
      <c r="A882" t="s">
        <v>1595</v>
      </c>
      <c r="B882">
        <v>1</v>
      </c>
      <c r="C882">
        <v>1</v>
      </c>
      <c r="D882">
        <v>1</v>
      </c>
      <c r="E882" t="s">
        <v>5316</v>
      </c>
      <c r="F882" t="s">
        <v>5316</v>
      </c>
      <c r="G882" t="s">
        <v>5316</v>
      </c>
      <c r="H882">
        <v>104</v>
      </c>
    </row>
    <row r="883" spans="1:8" x14ac:dyDescent="0.25">
      <c r="A883" t="s">
        <v>2907</v>
      </c>
      <c r="B883">
        <v>1</v>
      </c>
      <c r="C883">
        <v>1</v>
      </c>
      <c r="D883">
        <v>1</v>
      </c>
      <c r="E883" t="s">
        <v>5317</v>
      </c>
      <c r="F883" t="s">
        <v>5317</v>
      </c>
      <c r="G883" t="s">
        <v>5317</v>
      </c>
      <c r="H883">
        <v>33</v>
      </c>
    </row>
    <row r="884" spans="1:8" x14ac:dyDescent="0.25">
      <c r="A884" t="s">
        <v>2255</v>
      </c>
      <c r="B884">
        <v>1</v>
      </c>
      <c r="C884">
        <v>1</v>
      </c>
      <c r="D884">
        <v>1</v>
      </c>
      <c r="E884" t="s">
        <v>5318</v>
      </c>
      <c r="F884" t="s">
        <v>5318</v>
      </c>
      <c r="G884" t="s">
        <v>5318</v>
      </c>
      <c r="H884">
        <v>69</v>
      </c>
    </row>
    <row r="885" spans="1:8" x14ac:dyDescent="0.25">
      <c r="A885" t="s">
        <v>2352</v>
      </c>
      <c r="B885">
        <v>1</v>
      </c>
      <c r="C885">
        <v>1</v>
      </c>
      <c r="D885">
        <v>1</v>
      </c>
      <c r="E885" t="s">
        <v>5319</v>
      </c>
      <c r="F885" t="s">
        <v>5319</v>
      </c>
      <c r="G885" t="s">
        <v>5319</v>
      </c>
      <c r="H885">
        <v>56</v>
      </c>
    </row>
    <row r="886" spans="1:8" x14ac:dyDescent="0.25">
      <c r="A886" t="s">
        <v>2399</v>
      </c>
      <c r="B886">
        <v>1</v>
      </c>
      <c r="C886">
        <v>1</v>
      </c>
      <c r="D886">
        <v>1</v>
      </c>
      <c r="E886" t="s">
        <v>5320</v>
      </c>
      <c r="F886" t="s">
        <v>5320</v>
      </c>
      <c r="G886" t="s">
        <v>5320</v>
      </c>
      <c r="H886">
        <v>63</v>
      </c>
    </row>
    <row r="887" spans="1:8" x14ac:dyDescent="0.25">
      <c r="A887" t="s">
        <v>5321</v>
      </c>
      <c r="B887">
        <v>0</v>
      </c>
      <c r="C887">
        <v>0</v>
      </c>
      <c r="D887">
        <v>0</v>
      </c>
      <c r="G887" t="s">
        <v>4256</v>
      </c>
      <c r="H887">
        <v>1</v>
      </c>
    </row>
    <row r="888" spans="1:8" x14ac:dyDescent="0.25">
      <c r="A888" t="s">
        <v>5322</v>
      </c>
      <c r="B888">
        <v>0</v>
      </c>
      <c r="C888">
        <v>0</v>
      </c>
      <c r="D888">
        <v>0</v>
      </c>
      <c r="G888" t="s">
        <v>4256</v>
      </c>
      <c r="H888">
        <v>1</v>
      </c>
    </row>
    <row r="889" spans="1:8" x14ac:dyDescent="0.25">
      <c r="A889" t="s">
        <v>1176</v>
      </c>
      <c r="B889">
        <v>1</v>
      </c>
      <c r="C889">
        <v>1</v>
      </c>
      <c r="D889">
        <v>1</v>
      </c>
      <c r="E889" t="s">
        <v>5323</v>
      </c>
      <c r="F889" t="s">
        <v>5324</v>
      </c>
      <c r="G889" t="s">
        <v>5324</v>
      </c>
      <c r="H889">
        <v>188</v>
      </c>
    </row>
    <row r="890" spans="1:8" x14ac:dyDescent="0.25">
      <c r="A890" t="s">
        <v>2161</v>
      </c>
      <c r="B890">
        <v>1</v>
      </c>
      <c r="C890">
        <v>1</v>
      </c>
      <c r="D890">
        <v>1</v>
      </c>
      <c r="E890" t="s">
        <v>5325</v>
      </c>
      <c r="F890" t="s">
        <v>5326</v>
      </c>
      <c r="G890" t="s">
        <v>5326</v>
      </c>
      <c r="H890">
        <v>111</v>
      </c>
    </row>
    <row r="891" spans="1:8" x14ac:dyDescent="0.25">
      <c r="A891" t="s">
        <v>1550</v>
      </c>
      <c r="B891">
        <v>1</v>
      </c>
      <c r="C891">
        <v>1</v>
      </c>
      <c r="D891">
        <v>1</v>
      </c>
      <c r="E891" t="s">
        <v>5327</v>
      </c>
      <c r="F891" t="s">
        <v>5327</v>
      </c>
      <c r="G891" t="s">
        <v>5327</v>
      </c>
      <c r="H891">
        <v>197</v>
      </c>
    </row>
    <row r="892" spans="1:8" x14ac:dyDescent="0.25">
      <c r="A892" t="s">
        <v>2359</v>
      </c>
      <c r="B892">
        <v>1</v>
      </c>
      <c r="C892">
        <v>1</v>
      </c>
      <c r="D892">
        <v>1</v>
      </c>
      <c r="E892" t="s">
        <v>5328</v>
      </c>
      <c r="F892" t="s">
        <v>5328</v>
      </c>
      <c r="G892" t="s">
        <v>5328</v>
      </c>
      <c r="H892">
        <v>134</v>
      </c>
    </row>
    <row r="893" spans="1:8" x14ac:dyDescent="0.25">
      <c r="A893" t="s">
        <v>876</v>
      </c>
      <c r="B893">
        <v>3</v>
      </c>
      <c r="C893">
        <v>3</v>
      </c>
      <c r="D893">
        <v>3</v>
      </c>
      <c r="E893" t="s">
        <v>5329</v>
      </c>
      <c r="F893" t="s">
        <v>5329</v>
      </c>
      <c r="G893" t="s">
        <v>4256</v>
      </c>
      <c r="H893">
        <v>322</v>
      </c>
    </row>
    <row r="894" spans="1:8" x14ac:dyDescent="0.25">
      <c r="A894" t="s">
        <v>1252</v>
      </c>
      <c r="B894">
        <v>1</v>
      </c>
      <c r="C894">
        <v>1</v>
      </c>
      <c r="D894">
        <v>1</v>
      </c>
      <c r="E894" t="s">
        <v>5330</v>
      </c>
      <c r="F894" t="s">
        <v>5330</v>
      </c>
      <c r="G894" t="s">
        <v>5330</v>
      </c>
      <c r="H894">
        <v>171</v>
      </c>
    </row>
    <row r="895" spans="1:8" x14ac:dyDescent="0.25">
      <c r="A895" t="s">
        <v>509</v>
      </c>
      <c r="B895">
        <v>1</v>
      </c>
      <c r="C895">
        <v>1</v>
      </c>
      <c r="D895">
        <v>1</v>
      </c>
      <c r="E895" t="s">
        <v>5331</v>
      </c>
      <c r="F895" t="s">
        <v>5331</v>
      </c>
      <c r="G895" t="s">
        <v>5331</v>
      </c>
      <c r="H895">
        <v>374</v>
      </c>
    </row>
    <row r="896" spans="1:8" x14ac:dyDescent="0.25">
      <c r="A896" t="s">
        <v>1452</v>
      </c>
      <c r="B896">
        <v>1</v>
      </c>
      <c r="C896">
        <v>1</v>
      </c>
      <c r="D896">
        <v>1</v>
      </c>
      <c r="E896" t="s">
        <v>5332</v>
      </c>
      <c r="F896" t="s">
        <v>5332</v>
      </c>
      <c r="G896" t="s">
        <v>5332</v>
      </c>
      <c r="H896">
        <v>149</v>
      </c>
    </row>
    <row r="897" spans="1:8" x14ac:dyDescent="0.25">
      <c r="A897" t="s">
        <v>1261</v>
      </c>
      <c r="B897">
        <v>1</v>
      </c>
      <c r="C897">
        <v>1</v>
      </c>
      <c r="D897">
        <v>1</v>
      </c>
      <c r="E897" t="s">
        <v>5333</v>
      </c>
      <c r="F897" t="s">
        <v>5333</v>
      </c>
      <c r="G897" t="s">
        <v>5333</v>
      </c>
      <c r="H897">
        <v>123</v>
      </c>
    </row>
    <row r="898" spans="1:8" x14ac:dyDescent="0.25">
      <c r="A898" t="s">
        <v>726</v>
      </c>
      <c r="B898">
        <v>1</v>
      </c>
      <c r="C898">
        <v>1</v>
      </c>
      <c r="D898">
        <v>1</v>
      </c>
      <c r="E898" t="s">
        <v>5334</v>
      </c>
      <c r="F898" t="s">
        <v>5334</v>
      </c>
      <c r="G898" t="s">
        <v>5334</v>
      </c>
      <c r="H898">
        <v>304</v>
      </c>
    </row>
    <row r="899" spans="1:8" x14ac:dyDescent="0.25">
      <c r="A899" t="s">
        <v>1041</v>
      </c>
      <c r="B899">
        <v>1</v>
      </c>
      <c r="C899">
        <v>1</v>
      </c>
      <c r="D899">
        <v>1</v>
      </c>
      <c r="E899" t="s">
        <v>5335</v>
      </c>
      <c r="F899" t="s">
        <v>5335</v>
      </c>
      <c r="G899" t="s">
        <v>5335</v>
      </c>
      <c r="H899">
        <v>154</v>
      </c>
    </row>
    <row r="900" spans="1:8" x14ac:dyDescent="0.25">
      <c r="A900" t="s">
        <v>652</v>
      </c>
      <c r="B900">
        <v>1</v>
      </c>
      <c r="C900">
        <v>1</v>
      </c>
      <c r="D900">
        <v>1</v>
      </c>
      <c r="E900" t="s">
        <v>5336</v>
      </c>
      <c r="F900" t="s">
        <v>5336</v>
      </c>
      <c r="G900" t="s">
        <v>5336</v>
      </c>
      <c r="H900">
        <v>345</v>
      </c>
    </row>
    <row r="901" spans="1:8" x14ac:dyDescent="0.25">
      <c r="A901" t="s">
        <v>484</v>
      </c>
      <c r="B901">
        <v>1</v>
      </c>
      <c r="C901">
        <v>1</v>
      </c>
      <c r="D901">
        <v>1</v>
      </c>
      <c r="E901" t="s">
        <v>5337</v>
      </c>
      <c r="F901" t="s">
        <v>5337</v>
      </c>
      <c r="G901" t="s">
        <v>5337</v>
      </c>
      <c r="H901">
        <v>370</v>
      </c>
    </row>
    <row r="902" spans="1:8" x14ac:dyDescent="0.25">
      <c r="A902" t="s">
        <v>1124</v>
      </c>
      <c r="B902">
        <v>1</v>
      </c>
      <c r="C902">
        <v>1</v>
      </c>
      <c r="D902">
        <v>1</v>
      </c>
      <c r="E902" t="s">
        <v>5338</v>
      </c>
      <c r="F902" t="s">
        <v>5338</v>
      </c>
      <c r="G902" t="s">
        <v>5338</v>
      </c>
      <c r="H902">
        <v>231</v>
      </c>
    </row>
    <row r="903" spans="1:8" x14ac:dyDescent="0.25">
      <c r="A903" t="s">
        <v>2506</v>
      </c>
      <c r="B903">
        <v>1</v>
      </c>
      <c r="C903">
        <v>1</v>
      </c>
      <c r="D903">
        <v>1</v>
      </c>
      <c r="E903" t="s">
        <v>5339</v>
      </c>
      <c r="F903" t="s">
        <v>5339</v>
      </c>
      <c r="G903" t="s">
        <v>5339</v>
      </c>
      <c r="H903">
        <v>96</v>
      </c>
    </row>
    <row r="904" spans="1:8" x14ac:dyDescent="0.25">
      <c r="A904" t="s">
        <v>1886</v>
      </c>
      <c r="B904">
        <v>1</v>
      </c>
      <c r="C904">
        <v>1</v>
      </c>
      <c r="D904">
        <v>1</v>
      </c>
      <c r="E904" t="s">
        <v>5340</v>
      </c>
      <c r="F904" t="s">
        <v>5340</v>
      </c>
      <c r="G904" t="s">
        <v>5340</v>
      </c>
      <c r="H904">
        <v>242</v>
      </c>
    </row>
    <row r="905" spans="1:8" x14ac:dyDescent="0.25">
      <c r="A905" t="s">
        <v>2508</v>
      </c>
      <c r="B905">
        <v>1</v>
      </c>
      <c r="C905">
        <v>1</v>
      </c>
      <c r="D905">
        <v>1</v>
      </c>
      <c r="E905" t="s">
        <v>5341</v>
      </c>
      <c r="F905" t="s">
        <v>5341</v>
      </c>
      <c r="G905" t="s">
        <v>5341</v>
      </c>
      <c r="H905">
        <v>79</v>
      </c>
    </row>
    <row r="906" spans="1:8" x14ac:dyDescent="0.25">
      <c r="A906" t="s">
        <v>2740</v>
      </c>
      <c r="B906">
        <v>1</v>
      </c>
      <c r="C906">
        <v>1</v>
      </c>
      <c r="D906">
        <v>1</v>
      </c>
      <c r="E906" t="s">
        <v>5342</v>
      </c>
      <c r="F906" t="s">
        <v>5342</v>
      </c>
      <c r="G906" t="s">
        <v>5342</v>
      </c>
      <c r="H906">
        <v>73</v>
      </c>
    </row>
    <row r="907" spans="1:8" x14ac:dyDescent="0.25">
      <c r="A907" t="s">
        <v>2036</v>
      </c>
      <c r="B907">
        <v>1</v>
      </c>
      <c r="C907">
        <v>1</v>
      </c>
      <c r="D907">
        <v>1</v>
      </c>
      <c r="E907" t="s">
        <v>5343</v>
      </c>
      <c r="F907" t="s">
        <v>5344</v>
      </c>
      <c r="G907" t="s">
        <v>5344</v>
      </c>
      <c r="H907">
        <v>134</v>
      </c>
    </row>
    <row r="908" spans="1:8" x14ac:dyDescent="0.25">
      <c r="A908" t="s">
        <v>2469</v>
      </c>
      <c r="B908">
        <v>1</v>
      </c>
      <c r="C908">
        <v>1</v>
      </c>
      <c r="D908">
        <v>1</v>
      </c>
      <c r="E908" t="s">
        <v>5345</v>
      </c>
      <c r="F908" t="s">
        <v>5345</v>
      </c>
      <c r="G908" t="s">
        <v>5345</v>
      </c>
      <c r="H908">
        <v>93</v>
      </c>
    </row>
    <row r="909" spans="1:8" x14ac:dyDescent="0.25">
      <c r="A909" t="s">
        <v>512</v>
      </c>
      <c r="B909">
        <v>3</v>
      </c>
      <c r="C909">
        <v>3</v>
      </c>
      <c r="D909">
        <v>3</v>
      </c>
      <c r="E909" t="s">
        <v>5346</v>
      </c>
      <c r="F909" t="s">
        <v>5346</v>
      </c>
      <c r="G909" t="s">
        <v>4256</v>
      </c>
      <c r="H909">
        <v>389</v>
      </c>
    </row>
    <row r="910" spans="1:8" x14ac:dyDescent="0.25">
      <c r="A910" t="s">
        <v>396</v>
      </c>
      <c r="B910">
        <v>1</v>
      </c>
      <c r="C910">
        <v>1</v>
      </c>
      <c r="D910">
        <v>1</v>
      </c>
      <c r="E910" t="s">
        <v>5347</v>
      </c>
      <c r="F910" t="s">
        <v>5347</v>
      </c>
      <c r="G910" t="s">
        <v>5347</v>
      </c>
      <c r="H910">
        <v>607</v>
      </c>
    </row>
    <row r="911" spans="1:8" x14ac:dyDescent="0.25">
      <c r="A911" t="s">
        <v>796</v>
      </c>
      <c r="B911">
        <v>2</v>
      </c>
      <c r="C911">
        <v>2</v>
      </c>
      <c r="D911">
        <v>2</v>
      </c>
      <c r="E911" t="s">
        <v>5348</v>
      </c>
      <c r="F911" t="s">
        <v>5348</v>
      </c>
      <c r="G911" t="s">
        <v>4256</v>
      </c>
      <c r="H911">
        <v>244</v>
      </c>
    </row>
    <row r="912" spans="1:8" x14ac:dyDescent="0.25">
      <c r="A912" t="s">
        <v>338</v>
      </c>
      <c r="B912">
        <v>1</v>
      </c>
      <c r="C912">
        <v>1</v>
      </c>
      <c r="D912">
        <v>1</v>
      </c>
      <c r="E912" t="s">
        <v>5349</v>
      </c>
      <c r="F912" t="s">
        <v>5349</v>
      </c>
      <c r="G912" t="s">
        <v>5349</v>
      </c>
      <c r="H912">
        <v>452</v>
      </c>
    </row>
    <row r="913" spans="1:8" x14ac:dyDescent="0.25">
      <c r="A913" t="s">
        <v>710</v>
      </c>
      <c r="B913">
        <v>1</v>
      </c>
      <c r="C913">
        <v>1</v>
      </c>
      <c r="D913">
        <v>1</v>
      </c>
      <c r="E913" t="s">
        <v>5350</v>
      </c>
      <c r="F913" t="s">
        <v>5351</v>
      </c>
      <c r="G913" t="s">
        <v>5351</v>
      </c>
      <c r="H913">
        <v>424</v>
      </c>
    </row>
    <row r="914" spans="1:8" x14ac:dyDescent="0.25">
      <c r="A914" t="s">
        <v>1837</v>
      </c>
      <c r="B914">
        <v>1</v>
      </c>
      <c r="C914">
        <v>1</v>
      </c>
      <c r="D914">
        <v>1</v>
      </c>
      <c r="E914" t="s">
        <v>5352</v>
      </c>
      <c r="F914" t="s">
        <v>5352</v>
      </c>
      <c r="G914" t="s">
        <v>5352</v>
      </c>
      <c r="H914">
        <v>135</v>
      </c>
    </row>
    <row r="915" spans="1:8" x14ac:dyDescent="0.25">
      <c r="A915" t="s">
        <v>3799</v>
      </c>
      <c r="B915">
        <v>1</v>
      </c>
      <c r="C915">
        <v>1</v>
      </c>
      <c r="D915">
        <v>1</v>
      </c>
      <c r="E915" t="s">
        <v>5353</v>
      </c>
      <c r="F915" t="s">
        <v>5353</v>
      </c>
      <c r="G915" t="s">
        <v>5353</v>
      </c>
      <c r="H915">
        <v>3</v>
      </c>
    </row>
    <row r="916" spans="1:8" x14ac:dyDescent="0.25">
      <c r="A916" t="s">
        <v>1092</v>
      </c>
      <c r="B916">
        <v>1</v>
      </c>
      <c r="C916">
        <v>1</v>
      </c>
      <c r="D916">
        <v>1</v>
      </c>
      <c r="E916" t="s">
        <v>5354</v>
      </c>
      <c r="F916" t="s">
        <v>5354</v>
      </c>
      <c r="G916" t="s">
        <v>5354</v>
      </c>
      <c r="H916">
        <v>117</v>
      </c>
    </row>
    <row r="917" spans="1:8" x14ac:dyDescent="0.25">
      <c r="A917" t="s">
        <v>1565</v>
      </c>
      <c r="B917">
        <v>1</v>
      </c>
      <c r="C917">
        <v>1</v>
      </c>
      <c r="D917">
        <v>1</v>
      </c>
      <c r="E917" t="s">
        <v>5355</v>
      </c>
      <c r="F917" t="s">
        <v>5355</v>
      </c>
      <c r="G917" t="s">
        <v>5355</v>
      </c>
      <c r="H917">
        <v>5</v>
      </c>
    </row>
    <row r="918" spans="1:8" x14ac:dyDescent="0.25">
      <c r="A918" t="s">
        <v>1408</v>
      </c>
      <c r="B918">
        <v>1</v>
      </c>
      <c r="C918">
        <v>1</v>
      </c>
      <c r="D918">
        <v>1</v>
      </c>
      <c r="E918" t="s">
        <v>5356</v>
      </c>
      <c r="F918" t="s">
        <v>5356</v>
      </c>
      <c r="G918" t="s">
        <v>5356</v>
      </c>
      <c r="H918">
        <v>28</v>
      </c>
    </row>
    <row r="919" spans="1:8" x14ac:dyDescent="0.25">
      <c r="A919" t="s">
        <v>1289</v>
      </c>
      <c r="B919">
        <v>2</v>
      </c>
      <c r="C919">
        <v>2</v>
      </c>
      <c r="D919">
        <v>2</v>
      </c>
      <c r="E919" t="s">
        <v>5357</v>
      </c>
      <c r="F919" t="s">
        <v>5357</v>
      </c>
      <c r="G919" t="s">
        <v>4256</v>
      </c>
      <c r="H919">
        <v>290</v>
      </c>
    </row>
    <row r="920" spans="1:8" x14ac:dyDescent="0.25">
      <c r="A920" t="s">
        <v>1115</v>
      </c>
      <c r="B920">
        <v>1</v>
      </c>
      <c r="C920">
        <v>1</v>
      </c>
      <c r="D920">
        <v>1</v>
      </c>
      <c r="E920" t="s">
        <v>5358</v>
      </c>
      <c r="F920" t="s">
        <v>5358</v>
      </c>
      <c r="G920" t="s">
        <v>5358</v>
      </c>
      <c r="H920">
        <v>380</v>
      </c>
    </row>
    <row r="921" spans="1:8" x14ac:dyDescent="0.25">
      <c r="A921" t="s">
        <v>1556</v>
      </c>
      <c r="B921">
        <v>1</v>
      </c>
      <c r="C921">
        <v>1</v>
      </c>
      <c r="D921">
        <v>1</v>
      </c>
      <c r="E921" t="s">
        <v>5359</v>
      </c>
      <c r="F921" t="s">
        <v>5360</v>
      </c>
      <c r="G921" t="s">
        <v>5360</v>
      </c>
      <c r="H921">
        <v>320</v>
      </c>
    </row>
    <row r="922" spans="1:8" x14ac:dyDescent="0.25">
      <c r="A922" t="s">
        <v>1564</v>
      </c>
      <c r="B922">
        <v>1</v>
      </c>
      <c r="C922">
        <v>1</v>
      </c>
      <c r="D922">
        <v>1</v>
      </c>
      <c r="E922" t="s">
        <v>5361</v>
      </c>
      <c r="F922" t="s">
        <v>5362</v>
      </c>
      <c r="G922" t="s">
        <v>5362</v>
      </c>
      <c r="H922">
        <v>218</v>
      </c>
    </row>
    <row r="923" spans="1:8" x14ac:dyDescent="0.25">
      <c r="A923" t="s">
        <v>1035</v>
      </c>
      <c r="B923">
        <v>1</v>
      </c>
      <c r="C923">
        <v>1</v>
      </c>
      <c r="D923">
        <v>1</v>
      </c>
      <c r="E923" t="s">
        <v>5363</v>
      </c>
      <c r="F923" t="s">
        <v>5363</v>
      </c>
      <c r="G923" t="s">
        <v>5363</v>
      </c>
      <c r="H923">
        <v>184</v>
      </c>
    </row>
    <row r="924" spans="1:8" x14ac:dyDescent="0.25">
      <c r="A924" t="s">
        <v>3137</v>
      </c>
      <c r="B924">
        <v>1</v>
      </c>
      <c r="C924">
        <v>1</v>
      </c>
      <c r="D924">
        <v>1</v>
      </c>
      <c r="E924" t="s">
        <v>5364</v>
      </c>
      <c r="F924" t="s">
        <v>5365</v>
      </c>
      <c r="G924" t="s">
        <v>5365</v>
      </c>
      <c r="H924">
        <v>26</v>
      </c>
    </row>
    <row r="925" spans="1:8" x14ac:dyDescent="0.25">
      <c r="A925" t="s">
        <v>1919</v>
      </c>
      <c r="B925">
        <v>1</v>
      </c>
      <c r="C925">
        <v>1</v>
      </c>
      <c r="D925">
        <v>1</v>
      </c>
      <c r="E925" t="s">
        <v>5366</v>
      </c>
      <c r="F925" t="s">
        <v>5367</v>
      </c>
      <c r="G925" t="s">
        <v>5367</v>
      </c>
      <c r="H925">
        <v>161</v>
      </c>
    </row>
    <row r="926" spans="1:8" x14ac:dyDescent="0.25">
      <c r="A926" t="s">
        <v>696</v>
      </c>
      <c r="B926">
        <v>1</v>
      </c>
      <c r="C926">
        <v>1</v>
      </c>
      <c r="D926">
        <v>1</v>
      </c>
      <c r="E926" t="s">
        <v>5368</v>
      </c>
      <c r="F926" t="s">
        <v>5368</v>
      </c>
      <c r="G926" t="s">
        <v>5368</v>
      </c>
      <c r="H926">
        <v>180</v>
      </c>
    </row>
    <row r="927" spans="1:8" x14ac:dyDescent="0.25">
      <c r="A927" t="s">
        <v>631</v>
      </c>
      <c r="B927">
        <v>1</v>
      </c>
      <c r="C927">
        <v>1</v>
      </c>
      <c r="D927">
        <v>1</v>
      </c>
      <c r="E927" t="s">
        <v>5369</v>
      </c>
      <c r="F927" t="s">
        <v>5369</v>
      </c>
      <c r="G927" t="s">
        <v>5369</v>
      </c>
      <c r="H927">
        <v>373</v>
      </c>
    </row>
    <row r="928" spans="1:8" x14ac:dyDescent="0.25">
      <c r="A928" t="s">
        <v>436</v>
      </c>
      <c r="B928">
        <v>1</v>
      </c>
      <c r="C928">
        <v>1</v>
      </c>
      <c r="D928">
        <v>1</v>
      </c>
      <c r="E928" t="s">
        <v>5370</v>
      </c>
      <c r="F928" t="s">
        <v>5370</v>
      </c>
      <c r="G928" t="s">
        <v>5370</v>
      </c>
      <c r="H928">
        <v>478</v>
      </c>
    </row>
    <row r="929" spans="1:8" x14ac:dyDescent="0.25">
      <c r="A929" t="s">
        <v>3363</v>
      </c>
      <c r="B929">
        <v>1</v>
      </c>
      <c r="C929">
        <v>1</v>
      </c>
      <c r="D929">
        <v>1</v>
      </c>
      <c r="E929" t="s">
        <v>5371</v>
      </c>
      <c r="F929" t="s">
        <v>5372</v>
      </c>
      <c r="G929" t="s">
        <v>5372</v>
      </c>
      <c r="H929">
        <v>9</v>
      </c>
    </row>
    <row r="930" spans="1:8" x14ac:dyDescent="0.25">
      <c r="A930" t="s">
        <v>2840</v>
      </c>
      <c r="B930">
        <v>1</v>
      </c>
      <c r="C930">
        <v>1</v>
      </c>
      <c r="D930">
        <v>1</v>
      </c>
      <c r="E930" t="s">
        <v>5373</v>
      </c>
      <c r="F930" t="s">
        <v>5374</v>
      </c>
      <c r="G930" t="s">
        <v>5374</v>
      </c>
      <c r="H930">
        <v>33</v>
      </c>
    </row>
    <row r="931" spans="1:8" x14ac:dyDescent="0.25">
      <c r="A931" t="s">
        <v>473</v>
      </c>
      <c r="B931">
        <v>1</v>
      </c>
      <c r="C931">
        <v>1</v>
      </c>
      <c r="D931">
        <v>1</v>
      </c>
      <c r="E931" t="s">
        <v>5375</v>
      </c>
      <c r="F931" t="s">
        <v>5375</v>
      </c>
      <c r="G931" t="s">
        <v>5375</v>
      </c>
      <c r="H931">
        <v>401</v>
      </c>
    </row>
    <row r="932" spans="1:8" x14ac:dyDescent="0.25">
      <c r="A932" t="s">
        <v>1393</v>
      </c>
      <c r="B932">
        <v>1</v>
      </c>
      <c r="C932">
        <v>1</v>
      </c>
      <c r="D932">
        <v>1</v>
      </c>
      <c r="E932" t="s">
        <v>5376</v>
      </c>
      <c r="F932" t="s">
        <v>5376</v>
      </c>
      <c r="G932" t="s">
        <v>5376</v>
      </c>
      <c r="H932">
        <v>150</v>
      </c>
    </row>
    <row r="933" spans="1:8" x14ac:dyDescent="0.25">
      <c r="A933" t="s">
        <v>344</v>
      </c>
      <c r="B933">
        <v>1</v>
      </c>
      <c r="C933">
        <v>1</v>
      </c>
      <c r="D933">
        <v>1</v>
      </c>
      <c r="E933" t="s">
        <v>5377</v>
      </c>
      <c r="F933" t="s">
        <v>5378</v>
      </c>
      <c r="G933" t="s">
        <v>5378</v>
      </c>
      <c r="H933">
        <v>615</v>
      </c>
    </row>
    <row r="934" spans="1:8" x14ac:dyDescent="0.25">
      <c r="A934" t="s">
        <v>171</v>
      </c>
      <c r="B934">
        <v>2</v>
      </c>
      <c r="C934">
        <v>2</v>
      </c>
      <c r="D934">
        <v>2</v>
      </c>
      <c r="E934" t="s">
        <v>5379</v>
      </c>
      <c r="F934" t="s">
        <v>5380</v>
      </c>
      <c r="G934" t="s">
        <v>4256</v>
      </c>
      <c r="H934">
        <v>677</v>
      </c>
    </row>
    <row r="935" spans="1:8" x14ac:dyDescent="0.25">
      <c r="A935" t="s">
        <v>1211</v>
      </c>
      <c r="B935">
        <v>1</v>
      </c>
      <c r="C935">
        <v>1</v>
      </c>
      <c r="D935">
        <v>1</v>
      </c>
      <c r="E935" t="s">
        <v>5381</v>
      </c>
      <c r="F935" t="s">
        <v>5381</v>
      </c>
      <c r="G935" t="s">
        <v>5381</v>
      </c>
      <c r="H935">
        <v>367</v>
      </c>
    </row>
    <row r="936" spans="1:8" x14ac:dyDescent="0.25">
      <c r="A936" t="s">
        <v>1316</v>
      </c>
      <c r="B936">
        <v>1</v>
      </c>
      <c r="C936">
        <v>1</v>
      </c>
      <c r="D936">
        <v>1</v>
      </c>
      <c r="E936" t="s">
        <v>5382</v>
      </c>
      <c r="F936" t="s">
        <v>5382</v>
      </c>
      <c r="G936" t="s">
        <v>5382</v>
      </c>
      <c r="H936">
        <v>230</v>
      </c>
    </row>
    <row r="937" spans="1:8" x14ac:dyDescent="0.25">
      <c r="A937" t="s">
        <v>925</v>
      </c>
      <c r="B937">
        <v>1</v>
      </c>
      <c r="C937">
        <v>1</v>
      </c>
      <c r="D937">
        <v>1</v>
      </c>
      <c r="E937" t="s">
        <v>5383</v>
      </c>
      <c r="F937" t="s">
        <v>5383</v>
      </c>
      <c r="G937" t="s">
        <v>5383</v>
      </c>
      <c r="H937">
        <v>378</v>
      </c>
    </row>
    <row r="938" spans="1:8" x14ac:dyDescent="0.25">
      <c r="A938" t="s">
        <v>483</v>
      </c>
      <c r="B938">
        <v>1</v>
      </c>
      <c r="C938">
        <v>1</v>
      </c>
      <c r="D938">
        <v>1</v>
      </c>
      <c r="E938" t="s">
        <v>5384</v>
      </c>
      <c r="F938" t="s">
        <v>5384</v>
      </c>
      <c r="G938" t="s">
        <v>5384</v>
      </c>
      <c r="H938">
        <v>211</v>
      </c>
    </row>
    <row r="939" spans="1:8" x14ac:dyDescent="0.25">
      <c r="A939" t="s">
        <v>5385</v>
      </c>
      <c r="B939">
        <v>0</v>
      </c>
      <c r="C939">
        <v>0</v>
      </c>
      <c r="D939">
        <v>0</v>
      </c>
      <c r="G939" t="s">
        <v>4256</v>
      </c>
      <c r="H939">
        <v>1</v>
      </c>
    </row>
    <row r="940" spans="1:8" x14ac:dyDescent="0.25">
      <c r="A940" t="s">
        <v>2334</v>
      </c>
      <c r="B940">
        <v>1</v>
      </c>
      <c r="C940">
        <v>1</v>
      </c>
      <c r="D940">
        <v>1</v>
      </c>
      <c r="E940" t="s">
        <v>5386</v>
      </c>
      <c r="F940" t="s">
        <v>5387</v>
      </c>
      <c r="G940" t="s">
        <v>5387</v>
      </c>
      <c r="H940">
        <v>70</v>
      </c>
    </row>
    <row r="941" spans="1:8" x14ac:dyDescent="0.25">
      <c r="A941" t="s">
        <v>2322</v>
      </c>
      <c r="B941">
        <v>1</v>
      </c>
      <c r="C941">
        <v>1</v>
      </c>
      <c r="D941">
        <v>1</v>
      </c>
      <c r="E941" t="s">
        <v>5388</v>
      </c>
      <c r="F941" t="s">
        <v>5389</v>
      </c>
      <c r="G941" t="s">
        <v>5389</v>
      </c>
      <c r="H941">
        <v>62</v>
      </c>
    </row>
    <row r="942" spans="1:8" x14ac:dyDescent="0.25">
      <c r="A942" t="s">
        <v>1970</v>
      </c>
      <c r="B942">
        <v>1</v>
      </c>
      <c r="C942">
        <v>1</v>
      </c>
      <c r="D942">
        <v>1</v>
      </c>
      <c r="E942" t="s">
        <v>5390</v>
      </c>
      <c r="F942" t="s">
        <v>5391</v>
      </c>
      <c r="G942" t="s">
        <v>5391</v>
      </c>
      <c r="H942">
        <v>109</v>
      </c>
    </row>
    <row r="943" spans="1:8" x14ac:dyDescent="0.25">
      <c r="A943" t="s">
        <v>213</v>
      </c>
      <c r="B943">
        <v>2</v>
      </c>
      <c r="C943">
        <v>2</v>
      </c>
      <c r="D943">
        <v>2</v>
      </c>
      <c r="E943" t="s">
        <v>5392</v>
      </c>
      <c r="F943" t="s">
        <v>5392</v>
      </c>
      <c r="G943" t="s">
        <v>4256</v>
      </c>
      <c r="H943">
        <v>823</v>
      </c>
    </row>
    <row r="944" spans="1:8" x14ac:dyDescent="0.25">
      <c r="A944" t="s">
        <v>191</v>
      </c>
      <c r="B944">
        <v>1</v>
      </c>
      <c r="C944">
        <v>1</v>
      </c>
      <c r="D944">
        <v>1</v>
      </c>
      <c r="E944" t="s">
        <v>5393</v>
      </c>
      <c r="F944" t="s">
        <v>5393</v>
      </c>
      <c r="G944" t="s">
        <v>5393</v>
      </c>
      <c r="H944">
        <v>885</v>
      </c>
    </row>
    <row r="945" spans="1:8" x14ac:dyDescent="0.25">
      <c r="A945" t="s">
        <v>270</v>
      </c>
      <c r="B945">
        <v>1</v>
      </c>
      <c r="C945">
        <v>1</v>
      </c>
      <c r="D945">
        <v>1</v>
      </c>
      <c r="E945" t="s">
        <v>5394</v>
      </c>
      <c r="F945" t="s">
        <v>5394</v>
      </c>
      <c r="G945" t="s">
        <v>5394</v>
      </c>
      <c r="H945">
        <v>720</v>
      </c>
    </row>
    <row r="946" spans="1:8" x14ac:dyDescent="0.25">
      <c r="A946" t="s">
        <v>156</v>
      </c>
      <c r="B946">
        <v>1</v>
      </c>
      <c r="C946">
        <v>1</v>
      </c>
      <c r="D946">
        <v>1</v>
      </c>
      <c r="E946" t="s">
        <v>5395</v>
      </c>
      <c r="F946" t="s">
        <v>5395</v>
      </c>
      <c r="G946" t="s">
        <v>5395</v>
      </c>
      <c r="H946">
        <v>1214</v>
      </c>
    </row>
    <row r="947" spans="1:8" x14ac:dyDescent="0.25">
      <c r="A947" t="s">
        <v>635</v>
      </c>
      <c r="B947">
        <v>1</v>
      </c>
      <c r="C947">
        <v>1</v>
      </c>
      <c r="D947">
        <v>1</v>
      </c>
      <c r="E947" t="s">
        <v>5396</v>
      </c>
      <c r="F947" t="s">
        <v>5396</v>
      </c>
      <c r="G947" t="s">
        <v>5396</v>
      </c>
      <c r="H947">
        <v>457</v>
      </c>
    </row>
    <row r="948" spans="1:8" x14ac:dyDescent="0.25">
      <c r="A948" t="s">
        <v>638</v>
      </c>
      <c r="B948">
        <v>1</v>
      </c>
      <c r="C948">
        <v>1</v>
      </c>
      <c r="D948">
        <v>1</v>
      </c>
      <c r="E948" t="s">
        <v>5397</v>
      </c>
      <c r="F948" t="s">
        <v>5397</v>
      </c>
      <c r="G948" t="s">
        <v>5397</v>
      </c>
      <c r="H948">
        <v>425</v>
      </c>
    </row>
    <row r="949" spans="1:8" x14ac:dyDescent="0.25">
      <c r="A949" t="s">
        <v>693</v>
      </c>
      <c r="B949">
        <v>1</v>
      </c>
      <c r="C949">
        <v>1</v>
      </c>
      <c r="D949">
        <v>1</v>
      </c>
      <c r="E949" t="s">
        <v>5398</v>
      </c>
      <c r="F949" t="s">
        <v>5398</v>
      </c>
      <c r="G949" t="s">
        <v>5398</v>
      </c>
      <c r="H949">
        <v>413</v>
      </c>
    </row>
    <row r="950" spans="1:8" x14ac:dyDescent="0.25">
      <c r="A950" t="s">
        <v>536</v>
      </c>
      <c r="B950">
        <v>1</v>
      </c>
      <c r="C950">
        <v>1</v>
      </c>
      <c r="D950">
        <v>1</v>
      </c>
      <c r="E950" t="s">
        <v>5399</v>
      </c>
      <c r="F950" t="s">
        <v>5399</v>
      </c>
      <c r="G950" t="s">
        <v>5399</v>
      </c>
      <c r="H950">
        <v>532</v>
      </c>
    </row>
    <row r="951" spans="1:8" x14ac:dyDescent="0.25">
      <c r="A951" t="s">
        <v>312</v>
      </c>
      <c r="B951">
        <v>1</v>
      </c>
      <c r="C951">
        <v>1</v>
      </c>
      <c r="D951">
        <v>1</v>
      </c>
      <c r="E951" t="s">
        <v>5400</v>
      </c>
      <c r="F951" t="s">
        <v>5400</v>
      </c>
      <c r="G951" t="s">
        <v>5400</v>
      </c>
      <c r="H951">
        <v>546</v>
      </c>
    </row>
    <row r="952" spans="1:8" x14ac:dyDescent="0.25">
      <c r="A952" t="s">
        <v>643</v>
      </c>
      <c r="B952">
        <v>3</v>
      </c>
      <c r="C952">
        <v>3</v>
      </c>
      <c r="D952">
        <v>3</v>
      </c>
      <c r="E952" t="s">
        <v>5401</v>
      </c>
      <c r="F952" t="s">
        <v>5401</v>
      </c>
      <c r="G952" t="s">
        <v>4256</v>
      </c>
      <c r="H952">
        <v>262</v>
      </c>
    </row>
    <row r="953" spans="1:8" x14ac:dyDescent="0.25">
      <c r="A953" t="s">
        <v>2631</v>
      </c>
      <c r="B953">
        <v>1</v>
      </c>
      <c r="C953">
        <v>1</v>
      </c>
      <c r="D953">
        <v>1</v>
      </c>
      <c r="E953" t="s">
        <v>5402</v>
      </c>
      <c r="F953" t="s">
        <v>5402</v>
      </c>
      <c r="G953" t="s">
        <v>5402</v>
      </c>
      <c r="H953">
        <v>104</v>
      </c>
    </row>
    <row r="954" spans="1:8" x14ac:dyDescent="0.25">
      <c r="A954" t="s">
        <v>3039</v>
      </c>
      <c r="B954">
        <v>1</v>
      </c>
      <c r="C954">
        <v>1</v>
      </c>
      <c r="D954">
        <v>1</v>
      </c>
      <c r="E954" t="s">
        <v>5403</v>
      </c>
      <c r="F954" t="s">
        <v>5404</v>
      </c>
      <c r="G954" t="s">
        <v>5404</v>
      </c>
      <c r="H954">
        <v>50</v>
      </c>
    </row>
    <row r="955" spans="1:8" x14ac:dyDescent="0.25">
      <c r="A955" t="s">
        <v>2634</v>
      </c>
      <c r="B955">
        <v>1</v>
      </c>
      <c r="C955">
        <v>1</v>
      </c>
      <c r="D955">
        <v>1</v>
      </c>
      <c r="E955" t="s">
        <v>5405</v>
      </c>
      <c r="F955" t="s">
        <v>5405</v>
      </c>
      <c r="G955" t="s">
        <v>5405</v>
      </c>
      <c r="H955">
        <v>101</v>
      </c>
    </row>
    <row r="956" spans="1:8" x14ac:dyDescent="0.25">
      <c r="A956" t="s">
        <v>2526</v>
      </c>
      <c r="B956">
        <v>1</v>
      </c>
      <c r="C956">
        <v>1</v>
      </c>
      <c r="D956">
        <v>1</v>
      </c>
      <c r="E956" t="s">
        <v>5406</v>
      </c>
      <c r="F956" t="s">
        <v>5407</v>
      </c>
      <c r="G956" t="s">
        <v>5407</v>
      </c>
      <c r="H956">
        <v>106</v>
      </c>
    </row>
    <row r="957" spans="1:8" x14ac:dyDescent="0.25">
      <c r="A957" t="s">
        <v>3263</v>
      </c>
      <c r="B957">
        <v>1</v>
      </c>
      <c r="C957">
        <v>1</v>
      </c>
      <c r="D957">
        <v>1</v>
      </c>
      <c r="E957" t="s">
        <v>5408</v>
      </c>
      <c r="F957" t="s">
        <v>5408</v>
      </c>
      <c r="G957" t="s">
        <v>5408</v>
      </c>
      <c r="H957">
        <v>25</v>
      </c>
    </row>
    <row r="958" spans="1:8" x14ac:dyDescent="0.25">
      <c r="A958" t="s">
        <v>1641</v>
      </c>
      <c r="B958">
        <v>1</v>
      </c>
      <c r="C958">
        <v>1</v>
      </c>
      <c r="D958">
        <v>1</v>
      </c>
      <c r="E958" t="s">
        <v>5409</v>
      </c>
      <c r="F958" t="s">
        <v>5409</v>
      </c>
      <c r="G958" t="s">
        <v>5409</v>
      </c>
      <c r="H958">
        <v>159</v>
      </c>
    </row>
    <row r="959" spans="1:8" x14ac:dyDescent="0.25">
      <c r="A959" t="s">
        <v>1778</v>
      </c>
      <c r="B959">
        <v>1</v>
      </c>
      <c r="C959">
        <v>1</v>
      </c>
      <c r="D959">
        <v>1</v>
      </c>
      <c r="E959" t="s">
        <v>5410</v>
      </c>
      <c r="F959" t="s">
        <v>5410</v>
      </c>
      <c r="G959" t="s">
        <v>5410</v>
      </c>
      <c r="H959">
        <v>156</v>
      </c>
    </row>
    <row r="960" spans="1:8" x14ac:dyDescent="0.25">
      <c r="A960" t="s">
        <v>1715</v>
      </c>
      <c r="B960">
        <v>1</v>
      </c>
      <c r="C960">
        <v>1</v>
      </c>
      <c r="D960">
        <v>1</v>
      </c>
      <c r="E960" t="s">
        <v>5411</v>
      </c>
      <c r="F960" t="s">
        <v>5411</v>
      </c>
      <c r="G960" t="s">
        <v>5411</v>
      </c>
      <c r="H960">
        <v>145</v>
      </c>
    </row>
    <row r="961" spans="1:8" x14ac:dyDescent="0.25">
      <c r="A961" t="s">
        <v>445</v>
      </c>
      <c r="B961">
        <v>1</v>
      </c>
      <c r="C961">
        <v>1</v>
      </c>
      <c r="D961">
        <v>1</v>
      </c>
      <c r="E961" t="s">
        <v>5412</v>
      </c>
      <c r="F961" t="s">
        <v>5412</v>
      </c>
      <c r="G961" t="s">
        <v>5412</v>
      </c>
      <c r="H961">
        <v>210</v>
      </c>
    </row>
    <row r="962" spans="1:8" x14ac:dyDescent="0.25">
      <c r="A962" t="s">
        <v>1380</v>
      </c>
      <c r="B962">
        <v>1</v>
      </c>
      <c r="C962">
        <v>1</v>
      </c>
      <c r="D962">
        <v>1</v>
      </c>
      <c r="E962" t="s">
        <v>5413</v>
      </c>
      <c r="F962" t="s">
        <v>5413</v>
      </c>
      <c r="G962" t="s">
        <v>5413</v>
      </c>
      <c r="H962">
        <v>239</v>
      </c>
    </row>
    <row r="963" spans="1:8" x14ac:dyDescent="0.25">
      <c r="A963" t="s">
        <v>2344</v>
      </c>
      <c r="B963">
        <v>1</v>
      </c>
      <c r="C963">
        <v>1</v>
      </c>
      <c r="D963">
        <v>1</v>
      </c>
      <c r="E963" t="s">
        <v>5414</v>
      </c>
      <c r="F963" t="s">
        <v>5414</v>
      </c>
      <c r="G963" t="s">
        <v>5414</v>
      </c>
      <c r="H963">
        <v>67</v>
      </c>
    </row>
    <row r="964" spans="1:8" x14ac:dyDescent="0.25">
      <c r="A964" t="s">
        <v>2786</v>
      </c>
      <c r="B964">
        <v>1</v>
      </c>
      <c r="C964">
        <v>1</v>
      </c>
      <c r="D964">
        <v>1</v>
      </c>
      <c r="E964" t="s">
        <v>5415</v>
      </c>
      <c r="F964" t="s">
        <v>5415</v>
      </c>
      <c r="G964" t="s">
        <v>5415</v>
      </c>
      <c r="H964">
        <v>32</v>
      </c>
    </row>
    <row r="965" spans="1:8" x14ac:dyDescent="0.25">
      <c r="A965" t="s">
        <v>822</v>
      </c>
      <c r="B965">
        <v>1</v>
      </c>
      <c r="C965">
        <v>1</v>
      </c>
      <c r="D965">
        <v>1</v>
      </c>
      <c r="E965" t="s">
        <v>5416</v>
      </c>
      <c r="F965" t="s">
        <v>5416</v>
      </c>
      <c r="G965" t="s">
        <v>5416</v>
      </c>
      <c r="H965">
        <v>367</v>
      </c>
    </row>
    <row r="966" spans="1:8" x14ac:dyDescent="0.25">
      <c r="A966" t="s">
        <v>540</v>
      </c>
      <c r="B966">
        <v>1</v>
      </c>
      <c r="C966">
        <v>1</v>
      </c>
      <c r="D966">
        <v>1</v>
      </c>
      <c r="E966" t="s">
        <v>5417</v>
      </c>
      <c r="F966" t="s">
        <v>5417</v>
      </c>
      <c r="G966" t="s">
        <v>5417</v>
      </c>
      <c r="H966">
        <v>641</v>
      </c>
    </row>
    <row r="967" spans="1:8" x14ac:dyDescent="0.25">
      <c r="A967" t="s">
        <v>939</v>
      </c>
      <c r="B967">
        <v>1</v>
      </c>
      <c r="C967">
        <v>1</v>
      </c>
      <c r="D967">
        <v>1</v>
      </c>
      <c r="E967" t="s">
        <v>5418</v>
      </c>
      <c r="F967" t="s">
        <v>5418</v>
      </c>
      <c r="G967" t="s">
        <v>5418</v>
      </c>
      <c r="H967">
        <v>408</v>
      </c>
    </row>
    <row r="968" spans="1:8" x14ac:dyDescent="0.25">
      <c r="A968" t="s">
        <v>302</v>
      </c>
      <c r="B968">
        <v>1</v>
      </c>
      <c r="C968">
        <v>1</v>
      </c>
      <c r="D968">
        <v>1</v>
      </c>
      <c r="E968" t="s">
        <v>5419</v>
      </c>
      <c r="F968" t="s">
        <v>5419</v>
      </c>
      <c r="G968" t="s">
        <v>5419</v>
      </c>
      <c r="H968">
        <v>896</v>
      </c>
    </row>
    <row r="969" spans="1:8" x14ac:dyDescent="0.25">
      <c r="A969" t="s">
        <v>1148</v>
      </c>
      <c r="B969">
        <v>1</v>
      </c>
      <c r="C969">
        <v>1</v>
      </c>
      <c r="D969">
        <v>1</v>
      </c>
      <c r="E969" t="s">
        <v>5420</v>
      </c>
      <c r="F969" t="s">
        <v>5421</v>
      </c>
      <c r="G969" t="s">
        <v>5421</v>
      </c>
      <c r="H969">
        <v>303</v>
      </c>
    </row>
    <row r="970" spans="1:8" x14ac:dyDescent="0.25">
      <c r="A970" t="s">
        <v>1339</v>
      </c>
      <c r="B970">
        <v>1</v>
      </c>
      <c r="C970">
        <v>1</v>
      </c>
      <c r="D970">
        <v>1</v>
      </c>
      <c r="E970" t="s">
        <v>5422</v>
      </c>
      <c r="F970" t="s">
        <v>5423</v>
      </c>
      <c r="G970" t="s">
        <v>5423</v>
      </c>
      <c r="H970">
        <v>277</v>
      </c>
    </row>
    <row r="971" spans="1:8" x14ac:dyDescent="0.25">
      <c r="A971" t="s">
        <v>1083</v>
      </c>
      <c r="B971">
        <v>1</v>
      </c>
      <c r="C971">
        <v>1</v>
      </c>
      <c r="D971">
        <v>1</v>
      </c>
      <c r="E971" t="s">
        <v>5424</v>
      </c>
      <c r="F971" t="s">
        <v>5425</v>
      </c>
      <c r="G971" t="s">
        <v>5425</v>
      </c>
      <c r="H971">
        <v>372</v>
      </c>
    </row>
    <row r="972" spans="1:8" x14ac:dyDescent="0.25">
      <c r="A972" t="s">
        <v>1961</v>
      </c>
      <c r="B972">
        <v>1</v>
      </c>
      <c r="C972">
        <v>1</v>
      </c>
      <c r="D972">
        <v>1</v>
      </c>
      <c r="E972" t="s">
        <v>5426</v>
      </c>
      <c r="F972" t="s">
        <v>5427</v>
      </c>
      <c r="G972" t="s">
        <v>5427</v>
      </c>
      <c r="H972">
        <v>156</v>
      </c>
    </row>
    <row r="973" spans="1:8" x14ac:dyDescent="0.25">
      <c r="A973" t="s">
        <v>1666</v>
      </c>
      <c r="B973">
        <v>1</v>
      </c>
      <c r="C973">
        <v>1</v>
      </c>
      <c r="D973">
        <v>1</v>
      </c>
      <c r="E973" t="s">
        <v>5428</v>
      </c>
      <c r="F973" t="s">
        <v>5429</v>
      </c>
      <c r="G973" t="s">
        <v>5429</v>
      </c>
      <c r="H973">
        <v>219</v>
      </c>
    </row>
    <row r="974" spans="1:8" x14ac:dyDescent="0.25">
      <c r="A974" t="s">
        <v>974</v>
      </c>
      <c r="B974">
        <v>1</v>
      </c>
      <c r="C974">
        <v>1</v>
      </c>
      <c r="D974">
        <v>1</v>
      </c>
      <c r="E974" t="s">
        <v>5430</v>
      </c>
      <c r="F974" t="s">
        <v>5431</v>
      </c>
      <c r="G974" t="s">
        <v>5431</v>
      </c>
      <c r="H974">
        <v>434</v>
      </c>
    </row>
    <row r="975" spans="1:8" x14ac:dyDescent="0.25">
      <c r="A975" t="s">
        <v>1601</v>
      </c>
      <c r="B975">
        <v>1</v>
      </c>
      <c r="C975">
        <v>1</v>
      </c>
      <c r="D975">
        <v>1</v>
      </c>
      <c r="E975" t="s">
        <v>5432</v>
      </c>
      <c r="F975" t="s">
        <v>5432</v>
      </c>
      <c r="G975" t="s">
        <v>5432</v>
      </c>
      <c r="H975">
        <v>191</v>
      </c>
    </row>
    <row r="976" spans="1:8" x14ac:dyDescent="0.25">
      <c r="A976" t="s">
        <v>1521</v>
      </c>
      <c r="B976">
        <v>1</v>
      </c>
      <c r="C976">
        <v>1</v>
      </c>
      <c r="D976">
        <v>1</v>
      </c>
      <c r="E976" t="s">
        <v>5433</v>
      </c>
      <c r="F976" t="s">
        <v>5433</v>
      </c>
      <c r="G976" t="s">
        <v>5433</v>
      </c>
      <c r="H976">
        <v>178</v>
      </c>
    </row>
    <row r="977" spans="1:8" x14ac:dyDescent="0.25">
      <c r="A977" t="s">
        <v>1251</v>
      </c>
      <c r="B977">
        <v>1</v>
      </c>
      <c r="C977">
        <v>1</v>
      </c>
      <c r="D977">
        <v>1</v>
      </c>
      <c r="E977" t="s">
        <v>5434</v>
      </c>
      <c r="F977" t="s">
        <v>5434</v>
      </c>
      <c r="G977" t="s">
        <v>5434</v>
      </c>
      <c r="H977">
        <v>195</v>
      </c>
    </row>
    <row r="978" spans="1:8" x14ac:dyDescent="0.25">
      <c r="A978" t="s">
        <v>1102</v>
      </c>
      <c r="B978">
        <v>1</v>
      </c>
      <c r="C978">
        <v>1</v>
      </c>
      <c r="D978">
        <v>1</v>
      </c>
      <c r="E978" t="s">
        <v>5435</v>
      </c>
      <c r="F978" t="s">
        <v>5435</v>
      </c>
      <c r="G978" t="s">
        <v>5435</v>
      </c>
      <c r="H978">
        <v>342</v>
      </c>
    </row>
    <row r="979" spans="1:8" x14ac:dyDescent="0.25">
      <c r="A979" t="s">
        <v>941</v>
      </c>
      <c r="B979">
        <v>1</v>
      </c>
      <c r="C979">
        <v>1</v>
      </c>
      <c r="D979">
        <v>1</v>
      </c>
      <c r="E979" t="s">
        <v>5436</v>
      </c>
      <c r="F979" t="s">
        <v>5436</v>
      </c>
      <c r="G979" t="s">
        <v>5436</v>
      </c>
      <c r="H979">
        <v>376</v>
      </c>
    </row>
    <row r="980" spans="1:8" x14ac:dyDescent="0.25">
      <c r="A980" t="s">
        <v>1692</v>
      </c>
      <c r="B980">
        <v>1</v>
      </c>
      <c r="C980">
        <v>1</v>
      </c>
      <c r="D980">
        <v>1</v>
      </c>
      <c r="E980" t="s">
        <v>5437</v>
      </c>
      <c r="F980" t="s">
        <v>5437</v>
      </c>
      <c r="G980" t="s">
        <v>5437</v>
      </c>
      <c r="H980">
        <v>213</v>
      </c>
    </row>
    <row r="981" spans="1:8" x14ac:dyDescent="0.25">
      <c r="A981" t="s">
        <v>823</v>
      </c>
      <c r="B981">
        <v>2</v>
      </c>
      <c r="C981">
        <v>2</v>
      </c>
      <c r="D981">
        <v>2</v>
      </c>
      <c r="E981" t="s">
        <v>5438</v>
      </c>
      <c r="F981" t="s">
        <v>5438</v>
      </c>
      <c r="G981" t="s">
        <v>4256</v>
      </c>
      <c r="H981">
        <v>454</v>
      </c>
    </row>
    <row r="982" spans="1:8" x14ac:dyDescent="0.25">
      <c r="A982" t="s">
        <v>860</v>
      </c>
      <c r="B982">
        <v>1</v>
      </c>
      <c r="C982">
        <v>1</v>
      </c>
      <c r="D982">
        <v>1</v>
      </c>
      <c r="E982" t="s">
        <v>5439</v>
      </c>
      <c r="F982" t="s">
        <v>5439</v>
      </c>
      <c r="G982" t="s">
        <v>5439</v>
      </c>
      <c r="H982">
        <v>433</v>
      </c>
    </row>
    <row r="983" spans="1:8" x14ac:dyDescent="0.25">
      <c r="A983" t="s">
        <v>3228</v>
      </c>
      <c r="B983">
        <v>1</v>
      </c>
      <c r="C983">
        <v>1</v>
      </c>
      <c r="D983">
        <v>1</v>
      </c>
      <c r="E983" t="s">
        <v>5440</v>
      </c>
      <c r="F983" t="s">
        <v>5440</v>
      </c>
      <c r="G983" t="s">
        <v>5440</v>
      </c>
      <c r="H983">
        <v>1</v>
      </c>
    </row>
    <row r="984" spans="1:8" x14ac:dyDescent="0.25">
      <c r="A984" t="s">
        <v>2180</v>
      </c>
      <c r="B984">
        <v>1</v>
      </c>
      <c r="C984">
        <v>1</v>
      </c>
      <c r="D984">
        <v>1</v>
      </c>
      <c r="E984" t="s">
        <v>5441</v>
      </c>
      <c r="F984" t="s">
        <v>5441</v>
      </c>
      <c r="G984" t="s">
        <v>5441</v>
      </c>
      <c r="H984">
        <v>74</v>
      </c>
    </row>
    <row r="985" spans="1:8" x14ac:dyDescent="0.25">
      <c r="A985" t="s">
        <v>2282</v>
      </c>
      <c r="B985">
        <v>1</v>
      </c>
      <c r="C985">
        <v>1</v>
      </c>
      <c r="D985">
        <v>1</v>
      </c>
      <c r="E985" t="s">
        <v>5442</v>
      </c>
      <c r="F985" t="s">
        <v>5442</v>
      </c>
      <c r="G985" t="s">
        <v>5442</v>
      </c>
      <c r="H985">
        <v>149</v>
      </c>
    </row>
    <row r="986" spans="1:8" x14ac:dyDescent="0.25">
      <c r="A986" t="s">
        <v>1729</v>
      </c>
      <c r="B986">
        <v>1</v>
      </c>
      <c r="C986">
        <v>1</v>
      </c>
      <c r="D986">
        <v>1</v>
      </c>
      <c r="E986" t="s">
        <v>5443</v>
      </c>
      <c r="F986" t="s">
        <v>5443</v>
      </c>
      <c r="G986" t="s">
        <v>5443</v>
      </c>
      <c r="H986">
        <v>217</v>
      </c>
    </row>
    <row r="987" spans="1:8" x14ac:dyDescent="0.25">
      <c r="A987" t="s">
        <v>1978</v>
      </c>
      <c r="B987">
        <v>2</v>
      </c>
      <c r="C987">
        <v>2</v>
      </c>
      <c r="D987">
        <v>2</v>
      </c>
      <c r="E987" t="s">
        <v>5444</v>
      </c>
      <c r="F987" t="s">
        <v>5444</v>
      </c>
      <c r="G987" t="s">
        <v>4256</v>
      </c>
      <c r="H987">
        <v>134</v>
      </c>
    </row>
    <row r="988" spans="1:8" x14ac:dyDescent="0.25">
      <c r="A988" t="s">
        <v>2045</v>
      </c>
      <c r="B988">
        <v>1</v>
      </c>
      <c r="C988">
        <v>1</v>
      </c>
      <c r="D988">
        <v>1</v>
      </c>
      <c r="E988" t="s">
        <v>5445</v>
      </c>
      <c r="F988" t="s">
        <v>5446</v>
      </c>
      <c r="G988" t="s">
        <v>5446</v>
      </c>
      <c r="H988">
        <v>162</v>
      </c>
    </row>
    <row r="989" spans="1:8" x14ac:dyDescent="0.25">
      <c r="A989" t="s">
        <v>1243</v>
      </c>
      <c r="B989">
        <v>1</v>
      </c>
      <c r="C989">
        <v>1</v>
      </c>
      <c r="D989">
        <v>1</v>
      </c>
      <c r="E989" t="s">
        <v>5447</v>
      </c>
      <c r="F989" t="s">
        <v>5447</v>
      </c>
      <c r="G989" t="s">
        <v>5447</v>
      </c>
      <c r="H989">
        <v>369</v>
      </c>
    </row>
    <row r="990" spans="1:8" x14ac:dyDescent="0.25">
      <c r="A990" t="s">
        <v>1541</v>
      </c>
      <c r="B990">
        <v>1</v>
      </c>
      <c r="C990">
        <v>1</v>
      </c>
      <c r="D990">
        <v>1</v>
      </c>
      <c r="E990" t="s">
        <v>5448</v>
      </c>
      <c r="F990" t="s">
        <v>5448</v>
      </c>
      <c r="G990" t="s">
        <v>5448</v>
      </c>
      <c r="H990">
        <v>267</v>
      </c>
    </row>
    <row r="991" spans="1:8" x14ac:dyDescent="0.25">
      <c r="A991" t="s">
        <v>856</v>
      </c>
      <c r="B991">
        <v>1</v>
      </c>
      <c r="C991">
        <v>1</v>
      </c>
      <c r="D991">
        <v>1</v>
      </c>
      <c r="E991" t="s">
        <v>5449</v>
      </c>
      <c r="F991" t="s">
        <v>5449</v>
      </c>
      <c r="G991" t="s">
        <v>5449</v>
      </c>
      <c r="H991">
        <v>531</v>
      </c>
    </row>
    <row r="992" spans="1:8" x14ac:dyDescent="0.25">
      <c r="A992" t="s">
        <v>1098</v>
      </c>
      <c r="B992">
        <v>2</v>
      </c>
      <c r="C992">
        <v>2</v>
      </c>
      <c r="D992">
        <v>2</v>
      </c>
      <c r="E992" t="s">
        <v>5450</v>
      </c>
      <c r="F992" t="s">
        <v>5450</v>
      </c>
      <c r="G992" t="s">
        <v>4256</v>
      </c>
      <c r="H992">
        <v>278</v>
      </c>
    </row>
    <row r="993" spans="1:8" x14ac:dyDescent="0.25">
      <c r="A993" t="s">
        <v>2796</v>
      </c>
      <c r="B993">
        <v>1</v>
      </c>
      <c r="C993">
        <v>1</v>
      </c>
      <c r="D993">
        <v>1</v>
      </c>
      <c r="E993" t="s">
        <v>5451</v>
      </c>
      <c r="F993" t="s">
        <v>5451</v>
      </c>
      <c r="G993" t="s">
        <v>5451</v>
      </c>
      <c r="H993">
        <v>81</v>
      </c>
    </row>
    <row r="994" spans="1:8" x14ac:dyDescent="0.25">
      <c r="A994" t="s">
        <v>2896</v>
      </c>
      <c r="B994">
        <v>1</v>
      </c>
      <c r="C994">
        <v>1</v>
      </c>
      <c r="D994">
        <v>1</v>
      </c>
      <c r="E994" t="s">
        <v>5452</v>
      </c>
      <c r="F994" t="s">
        <v>5452</v>
      </c>
      <c r="G994" t="s">
        <v>5452</v>
      </c>
      <c r="H994">
        <v>60</v>
      </c>
    </row>
    <row r="995" spans="1:8" x14ac:dyDescent="0.25">
      <c r="A995" t="s">
        <v>3015</v>
      </c>
      <c r="B995">
        <v>1</v>
      </c>
      <c r="C995">
        <v>1</v>
      </c>
      <c r="D995">
        <v>1</v>
      </c>
      <c r="E995" t="s">
        <v>5453</v>
      </c>
      <c r="F995" t="s">
        <v>5453</v>
      </c>
      <c r="G995" t="s">
        <v>5453</v>
      </c>
      <c r="H995">
        <v>23</v>
      </c>
    </row>
    <row r="996" spans="1:8" x14ac:dyDescent="0.25">
      <c r="A996" t="s">
        <v>3935</v>
      </c>
      <c r="B996">
        <v>1</v>
      </c>
      <c r="C996">
        <v>1</v>
      </c>
      <c r="D996">
        <v>1</v>
      </c>
      <c r="E996" t="s">
        <v>5454</v>
      </c>
      <c r="F996" t="s">
        <v>5454</v>
      </c>
      <c r="G996" t="s">
        <v>5454</v>
      </c>
      <c r="H996">
        <v>9</v>
      </c>
    </row>
    <row r="997" spans="1:8" x14ac:dyDescent="0.25">
      <c r="A997" t="s">
        <v>2165</v>
      </c>
      <c r="B997">
        <v>2</v>
      </c>
      <c r="C997">
        <v>2</v>
      </c>
      <c r="D997">
        <v>2</v>
      </c>
      <c r="E997" t="s">
        <v>5455</v>
      </c>
      <c r="F997" t="s">
        <v>5456</v>
      </c>
      <c r="G997" t="s">
        <v>4256</v>
      </c>
      <c r="H997">
        <v>143</v>
      </c>
    </row>
    <row r="998" spans="1:8" x14ac:dyDescent="0.25">
      <c r="A998" t="s">
        <v>5457</v>
      </c>
      <c r="B998">
        <v>0</v>
      </c>
      <c r="C998">
        <v>0</v>
      </c>
      <c r="D998">
        <v>0</v>
      </c>
      <c r="G998" t="s">
        <v>4256</v>
      </c>
      <c r="H998">
        <v>1</v>
      </c>
    </row>
    <row r="999" spans="1:8" x14ac:dyDescent="0.25">
      <c r="A999" t="s">
        <v>1310</v>
      </c>
      <c r="B999">
        <v>1</v>
      </c>
      <c r="C999">
        <v>1</v>
      </c>
      <c r="D999">
        <v>1</v>
      </c>
      <c r="E999" t="s">
        <v>5458</v>
      </c>
      <c r="F999" t="s">
        <v>5458</v>
      </c>
      <c r="G999" t="s">
        <v>5458</v>
      </c>
      <c r="H999">
        <v>359</v>
      </c>
    </row>
    <row r="1000" spans="1:8" x14ac:dyDescent="0.25">
      <c r="A1000" t="s">
        <v>2851</v>
      </c>
      <c r="B1000">
        <v>1</v>
      </c>
      <c r="C1000">
        <v>1</v>
      </c>
      <c r="D1000">
        <v>1</v>
      </c>
      <c r="E1000" t="s">
        <v>5459</v>
      </c>
      <c r="F1000" t="s">
        <v>5460</v>
      </c>
      <c r="G1000" t="s">
        <v>5460</v>
      </c>
      <c r="H1000">
        <v>19</v>
      </c>
    </row>
    <row r="1001" spans="1:8" x14ac:dyDescent="0.25">
      <c r="A1001" t="s">
        <v>3146</v>
      </c>
      <c r="B1001">
        <v>1</v>
      </c>
      <c r="C1001">
        <v>1</v>
      </c>
      <c r="D1001">
        <v>1</v>
      </c>
      <c r="E1001" t="s">
        <v>5461</v>
      </c>
      <c r="F1001" t="s">
        <v>5461</v>
      </c>
      <c r="G1001" t="s">
        <v>5461</v>
      </c>
      <c r="H1001">
        <v>8</v>
      </c>
    </row>
    <row r="1002" spans="1:8" x14ac:dyDescent="0.25">
      <c r="A1002" t="s">
        <v>2640</v>
      </c>
      <c r="B1002">
        <v>1</v>
      </c>
      <c r="C1002">
        <v>1</v>
      </c>
      <c r="D1002">
        <v>1</v>
      </c>
      <c r="E1002" t="s">
        <v>5462</v>
      </c>
      <c r="F1002" t="s">
        <v>5462</v>
      </c>
      <c r="G1002" t="s">
        <v>5462</v>
      </c>
      <c r="H1002">
        <v>28</v>
      </c>
    </row>
    <row r="1003" spans="1:8" x14ac:dyDescent="0.25">
      <c r="A1003" t="s">
        <v>320</v>
      </c>
      <c r="B1003">
        <v>1</v>
      </c>
      <c r="C1003">
        <v>1</v>
      </c>
      <c r="D1003">
        <v>1</v>
      </c>
      <c r="E1003" t="s">
        <v>5463</v>
      </c>
      <c r="F1003" t="s">
        <v>5464</v>
      </c>
      <c r="G1003" t="s">
        <v>5464</v>
      </c>
      <c r="H1003">
        <v>369</v>
      </c>
    </row>
    <row r="1004" spans="1:8" x14ac:dyDescent="0.25">
      <c r="A1004" t="s">
        <v>2920</v>
      </c>
      <c r="B1004">
        <v>1</v>
      </c>
      <c r="C1004">
        <v>1</v>
      </c>
      <c r="D1004">
        <v>1</v>
      </c>
      <c r="E1004" t="s">
        <v>5465</v>
      </c>
      <c r="F1004" t="s">
        <v>5465</v>
      </c>
      <c r="G1004" t="s">
        <v>5465</v>
      </c>
      <c r="H1004">
        <v>42</v>
      </c>
    </row>
    <row r="1005" spans="1:8" x14ac:dyDescent="0.25">
      <c r="A1005" t="s">
        <v>2641</v>
      </c>
      <c r="B1005">
        <v>3</v>
      </c>
      <c r="C1005">
        <v>3</v>
      </c>
      <c r="D1005">
        <v>3</v>
      </c>
      <c r="E1005" t="s">
        <v>5466</v>
      </c>
      <c r="F1005" t="s">
        <v>5467</v>
      </c>
      <c r="G1005" t="s">
        <v>4256</v>
      </c>
      <c r="H1005">
        <v>66</v>
      </c>
    </row>
    <row r="1006" spans="1:8" x14ac:dyDescent="0.25">
      <c r="A1006" t="s">
        <v>2858</v>
      </c>
      <c r="B1006">
        <v>1</v>
      </c>
      <c r="C1006">
        <v>1</v>
      </c>
      <c r="D1006">
        <v>1</v>
      </c>
      <c r="E1006" t="s">
        <v>5468</v>
      </c>
      <c r="F1006" t="s">
        <v>5468</v>
      </c>
      <c r="G1006" t="s">
        <v>5468</v>
      </c>
      <c r="H1006">
        <v>37</v>
      </c>
    </row>
    <row r="1007" spans="1:8" x14ac:dyDescent="0.25">
      <c r="A1007" t="s">
        <v>991</v>
      </c>
      <c r="B1007">
        <v>1</v>
      </c>
      <c r="C1007">
        <v>1</v>
      </c>
      <c r="D1007">
        <v>1</v>
      </c>
      <c r="E1007" t="s">
        <v>5469</v>
      </c>
      <c r="F1007" t="s">
        <v>5469</v>
      </c>
      <c r="G1007" t="s">
        <v>5469</v>
      </c>
      <c r="H1007">
        <v>212</v>
      </c>
    </row>
    <row r="1008" spans="1:8" x14ac:dyDescent="0.25">
      <c r="A1008" t="s">
        <v>1821</v>
      </c>
      <c r="B1008">
        <v>1</v>
      </c>
      <c r="C1008">
        <v>1</v>
      </c>
      <c r="D1008">
        <v>1</v>
      </c>
      <c r="E1008" t="s">
        <v>5470</v>
      </c>
      <c r="F1008" t="s">
        <v>5471</v>
      </c>
      <c r="G1008" t="s">
        <v>5471</v>
      </c>
      <c r="H1008">
        <v>77</v>
      </c>
    </row>
    <row r="1009" spans="1:8" x14ac:dyDescent="0.25">
      <c r="A1009" t="s">
        <v>1486</v>
      </c>
      <c r="B1009">
        <v>1</v>
      </c>
      <c r="C1009">
        <v>1</v>
      </c>
      <c r="D1009">
        <v>1</v>
      </c>
      <c r="E1009" t="s">
        <v>5472</v>
      </c>
      <c r="F1009" t="s">
        <v>5472</v>
      </c>
      <c r="G1009" t="s">
        <v>5472</v>
      </c>
      <c r="H1009">
        <v>109</v>
      </c>
    </row>
    <row r="1010" spans="1:8" x14ac:dyDescent="0.25">
      <c r="A1010" t="s">
        <v>2495</v>
      </c>
      <c r="B1010">
        <v>1</v>
      </c>
      <c r="C1010">
        <v>1</v>
      </c>
      <c r="D1010">
        <v>1</v>
      </c>
      <c r="E1010" t="s">
        <v>5473</v>
      </c>
      <c r="F1010" t="s">
        <v>5473</v>
      </c>
      <c r="G1010" t="s">
        <v>5473</v>
      </c>
      <c r="H1010">
        <v>33</v>
      </c>
    </row>
    <row r="1011" spans="1:8" x14ac:dyDescent="0.25">
      <c r="A1011" t="s">
        <v>2652</v>
      </c>
      <c r="B1011">
        <v>2</v>
      </c>
      <c r="C1011">
        <v>2</v>
      </c>
      <c r="D1011">
        <v>2</v>
      </c>
      <c r="E1011" t="s">
        <v>5474</v>
      </c>
      <c r="F1011" t="s">
        <v>5474</v>
      </c>
      <c r="G1011" t="s">
        <v>4256</v>
      </c>
      <c r="H1011">
        <v>36</v>
      </c>
    </row>
    <row r="1012" spans="1:8" x14ac:dyDescent="0.25">
      <c r="A1012" t="s">
        <v>2345</v>
      </c>
      <c r="B1012">
        <v>1</v>
      </c>
      <c r="C1012">
        <v>1</v>
      </c>
      <c r="D1012">
        <v>1</v>
      </c>
      <c r="E1012" t="s">
        <v>5475</v>
      </c>
      <c r="F1012" t="s">
        <v>5475</v>
      </c>
      <c r="G1012" t="s">
        <v>5475</v>
      </c>
      <c r="H1012">
        <v>43</v>
      </c>
    </row>
    <row r="1013" spans="1:8" x14ac:dyDescent="0.25">
      <c r="A1013" t="s">
        <v>2455</v>
      </c>
      <c r="B1013">
        <v>2</v>
      </c>
      <c r="C1013">
        <v>2</v>
      </c>
      <c r="D1013">
        <v>2</v>
      </c>
      <c r="E1013" t="s">
        <v>5476</v>
      </c>
      <c r="F1013" t="s">
        <v>5476</v>
      </c>
      <c r="G1013" t="s">
        <v>4256</v>
      </c>
      <c r="H1013">
        <v>41</v>
      </c>
    </row>
    <row r="1014" spans="1:8" x14ac:dyDescent="0.25">
      <c r="A1014" t="s">
        <v>2690</v>
      </c>
      <c r="B1014">
        <v>1</v>
      </c>
      <c r="C1014">
        <v>1</v>
      </c>
      <c r="D1014">
        <v>1</v>
      </c>
      <c r="E1014" t="s">
        <v>5477</v>
      </c>
      <c r="F1014" t="s">
        <v>5477</v>
      </c>
      <c r="G1014" t="s">
        <v>5477</v>
      </c>
      <c r="H1014">
        <v>31</v>
      </c>
    </row>
    <row r="1015" spans="1:8" x14ac:dyDescent="0.25">
      <c r="A1015" t="s">
        <v>810</v>
      </c>
      <c r="B1015">
        <v>1</v>
      </c>
      <c r="C1015">
        <v>1</v>
      </c>
      <c r="D1015">
        <v>1</v>
      </c>
      <c r="E1015" t="s">
        <v>5478</v>
      </c>
      <c r="F1015" t="s">
        <v>5478</v>
      </c>
      <c r="G1015" t="s">
        <v>5478</v>
      </c>
      <c r="H1015">
        <v>29</v>
      </c>
    </row>
    <row r="1016" spans="1:8" x14ac:dyDescent="0.25">
      <c r="A1016" t="s">
        <v>1165</v>
      </c>
      <c r="B1016">
        <v>1</v>
      </c>
      <c r="C1016">
        <v>1</v>
      </c>
      <c r="D1016">
        <v>1</v>
      </c>
      <c r="E1016" t="s">
        <v>5479</v>
      </c>
      <c r="F1016" t="s">
        <v>5479</v>
      </c>
      <c r="G1016" t="s">
        <v>5479</v>
      </c>
      <c r="H1016">
        <v>234</v>
      </c>
    </row>
    <row r="1017" spans="1:8" x14ac:dyDescent="0.25">
      <c r="A1017" t="s">
        <v>2105</v>
      </c>
      <c r="B1017">
        <v>1</v>
      </c>
      <c r="C1017">
        <v>1</v>
      </c>
      <c r="D1017">
        <v>1</v>
      </c>
      <c r="E1017" t="s">
        <v>5480</v>
      </c>
      <c r="F1017" t="s">
        <v>5480</v>
      </c>
      <c r="G1017" t="s">
        <v>5480</v>
      </c>
      <c r="H1017">
        <v>65</v>
      </c>
    </row>
    <row r="1018" spans="1:8" x14ac:dyDescent="0.25">
      <c r="A1018" t="s">
        <v>1159</v>
      </c>
      <c r="B1018">
        <v>1</v>
      </c>
      <c r="C1018">
        <v>1</v>
      </c>
      <c r="D1018">
        <v>1</v>
      </c>
      <c r="E1018" t="s">
        <v>5481</v>
      </c>
      <c r="F1018" t="s">
        <v>5481</v>
      </c>
      <c r="G1018" t="s">
        <v>5481</v>
      </c>
      <c r="H1018">
        <v>192</v>
      </c>
    </row>
    <row r="1019" spans="1:8" x14ac:dyDescent="0.25">
      <c r="A1019" t="s">
        <v>1664</v>
      </c>
      <c r="B1019">
        <v>2</v>
      </c>
      <c r="C1019">
        <v>2</v>
      </c>
      <c r="D1019">
        <v>2</v>
      </c>
      <c r="E1019" t="s">
        <v>5482</v>
      </c>
      <c r="F1019" t="s">
        <v>5482</v>
      </c>
      <c r="G1019" t="s">
        <v>4256</v>
      </c>
      <c r="H1019">
        <v>45</v>
      </c>
    </row>
    <row r="1020" spans="1:8" x14ac:dyDescent="0.25">
      <c r="A1020" t="s">
        <v>717</v>
      </c>
      <c r="B1020">
        <v>1</v>
      </c>
      <c r="C1020">
        <v>1</v>
      </c>
      <c r="D1020">
        <v>1</v>
      </c>
      <c r="E1020" t="s">
        <v>5483</v>
      </c>
      <c r="F1020" t="s">
        <v>5483</v>
      </c>
      <c r="G1020" t="s">
        <v>5483</v>
      </c>
      <c r="H1020">
        <v>162</v>
      </c>
    </row>
    <row r="1021" spans="1:8" x14ac:dyDescent="0.25">
      <c r="A1021" t="s">
        <v>2087</v>
      </c>
      <c r="B1021">
        <v>1</v>
      </c>
      <c r="C1021">
        <v>1</v>
      </c>
      <c r="D1021">
        <v>1</v>
      </c>
      <c r="E1021" t="s">
        <v>5484</v>
      </c>
      <c r="F1021" t="s">
        <v>5484</v>
      </c>
      <c r="G1021" t="s">
        <v>5484</v>
      </c>
      <c r="H1021">
        <v>87</v>
      </c>
    </row>
    <row r="1022" spans="1:8" x14ac:dyDescent="0.25">
      <c r="A1022" t="s">
        <v>1495</v>
      </c>
      <c r="B1022">
        <v>1</v>
      </c>
      <c r="C1022">
        <v>1</v>
      </c>
      <c r="D1022">
        <v>1</v>
      </c>
      <c r="E1022" t="s">
        <v>5485</v>
      </c>
      <c r="F1022" t="s">
        <v>5485</v>
      </c>
      <c r="G1022" t="s">
        <v>5485</v>
      </c>
      <c r="H1022">
        <v>133</v>
      </c>
    </row>
    <row r="1023" spans="1:8" x14ac:dyDescent="0.25">
      <c r="A1023" t="s">
        <v>1021</v>
      </c>
      <c r="B1023">
        <v>1</v>
      </c>
      <c r="C1023">
        <v>1</v>
      </c>
      <c r="D1023">
        <v>1</v>
      </c>
      <c r="E1023" t="s">
        <v>5486</v>
      </c>
      <c r="F1023" t="s">
        <v>5487</v>
      </c>
      <c r="G1023" t="s">
        <v>5487</v>
      </c>
      <c r="H1023">
        <v>266</v>
      </c>
    </row>
    <row r="1024" spans="1:8" x14ac:dyDescent="0.25">
      <c r="A1024" t="s">
        <v>834</v>
      </c>
      <c r="B1024">
        <v>1</v>
      </c>
      <c r="C1024">
        <v>1</v>
      </c>
      <c r="D1024">
        <v>1</v>
      </c>
      <c r="E1024" t="s">
        <v>5488</v>
      </c>
      <c r="F1024" t="s">
        <v>5489</v>
      </c>
      <c r="G1024" t="s">
        <v>5489</v>
      </c>
      <c r="H1024">
        <v>265</v>
      </c>
    </row>
    <row r="1025" spans="1:8" x14ac:dyDescent="0.25">
      <c r="A1025" t="s">
        <v>1719</v>
      </c>
      <c r="B1025">
        <v>1</v>
      </c>
      <c r="C1025">
        <v>1</v>
      </c>
      <c r="D1025">
        <v>1</v>
      </c>
      <c r="E1025" t="s">
        <v>5490</v>
      </c>
      <c r="F1025" t="s">
        <v>5490</v>
      </c>
      <c r="G1025" t="s">
        <v>5490</v>
      </c>
      <c r="H1025">
        <v>146</v>
      </c>
    </row>
    <row r="1026" spans="1:8" x14ac:dyDescent="0.25">
      <c r="A1026" t="s">
        <v>2128</v>
      </c>
      <c r="B1026">
        <v>1</v>
      </c>
      <c r="C1026">
        <v>1</v>
      </c>
      <c r="D1026">
        <v>1</v>
      </c>
      <c r="E1026" t="s">
        <v>5491</v>
      </c>
      <c r="F1026" t="s">
        <v>5492</v>
      </c>
      <c r="G1026" t="s">
        <v>5492</v>
      </c>
      <c r="H1026">
        <v>76</v>
      </c>
    </row>
    <row r="1027" spans="1:8" x14ac:dyDescent="0.25">
      <c r="A1027" t="s">
        <v>1883</v>
      </c>
      <c r="B1027">
        <v>1</v>
      </c>
      <c r="C1027">
        <v>1</v>
      </c>
      <c r="D1027">
        <v>1</v>
      </c>
      <c r="E1027" t="s">
        <v>5493</v>
      </c>
      <c r="F1027" t="s">
        <v>5493</v>
      </c>
      <c r="G1027" t="s">
        <v>5493</v>
      </c>
      <c r="H1027">
        <v>149</v>
      </c>
    </row>
    <row r="1028" spans="1:8" x14ac:dyDescent="0.25">
      <c r="A1028" t="s">
        <v>1765</v>
      </c>
      <c r="B1028">
        <v>1</v>
      </c>
      <c r="C1028">
        <v>1</v>
      </c>
      <c r="D1028">
        <v>1</v>
      </c>
      <c r="E1028" t="s">
        <v>5494</v>
      </c>
      <c r="F1028" t="s">
        <v>5495</v>
      </c>
      <c r="G1028" t="s">
        <v>5495</v>
      </c>
      <c r="H1028">
        <v>148</v>
      </c>
    </row>
    <row r="1029" spans="1:8" x14ac:dyDescent="0.25">
      <c r="A1029" t="s">
        <v>1068</v>
      </c>
      <c r="B1029">
        <v>1</v>
      </c>
      <c r="C1029">
        <v>1</v>
      </c>
      <c r="D1029">
        <v>1</v>
      </c>
      <c r="E1029" t="s">
        <v>5496</v>
      </c>
      <c r="F1029" t="s">
        <v>5497</v>
      </c>
      <c r="G1029" t="s">
        <v>5497</v>
      </c>
      <c r="H1029">
        <v>123</v>
      </c>
    </row>
    <row r="1030" spans="1:8" x14ac:dyDescent="0.25">
      <c r="A1030" t="s">
        <v>1496</v>
      </c>
      <c r="B1030">
        <v>1</v>
      </c>
      <c r="C1030">
        <v>1</v>
      </c>
      <c r="D1030">
        <v>1</v>
      </c>
      <c r="E1030" t="s">
        <v>5498</v>
      </c>
      <c r="F1030" t="s">
        <v>5499</v>
      </c>
      <c r="G1030" t="s">
        <v>5499</v>
      </c>
      <c r="H1030">
        <v>94</v>
      </c>
    </row>
    <row r="1031" spans="1:8" x14ac:dyDescent="0.25">
      <c r="A1031" t="s">
        <v>951</v>
      </c>
      <c r="B1031">
        <v>1</v>
      </c>
      <c r="C1031">
        <v>1</v>
      </c>
      <c r="D1031">
        <v>1</v>
      </c>
      <c r="E1031" t="s">
        <v>5500</v>
      </c>
      <c r="F1031" t="s">
        <v>5501</v>
      </c>
      <c r="G1031" t="s">
        <v>5501</v>
      </c>
      <c r="H1031">
        <v>181</v>
      </c>
    </row>
    <row r="1032" spans="1:8" x14ac:dyDescent="0.25">
      <c r="A1032" t="s">
        <v>1523</v>
      </c>
      <c r="B1032">
        <v>1</v>
      </c>
      <c r="C1032">
        <v>1</v>
      </c>
      <c r="D1032">
        <v>1</v>
      </c>
      <c r="E1032" t="s">
        <v>5502</v>
      </c>
      <c r="F1032" t="s">
        <v>5502</v>
      </c>
      <c r="G1032" t="s">
        <v>5502</v>
      </c>
      <c r="H1032">
        <v>76</v>
      </c>
    </row>
    <row r="1033" spans="1:8" x14ac:dyDescent="0.25">
      <c r="A1033" t="s">
        <v>1575</v>
      </c>
      <c r="B1033">
        <v>1</v>
      </c>
      <c r="C1033">
        <v>1</v>
      </c>
      <c r="D1033">
        <v>1</v>
      </c>
      <c r="E1033" t="s">
        <v>5503</v>
      </c>
      <c r="F1033" t="s">
        <v>5504</v>
      </c>
      <c r="G1033" t="s">
        <v>5504</v>
      </c>
      <c r="H1033">
        <v>202</v>
      </c>
    </row>
    <row r="1034" spans="1:8" x14ac:dyDescent="0.25">
      <c r="A1034" t="s">
        <v>1032</v>
      </c>
      <c r="B1034">
        <v>1</v>
      </c>
      <c r="C1034">
        <v>1</v>
      </c>
      <c r="D1034">
        <v>1</v>
      </c>
      <c r="E1034" t="s">
        <v>5505</v>
      </c>
      <c r="F1034" t="s">
        <v>5506</v>
      </c>
      <c r="G1034" t="s">
        <v>5506</v>
      </c>
      <c r="H1034">
        <v>206</v>
      </c>
    </row>
    <row r="1035" spans="1:8" x14ac:dyDescent="0.25">
      <c r="A1035" t="s">
        <v>1330</v>
      </c>
      <c r="B1035">
        <v>1</v>
      </c>
      <c r="C1035">
        <v>1</v>
      </c>
      <c r="D1035">
        <v>1</v>
      </c>
      <c r="E1035" t="s">
        <v>5507</v>
      </c>
      <c r="F1035" t="s">
        <v>5508</v>
      </c>
      <c r="G1035" t="s">
        <v>5508</v>
      </c>
      <c r="H1035">
        <v>227</v>
      </c>
    </row>
    <row r="1036" spans="1:8" x14ac:dyDescent="0.25">
      <c r="A1036" t="s">
        <v>238</v>
      </c>
      <c r="B1036">
        <v>1</v>
      </c>
      <c r="C1036">
        <v>1</v>
      </c>
      <c r="D1036">
        <v>1</v>
      </c>
      <c r="E1036" t="s">
        <v>5509</v>
      </c>
      <c r="F1036" t="s">
        <v>5509</v>
      </c>
      <c r="G1036" t="s">
        <v>5509</v>
      </c>
      <c r="H1036">
        <v>986</v>
      </c>
    </row>
    <row r="1037" spans="1:8" x14ac:dyDescent="0.25">
      <c r="A1037" t="s">
        <v>926</v>
      </c>
      <c r="B1037">
        <v>1</v>
      </c>
      <c r="C1037">
        <v>1</v>
      </c>
      <c r="D1037">
        <v>1</v>
      </c>
      <c r="E1037" t="s">
        <v>5510</v>
      </c>
      <c r="F1037" t="s">
        <v>5511</v>
      </c>
      <c r="G1037" t="s">
        <v>5511</v>
      </c>
      <c r="H1037">
        <v>203</v>
      </c>
    </row>
    <row r="1038" spans="1:8" x14ac:dyDescent="0.25">
      <c r="A1038" t="s">
        <v>864</v>
      </c>
      <c r="B1038">
        <v>1</v>
      </c>
      <c r="C1038">
        <v>1</v>
      </c>
      <c r="D1038">
        <v>1</v>
      </c>
      <c r="E1038" t="s">
        <v>5512</v>
      </c>
      <c r="F1038" t="s">
        <v>5513</v>
      </c>
      <c r="G1038" t="s">
        <v>5513</v>
      </c>
      <c r="H1038">
        <v>334</v>
      </c>
    </row>
    <row r="1039" spans="1:8" x14ac:dyDescent="0.25">
      <c r="A1039" t="s">
        <v>1180</v>
      </c>
      <c r="B1039">
        <v>1</v>
      </c>
      <c r="C1039">
        <v>1</v>
      </c>
      <c r="D1039">
        <v>1</v>
      </c>
      <c r="E1039" t="s">
        <v>5514</v>
      </c>
      <c r="F1039" t="s">
        <v>5515</v>
      </c>
      <c r="G1039" t="s">
        <v>5515</v>
      </c>
      <c r="H1039">
        <v>163</v>
      </c>
    </row>
    <row r="1040" spans="1:8" x14ac:dyDescent="0.25">
      <c r="A1040" t="s">
        <v>1602</v>
      </c>
      <c r="B1040">
        <v>1</v>
      </c>
      <c r="C1040">
        <v>1</v>
      </c>
      <c r="D1040">
        <v>1</v>
      </c>
      <c r="E1040" t="s">
        <v>5516</v>
      </c>
      <c r="F1040" t="s">
        <v>5517</v>
      </c>
      <c r="G1040" t="s">
        <v>5517</v>
      </c>
      <c r="H1040">
        <v>141</v>
      </c>
    </row>
    <row r="1041" spans="1:8" x14ac:dyDescent="0.25">
      <c r="A1041" t="s">
        <v>668</v>
      </c>
      <c r="B1041">
        <v>1</v>
      </c>
      <c r="C1041">
        <v>1</v>
      </c>
      <c r="D1041">
        <v>1</v>
      </c>
      <c r="E1041" t="s">
        <v>5518</v>
      </c>
      <c r="F1041" t="s">
        <v>5519</v>
      </c>
      <c r="G1041" t="s">
        <v>5519</v>
      </c>
      <c r="H1041">
        <v>429</v>
      </c>
    </row>
    <row r="1042" spans="1:8" x14ac:dyDescent="0.25">
      <c r="A1042" t="s">
        <v>267</v>
      </c>
      <c r="B1042">
        <v>1</v>
      </c>
      <c r="C1042">
        <v>1</v>
      </c>
      <c r="D1042">
        <v>1</v>
      </c>
      <c r="E1042" t="s">
        <v>5520</v>
      </c>
      <c r="F1042" t="s">
        <v>5520</v>
      </c>
      <c r="G1042" t="s">
        <v>5520</v>
      </c>
      <c r="H1042">
        <v>619</v>
      </c>
    </row>
    <row r="1043" spans="1:8" x14ac:dyDescent="0.25">
      <c r="A1043" t="s">
        <v>258</v>
      </c>
      <c r="B1043">
        <v>1</v>
      </c>
      <c r="C1043">
        <v>1</v>
      </c>
      <c r="D1043">
        <v>1</v>
      </c>
      <c r="E1043" t="s">
        <v>5521</v>
      </c>
      <c r="F1043" t="s">
        <v>5521</v>
      </c>
      <c r="G1043" t="s">
        <v>5521</v>
      </c>
      <c r="H1043">
        <v>457</v>
      </c>
    </row>
    <row r="1044" spans="1:8" x14ac:dyDescent="0.25">
      <c r="A1044" t="s">
        <v>1392</v>
      </c>
      <c r="B1044">
        <v>1</v>
      </c>
      <c r="C1044">
        <v>1</v>
      </c>
      <c r="D1044">
        <v>1</v>
      </c>
      <c r="E1044" t="s">
        <v>5522</v>
      </c>
      <c r="F1044" t="s">
        <v>5523</v>
      </c>
      <c r="G1044" t="s">
        <v>5523</v>
      </c>
      <c r="H1044">
        <v>98</v>
      </c>
    </row>
    <row r="1045" spans="1:8" x14ac:dyDescent="0.25">
      <c r="A1045" t="s">
        <v>135</v>
      </c>
      <c r="B1045">
        <v>1</v>
      </c>
      <c r="C1045">
        <v>1</v>
      </c>
      <c r="D1045">
        <v>1</v>
      </c>
      <c r="E1045" t="s">
        <v>5524</v>
      </c>
      <c r="F1045" t="s">
        <v>5525</v>
      </c>
      <c r="G1045" t="s">
        <v>5525</v>
      </c>
      <c r="H1045">
        <v>1210</v>
      </c>
    </row>
    <row r="1046" spans="1:8" x14ac:dyDescent="0.25">
      <c r="A1046" t="s">
        <v>309</v>
      </c>
      <c r="B1046">
        <v>2</v>
      </c>
      <c r="C1046">
        <v>2</v>
      </c>
      <c r="D1046">
        <v>2</v>
      </c>
      <c r="E1046" t="s">
        <v>5526</v>
      </c>
      <c r="F1046" t="s">
        <v>5526</v>
      </c>
      <c r="G1046" t="s">
        <v>4256</v>
      </c>
      <c r="H1046">
        <v>346</v>
      </c>
    </row>
    <row r="1047" spans="1:8" x14ac:dyDescent="0.25">
      <c r="A1047" t="s">
        <v>577</v>
      </c>
      <c r="B1047">
        <v>1</v>
      </c>
      <c r="C1047">
        <v>1</v>
      </c>
      <c r="D1047">
        <v>1</v>
      </c>
      <c r="E1047" t="s">
        <v>5527</v>
      </c>
      <c r="F1047" t="s">
        <v>5527</v>
      </c>
      <c r="G1047" t="s">
        <v>5527</v>
      </c>
      <c r="H1047">
        <v>245</v>
      </c>
    </row>
    <row r="1048" spans="1:8" x14ac:dyDescent="0.25">
      <c r="A1048" t="s">
        <v>699</v>
      </c>
      <c r="B1048">
        <v>1</v>
      </c>
      <c r="C1048">
        <v>1</v>
      </c>
      <c r="D1048">
        <v>1</v>
      </c>
      <c r="E1048" t="s">
        <v>5528</v>
      </c>
      <c r="F1048" t="s">
        <v>5528</v>
      </c>
      <c r="G1048" t="s">
        <v>5528</v>
      </c>
      <c r="H1048">
        <v>276</v>
      </c>
    </row>
    <row r="1049" spans="1:8" x14ac:dyDescent="0.25">
      <c r="A1049" t="s">
        <v>197</v>
      </c>
      <c r="B1049">
        <v>1</v>
      </c>
      <c r="C1049">
        <v>1</v>
      </c>
      <c r="D1049">
        <v>1</v>
      </c>
      <c r="E1049" t="s">
        <v>5529</v>
      </c>
      <c r="F1049" t="s">
        <v>5529</v>
      </c>
      <c r="G1049" t="s">
        <v>5529</v>
      </c>
      <c r="H1049">
        <v>812</v>
      </c>
    </row>
    <row r="1050" spans="1:8" x14ac:dyDescent="0.25">
      <c r="A1050" t="s">
        <v>1731</v>
      </c>
      <c r="B1050">
        <v>1</v>
      </c>
      <c r="C1050">
        <v>1</v>
      </c>
      <c r="D1050">
        <v>1</v>
      </c>
      <c r="E1050" t="s">
        <v>5530</v>
      </c>
      <c r="F1050" t="s">
        <v>5530</v>
      </c>
      <c r="G1050" t="s">
        <v>5530</v>
      </c>
      <c r="H1050">
        <v>173</v>
      </c>
    </row>
    <row r="1051" spans="1:8" x14ac:dyDescent="0.25">
      <c r="A1051" t="s">
        <v>2606</v>
      </c>
      <c r="B1051">
        <v>1</v>
      </c>
      <c r="C1051">
        <v>1</v>
      </c>
      <c r="D1051">
        <v>1</v>
      </c>
      <c r="E1051" t="s">
        <v>5531</v>
      </c>
      <c r="F1051" t="s">
        <v>5531</v>
      </c>
      <c r="G1051" t="s">
        <v>5531</v>
      </c>
      <c r="H1051">
        <v>93</v>
      </c>
    </row>
    <row r="1052" spans="1:8" x14ac:dyDescent="0.25">
      <c r="A1052" t="s">
        <v>1917</v>
      </c>
      <c r="B1052">
        <v>1</v>
      </c>
      <c r="C1052">
        <v>1</v>
      </c>
      <c r="D1052">
        <v>1</v>
      </c>
      <c r="E1052" t="s">
        <v>5532</v>
      </c>
      <c r="F1052" t="s">
        <v>5532</v>
      </c>
      <c r="G1052" t="s">
        <v>5532</v>
      </c>
      <c r="H1052">
        <v>168</v>
      </c>
    </row>
    <row r="1053" spans="1:8" x14ac:dyDescent="0.25">
      <c r="A1053" t="s">
        <v>1647</v>
      </c>
      <c r="B1053">
        <v>1</v>
      </c>
      <c r="C1053">
        <v>1</v>
      </c>
      <c r="D1053">
        <v>1</v>
      </c>
      <c r="E1053" t="s">
        <v>5533</v>
      </c>
      <c r="F1053" t="s">
        <v>5533</v>
      </c>
      <c r="G1053" t="s">
        <v>5533</v>
      </c>
      <c r="H1053">
        <v>214</v>
      </c>
    </row>
    <row r="1054" spans="1:8" x14ac:dyDescent="0.25">
      <c r="A1054" t="s">
        <v>1366</v>
      </c>
      <c r="B1054">
        <v>1</v>
      </c>
      <c r="C1054">
        <v>1</v>
      </c>
      <c r="D1054">
        <v>1</v>
      </c>
      <c r="E1054" t="s">
        <v>5534</v>
      </c>
      <c r="F1054" t="s">
        <v>5534</v>
      </c>
      <c r="G1054" t="s">
        <v>5534</v>
      </c>
      <c r="H1054">
        <v>157</v>
      </c>
    </row>
    <row r="1055" spans="1:8" x14ac:dyDescent="0.25">
      <c r="A1055" t="s">
        <v>2210</v>
      </c>
      <c r="B1055">
        <v>1</v>
      </c>
      <c r="C1055">
        <v>1</v>
      </c>
      <c r="D1055">
        <v>1</v>
      </c>
      <c r="E1055" t="s">
        <v>5535</v>
      </c>
      <c r="F1055" t="s">
        <v>5536</v>
      </c>
      <c r="G1055" t="s">
        <v>5536</v>
      </c>
      <c r="H1055">
        <v>127</v>
      </c>
    </row>
    <row r="1056" spans="1:8" x14ac:dyDescent="0.25">
      <c r="A1056" t="s">
        <v>2016</v>
      </c>
      <c r="B1056">
        <v>1</v>
      </c>
      <c r="C1056">
        <v>1</v>
      </c>
      <c r="D1056">
        <v>1</v>
      </c>
      <c r="E1056" t="s">
        <v>5537</v>
      </c>
      <c r="F1056" t="s">
        <v>5537</v>
      </c>
      <c r="G1056" t="s">
        <v>5537</v>
      </c>
      <c r="H1056">
        <v>166</v>
      </c>
    </row>
    <row r="1057" spans="1:8" x14ac:dyDescent="0.25">
      <c r="A1057" t="s">
        <v>1758</v>
      </c>
      <c r="B1057">
        <v>1</v>
      </c>
      <c r="C1057">
        <v>1</v>
      </c>
      <c r="D1057">
        <v>1</v>
      </c>
      <c r="E1057" t="s">
        <v>5538</v>
      </c>
      <c r="F1057" t="s">
        <v>5538</v>
      </c>
      <c r="G1057" t="s">
        <v>5538</v>
      </c>
      <c r="H1057">
        <v>186</v>
      </c>
    </row>
    <row r="1058" spans="1:8" x14ac:dyDescent="0.25">
      <c r="A1058" t="s">
        <v>1931</v>
      </c>
      <c r="B1058">
        <v>1</v>
      </c>
      <c r="C1058">
        <v>1</v>
      </c>
      <c r="D1058">
        <v>1</v>
      </c>
      <c r="E1058" t="s">
        <v>5539</v>
      </c>
      <c r="F1058" t="s">
        <v>5539</v>
      </c>
      <c r="G1058" t="s">
        <v>5539</v>
      </c>
      <c r="H1058">
        <v>165</v>
      </c>
    </row>
    <row r="1059" spans="1:8" x14ac:dyDescent="0.25">
      <c r="A1059" t="s">
        <v>2550</v>
      </c>
      <c r="B1059">
        <v>1</v>
      </c>
      <c r="C1059">
        <v>1</v>
      </c>
      <c r="D1059">
        <v>1</v>
      </c>
      <c r="E1059" t="s">
        <v>5540</v>
      </c>
      <c r="F1059" t="s">
        <v>5540</v>
      </c>
      <c r="G1059" t="s">
        <v>5540</v>
      </c>
      <c r="H1059">
        <v>61</v>
      </c>
    </row>
    <row r="1060" spans="1:8" x14ac:dyDescent="0.25">
      <c r="A1060" t="s">
        <v>1173</v>
      </c>
      <c r="B1060">
        <v>1</v>
      </c>
      <c r="C1060">
        <v>1</v>
      </c>
      <c r="D1060">
        <v>1</v>
      </c>
      <c r="E1060" t="s">
        <v>5541</v>
      </c>
      <c r="F1060" t="s">
        <v>5541</v>
      </c>
      <c r="G1060" t="s">
        <v>5541</v>
      </c>
      <c r="H1060">
        <v>70</v>
      </c>
    </row>
    <row r="1061" spans="1:8" x14ac:dyDescent="0.25">
      <c r="A1061" t="s">
        <v>1909</v>
      </c>
      <c r="B1061">
        <v>1</v>
      </c>
      <c r="C1061">
        <v>1</v>
      </c>
      <c r="D1061">
        <v>1</v>
      </c>
      <c r="E1061" t="s">
        <v>5542</v>
      </c>
      <c r="F1061" t="s">
        <v>5543</v>
      </c>
      <c r="G1061" t="s">
        <v>5543</v>
      </c>
      <c r="H1061">
        <v>32</v>
      </c>
    </row>
    <row r="1062" spans="1:8" x14ac:dyDescent="0.25">
      <c r="A1062" t="s">
        <v>1822</v>
      </c>
      <c r="B1062">
        <v>1</v>
      </c>
      <c r="C1062">
        <v>1</v>
      </c>
      <c r="D1062">
        <v>1</v>
      </c>
      <c r="E1062" t="s">
        <v>5544</v>
      </c>
      <c r="F1062" t="s">
        <v>5544</v>
      </c>
      <c r="G1062" t="s">
        <v>5544</v>
      </c>
      <c r="H1062">
        <v>31</v>
      </c>
    </row>
    <row r="1063" spans="1:8" x14ac:dyDescent="0.25">
      <c r="A1063" t="s">
        <v>2576</v>
      </c>
      <c r="B1063">
        <v>1</v>
      </c>
      <c r="C1063">
        <v>1</v>
      </c>
      <c r="D1063">
        <v>1</v>
      </c>
      <c r="E1063" t="s">
        <v>5545</v>
      </c>
      <c r="F1063" t="s">
        <v>5545</v>
      </c>
      <c r="G1063" t="s">
        <v>5545</v>
      </c>
      <c r="H1063">
        <v>59</v>
      </c>
    </row>
    <row r="1064" spans="1:8" x14ac:dyDescent="0.25">
      <c r="A1064" t="s">
        <v>1893</v>
      </c>
      <c r="B1064">
        <v>1</v>
      </c>
      <c r="C1064">
        <v>1</v>
      </c>
      <c r="D1064">
        <v>1</v>
      </c>
      <c r="E1064" t="s">
        <v>5546</v>
      </c>
      <c r="F1064" t="s">
        <v>5546</v>
      </c>
      <c r="G1064" t="s">
        <v>5546</v>
      </c>
      <c r="H1064">
        <v>34</v>
      </c>
    </row>
    <row r="1065" spans="1:8" x14ac:dyDescent="0.25">
      <c r="A1065" t="s">
        <v>1846</v>
      </c>
      <c r="B1065">
        <v>1</v>
      </c>
      <c r="C1065">
        <v>1</v>
      </c>
      <c r="D1065">
        <v>1</v>
      </c>
      <c r="E1065" t="s">
        <v>5547</v>
      </c>
      <c r="F1065" t="s">
        <v>5548</v>
      </c>
      <c r="G1065" t="s">
        <v>5548</v>
      </c>
      <c r="H1065">
        <v>49</v>
      </c>
    </row>
    <row r="1066" spans="1:8" x14ac:dyDescent="0.25">
      <c r="A1066" t="s">
        <v>1131</v>
      </c>
      <c r="B1066">
        <v>1</v>
      </c>
      <c r="C1066">
        <v>1</v>
      </c>
      <c r="D1066">
        <v>1</v>
      </c>
      <c r="E1066" t="s">
        <v>5549</v>
      </c>
      <c r="F1066" t="s">
        <v>5549</v>
      </c>
      <c r="G1066" t="s">
        <v>5549</v>
      </c>
      <c r="H1066">
        <v>188</v>
      </c>
    </row>
    <row r="1067" spans="1:8" x14ac:dyDescent="0.25">
      <c r="A1067" t="s">
        <v>2465</v>
      </c>
      <c r="B1067">
        <v>1</v>
      </c>
      <c r="C1067">
        <v>1</v>
      </c>
      <c r="D1067">
        <v>1</v>
      </c>
      <c r="E1067" t="s">
        <v>5550</v>
      </c>
      <c r="F1067" t="s">
        <v>5550</v>
      </c>
      <c r="G1067" t="s">
        <v>5550</v>
      </c>
      <c r="H1067">
        <v>63</v>
      </c>
    </row>
    <row r="1068" spans="1:8" x14ac:dyDescent="0.25">
      <c r="A1068" t="s">
        <v>488</v>
      </c>
      <c r="B1068">
        <v>1</v>
      </c>
      <c r="C1068">
        <v>1</v>
      </c>
      <c r="D1068">
        <v>1</v>
      </c>
      <c r="E1068" t="s">
        <v>5551</v>
      </c>
      <c r="F1068" t="s">
        <v>5551</v>
      </c>
      <c r="G1068" t="s">
        <v>5551</v>
      </c>
      <c r="H1068">
        <v>307</v>
      </c>
    </row>
    <row r="1069" spans="1:8" x14ac:dyDescent="0.25">
      <c r="A1069" t="s">
        <v>642</v>
      </c>
      <c r="B1069">
        <v>1</v>
      </c>
      <c r="C1069">
        <v>1</v>
      </c>
      <c r="D1069">
        <v>1</v>
      </c>
      <c r="E1069" t="s">
        <v>5552</v>
      </c>
      <c r="F1069" t="s">
        <v>5552</v>
      </c>
      <c r="G1069" t="s">
        <v>5552</v>
      </c>
      <c r="H1069">
        <v>290</v>
      </c>
    </row>
    <row r="1070" spans="1:8" x14ac:dyDescent="0.25">
      <c r="A1070" t="s">
        <v>180</v>
      </c>
      <c r="B1070">
        <v>1</v>
      </c>
      <c r="C1070">
        <v>1</v>
      </c>
      <c r="D1070">
        <v>1</v>
      </c>
      <c r="E1070" t="s">
        <v>4217</v>
      </c>
      <c r="F1070" t="s">
        <v>4217</v>
      </c>
      <c r="G1070" t="s">
        <v>4217</v>
      </c>
      <c r="H1070">
        <v>798</v>
      </c>
    </row>
    <row r="1071" spans="1:8" x14ac:dyDescent="0.25">
      <c r="A1071" t="s">
        <v>152</v>
      </c>
      <c r="B1071">
        <v>1</v>
      </c>
      <c r="C1071">
        <v>1</v>
      </c>
      <c r="D1071">
        <v>1</v>
      </c>
      <c r="E1071" t="s">
        <v>5553</v>
      </c>
      <c r="F1071" t="s">
        <v>5553</v>
      </c>
      <c r="G1071" t="s">
        <v>5553</v>
      </c>
      <c r="H1071">
        <v>889</v>
      </c>
    </row>
    <row r="1072" spans="1:8" x14ac:dyDescent="0.25">
      <c r="A1072" t="s">
        <v>288</v>
      </c>
      <c r="B1072">
        <v>1</v>
      </c>
      <c r="C1072">
        <v>1</v>
      </c>
      <c r="D1072">
        <v>1</v>
      </c>
      <c r="E1072" t="s">
        <v>5554</v>
      </c>
      <c r="F1072" t="s">
        <v>5554</v>
      </c>
      <c r="G1072" t="s">
        <v>5554</v>
      </c>
      <c r="H1072">
        <v>595</v>
      </c>
    </row>
    <row r="1073" spans="1:8" x14ac:dyDescent="0.25">
      <c r="A1073" t="s">
        <v>150</v>
      </c>
      <c r="B1073">
        <v>1</v>
      </c>
      <c r="C1073">
        <v>1</v>
      </c>
      <c r="D1073">
        <v>1</v>
      </c>
      <c r="E1073" t="s">
        <v>5555</v>
      </c>
      <c r="F1073" t="s">
        <v>5555</v>
      </c>
      <c r="G1073" t="s">
        <v>5555</v>
      </c>
      <c r="H1073">
        <v>660</v>
      </c>
    </row>
    <row r="1074" spans="1:8" x14ac:dyDescent="0.25">
      <c r="A1074" t="s">
        <v>1184</v>
      </c>
      <c r="B1074">
        <v>1</v>
      </c>
      <c r="C1074">
        <v>1</v>
      </c>
      <c r="D1074">
        <v>1</v>
      </c>
      <c r="E1074" t="s">
        <v>5556</v>
      </c>
      <c r="F1074" t="s">
        <v>5556</v>
      </c>
      <c r="G1074" t="s">
        <v>5556</v>
      </c>
      <c r="H1074">
        <v>230</v>
      </c>
    </row>
    <row r="1075" spans="1:8" x14ac:dyDescent="0.25">
      <c r="A1075" t="s">
        <v>2171</v>
      </c>
      <c r="B1075">
        <v>1</v>
      </c>
      <c r="C1075">
        <v>1</v>
      </c>
      <c r="D1075">
        <v>1</v>
      </c>
      <c r="E1075" t="s">
        <v>5557</v>
      </c>
      <c r="F1075" t="s">
        <v>5557</v>
      </c>
      <c r="G1075" t="s">
        <v>5557</v>
      </c>
      <c r="H1075">
        <v>149</v>
      </c>
    </row>
    <row r="1076" spans="1:8" x14ac:dyDescent="0.25">
      <c r="A1076" t="s">
        <v>762</v>
      </c>
      <c r="B1076">
        <v>2</v>
      </c>
      <c r="C1076">
        <v>2</v>
      </c>
      <c r="D1076">
        <v>2</v>
      </c>
      <c r="E1076" t="s">
        <v>5558</v>
      </c>
      <c r="F1076" t="s">
        <v>5559</v>
      </c>
      <c r="G1076" t="s">
        <v>4256</v>
      </c>
      <c r="H1076">
        <v>96</v>
      </c>
    </row>
    <row r="1077" spans="1:8" x14ac:dyDescent="0.25">
      <c r="A1077" t="s">
        <v>1845</v>
      </c>
      <c r="B1077">
        <v>1</v>
      </c>
      <c r="C1077">
        <v>1</v>
      </c>
      <c r="D1077">
        <v>1</v>
      </c>
      <c r="E1077" t="s">
        <v>5560</v>
      </c>
      <c r="F1077" t="s">
        <v>5560</v>
      </c>
      <c r="G1077" t="s">
        <v>5560</v>
      </c>
      <c r="H1077">
        <v>91</v>
      </c>
    </row>
    <row r="1078" spans="1:8" x14ac:dyDescent="0.25">
      <c r="A1078" t="s">
        <v>1286</v>
      </c>
      <c r="B1078">
        <v>1</v>
      </c>
      <c r="C1078">
        <v>1</v>
      </c>
      <c r="D1078">
        <v>1</v>
      </c>
      <c r="E1078" t="s">
        <v>5561</v>
      </c>
      <c r="F1078" t="s">
        <v>5561</v>
      </c>
      <c r="G1078" t="s">
        <v>5561</v>
      </c>
      <c r="H1078">
        <v>114</v>
      </c>
    </row>
    <row r="1079" spans="1:8" x14ac:dyDescent="0.25">
      <c r="A1079" t="s">
        <v>601</v>
      </c>
      <c r="B1079">
        <v>1</v>
      </c>
      <c r="C1079">
        <v>1</v>
      </c>
      <c r="D1079">
        <v>1</v>
      </c>
      <c r="E1079" t="s">
        <v>5562</v>
      </c>
      <c r="F1079" t="s">
        <v>5562</v>
      </c>
      <c r="G1079" t="s">
        <v>5562</v>
      </c>
      <c r="H1079">
        <v>193</v>
      </c>
    </row>
    <row r="1080" spans="1:8" x14ac:dyDescent="0.25">
      <c r="A1080" t="s">
        <v>1127</v>
      </c>
      <c r="B1080">
        <v>4</v>
      </c>
      <c r="C1080">
        <v>4</v>
      </c>
      <c r="D1080">
        <v>4</v>
      </c>
      <c r="E1080" t="s">
        <v>5563</v>
      </c>
      <c r="F1080" t="s">
        <v>5564</v>
      </c>
      <c r="G1080" t="s">
        <v>4256</v>
      </c>
      <c r="H1080">
        <v>141</v>
      </c>
    </row>
    <row r="1081" spans="1:8" x14ac:dyDescent="0.25">
      <c r="A1081" t="s">
        <v>1700</v>
      </c>
      <c r="B1081">
        <v>1</v>
      </c>
      <c r="C1081">
        <v>1</v>
      </c>
      <c r="D1081">
        <v>1</v>
      </c>
      <c r="E1081" t="s">
        <v>5565</v>
      </c>
      <c r="F1081" t="s">
        <v>5565</v>
      </c>
      <c r="G1081" t="s">
        <v>5565</v>
      </c>
      <c r="H1081">
        <v>124</v>
      </c>
    </row>
    <row r="1082" spans="1:8" x14ac:dyDescent="0.25">
      <c r="A1082" t="s">
        <v>2636</v>
      </c>
      <c r="B1082">
        <v>1</v>
      </c>
      <c r="C1082">
        <v>1</v>
      </c>
      <c r="D1082">
        <v>1</v>
      </c>
      <c r="E1082" t="s">
        <v>5566</v>
      </c>
      <c r="F1082" t="s">
        <v>5566</v>
      </c>
      <c r="G1082" t="s">
        <v>5566</v>
      </c>
      <c r="H1082">
        <v>77</v>
      </c>
    </row>
    <row r="1083" spans="1:8" x14ac:dyDescent="0.25">
      <c r="A1083" t="s">
        <v>3024</v>
      </c>
      <c r="B1083">
        <v>1</v>
      </c>
      <c r="C1083">
        <v>1</v>
      </c>
      <c r="D1083">
        <v>1</v>
      </c>
      <c r="E1083" t="s">
        <v>5567</v>
      </c>
      <c r="F1083" t="s">
        <v>5568</v>
      </c>
      <c r="G1083" t="s">
        <v>5568</v>
      </c>
      <c r="H1083">
        <v>4</v>
      </c>
    </row>
    <row r="1084" spans="1:8" x14ac:dyDescent="0.25">
      <c r="A1084" t="s">
        <v>2331</v>
      </c>
      <c r="B1084">
        <v>3</v>
      </c>
      <c r="C1084">
        <v>3</v>
      </c>
      <c r="D1084">
        <v>3</v>
      </c>
      <c r="E1084" t="s">
        <v>5569</v>
      </c>
      <c r="F1084" t="s">
        <v>5569</v>
      </c>
      <c r="G1084" t="s">
        <v>4256</v>
      </c>
      <c r="H1084">
        <v>25</v>
      </c>
    </row>
    <row r="1085" spans="1:8" x14ac:dyDescent="0.25">
      <c r="A1085" t="s">
        <v>1143</v>
      </c>
      <c r="B1085">
        <v>2</v>
      </c>
      <c r="C1085">
        <v>2</v>
      </c>
      <c r="D1085">
        <v>2</v>
      </c>
      <c r="E1085" t="s">
        <v>5570</v>
      </c>
      <c r="F1085" t="s">
        <v>5570</v>
      </c>
      <c r="G1085" t="s">
        <v>4256</v>
      </c>
      <c r="H1085">
        <v>80</v>
      </c>
    </row>
    <row r="1086" spans="1:8" x14ac:dyDescent="0.25">
      <c r="A1086" t="s">
        <v>1581</v>
      </c>
      <c r="B1086">
        <v>2</v>
      </c>
      <c r="C1086">
        <v>2</v>
      </c>
      <c r="D1086">
        <v>2</v>
      </c>
      <c r="E1086" t="s">
        <v>5571</v>
      </c>
      <c r="F1086" t="s">
        <v>5571</v>
      </c>
      <c r="G1086" t="s">
        <v>4256</v>
      </c>
      <c r="H1086">
        <v>101</v>
      </c>
    </row>
    <row r="1087" spans="1:8" x14ac:dyDescent="0.25">
      <c r="A1087" t="s">
        <v>995</v>
      </c>
      <c r="B1087">
        <v>2</v>
      </c>
      <c r="C1087">
        <v>2</v>
      </c>
      <c r="D1087">
        <v>2</v>
      </c>
      <c r="E1087" t="s">
        <v>5572</v>
      </c>
      <c r="F1087" t="s">
        <v>5573</v>
      </c>
      <c r="G1087" t="s">
        <v>4256</v>
      </c>
      <c r="H1087">
        <v>116</v>
      </c>
    </row>
    <row r="1088" spans="1:8" x14ac:dyDescent="0.25">
      <c r="A1088" t="s">
        <v>755</v>
      </c>
      <c r="B1088">
        <v>1</v>
      </c>
      <c r="C1088">
        <v>1</v>
      </c>
      <c r="D1088">
        <v>1</v>
      </c>
      <c r="E1088" t="s">
        <v>5574</v>
      </c>
      <c r="F1088" t="s">
        <v>5575</v>
      </c>
      <c r="G1088" t="s">
        <v>5575</v>
      </c>
      <c r="H1088">
        <v>303</v>
      </c>
    </row>
    <row r="1089" spans="1:8" x14ac:dyDescent="0.25">
      <c r="A1089" t="s">
        <v>1811</v>
      </c>
      <c r="B1089">
        <v>1</v>
      </c>
      <c r="C1089">
        <v>1</v>
      </c>
      <c r="D1089">
        <v>1</v>
      </c>
      <c r="E1089" t="s">
        <v>5576</v>
      </c>
      <c r="F1089" t="s">
        <v>5576</v>
      </c>
      <c r="G1089" t="s">
        <v>5576</v>
      </c>
      <c r="H1089">
        <v>155</v>
      </c>
    </row>
    <row r="1090" spans="1:8" x14ac:dyDescent="0.25">
      <c r="A1090" t="s">
        <v>1972</v>
      </c>
      <c r="B1090">
        <v>1</v>
      </c>
      <c r="C1090">
        <v>1</v>
      </c>
      <c r="D1090">
        <v>1</v>
      </c>
      <c r="E1090" t="s">
        <v>5577</v>
      </c>
      <c r="F1090" t="s">
        <v>5577</v>
      </c>
      <c r="G1090" t="s">
        <v>5577</v>
      </c>
      <c r="H1090">
        <v>133</v>
      </c>
    </row>
    <row r="1091" spans="1:8" x14ac:dyDescent="0.25">
      <c r="A1091" t="s">
        <v>2457</v>
      </c>
      <c r="B1091">
        <v>2</v>
      </c>
      <c r="C1091">
        <v>2</v>
      </c>
      <c r="D1091">
        <v>2</v>
      </c>
      <c r="E1091" t="s">
        <v>5578</v>
      </c>
      <c r="F1091" t="s">
        <v>5579</v>
      </c>
      <c r="G1091" t="s">
        <v>4256</v>
      </c>
      <c r="H1091">
        <v>164</v>
      </c>
    </row>
    <row r="1092" spans="1:8" x14ac:dyDescent="0.25">
      <c r="A1092" t="s">
        <v>2602</v>
      </c>
      <c r="B1092">
        <v>2</v>
      </c>
      <c r="C1092">
        <v>2</v>
      </c>
      <c r="D1092">
        <v>2</v>
      </c>
      <c r="E1092" t="s">
        <v>5580</v>
      </c>
      <c r="F1092" t="s">
        <v>5580</v>
      </c>
      <c r="G1092" t="s">
        <v>4256</v>
      </c>
      <c r="H1092">
        <v>180</v>
      </c>
    </row>
    <row r="1093" spans="1:8" x14ac:dyDescent="0.25">
      <c r="A1093" t="s">
        <v>2089</v>
      </c>
      <c r="B1093">
        <v>1</v>
      </c>
      <c r="C1093">
        <v>1</v>
      </c>
      <c r="D1093">
        <v>1</v>
      </c>
      <c r="E1093" t="s">
        <v>5581</v>
      </c>
      <c r="F1093" t="s">
        <v>5581</v>
      </c>
      <c r="G1093" t="s">
        <v>5581</v>
      </c>
      <c r="H1093">
        <v>89</v>
      </c>
    </row>
    <row r="1094" spans="1:8" x14ac:dyDescent="0.25">
      <c r="A1094" t="s">
        <v>2769</v>
      </c>
      <c r="B1094">
        <v>1</v>
      </c>
      <c r="C1094">
        <v>1</v>
      </c>
      <c r="D1094">
        <v>1</v>
      </c>
      <c r="E1094" t="s">
        <v>5582</v>
      </c>
      <c r="F1094" t="s">
        <v>5582</v>
      </c>
      <c r="G1094" t="s">
        <v>5582</v>
      </c>
      <c r="H1094">
        <v>14</v>
      </c>
    </row>
    <row r="1095" spans="1:8" x14ac:dyDescent="0.25">
      <c r="A1095" t="s">
        <v>184</v>
      </c>
      <c r="B1095">
        <v>1</v>
      </c>
      <c r="C1095">
        <v>1</v>
      </c>
      <c r="D1095">
        <v>1</v>
      </c>
      <c r="E1095" t="s">
        <v>5583</v>
      </c>
      <c r="F1095" t="s">
        <v>5584</v>
      </c>
      <c r="G1095" t="s">
        <v>5584</v>
      </c>
      <c r="H1095">
        <v>974</v>
      </c>
    </row>
    <row r="1096" spans="1:8" x14ac:dyDescent="0.25">
      <c r="A1096" t="s">
        <v>195</v>
      </c>
      <c r="B1096">
        <v>2</v>
      </c>
      <c r="C1096">
        <v>2</v>
      </c>
      <c r="D1096">
        <v>2</v>
      </c>
      <c r="E1096" t="s">
        <v>5585</v>
      </c>
      <c r="F1096" t="s">
        <v>5586</v>
      </c>
      <c r="G1096" t="s">
        <v>4256</v>
      </c>
      <c r="H1096">
        <v>993</v>
      </c>
    </row>
    <row r="1097" spans="1:8" x14ac:dyDescent="0.25">
      <c r="A1097" t="s">
        <v>518</v>
      </c>
      <c r="B1097">
        <v>1</v>
      </c>
      <c r="C1097">
        <v>1</v>
      </c>
      <c r="D1097">
        <v>1</v>
      </c>
      <c r="E1097" t="s">
        <v>5587</v>
      </c>
      <c r="F1097" t="s">
        <v>5587</v>
      </c>
      <c r="G1097" t="s">
        <v>5587</v>
      </c>
      <c r="H1097">
        <v>473</v>
      </c>
    </row>
    <row r="1098" spans="1:8" x14ac:dyDescent="0.25">
      <c r="A1098" t="s">
        <v>639</v>
      </c>
      <c r="B1098">
        <v>2</v>
      </c>
      <c r="C1098">
        <v>2</v>
      </c>
      <c r="D1098">
        <v>2</v>
      </c>
      <c r="E1098" t="s">
        <v>5588</v>
      </c>
      <c r="F1098" t="s">
        <v>5589</v>
      </c>
      <c r="G1098" t="s">
        <v>4256</v>
      </c>
      <c r="H1098">
        <v>393</v>
      </c>
    </row>
    <row r="1099" spans="1:8" x14ac:dyDescent="0.25">
      <c r="A1099" t="s">
        <v>5590</v>
      </c>
      <c r="B1099">
        <v>0</v>
      </c>
      <c r="C1099">
        <v>0</v>
      </c>
      <c r="D1099">
        <v>0</v>
      </c>
      <c r="G1099" t="s">
        <v>4256</v>
      </c>
      <c r="H1099">
        <v>1</v>
      </c>
    </row>
    <row r="1100" spans="1:8" x14ac:dyDescent="0.25">
      <c r="A1100" t="s">
        <v>369</v>
      </c>
      <c r="B1100">
        <v>1</v>
      </c>
      <c r="C1100">
        <v>1</v>
      </c>
      <c r="D1100">
        <v>1</v>
      </c>
      <c r="E1100" t="s">
        <v>5591</v>
      </c>
      <c r="F1100" t="s">
        <v>5591</v>
      </c>
      <c r="G1100" t="s">
        <v>5591</v>
      </c>
      <c r="H1100">
        <v>563</v>
      </c>
    </row>
    <row r="1101" spans="1:8" x14ac:dyDescent="0.25">
      <c r="A1101" t="s">
        <v>3341</v>
      </c>
      <c r="B1101">
        <v>1</v>
      </c>
      <c r="C1101">
        <v>1</v>
      </c>
      <c r="D1101">
        <v>1</v>
      </c>
      <c r="E1101" t="s">
        <v>5592</v>
      </c>
      <c r="F1101" t="s">
        <v>5593</v>
      </c>
      <c r="G1101" t="s">
        <v>5593</v>
      </c>
      <c r="H1101">
        <v>3</v>
      </c>
    </row>
    <row r="1102" spans="1:8" x14ac:dyDescent="0.25">
      <c r="A1102" t="s">
        <v>4015</v>
      </c>
      <c r="B1102">
        <v>1</v>
      </c>
      <c r="C1102">
        <v>1</v>
      </c>
      <c r="D1102">
        <v>1</v>
      </c>
      <c r="E1102" t="s">
        <v>5594</v>
      </c>
      <c r="F1102" t="s">
        <v>5594</v>
      </c>
      <c r="G1102" t="s">
        <v>5594</v>
      </c>
      <c r="H1102">
        <v>2</v>
      </c>
    </row>
    <row r="1103" spans="1:8" x14ac:dyDescent="0.25">
      <c r="A1103" t="s">
        <v>400</v>
      </c>
      <c r="B1103">
        <v>2</v>
      </c>
      <c r="C1103">
        <v>2</v>
      </c>
      <c r="D1103">
        <v>2</v>
      </c>
      <c r="E1103" t="s">
        <v>5595</v>
      </c>
      <c r="F1103" t="s">
        <v>5595</v>
      </c>
      <c r="G1103" t="s">
        <v>4256</v>
      </c>
      <c r="H1103">
        <v>507</v>
      </c>
    </row>
    <row r="1104" spans="1:8" x14ac:dyDescent="0.25">
      <c r="A1104" t="s">
        <v>757</v>
      </c>
      <c r="B1104">
        <v>1</v>
      </c>
      <c r="C1104">
        <v>1</v>
      </c>
      <c r="D1104">
        <v>1</v>
      </c>
      <c r="E1104" t="s">
        <v>5596</v>
      </c>
      <c r="F1104" t="s">
        <v>5597</v>
      </c>
      <c r="G1104" t="s">
        <v>5597</v>
      </c>
      <c r="H1104">
        <v>194</v>
      </c>
    </row>
    <row r="1105" spans="1:8" x14ac:dyDescent="0.25">
      <c r="A1105" t="s">
        <v>300</v>
      </c>
      <c r="B1105">
        <v>3</v>
      </c>
      <c r="C1105">
        <v>3</v>
      </c>
      <c r="D1105">
        <v>3</v>
      </c>
      <c r="E1105" t="s">
        <v>5598</v>
      </c>
      <c r="F1105" t="s">
        <v>5598</v>
      </c>
      <c r="G1105" t="s">
        <v>4256</v>
      </c>
      <c r="H1105">
        <v>572</v>
      </c>
    </row>
    <row r="1106" spans="1:8" x14ac:dyDescent="0.25">
      <c r="A1106" t="s">
        <v>558</v>
      </c>
      <c r="B1106">
        <v>1</v>
      </c>
      <c r="C1106">
        <v>1</v>
      </c>
      <c r="D1106">
        <v>1</v>
      </c>
      <c r="E1106" t="s">
        <v>5599</v>
      </c>
      <c r="F1106" t="s">
        <v>5599</v>
      </c>
      <c r="G1106" t="s">
        <v>5599</v>
      </c>
      <c r="H1106">
        <v>483</v>
      </c>
    </row>
    <row r="1107" spans="1:8" x14ac:dyDescent="0.25">
      <c r="A1107" t="s">
        <v>533</v>
      </c>
      <c r="B1107">
        <v>1</v>
      </c>
      <c r="C1107">
        <v>1</v>
      </c>
      <c r="D1107">
        <v>1</v>
      </c>
      <c r="E1107" t="s">
        <v>5600</v>
      </c>
      <c r="F1107" t="s">
        <v>5600</v>
      </c>
      <c r="G1107" t="s">
        <v>5600</v>
      </c>
      <c r="H1107">
        <v>345</v>
      </c>
    </row>
    <row r="1108" spans="1:8" x14ac:dyDescent="0.25">
      <c r="A1108" t="s">
        <v>1716</v>
      </c>
      <c r="B1108">
        <v>2</v>
      </c>
      <c r="C1108">
        <v>2</v>
      </c>
      <c r="D1108">
        <v>2</v>
      </c>
      <c r="E1108" t="s">
        <v>5601</v>
      </c>
      <c r="F1108" t="s">
        <v>5601</v>
      </c>
      <c r="G1108" t="s">
        <v>4256</v>
      </c>
      <c r="H1108">
        <v>113</v>
      </c>
    </row>
    <row r="1109" spans="1:8" x14ac:dyDescent="0.25">
      <c r="A1109" t="s">
        <v>1652</v>
      </c>
      <c r="B1109">
        <v>1</v>
      </c>
      <c r="C1109">
        <v>1</v>
      </c>
      <c r="D1109">
        <v>1</v>
      </c>
      <c r="E1109" t="s">
        <v>5602</v>
      </c>
      <c r="F1109" t="s">
        <v>5602</v>
      </c>
      <c r="G1109" t="s">
        <v>5602</v>
      </c>
      <c r="H1109">
        <v>141</v>
      </c>
    </row>
    <row r="1110" spans="1:8" x14ac:dyDescent="0.25">
      <c r="A1110" t="s">
        <v>1348</v>
      </c>
      <c r="B1110">
        <v>1</v>
      </c>
      <c r="C1110">
        <v>1</v>
      </c>
      <c r="D1110">
        <v>1</v>
      </c>
      <c r="E1110" t="s">
        <v>5603</v>
      </c>
      <c r="F1110" t="s">
        <v>5604</v>
      </c>
      <c r="G1110" t="s">
        <v>5604</v>
      </c>
      <c r="H1110">
        <v>172</v>
      </c>
    </row>
    <row r="1111" spans="1:8" x14ac:dyDescent="0.25">
      <c r="A1111" t="s">
        <v>1651</v>
      </c>
      <c r="B1111">
        <v>1</v>
      </c>
      <c r="C1111">
        <v>1</v>
      </c>
      <c r="D1111">
        <v>1</v>
      </c>
      <c r="E1111" t="s">
        <v>5605</v>
      </c>
      <c r="F1111" t="s">
        <v>5605</v>
      </c>
      <c r="G1111" t="s">
        <v>5605</v>
      </c>
      <c r="H1111">
        <v>153</v>
      </c>
    </row>
    <row r="1112" spans="1:8" x14ac:dyDescent="0.25">
      <c r="A1112" t="s">
        <v>1149</v>
      </c>
      <c r="B1112">
        <v>1</v>
      </c>
      <c r="C1112">
        <v>1</v>
      </c>
      <c r="D1112">
        <v>1</v>
      </c>
      <c r="E1112" t="s">
        <v>5606</v>
      </c>
      <c r="F1112" t="s">
        <v>5607</v>
      </c>
      <c r="G1112" t="s">
        <v>5607</v>
      </c>
      <c r="H1112">
        <v>276</v>
      </c>
    </row>
    <row r="1113" spans="1:8" x14ac:dyDescent="0.25">
      <c r="A1113" t="s">
        <v>2902</v>
      </c>
      <c r="B1113">
        <v>1</v>
      </c>
      <c r="C1113">
        <v>1</v>
      </c>
      <c r="D1113">
        <v>1</v>
      </c>
      <c r="E1113" t="s">
        <v>5608</v>
      </c>
      <c r="F1113" t="s">
        <v>5608</v>
      </c>
      <c r="G1113" t="s">
        <v>5608</v>
      </c>
      <c r="H1113">
        <v>12</v>
      </c>
    </row>
    <row r="1114" spans="1:8" x14ac:dyDescent="0.25">
      <c r="A1114" t="s">
        <v>307</v>
      </c>
      <c r="B1114">
        <v>1</v>
      </c>
      <c r="C1114">
        <v>1</v>
      </c>
      <c r="D1114">
        <v>1</v>
      </c>
      <c r="E1114" t="s">
        <v>5609</v>
      </c>
      <c r="F1114" t="s">
        <v>5609</v>
      </c>
      <c r="G1114" t="s">
        <v>5609</v>
      </c>
      <c r="H1114">
        <v>324</v>
      </c>
    </row>
    <row r="1115" spans="1:8" x14ac:dyDescent="0.25">
      <c r="A1115" t="s">
        <v>1344</v>
      </c>
      <c r="B1115">
        <v>1</v>
      </c>
      <c r="C1115">
        <v>1</v>
      </c>
      <c r="D1115">
        <v>1</v>
      </c>
      <c r="E1115" t="s">
        <v>5610</v>
      </c>
      <c r="F1115" t="s">
        <v>5611</v>
      </c>
      <c r="G1115" t="s">
        <v>5611</v>
      </c>
      <c r="H1115">
        <v>363</v>
      </c>
    </row>
    <row r="1116" spans="1:8" x14ac:dyDescent="0.25">
      <c r="A1116" t="s">
        <v>1897</v>
      </c>
      <c r="B1116">
        <v>1</v>
      </c>
      <c r="C1116">
        <v>1</v>
      </c>
      <c r="D1116">
        <v>1</v>
      </c>
      <c r="E1116" t="s">
        <v>5612</v>
      </c>
      <c r="F1116" t="s">
        <v>5612</v>
      </c>
      <c r="G1116" t="s">
        <v>5612</v>
      </c>
      <c r="H1116">
        <v>98</v>
      </c>
    </row>
    <row r="1117" spans="1:8" x14ac:dyDescent="0.25">
      <c r="A1117" t="s">
        <v>1723</v>
      </c>
      <c r="B1117">
        <v>1</v>
      </c>
      <c r="C1117">
        <v>1</v>
      </c>
      <c r="D1117">
        <v>1</v>
      </c>
      <c r="E1117" t="s">
        <v>5613</v>
      </c>
      <c r="F1117" t="s">
        <v>5613</v>
      </c>
      <c r="G1117" t="s">
        <v>5613</v>
      </c>
      <c r="H1117">
        <v>127</v>
      </c>
    </row>
    <row r="1118" spans="1:8" x14ac:dyDescent="0.25">
      <c r="A1118" t="s">
        <v>2744</v>
      </c>
      <c r="B1118">
        <v>1</v>
      </c>
      <c r="C1118">
        <v>1</v>
      </c>
      <c r="D1118">
        <v>1</v>
      </c>
      <c r="E1118" t="s">
        <v>5614</v>
      </c>
      <c r="F1118" t="s">
        <v>5614</v>
      </c>
      <c r="G1118" t="s">
        <v>5614</v>
      </c>
      <c r="H1118">
        <v>16</v>
      </c>
    </row>
    <row r="1119" spans="1:8" x14ac:dyDescent="0.25">
      <c r="A1119" t="s">
        <v>865</v>
      </c>
      <c r="B1119">
        <v>1</v>
      </c>
      <c r="C1119">
        <v>1</v>
      </c>
      <c r="D1119">
        <v>1</v>
      </c>
      <c r="E1119" t="s">
        <v>5615</v>
      </c>
      <c r="F1119" t="s">
        <v>5616</v>
      </c>
      <c r="G1119" t="s">
        <v>5616</v>
      </c>
      <c r="H1119">
        <v>148</v>
      </c>
    </row>
    <row r="1120" spans="1:8" x14ac:dyDescent="0.25">
      <c r="A1120" t="s">
        <v>1361</v>
      </c>
      <c r="B1120">
        <v>1</v>
      </c>
      <c r="C1120">
        <v>1</v>
      </c>
      <c r="D1120">
        <v>1</v>
      </c>
      <c r="E1120" t="s">
        <v>5617</v>
      </c>
      <c r="F1120" t="s">
        <v>5617</v>
      </c>
      <c r="G1120" t="s">
        <v>5617</v>
      </c>
      <c r="H1120">
        <v>89</v>
      </c>
    </row>
    <row r="1121" spans="1:8" x14ac:dyDescent="0.25">
      <c r="A1121" t="s">
        <v>1052</v>
      </c>
      <c r="B1121">
        <v>1</v>
      </c>
      <c r="C1121">
        <v>1</v>
      </c>
      <c r="D1121">
        <v>1</v>
      </c>
      <c r="E1121" t="s">
        <v>5618</v>
      </c>
      <c r="F1121" t="s">
        <v>5619</v>
      </c>
      <c r="G1121" t="s">
        <v>5619</v>
      </c>
      <c r="H1121">
        <v>162</v>
      </c>
    </row>
    <row r="1122" spans="1:8" x14ac:dyDescent="0.25">
      <c r="A1122" t="s">
        <v>1596</v>
      </c>
      <c r="B1122">
        <v>1</v>
      </c>
      <c r="C1122">
        <v>1</v>
      </c>
      <c r="D1122">
        <v>1</v>
      </c>
      <c r="E1122" t="s">
        <v>5620</v>
      </c>
      <c r="F1122" t="s">
        <v>5621</v>
      </c>
      <c r="G1122" t="s">
        <v>5621</v>
      </c>
      <c r="H1122">
        <v>89</v>
      </c>
    </row>
    <row r="1123" spans="1:8" x14ac:dyDescent="0.25">
      <c r="A1123" t="s">
        <v>343</v>
      </c>
      <c r="B1123">
        <v>1</v>
      </c>
      <c r="C1123">
        <v>1</v>
      </c>
      <c r="D1123">
        <v>1</v>
      </c>
      <c r="E1123" t="s">
        <v>5622</v>
      </c>
      <c r="F1123" t="s">
        <v>5622</v>
      </c>
      <c r="G1123" t="s">
        <v>5622</v>
      </c>
      <c r="H1123">
        <v>390</v>
      </c>
    </row>
    <row r="1124" spans="1:8" x14ac:dyDescent="0.25">
      <c r="A1124" t="s">
        <v>482</v>
      </c>
      <c r="B1124">
        <v>1</v>
      </c>
      <c r="C1124">
        <v>1</v>
      </c>
      <c r="D1124">
        <v>1</v>
      </c>
      <c r="E1124" t="s">
        <v>5623</v>
      </c>
      <c r="F1124" t="s">
        <v>5623</v>
      </c>
      <c r="G1124" t="s">
        <v>5623</v>
      </c>
      <c r="H1124">
        <v>270</v>
      </c>
    </row>
    <row r="1125" spans="1:8" x14ac:dyDescent="0.25">
      <c r="A1125" t="s">
        <v>276</v>
      </c>
      <c r="B1125">
        <v>2</v>
      </c>
      <c r="C1125">
        <v>2</v>
      </c>
      <c r="D1125">
        <v>2</v>
      </c>
      <c r="E1125" t="s">
        <v>5624</v>
      </c>
      <c r="F1125" t="s">
        <v>5624</v>
      </c>
      <c r="G1125" t="s">
        <v>4256</v>
      </c>
      <c r="H1125">
        <v>406</v>
      </c>
    </row>
    <row r="1126" spans="1:8" x14ac:dyDescent="0.25">
      <c r="A1126" t="s">
        <v>434</v>
      </c>
      <c r="B1126">
        <v>1</v>
      </c>
      <c r="C1126">
        <v>1</v>
      </c>
      <c r="D1126">
        <v>1</v>
      </c>
      <c r="E1126" t="s">
        <v>5625</v>
      </c>
      <c r="F1126" t="s">
        <v>5625</v>
      </c>
      <c r="G1126" t="s">
        <v>5625</v>
      </c>
      <c r="H1126">
        <v>509</v>
      </c>
    </row>
    <row r="1127" spans="1:8" x14ac:dyDescent="0.25">
      <c r="A1127" t="s">
        <v>550</v>
      </c>
      <c r="B1127">
        <v>1</v>
      </c>
      <c r="C1127">
        <v>1</v>
      </c>
      <c r="D1127">
        <v>1</v>
      </c>
      <c r="E1127" t="s">
        <v>5626</v>
      </c>
      <c r="F1127" t="s">
        <v>5626</v>
      </c>
      <c r="G1127" t="s">
        <v>5626</v>
      </c>
      <c r="H1127">
        <v>331</v>
      </c>
    </row>
    <row r="1128" spans="1:8" x14ac:dyDescent="0.25">
      <c r="A1128" t="s">
        <v>1009</v>
      </c>
      <c r="B1128">
        <v>1</v>
      </c>
      <c r="C1128">
        <v>1</v>
      </c>
      <c r="D1128">
        <v>1</v>
      </c>
      <c r="E1128" t="s">
        <v>5627</v>
      </c>
      <c r="F1128" t="s">
        <v>5627</v>
      </c>
      <c r="G1128" t="s">
        <v>5627</v>
      </c>
      <c r="H1128">
        <v>175</v>
      </c>
    </row>
    <row r="1129" spans="1:8" x14ac:dyDescent="0.25">
      <c r="A1129" t="s">
        <v>1409</v>
      </c>
      <c r="B1129">
        <v>3</v>
      </c>
      <c r="C1129">
        <v>3</v>
      </c>
      <c r="D1129">
        <v>3</v>
      </c>
      <c r="E1129" t="s">
        <v>5628</v>
      </c>
      <c r="F1129" t="s">
        <v>5628</v>
      </c>
      <c r="G1129" t="s">
        <v>4256</v>
      </c>
      <c r="H1129">
        <v>122</v>
      </c>
    </row>
    <row r="1130" spans="1:8" x14ac:dyDescent="0.25">
      <c r="A1130" t="s">
        <v>149</v>
      </c>
      <c r="B1130">
        <v>1</v>
      </c>
      <c r="C1130">
        <v>1</v>
      </c>
      <c r="D1130">
        <v>1</v>
      </c>
      <c r="E1130" t="s">
        <v>5629</v>
      </c>
      <c r="F1130" t="s">
        <v>5629</v>
      </c>
      <c r="G1130" t="s">
        <v>5629</v>
      </c>
      <c r="H1130">
        <v>1072</v>
      </c>
    </row>
    <row r="1131" spans="1:8" x14ac:dyDescent="0.25">
      <c r="A1131" t="s">
        <v>458</v>
      </c>
      <c r="B1131">
        <v>2</v>
      </c>
      <c r="C1131">
        <v>2</v>
      </c>
      <c r="D1131">
        <v>2</v>
      </c>
      <c r="E1131" t="s">
        <v>5630</v>
      </c>
      <c r="F1131" t="s">
        <v>5630</v>
      </c>
      <c r="G1131" t="s">
        <v>4256</v>
      </c>
      <c r="H1131">
        <v>299</v>
      </c>
    </row>
    <row r="1132" spans="1:8" x14ac:dyDescent="0.25">
      <c r="A1132" t="s">
        <v>820</v>
      </c>
      <c r="B1132">
        <v>1</v>
      </c>
      <c r="C1132">
        <v>1</v>
      </c>
      <c r="D1132">
        <v>1</v>
      </c>
      <c r="E1132" t="s">
        <v>5631</v>
      </c>
      <c r="F1132" t="s">
        <v>5631</v>
      </c>
      <c r="G1132" t="s">
        <v>5631</v>
      </c>
      <c r="H1132">
        <v>170</v>
      </c>
    </row>
    <row r="1133" spans="1:8" x14ac:dyDescent="0.25">
      <c r="A1133" t="s">
        <v>2343</v>
      </c>
      <c r="B1133">
        <v>2</v>
      </c>
      <c r="C1133">
        <v>2</v>
      </c>
      <c r="D1133">
        <v>2</v>
      </c>
      <c r="E1133" t="s">
        <v>5632</v>
      </c>
      <c r="F1133" t="s">
        <v>5632</v>
      </c>
      <c r="G1133" t="s">
        <v>4256</v>
      </c>
      <c r="H1133">
        <v>60</v>
      </c>
    </row>
    <row r="1134" spans="1:8" x14ac:dyDescent="0.25">
      <c r="A1134" t="s">
        <v>1464</v>
      </c>
      <c r="B1134">
        <v>1</v>
      </c>
      <c r="C1134">
        <v>1</v>
      </c>
      <c r="D1134">
        <v>1</v>
      </c>
      <c r="E1134" t="s">
        <v>5633</v>
      </c>
      <c r="F1134" t="s">
        <v>5633</v>
      </c>
      <c r="G1134" t="s">
        <v>5633</v>
      </c>
      <c r="H1134">
        <v>126</v>
      </c>
    </row>
    <row r="1135" spans="1:8" x14ac:dyDescent="0.25">
      <c r="A1135" t="s">
        <v>1228</v>
      </c>
      <c r="B1135">
        <v>1</v>
      </c>
      <c r="C1135">
        <v>1</v>
      </c>
      <c r="D1135">
        <v>1</v>
      </c>
      <c r="E1135" t="s">
        <v>5634</v>
      </c>
      <c r="F1135" t="s">
        <v>5634</v>
      </c>
      <c r="G1135" t="s">
        <v>5634</v>
      </c>
      <c r="H1135">
        <v>131</v>
      </c>
    </row>
    <row r="1136" spans="1:8" x14ac:dyDescent="0.25">
      <c r="A1136" t="s">
        <v>2378</v>
      </c>
      <c r="B1136">
        <v>1</v>
      </c>
      <c r="C1136">
        <v>1</v>
      </c>
      <c r="D1136">
        <v>1</v>
      </c>
      <c r="E1136" t="s">
        <v>5635</v>
      </c>
      <c r="F1136" t="s">
        <v>5635</v>
      </c>
      <c r="G1136" t="s">
        <v>5635</v>
      </c>
      <c r="H1136">
        <v>38</v>
      </c>
    </row>
    <row r="1137" spans="1:8" x14ac:dyDescent="0.25">
      <c r="A1137" t="s">
        <v>1089</v>
      </c>
      <c r="B1137">
        <v>1</v>
      </c>
      <c r="C1137">
        <v>1</v>
      </c>
      <c r="D1137">
        <v>1</v>
      </c>
      <c r="E1137" t="s">
        <v>5636</v>
      </c>
      <c r="F1137" t="s">
        <v>5636</v>
      </c>
      <c r="G1137" t="s">
        <v>5636</v>
      </c>
      <c r="H1137">
        <v>166</v>
      </c>
    </row>
    <row r="1138" spans="1:8" x14ac:dyDescent="0.25">
      <c r="A1138" t="s">
        <v>1200</v>
      </c>
      <c r="B1138">
        <v>1</v>
      </c>
      <c r="C1138">
        <v>1</v>
      </c>
      <c r="D1138">
        <v>1</v>
      </c>
      <c r="E1138" t="s">
        <v>5637</v>
      </c>
      <c r="F1138" t="s">
        <v>5637</v>
      </c>
      <c r="G1138" t="s">
        <v>5637</v>
      </c>
      <c r="H1138">
        <v>154</v>
      </c>
    </row>
    <row r="1139" spans="1:8" x14ac:dyDescent="0.25">
      <c r="A1139" t="s">
        <v>877</v>
      </c>
      <c r="B1139">
        <v>1</v>
      </c>
      <c r="C1139">
        <v>1</v>
      </c>
      <c r="D1139">
        <v>1</v>
      </c>
      <c r="E1139" t="s">
        <v>5638</v>
      </c>
      <c r="F1139" t="s">
        <v>5638</v>
      </c>
      <c r="G1139" t="s">
        <v>5638</v>
      </c>
      <c r="H1139">
        <v>197</v>
      </c>
    </row>
    <row r="1140" spans="1:8" x14ac:dyDescent="0.25">
      <c r="A1140" t="s">
        <v>297</v>
      </c>
      <c r="B1140">
        <v>1</v>
      </c>
      <c r="C1140">
        <v>1</v>
      </c>
      <c r="D1140">
        <v>1</v>
      </c>
      <c r="E1140" t="s">
        <v>5639</v>
      </c>
      <c r="F1140" t="s">
        <v>5639</v>
      </c>
      <c r="G1140" t="s">
        <v>5639</v>
      </c>
      <c r="H1140">
        <v>191</v>
      </c>
    </row>
    <row r="1141" spans="1:8" x14ac:dyDescent="0.25">
      <c r="A1141" t="s">
        <v>189</v>
      </c>
      <c r="B1141">
        <v>1</v>
      </c>
      <c r="C1141">
        <v>1</v>
      </c>
      <c r="D1141">
        <v>1</v>
      </c>
      <c r="E1141" t="s">
        <v>5640</v>
      </c>
      <c r="F1141" t="s">
        <v>5640</v>
      </c>
      <c r="G1141" t="s">
        <v>5640</v>
      </c>
      <c r="H1141">
        <v>536</v>
      </c>
    </row>
    <row r="1142" spans="1:8" x14ac:dyDescent="0.25">
      <c r="A1142" t="s">
        <v>1713</v>
      </c>
      <c r="B1142">
        <v>1</v>
      </c>
      <c r="C1142">
        <v>1</v>
      </c>
      <c r="D1142">
        <v>1</v>
      </c>
      <c r="E1142" t="s">
        <v>5641</v>
      </c>
      <c r="F1142" t="s">
        <v>5641</v>
      </c>
      <c r="G1142" t="s">
        <v>5641</v>
      </c>
      <c r="H1142">
        <v>117</v>
      </c>
    </row>
    <row r="1143" spans="1:8" x14ac:dyDescent="0.25">
      <c r="A1143" t="s">
        <v>306</v>
      </c>
      <c r="B1143">
        <v>1</v>
      </c>
      <c r="C1143">
        <v>1</v>
      </c>
      <c r="D1143">
        <v>1</v>
      </c>
      <c r="E1143" t="s">
        <v>5642</v>
      </c>
      <c r="F1143" t="s">
        <v>5642</v>
      </c>
      <c r="G1143" t="s">
        <v>5642</v>
      </c>
      <c r="H1143">
        <v>441</v>
      </c>
    </row>
    <row r="1144" spans="1:8" x14ac:dyDescent="0.25">
      <c r="A1144" t="s">
        <v>417</v>
      </c>
      <c r="B1144">
        <v>1</v>
      </c>
      <c r="C1144">
        <v>1</v>
      </c>
      <c r="D1144">
        <v>1</v>
      </c>
      <c r="E1144" t="s">
        <v>5643</v>
      </c>
      <c r="F1144" t="s">
        <v>5643</v>
      </c>
      <c r="G1144" t="s">
        <v>5643</v>
      </c>
      <c r="H1144">
        <v>373</v>
      </c>
    </row>
    <row r="1145" spans="1:8" x14ac:dyDescent="0.25">
      <c r="A1145" t="s">
        <v>310</v>
      </c>
      <c r="B1145">
        <v>1</v>
      </c>
      <c r="C1145">
        <v>1</v>
      </c>
      <c r="D1145">
        <v>1</v>
      </c>
      <c r="E1145" t="s">
        <v>5644</v>
      </c>
      <c r="F1145" t="s">
        <v>5644</v>
      </c>
      <c r="G1145" t="s">
        <v>5644</v>
      </c>
      <c r="H1145">
        <v>472</v>
      </c>
    </row>
    <row r="1146" spans="1:8" x14ac:dyDescent="0.25">
      <c r="A1146" t="s">
        <v>2160</v>
      </c>
      <c r="B1146">
        <v>1</v>
      </c>
      <c r="C1146">
        <v>1</v>
      </c>
      <c r="D1146">
        <v>1</v>
      </c>
      <c r="E1146" t="s">
        <v>5645</v>
      </c>
      <c r="F1146" t="s">
        <v>5645</v>
      </c>
      <c r="G1146" t="s">
        <v>5645</v>
      </c>
      <c r="H1146">
        <v>48</v>
      </c>
    </row>
    <row r="1147" spans="1:8" x14ac:dyDescent="0.25">
      <c r="A1147" t="s">
        <v>787</v>
      </c>
      <c r="B1147">
        <v>1</v>
      </c>
      <c r="C1147">
        <v>1</v>
      </c>
      <c r="D1147">
        <v>1</v>
      </c>
      <c r="E1147" t="s">
        <v>5646</v>
      </c>
      <c r="F1147" t="s">
        <v>5646</v>
      </c>
      <c r="G1147" t="s">
        <v>5646</v>
      </c>
      <c r="H1147">
        <v>382</v>
      </c>
    </row>
    <row r="1148" spans="1:8" x14ac:dyDescent="0.25">
      <c r="A1148" t="s">
        <v>965</v>
      </c>
      <c r="B1148">
        <v>1</v>
      </c>
      <c r="C1148">
        <v>1</v>
      </c>
      <c r="D1148">
        <v>1</v>
      </c>
      <c r="E1148" t="s">
        <v>5647</v>
      </c>
      <c r="F1148" t="s">
        <v>5647</v>
      </c>
      <c r="G1148" t="s">
        <v>5647</v>
      </c>
      <c r="H1148">
        <v>489</v>
      </c>
    </row>
    <row r="1149" spans="1:8" x14ac:dyDescent="0.25">
      <c r="A1149" t="s">
        <v>139</v>
      </c>
      <c r="B1149">
        <v>2</v>
      </c>
      <c r="C1149">
        <v>2</v>
      </c>
      <c r="D1149">
        <v>2</v>
      </c>
      <c r="E1149" t="s">
        <v>5648</v>
      </c>
      <c r="F1149" t="s">
        <v>5648</v>
      </c>
      <c r="G1149" t="s">
        <v>4256</v>
      </c>
      <c r="H1149">
        <v>1476</v>
      </c>
    </row>
    <row r="1150" spans="1:8" x14ac:dyDescent="0.25">
      <c r="A1150" t="s">
        <v>1246</v>
      </c>
      <c r="B1150">
        <v>1</v>
      </c>
      <c r="C1150">
        <v>1</v>
      </c>
      <c r="D1150">
        <v>1</v>
      </c>
      <c r="E1150" t="s">
        <v>5649</v>
      </c>
      <c r="F1150" t="s">
        <v>5650</v>
      </c>
      <c r="G1150" t="s">
        <v>5650</v>
      </c>
      <c r="H1150">
        <v>103</v>
      </c>
    </row>
    <row r="1151" spans="1:8" x14ac:dyDescent="0.25">
      <c r="A1151" t="s">
        <v>1225</v>
      </c>
      <c r="B1151">
        <v>2</v>
      </c>
      <c r="C1151">
        <v>2</v>
      </c>
      <c r="D1151">
        <v>2</v>
      </c>
      <c r="E1151" t="s">
        <v>5651</v>
      </c>
      <c r="F1151" t="s">
        <v>5652</v>
      </c>
      <c r="G1151" t="s">
        <v>4256</v>
      </c>
      <c r="H1151">
        <v>170</v>
      </c>
    </row>
    <row r="1152" spans="1:8" x14ac:dyDescent="0.25">
      <c r="A1152" t="s">
        <v>1270</v>
      </c>
      <c r="B1152">
        <v>1</v>
      </c>
      <c r="C1152">
        <v>1</v>
      </c>
      <c r="D1152">
        <v>1</v>
      </c>
      <c r="E1152" t="s">
        <v>5653</v>
      </c>
      <c r="F1152" t="s">
        <v>5653</v>
      </c>
      <c r="G1152" t="s">
        <v>5653</v>
      </c>
      <c r="H1152">
        <v>142</v>
      </c>
    </row>
    <row r="1153" spans="1:8" x14ac:dyDescent="0.25">
      <c r="A1153" t="s">
        <v>2047</v>
      </c>
      <c r="B1153">
        <v>1</v>
      </c>
      <c r="C1153">
        <v>1</v>
      </c>
      <c r="D1153">
        <v>1</v>
      </c>
      <c r="E1153" t="s">
        <v>5654</v>
      </c>
      <c r="F1153" t="s">
        <v>5654</v>
      </c>
      <c r="G1153" t="s">
        <v>5654</v>
      </c>
      <c r="H1153">
        <v>90</v>
      </c>
    </row>
    <row r="1154" spans="1:8" x14ac:dyDescent="0.25">
      <c r="A1154" t="s">
        <v>2613</v>
      </c>
      <c r="B1154">
        <v>1</v>
      </c>
      <c r="C1154">
        <v>1</v>
      </c>
      <c r="D1154">
        <v>1</v>
      </c>
      <c r="E1154" t="s">
        <v>5655</v>
      </c>
      <c r="F1154" t="s">
        <v>5655</v>
      </c>
      <c r="G1154" t="s">
        <v>5655</v>
      </c>
      <c r="H1154">
        <v>42</v>
      </c>
    </row>
    <row r="1155" spans="1:8" x14ac:dyDescent="0.25">
      <c r="A1155" t="s">
        <v>1441</v>
      </c>
      <c r="B1155">
        <v>1</v>
      </c>
      <c r="C1155">
        <v>1</v>
      </c>
      <c r="D1155">
        <v>1</v>
      </c>
      <c r="E1155" t="s">
        <v>5656</v>
      </c>
      <c r="F1155" t="s">
        <v>5656</v>
      </c>
      <c r="G1155" t="s">
        <v>5656</v>
      </c>
      <c r="H1155">
        <v>148</v>
      </c>
    </row>
    <row r="1156" spans="1:8" x14ac:dyDescent="0.25">
      <c r="A1156" t="s">
        <v>2104</v>
      </c>
      <c r="B1156">
        <v>1</v>
      </c>
      <c r="C1156">
        <v>1</v>
      </c>
      <c r="D1156">
        <v>1</v>
      </c>
      <c r="E1156" t="s">
        <v>5657</v>
      </c>
      <c r="F1156" t="s">
        <v>5657</v>
      </c>
      <c r="G1156" t="s">
        <v>5657</v>
      </c>
      <c r="H1156">
        <v>82</v>
      </c>
    </row>
    <row r="1157" spans="1:8" x14ac:dyDescent="0.25">
      <c r="A1157" t="s">
        <v>3961</v>
      </c>
      <c r="B1157">
        <v>1</v>
      </c>
      <c r="C1157">
        <v>1</v>
      </c>
      <c r="D1157">
        <v>1</v>
      </c>
      <c r="E1157" t="s">
        <v>5658</v>
      </c>
      <c r="F1157" t="s">
        <v>5659</v>
      </c>
      <c r="G1157" t="s">
        <v>5659</v>
      </c>
      <c r="H1157">
        <v>5</v>
      </c>
    </row>
    <row r="1158" spans="1:8" x14ac:dyDescent="0.25">
      <c r="A1158" t="s">
        <v>563</v>
      </c>
      <c r="B1158">
        <v>1</v>
      </c>
      <c r="C1158">
        <v>1</v>
      </c>
      <c r="D1158">
        <v>1</v>
      </c>
      <c r="E1158" t="s">
        <v>5660</v>
      </c>
      <c r="F1158" t="s">
        <v>5660</v>
      </c>
      <c r="G1158" t="s">
        <v>5660</v>
      </c>
      <c r="H1158">
        <v>213</v>
      </c>
    </row>
    <row r="1159" spans="1:8" x14ac:dyDescent="0.25">
      <c r="A1159" t="s">
        <v>1387</v>
      </c>
      <c r="B1159">
        <v>1</v>
      </c>
      <c r="C1159">
        <v>1</v>
      </c>
      <c r="D1159">
        <v>1</v>
      </c>
      <c r="E1159" t="s">
        <v>5661</v>
      </c>
      <c r="F1159" t="s">
        <v>5661</v>
      </c>
      <c r="G1159" t="s">
        <v>5661</v>
      </c>
      <c r="H1159">
        <v>293</v>
      </c>
    </row>
    <row r="1160" spans="1:8" x14ac:dyDescent="0.25">
      <c r="A1160" t="s">
        <v>1786</v>
      </c>
      <c r="B1160">
        <v>1</v>
      </c>
      <c r="C1160">
        <v>1</v>
      </c>
      <c r="D1160">
        <v>1</v>
      </c>
      <c r="E1160" t="s">
        <v>5662</v>
      </c>
      <c r="F1160" t="s">
        <v>5662</v>
      </c>
      <c r="G1160" t="s">
        <v>5662</v>
      </c>
      <c r="H1160">
        <v>179</v>
      </c>
    </row>
    <row r="1161" spans="1:8" x14ac:dyDescent="0.25">
      <c r="A1161" t="s">
        <v>1795</v>
      </c>
      <c r="B1161">
        <v>1</v>
      </c>
      <c r="C1161">
        <v>1</v>
      </c>
      <c r="D1161">
        <v>1</v>
      </c>
      <c r="E1161" t="s">
        <v>5663</v>
      </c>
      <c r="F1161" t="s">
        <v>5663</v>
      </c>
      <c r="G1161" t="s">
        <v>5663</v>
      </c>
      <c r="H1161">
        <v>195</v>
      </c>
    </row>
    <row r="1162" spans="1:8" x14ac:dyDescent="0.25">
      <c r="A1162" t="s">
        <v>1657</v>
      </c>
      <c r="B1162">
        <v>1</v>
      </c>
      <c r="C1162">
        <v>1</v>
      </c>
      <c r="D1162">
        <v>1</v>
      </c>
      <c r="E1162" t="s">
        <v>5664</v>
      </c>
      <c r="F1162" t="s">
        <v>5664</v>
      </c>
      <c r="G1162" t="s">
        <v>5664</v>
      </c>
      <c r="H1162">
        <v>203</v>
      </c>
    </row>
    <row r="1163" spans="1:8" x14ac:dyDescent="0.25">
      <c r="A1163" t="s">
        <v>793</v>
      </c>
      <c r="B1163">
        <v>1</v>
      </c>
      <c r="C1163">
        <v>1</v>
      </c>
      <c r="D1163">
        <v>1</v>
      </c>
      <c r="E1163" t="s">
        <v>5665</v>
      </c>
      <c r="F1163" t="s">
        <v>5665</v>
      </c>
      <c r="G1163" t="s">
        <v>5665</v>
      </c>
      <c r="H1163">
        <v>418</v>
      </c>
    </row>
    <row r="1164" spans="1:8" x14ac:dyDescent="0.25">
      <c r="A1164" t="s">
        <v>2463</v>
      </c>
      <c r="B1164">
        <v>1</v>
      </c>
      <c r="C1164">
        <v>1</v>
      </c>
      <c r="D1164">
        <v>1</v>
      </c>
      <c r="E1164" t="s">
        <v>5666</v>
      </c>
      <c r="F1164" t="s">
        <v>5666</v>
      </c>
      <c r="G1164" t="s">
        <v>5666</v>
      </c>
      <c r="H1164">
        <v>56</v>
      </c>
    </row>
    <row r="1165" spans="1:8" x14ac:dyDescent="0.25">
      <c r="A1165" t="s">
        <v>1036</v>
      </c>
      <c r="B1165">
        <v>1</v>
      </c>
      <c r="C1165">
        <v>1</v>
      </c>
      <c r="D1165">
        <v>1</v>
      </c>
      <c r="E1165" t="s">
        <v>5667</v>
      </c>
      <c r="F1165" t="s">
        <v>5667</v>
      </c>
      <c r="G1165" t="s">
        <v>5667</v>
      </c>
      <c r="H1165">
        <v>103</v>
      </c>
    </row>
    <row r="1166" spans="1:8" x14ac:dyDescent="0.25">
      <c r="A1166" t="s">
        <v>2319</v>
      </c>
      <c r="B1166">
        <v>1</v>
      </c>
      <c r="C1166">
        <v>1</v>
      </c>
      <c r="D1166">
        <v>1</v>
      </c>
      <c r="E1166" t="s">
        <v>5668</v>
      </c>
      <c r="F1166" t="s">
        <v>5668</v>
      </c>
      <c r="G1166" t="s">
        <v>5668</v>
      </c>
      <c r="H1166">
        <v>68</v>
      </c>
    </row>
    <row r="1167" spans="1:8" x14ac:dyDescent="0.25">
      <c r="A1167" t="s">
        <v>1908</v>
      </c>
      <c r="B1167">
        <v>2</v>
      </c>
      <c r="C1167">
        <v>2</v>
      </c>
      <c r="D1167">
        <v>2</v>
      </c>
      <c r="E1167" t="s">
        <v>5669</v>
      </c>
      <c r="F1167" t="s">
        <v>5669</v>
      </c>
      <c r="G1167" t="s">
        <v>4256</v>
      </c>
      <c r="H1167">
        <v>85</v>
      </c>
    </row>
    <row r="1168" spans="1:8" x14ac:dyDescent="0.25">
      <c r="A1168" t="s">
        <v>3957</v>
      </c>
      <c r="B1168">
        <v>1</v>
      </c>
      <c r="C1168">
        <v>1</v>
      </c>
      <c r="D1168">
        <v>1</v>
      </c>
      <c r="E1168" t="s">
        <v>5670</v>
      </c>
      <c r="F1168" t="s">
        <v>5670</v>
      </c>
      <c r="G1168" t="s">
        <v>5670</v>
      </c>
      <c r="H1168">
        <v>2</v>
      </c>
    </row>
    <row r="1169" spans="1:8" x14ac:dyDescent="0.25">
      <c r="A1169" t="s">
        <v>743</v>
      </c>
      <c r="B1169">
        <v>2</v>
      </c>
      <c r="C1169">
        <v>2</v>
      </c>
      <c r="D1169">
        <v>2</v>
      </c>
      <c r="E1169" t="s">
        <v>5671</v>
      </c>
      <c r="F1169" t="s">
        <v>5672</v>
      </c>
      <c r="G1169" t="s">
        <v>4256</v>
      </c>
      <c r="H1169">
        <v>561</v>
      </c>
    </row>
    <row r="1170" spans="1:8" x14ac:dyDescent="0.25">
      <c r="A1170" t="s">
        <v>1253</v>
      </c>
      <c r="B1170">
        <v>1</v>
      </c>
      <c r="C1170">
        <v>1</v>
      </c>
      <c r="D1170">
        <v>1</v>
      </c>
      <c r="E1170" t="s">
        <v>5673</v>
      </c>
      <c r="F1170" t="s">
        <v>5673</v>
      </c>
      <c r="G1170" t="s">
        <v>5673</v>
      </c>
      <c r="H1170">
        <v>96</v>
      </c>
    </row>
    <row r="1171" spans="1:8" x14ac:dyDescent="0.25">
      <c r="A1171" t="s">
        <v>1682</v>
      </c>
      <c r="B1171">
        <v>1</v>
      </c>
      <c r="C1171">
        <v>1</v>
      </c>
      <c r="D1171">
        <v>1</v>
      </c>
      <c r="E1171" t="s">
        <v>5674</v>
      </c>
      <c r="F1171" t="s">
        <v>5674</v>
      </c>
      <c r="G1171" t="s">
        <v>5674</v>
      </c>
      <c r="H1171">
        <v>53</v>
      </c>
    </row>
    <row r="1172" spans="1:8" x14ac:dyDescent="0.25">
      <c r="A1172" t="s">
        <v>764</v>
      </c>
      <c r="B1172">
        <v>1</v>
      </c>
      <c r="C1172">
        <v>1</v>
      </c>
      <c r="D1172">
        <v>1</v>
      </c>
      <c r="E1172" t="s">
        <v>5675</v>
      </c>
      <c r="F1172" t="s">
        <v>5675</v>
      </c>
      <c r="G1172" t="s">
        <v>5675</v>
      </c>
      <c r="H1172">
        <v>222</v>
      </c>
    </row>
    <row r="1173" spans="1:8" x14ac:dyDescent="0.25">
      <c r="A1173" t="s">
        <v>1268</v>
      </c>
      <c r="B1173">
        <v>1</v>
      </c>
      <c r="C1173">
        <v>1</v>
      </c>
      <c r="D1173">
        <v>1</v>
      </c>
      <c r="E1173" t="s">
        <v>5676</v>
      </c>
      <c r="F1173" t="s">
        <v>5676</v>
      </c>
      <c r="G1173" t="s">
        <v>5676</v>
      </c>
      <c r="H1173">
        <v>79</v>
      </c>
    </row>
    <row r="1174" spans="1:8" x14ac:dyDescent="0.25">
      <c r="A1174" t="s">
        <v>961</v>
      </c>
      <c r="B1174">
        <v>1</v>
      </c>
      <c r="C1174">
        <v>1</v>
      </c>
      <c r="D1174">
        <v>1</v>
      </c>
      <c r="E1174" t="s">
        <v>5677</v>
      </c>
      <c r="F1174" t="s">
        <v>5677</v>
      </c>
      <c r="G1174" t="s">
        <v>5677</v>
      </c>
      <c r="H1174">
        <v>168</v>
      </c>
    </row>
    <row r="1175" spans="1:8" x14ac:dyDescent="0.25">
      <c r="A1175" t="s">
        <v>1312</v>
      </c>
      <c r="B1175">
        <v>1</v>
      </c>
      <c r="C1175">
        <v>1</v>
      </c>
      <c r="D1175">
        <v>1</v>
      </c>
      <c r="E1175" t="s">
        <v>5678</v>
      </c>
      <c r="F1175" t="s">
        <v>5679</v>
      </c>
      <c r="G1175" t="s">
        <v>5679</v>
      </c>
      <c r="H1175">
        <v>303</v>
      </c>
    </row>
    <row r="1176" spans="1:8" x14ac:dyDescent="0.25">
      <c r="A1176" t="s">
        <v>1960</v>
      </c>
      <c r="B1176">
        <v>1</v>
      </c>
      <c r="C1176">
        <v>1</v>
      </c>
      <c r="D1176">
        <v>1</v>
      </c>
      <c r="E1176" t="s">
        <v>5680</v>
      </c>
      <c r="F1176" t="s">
        <v>5681</v>
      </c>
      <c r="G1176" t="s">
        <v>5681</v>
      </c>
      <c r="H1176">
        <v>149</v>
      </c>
    </row>
    <row r="1177" spans="1:8" x14ac:dyDescent="0.25">
      <c r="A1177" t="s">
        <v>2437</v>
      </c>
      <c r="B1177">
        <v>1</v>
      </c>
      <c r="C1177">
        <v>1</v>
      </c>
      <c r="D1177">
        <v>1</v>
      </c>
      <c r="E1177" t="s">
        <v>5682</v>
      </c>
      <c r="F1177" t="s">
        <v>5683</v>
      </c>
      <c r="G1177" t="s">
        <v>5683</v>
      </c>
      <c r="H1177">
        <v>104</v>
      </c>
    </row>
    <row r="1178" spans="1:8" x14ac:dyDescent="0.25">
      <c r="A1178" t="s">
        <v>2367</v>
      </c>
      <c r="B1178">
        <v>1</v>
      </c>
      <c r="C1178">
        <v>1</v>
      </c>
      <c r="D1178">
        <v>1</v>
      </c>
      <c r="E1178" t="s">
        <v>5684</v>
      </c>
      <c r="F1178" t="s">
        <v>5684</v>
      </c>
      <c r="G1178" t="s">
        <v>5684</v>
      </c>
      <c r="H1178">
        <v>108</v>
      </c>
    </row>
    <row r="1179" spans="1:8" x14ac:dyDescent="0.25">
      <c r="A1179" t="s">
        <v>1736</v>
      </c>
      <c r="B1179">
        <v>1</v>
      </c>
      <c r="C1179">
        <v>1</v>
      </c>
      <c r="D1179">
        <v>1</v>
      </c>
      <c r="E1179" t="s">
        <v>5685</v>
      </c>
      <c r="F1179" t="s">
        <v>5685</v>
      </c>
      <c r="G1179" t="s">
        <v>5685</v>
      </c>
      <c r="H1179">
        <v>158</v>
      </c>
    </row>
    <row r="1180" spans="1:8" x14ac:dyDescent="0.25">
      <c r="A1180" t="s">
        <v>2190</v>
      </c>
      <c r="B1180">
        <v>1</v>
      </c>
      <c r="C1180">
        <v>1</v>
      </c>
      <c r="D1180">
        <v>1</v>
      </c>
      <c r="E1180" t="s">
        <v>5686</v>
      </c>
      <c r="F1180" t="s">
        <v>5686</v>
      </c>
      <c r="G1180" t="s">
        <v>5686</v>
      </c>
      <c r="H1180">
        <v>88</v>
      </c>
    </row>
    <row r="1181" spans="1:8" x14ac:dyDescent="0.25">
      <c r="A1181" t="s">
        <v>2185</v>
      </c>
      <c r="B1181">
        <v>1</v>
      </c>
      <c r="C1181">
        <v>1</v>
      </c>
      <c r="D1181">
        <v>1</v>
      </c>
      <c r="E1181" t="s">
        <v>5687</v>
      </c>
      <c r="F1181" t="s">
        <v>5687</v>
      </c>
      <c r="G1181" t="s">
        <v>5687</v>
      </c>
      <c r="H1181">
        <v>113</v>
      </c>
    </row>
    <row r="1182" spans="1:8" x14ac:dyDescent="0.25">
      <c r="A1182" t="s">
        <v>807</v>
      </c>
      <c r="B1182">
        <v>1</v>
      </c>
      <c r="C1182">
        <v>1</v>
      </c>
      <c r="D1182">
        <v>1</v>
      </c>
      <c r="E1182" t="s">
        <v>5688</v>
      </c>
      <c r="F1182" t="s">
        <v>5688</v>
      </c>
      <c r="G1182" t="s">
        <v>5688</v>
      </c>
      <c r="H1182">
        <v>99</v>
      </c>
    </row>
    <row r="1183" spans="1:8" x14ac:dyDescent="0.25">
      <c r="A1183" t="s">
        <v>1002</v>
      </c>
      <c r="B1183">
        <v>1</v>
      </c>
      <c r="C1183">
        <v>1</v>
      </c>
      <c r="D1183">
        <v>1</v>
      </c>
      <c r="E1183" t="s">
        <v>5689</v>
      </c>
      <c r="F1183" t="s">
        <v>5689</v>
      </c>
      <c r="G1183" t="s">
        <v>5689</v>
      </c>
      <c r="H1183">
        <v>247</v>
      </c>
    </row>
    <row r="1184" spans="1:8" x14ac:dyDescent="0.25">
      <c r="A1184" t="s">
        <v>1769</v>
      </c>
      <c r="B1184">
        <v>1</v>
      </c>
      <c r="C1184">
        <v>1</v>
      </c>
      <c r="D1184">
        <v>1</v>
      </c>
      <c r="E1184" t="s">
        <v>5690</v>
      </c>
      <c r="F1184" t="s">
        <v>5690</v>
      </c>
      <c r="G1184" t="s">
        <v>5690</v>
      </c>
      <c r="H1184">
        <v>40</v>
      </c>
    </row>
    <row r="1185" spans="1:8" x14ac:dyDescent="0.25">
      <c r="A1185" t="s">
        <v>661</v>
      </c>
      <c r="B1185">
        <v>1</v>
      </c>
      <c r="C1185">
        <v>1</v>
      </c>
      <c r="D1185">
        <v>1</v>
      </c>
      <c r="E1185" t="s">
        <v>5691</v>
      </c>
      <c r="F1185" t="s">
        <v>5691</v>
      </c>
      <c r="G1185" t="s">
        <v>5691</v>
      </c>
      <c r="H1185">
        <v>137</v>
      </c>
    </row>
    <row r="1186" spans="1:8" x14ac:dyDescent="0.25">
      <c r="A1186" t="s">
        <v>871</v>
      </c>
      <c r="B1186">
        <v>1</v>
      </c>
      <c r="C1186">
        <v>1</v>
      </c>
      <c r="D1186">
        <v>1</v>
      </c>
      <c r="E1186" t="s">
        <v>5692</v>
      </c>
      <c r="F1186" t="s">
        <v>5692</v>
      </c>
      <c r="G1186" t="s">
        <v>5692</v>
      </c>
      <c r="H1186">
        <v>171</v>
      </c>
    </row>
    <row r="1187" spans="1:8" x14ac:dyDescent="0.25">
      <c r="A1187" t="s">
        <v>1698</v>
      </c>
      <c r="B1187">
        <v>1</v>
      </c>
      <c r="C1187">
        <v>1</v>
      </c>
      <c r="D1187">
        <v>1</v>
      </c>
      <c r="E1187" t="s">
        <v>5693</v>
      </c>
      <c r="F1187" t="s">
        <v>5693</v>
      </c>
      <c r="G1187" t="s">
        <v>5693</v>
      </c>
      <c r="H1187">
        <v>104</v>
      </c>
    </row>
    <row r="1188" spans="1:8" x14ac:dyDescent="0.25">
      <c r="A1188" t="s">
        <v>1793</v>
      </c>
      <c r="B1188">
        <v>2</v>
      </c>
      <c r="C1188">
        <v>2</v>
      </c>
      <c r="D1188">
        <v>2</v>
      </c>
      <c r="E1188" t="s">
        <v>5694</v>
      </c>
      <c r="F1188" t="s">
        <v>5695</v>
      </c>
      <c r="G1188" t="s">
        <v>4256</v>
      </c>
      <c r="H1188">
        <v>91</v>
      </c>
    </row>
    <row r="1189" spans="1:8" x14ac:dyDescent="0.25">
      <c r="A1189" t="s">
        <v>2204</v>
      </c>
      <c r="B1189">
        <v>1</v>
      </c>
      <c r="C1189">
        <v>1</v>
      </c>
      <c r="D1189">
        <v>1</v>
      </c>
      <c r="E1189" t="s">
        <v>5696</v>
      </c>
      <c r="F1189" t="s">
        <v>5696</v>
      </c>
      <c r="G1189" t="s">
        <v>5696</v>
      </c>
      <c r="H1189">
        <v>118</v>
      </c>
    </row>
    <row r="1190" spans="1:8" x14ac:dyDescent="0.25">
      <c r="A1190" t="s">
        <v>2306</v>
      </c>
      <c r="B1190">
        <v>1</v>
      </c>
      <c r="C1190">
        <v>1</v>
      </c>
      <c r="D1190">
        <v>1</v>
      </c>
      <c r="E1190" t="s">
        <v>5697</v>
      </c>
      <c r="F1190" t="s">
        <v>5697</v>
      </c>
      <c r="G1190" t="s">
        <v>5697</v>
      </c>
      <c r="H1190">
        <v>114</v>
      </c>
    </row>
    <row r="1191" spans="1:8" x14ac:dyDescent="0.25">
      <c r="A1191" t="s">
        <v>1914</v>
      </c>
      <c r="B1191">
        <v>1</v>
      </c>
      <c r="C1191">
        <v>1</v>
      </c>
      <c r="D1191">
        <v>1</v>
      </c>
      <c r="E1191" t="s">
        <v>5698</v>
      </c>
      <c r="F1191" t="s">
        <v>5698</v>
      </c>
      <c r="G1191" t="s">
        <v>5698</v>
      </c>
      <c r="H1191">
        <v>157</v>
      </c>
    </row>
    <row r="1192" spans="1:8" x14ac:dyDescent="0.25">
      <c r="A1192" t="s">
        <v>2023</v>
      </c>
      <c r="B1192">
        <v>1</v>
      </c>
      <c r="C1192">
        <v>1</v>
      </c>
      <c r="D1192">
        <v>1</v>
      </c>
      <c r="E1192" t="s">
        <v>5699</v>
      </c>
      <c r="F1192" t="s">
        <v>5699</v>
      </c>
      <c r="G1192" t="s">
        <v>5699</v>
      </c>
      <c r="H1192">
        <v>150</v>
      </c>
    </row>
    <row r="1193" spans="1:8" x14ac:dyDescent="0.25">
      <c r="A1193" t="s">
        <v>1857</v>
      </c>
      <c r="B1193">
        <v>1</v>
      </c>
      <c r="C1193">
        <v>1</v>
      </c>
      <c r="D1193">
        <v>1</v>
      </c>
      <c r="E1193" t="s">
        <v>5700</v>
      </c>
      <c r="F1193" t="s">
        <v>5700</v>
      </c>
      <c r="G1193" t="s">
        <v>5700</v>
      </c>
      <c r="H1193">
        <v>143</v>
      </c>
    </row>
    <row r="1194" spans="1:8" x14ac:dyDescent="0.25">
      <c r="A1194" t="s">
        <v>1974</v>
      </c>
      <c r="B1194">
        <v>1</v>
      </c>
      <c r="C1194">
        <v>1</v>
      </c>
      <c r="D1194">
        <v>1</v>
      </c>
      <c r="E1194" t="s">
        <v>5701</v>
      </c>
      <c r="F1194" t="s">
        <v>5701</v>
      </c>
      <c r="G1194" t="s">
        <v>5701</v>
      </c>
      <c r="H1194">
        <v>72</v>
      </c>
    </row>
    <row r="1195" spans="1:8" x14ac:dyDescent="0.25">
      <c r="A1195" t="s">
        <v>1904</v>
      </c>
      <c r="B1195">
        <v>1</v>
      </c>
      <c r="C1195">
        <v>1</v>
      </c>
      <c r="D1195">
        <v>1</v>
      </c>
      <c r="E1195" t="s">
        <v>5702</v>
      </c>
      <c r="F1195" t="s">
        <v>5702</v>
      </c>
      <c r="G1195" t="s">
        <v>5702</v>
      </c>
      <c r="H1195">
        <v>61</v>
      </c>
    </row>
    <row r="1196" spans="1:8" x14ac:dyDescent="0.25">
      <c r="A1196" t="s">
        <v>2192</v>
      </c>
      <c r="B1196">
        <v>1</v>
      </c>
      <c r="C1196">
        <v>1</v>
      </c>
      <c r="D1196">
        <v>1</v>
      </c>
      <c r="E1196" t="s">
        <v>5703</v>
      </c>
      <c r="F1196" t="s">
        <v>5703</v>
      </c>
      <c r="G1196" t="s">
        <v>5703</v>
      </c>
      <c r="H1196">
        <v>77</v>
      </c>
    </row>
    <row r="1197" spans="1:8" x14ac:dyDescent="0.25">
      <c r="A1197" t="s">
        <v>2493</v>
      </c>
      <c r="B1197">
        <v>1</v>
      </c>
      <c r="C1197">
        <v>1</v>
      </c>
      <c r="D1197">
        <v>1</v>
      </c>
      <c r="E1197" t="s">
        <v>5704</v>
      </c>
      <c r="F1197" t="s">
        <v>5704</v>
      </c>
      <c r="G1197" t="s">
        <v>5704</v>
      </c>
      <c r="H1197">
        <v>56</v>
      </c>
    </row>
    <row r="1198" spans="1:8" x14ac:dyDescent="0.25">
      <c r="A1198" t="s">
        <v>2678</v>
      </c>
      <c r="B1198">
        <v>1</v>
      </c>
      <c r="C1198">
        <v>1</v>
      </c>
      <c r="D1198">
        <v>1</v>
      </c>
      <c r="E1198" t="s">
        <v>5705</v>
      </c>
      <c r="F1198" t="s">
        <v>5705</v>
      </c>
      <c r="G1198" t="s">
        <v>5705</v>
      </c>
      <c r="H1198">
        <v>44</v>
      </c>
    </row>
    <row r="1199" spans="1:8" x14ac:dyDescent="0.25">
      <c r="A1199" t="s">
        <v>2011</v>
      </c>
      <c r="B1199">
        <v>1</v>
      </c>
      <c r="C1199">
        <v>1</v>
      </c>
      <c r="D1199">
        <v>1</v>
      </c>
      <c r="E1199" t="s">
        <v>5706</v>
      </c>
      <c r="F1199" t="s">
        <v>5706</v>
      </c>
      <c r="G1199" t="s">
        <v>5706</v>
      </c>
      <c r="H1199">
        <v>79</v>
      </c>
    </row>
    <row r="1200" spans="1:8" x14ac:dyDescent="0.25">
      <c r="A1200" t="s">
        <v>2589</v>
      </c>
      <c r="B1200">
        <v>1</v>
      </c>
      <c r="C1200">
        <v>1</v>
      </c>
      <c r="D1200">
        <v>1</v>
      </c>
      <c r="E1200" t="s">
        <v>5707</v>
      </c>
      <c r="F1200" t="s">
        <v>5707</v>
      </c>
      <c r="G1200" t="s">
        <v>5707</v>
      </c>
      <c r="H1200">
        <v>45</v>
      </c>
    </row>
    <row r="1201" spans="1:8" x14ac:dyDescent="0.25">
      <c r="A1201" t="s">
        <v>2224</v>
      </c>
      <c r="B1201">
        <v>1</v>
      </c>
      <c r="C1201">
        <v>1</v>
      </c>
      <c r="D1201">
        <v>1</v>
      </c>
      <c r="E1201" t="s">
        <v>5708</v>
      </c>
      <c r="F1201" t="s">
        <v>5709</v>
      </c>
      <c r="G1201" t="s">
        <v>5709</v>
      </c>
      <c r="H1201">
        <v>108</v>
      </c>
    </row>
    <row r="1202" spans="1:8" x14ac:dyDescent="0.25">
      <c r="A1202" t="s">
        <v>2276</v>
      </c>
      <c r="B1202">
        <v>1</v>
      </c>
      <c r="C1202">
        <v>1</v>
      </c>
      <c r="D1202">
        <v>1</v>
      </c>
      <c r="E1202" t="s">
        <v>5710</v>
      </c>
      <c r="F1202" t="s">
        <v>5711</v>
      </c>
      <c r="G1202" t="s">
        <v>5711</v>
      </c>
      <c r="H1202">
        <v>117</v>
      </c>
    </row>
    <row r="1203" spans="1:8" x14ac:dyDescent="0.25">
      <c r="A1203" t="s">
        <v>1799</v>
      </c>
      <c r="B1203">
        <v>1</v>
      </c>
      <c r="C1203">
        <v>1</v>
      </c>
      <c r="D1203">
        <v>1</v>
      </c>
      <c r="E1203" t="s">
        <v>5712</v>
      </c>
      <c r="F1203" t="s">
        <v>5712</v>
      </c>
      <c r="G1203" t="s">
        <v>5712</v>
      </c>
      <c r="H1203">
        <v>146</v>
      </c>
    </row>
    <row r="1204" spans="1:8" x14ac:dyDescent="0.25">
      <c r="A1204" t="s">
        <v>2857</v>
      </c>
      <c r="B1204">
        <v>1</v>
      </c>
      <c r="C1204">
        <v>1</v>
      </c>
      <c r="D1204">
        <v>1</v>
      </c>
      <c r="E1204" t="s">
        <v>5713</v>
      </c>
      <c r="F1204" t="s">
        <v>5714</v>
      </c>
      <c r="G1204" t="s">
        <v>5714</v>
      </c>
      <c r="H1204">
        <v>55</v>
      </c>
    </row>
    <row r="1205" spans="1:8" x14ac:dyDescent="0.25">
      <c r="A1205" t="s">
        <v>2017</v>
      </c>
      <c r="B1205">
        <v>1</v>
      </c>
      <c r="C1205">
        <v>1</v>
      </c>
      <c r="D1205">
        <v>1</v>
      </c>
      <c r="E1205" t="s">
        <v>5715</v>
      </c>
      <c r="F1205" t="s">
        <v>5716</v>
      </c>
      <c r="G1205" t="s">
        <v>5716</v>
      </c>
      <c r="H1205">
        <v>100</v>
      </c>
    </row>
    <row r="1206" spans="1:8" x14ac:dyDescent="0.25">
      <c r="A1206" t="s">
        <v>2534</v>
      </c>
      <c r="B1206">
        <v>1</v>
      </c>
      <c r="C1206">
        <v>1</v>
      </c>
      <c r="D1206">
        <v>1</v>
      </c>
      <c r="E1206" t="s">
        <v>5717</v>
      </c>
      <c r="F1206" t="s">
        <v>5717</v>
      </c>
      <c r="G1206" t="s">
        <v>5717</v>
      </c>
      <c r="H1206">
        <v>71</v>
      </c>
    </row>
    <row r="1207" spans="1:8" x14ac:dyDescent="0.25">
      <c r="A1207" t="s">
        <v>2198</v>
      </c>
      <c r="B1207">
        <v>1</v>
      </c>
      <c r="C1207">
        <v>1</v>
      </c>
      <c r="D1207">
        <v>1</v>
      </c>
      <c r="E1207" t="s">
        <v>5718</v>
      </c>
      <c r="F1207" t="s">
        <v>5718</v>
      </c>
      <c r="G1207" t="s">
        <v>5718</v>
      </c>
      <c r="H1207">
        <v>100</v>
      </c>
    </row>
    <row r="1208" spans="1:8" x14ac:dyDescent="0.25">
      <c r="A1208" t="s">
        <v>2096</v>
      </c>
      <c r="B1208">
        <v>1</v>
      </c>
      <c r="C1208">
        <v>1</v>
      </c>
      <c r="D1208">
        <v>1</v>
      </c>
      <c r="E1208" t="s">
        <v>5719</v>
      </c>
      <c r="F1208" t="s">
        <v>5720</v>
      </c>
      <c r="G1208" t="s">
        <v>5720</v>
      </c>
      <c r="H1208">
        <v>85</v>
      </c>
    </row>
    <row r="1209" spans="1:8" x14ac:dyDescent="0.25">
      <c r="A1209" t="s">
        <v>1932</v>
      </c>
      <c r="B1209">
        <v>3</v>
      </c>
      <c r="C1209">
        <v>3</v>
      </c>
      <c r="D1209">
        <v>3</v>
      </c>
      <c r="E1209" t="s">
        <v>5721</v>
      </c>
      <c r="F1209" t="s">
        <v>5721</v>
      </c>
      <c r="G1209" t="s">
        <v>4256</v>
      </c>
      <c r="H1209">
        <v>168</v>
      </c>
    </row>
    <row r="1210" spans="1:8" x14ac:dyDescent="0.25">
      <c r="A1210" t="s">
        <v>2164</v>
      </c>
      <c r="B1210">
        <v>1</v>
      </c>
      <c r="C1210">
        <v>1</v>
      </c>
      <c r="D1210">
        <v>1</v>
      </c>
      <c r="E1210" t="s">
        <v>5722</v>
      </c>
      <c r="F1210" t="s">
        <v>5722</v>
      </c>
      <c r="G1210" t="s">
        <v>5722</v>
      </c>
      <c r="H1210">
        <v>127</v>
      </c>
    </row>
    <row r="1211" spans="1:8" x14ac:dyDescent="0.25">
      <c r="A1211" t="s">
        <v>1809</v>
      </c>
      <c r="B1211">
        <v>1</v>
      </c>
      <c r="C1211">
        <v>1</v>
      </c>
      <c r="D1211">
        <v>1</v>
      </c>
      <c r="E1211" t="s">
        <v>5723</v>
      </c>
      <c r="F1211" t="s">
        <v>5723</v>
      </c>
      <c r="G1211" t="s">
        <v>5723</v>
      </c>
      <c r="H1211">
        <v>59</v>
      </c>
    </row>
    <row r="1212" spans="1:8" x14ac:dyDescent="0.25">
      <c r="A1212" t="s">
        <v>633</v>
      </c>
      <c r="B1212">
        <v>2</v>
      </c>
      <c r="C1212">
        <v>2</v>
      </c>
      <c r="D1212">
        <v>2</v>
      </c>
      <c r="E1212" t="s">
        <v>5724</v>
      </c>
      <c r="F1212" t="s">
        <v>5724</v>
      </c>
      <c r="G1212" t="s">
        <v>4256</v>
      </c>
      <c r="H1212">
        <v>311</v>
      </c>
    </row>
    <row r="1213" spans="1:8" x14ac:dyDescent="0.25">
      <c r="A1213" t="s">
        <v>2245</v>
      </c>
      <c r="B1213">
        <v>2</v>
      </c>
      <c r="C1213">
        <v>2</v>
      </c>
      <c r="D1213">
        <v>2</v>
      </c>
      <c r="E1213" t="s">
        <v>5725</v>
      </c>
      <c r="F1213" t="s">
        <v>5725</v>
      </c>
      <c r="G1213" t="s">
        <v>4256</v>
      </c>
      <c r="H1213">
        <v>53</v>
      </c>
    </row>
    <row r="1214" spans="1:8" x14ac:dyDescent="0.25">
      <c r="A1214" t="s">
        <v>305</v>
      </c>
      <c r="B1214">
        <v>1</v>
      </c>
      <c r="C1214">
        <v>1</v>
      </c>
      <c r="D1214">
        <v>1</v>
      </c>
      <c r="E1214" t="s">
        <v>5726</v>
      </c>
      <c r="F1214" t="s">
        <v>5726</v>
      </c>
      <c r="G1214" t="s">
        <v>5726</v>
      </c>
      <c r="H1214">
        <v>344</v>
      </c>
    </row>
    <row r="1215" spans="1:8" x14ac:dyDescent="0.25">
      <c r="A1215" t="s">
        <v>754</v>
      </c>
      <c r="B1215">
        <v>1</v>
      </c>
      <c r="C1215">
        <v>1</v>
      </c>
      <c r="D1215">
        <v>1</v>
      </c>
      <c r="E1215" t="s">
        <v>5727</v>
      </c>
      <c r="F1215" t="s">
        <v>5727</v>
      </c>
      <c r="G1215" t="s">
        <v>5727</v>
      </c>
      <c r="H1215">
        <v>276</v>
      </c>
    </row>
    <row r="1216" spans="1:8" x14ac:dyDescent="0.25">
      <c r="A1216" t="s">
        <v>2305</v>
      </c>
      <c r="B1216">
        <v>1</v>
      </c>
      <c r="C1216">
        <v>1</v>
      </c>
      <c r="D1216">
        <v>1</v>
      </c>
      <c r="E1216" t="s">
        <v>5728</v>
      </c>
      <c r="F1216" t="s">
        <v>5728</v>
      </c>
      <c r="G1216" t="s">
        <v>5728</v>
      </c>
      <c r="H1216">
        <v>1</v>
      </c>
    </row>
    <row r="1217" spans="1:8" x14ac:dyDescent="0.25">
      <c r="A1217" t="s">
        <v>1903</v>
      </c>
      <c r="B1217">
        <v>1</v>
      </c>
      <c r="C1217">
        <v>1</v>
      </c>
      <c r="D1217">
        <v>1</v>
      </c>
      <c r="E1217" t="s">
        <v>5729</v>
      </c>
      <c r="F1217" t="s">
        <v>5729</v>
      </c>
      <c r="G1217" t="s">
        <v>5729</v>
      </c>
      <c r="H1217">
        <v>88</v>
      </c>
    </row>
    <row r="1218" spans="1:8" x14ac:dyDescent="0.25">
      <c r="A1218" t="s">
        <v>1848</v>
      </c>
      <c r="B1218">
        <v>1</v>
      </c>
      <c r="C1218">
        <v>1</v>
      </c>
      <c r="D1218">
        <v>1</v>
      </c>
      <c r="E1218" t="s">
        <v>5730</v>
      </c>
      <c r="F1218" t="s">
        <v>5730</v>
      </c>
      <c r="G1218" t="s">
        <v>5730</v>
      </c>
      <c r="H1218">
        <v>100</v>
      </c>
    </row>
    <row r="1219" spans="1:8" x14ac:dyDescent="0.25">
      <c r="A1219" t="s">
        <v>980</v>
      </c>
      <c r="B1219">
        <v>1</v>
      </c>
      <c r="C1219">
        <v>1</v>
      </c>
      <c r="D1219">
        <v>1</v>
      </c>
      <c r="E1219" t="s">
        <v>5731</v>
      </c>
      <c r="F1219" t="s">
        <v>5731</v>
      </c>
      <c r="G1219" t="s">
        <v>5731</v>
      </c>
      <c r="H1219">
        <v>186</v>
      </c>
    </row>
    <row r="1220" spans="1:8" x14ac:dyDescent="0.25">
      <c r="A1220" t="s">
        <v>1754</v>
      </c>
      <c r="B1220">
        <v>1</v>
      </c>
      <c r="C1220">
        <v>1</v>
      </c>
      <c r="D1220">
        <v>1</v>
      </c>
      <c r="E1220" t="s">
        <v>5732</v>
      </c>
      <c r="F1220" t="s">
        <v>5732</v>
      </c>
      <c r="G1220" t="s">
        <v>5732</v>
      </c>
      <c r="H1220">
        <v>134</v>
      </c>
    </row>
    <row r="1221" spans="1:8" x14ac:dyDescent="0.25">
      <c r="A1221" t="s">
        <v>2321</v>
      </c>
      <c r="B1221">
        <v>1</v>
      </c>
      <c r="C1221">
        <v>1</v>
      </c>
      <c r="D1221">
        <v>1</v>
      </c>
      <c r="E1221" t="s">
        <v>5733</v>
      </c>
      <c r="F1221" t="s">
        <v>5733</v>
      </c>
      <c r="G1221" t="s">
        <v>5733</v>
      </c>
      <c r="H1221">
        <v>97</v>
      </c>
    </row>
    <row r="1222" spans="1:8" x14ac:dyDescent="0.25">
      <c r="A1222" t="s">
        <v>1813</v>
      </c>
      <c r="B1222">
        <v>1</v>
      </c>
      <c r="C1222">
        <v>1</v>
      </c>
      <c r="D1222">
        <v>1</v>
      </c>
      <c r="E1222" t="s">
        <v>5734</v>
      </c>
      <c r="F1222" t="s">
        <v>5734</v>
      </c>
      <c r="G1222" t="s">
        <v>5734</v>
      </c>
      <c r="H1222">
        <v>64</v>
      </c>
    </row>
    <row r="1223" spans="1:8" x14ac:dyDescent="0.25">
      <c r="A1223" t="s">
        <v>1061</v>
      </c>
      <c r="B1223">
        <v>1</v>
      </c>
      <c r="C1223">
        <v>1</v>
      </c>
      <c r="D1223">
        <v>1</v>
      </c>
      <c r="E1223" t="s">
        <v>5735</v>
      </c>
      <c r="F1223" t="s">
        <v>5735</v>
      </c>
      <c r="G1223" t="s">
        <v>5735</v>
      </c>
      <c r="H1223">
        <v>100</v>
      </c>
    </row>
    <row r="1224" spans="1:8" x14ac:dyDescent="0.25">
      <c r="A1224" t="s">
        <v>973</v>
      </c>
      <c r="B1224">
        <v>1</v>
      </c>
      <c r="C1224">
        <v>1</v>
      </c>
      <c r="D1224">
        <v>1</v>
      </c>
      <c r="E1224" t="s">
        <v>5736</v>
      </c>
      <c r="F1224" t="s">
        <v>5736</v>
      </c>
      <c r="G1224" t="s">
        <v>5736</v>
      </c>
      <c r="H1224">
        <v>158</v>
      </c>
    </row>
    <row r="1225" spans="1:8" x14ac:dyDescent="0.25">
      <c r="A1225" t="s">
        <v>1346</v>
      </c>
      <c r="B1225">
        <v>1</v>
      </c>
      <c r="C1225">
        <v>1</v>
      </c>
      <c r="D1225">
        <v>1</v>
      </c>
      <c r="E1225" t="s">
        <v>5737</v>
      </c>
      <c r="F1225" t="s">
        <v>5737</v>
      </c>
      <c r="G1225" t="s">
        <v>5737</v>
      </c>
      <c r="H1225">
        <v>138</v>
      </c>
    </row>
    <row r="1226" spans="1:8" x14ac:dyDescent="0.25">
      <c r="A1226" t="s">
        <v>1430</v>
      </c>
      <c r="B1226">
        <v>2</v>
      </c>
      <c r="C1226">
        <v>2</v>
      </c>
      <c r="D1226">
        <v>2</v>
      </c>
      <c r="E1226" t="s">
        <v>5738</v>
      </c>
      <c r="F1226" t="s">
        <v>5738</v>
      </c>
      <c r="G1226" t="s">
        <v>4256</v>
      </c>
      <c r="H1226">
        <v>124</v>
      </c>
    </row>
    <row r="1227" spans="1:8" x14ac:dyDescent="0.25">
      <c r="A1227" t="s">
        <v>1704</v>
      </c>
      <c r="B1227">
        <v>3</v>
      </c>
      <c r="C1227">
        <v>3</v>
      </c>
      <c r="D1227">
        <v>3</v>
      </c>
      <c r="E1227" t="s">
        <v>5739</v>
      </c>
      <c r="F1227" t="s">
        <v>5740</v>
      </c>
      <c r="G1227" t="s">
        <v>4256</v>
      </c>
      <c r="H1227">
        <v>119</v>
      </c>
    </row>
    <row r="1228" spans="1:8" x14ac:dyDescent="0.25">
      <c r="A1228" t="s">
        <v>2039</v>
      </c>
      <c r="B1228">
        <v>2</v>
      </c>
      <c r="C1228">
        <v>2</v>
      </c>
      <c r="D1228">
        <v>2</v>
      </c>
      <c r="E1228" t="s">
        <v>5741</v>
      </c>
      <c r="F1228" t="s">
        <v>5742</v>
      </c>
      <c r="G1228" t="s">
        <v>4256</v>
      </c>
      <c r="H1228">
        <v>83</v>
      </c>
    </row>
    <row r="1229" spans="1:8" x14ac:dyDescent="0.25">
      <c r="A1229" t="s">
        <v>2174</v>
      </c>
      <c r="B1229">
        <v>1</v>
      </c>
      <c r="C1229">
        <v>1</v>
      </c>
      <c r="D1229">
        <v>1</v>
      </c>
      <c r="E1229" t="s">
        <v>5743</v>
      </c>
      <c r="F1229" t="s">
        <v>5743</v>
      </c>
      <c r="G1229" t="s">
        <v>5743</v>
      </c>
      <c r="H1229">
        <v>63</v>
      </c>
    </row>
    <row r="1230" spans="1:8" x14ac:dyDescent="0.25">
      <c r="A1230" t="s">
        <v>2853</v>
      </c>
      <c r="B1230">
        <v>1</v>
      </c>
      <c r="C1230">
        <v>1</v>
      </c>
      <c r="D1230">
        <v>1</v>
      </c>
      <c r="E1230" t="s">
        <v>5744</v>
      </c>
      <c r="F1230" t="s">
        <v>5744</v>
      </c>
      <c r="G1230" t="s">
        <v>5744</v>
      </c>
      <c r="H1230">
        <v>37</v>
      </c>
    </row>
    <row r="1231" spans="1:8" x14ac:dyDescent="0.25">
      <c r="A1231" t="s">
        <v>1221</v>
      </c>
      <c r="B1231">
        <v>1</v>
      </c>
      <c r="C1231">
        <v>1</v>
      </c>
      <c r="D1231">
        <v>1</v>
      </c>
      <c r="E1231" t="s">
        <v>5745</v>
      </c>
      <c r="F1231" t="s">
        <v>5745</v>
      </c>
      <c r="G1231" t="s">
        <v>5745</v>
      </c>
      <c r="H1231">
        <v>128</v>
      </c>
    </row>
    <row r="1232" spans="1:8" x14ac:dyDescent="0.25">
      <c r="A1232" t="s">
        <v>1368</v>
      </c>
      <c r="B1232">
        <v>1</v>
      </c>
      <c r="C1232">
        <v>1</v>
      </c>
      <c r="D1232">
        <v>1</v>
      </c>
      <c r="E1232" t="s">
        <v>5746</v>
      </c>
      <c r="F1232" t="s">
        <v>5746</v>
      </c>
      <c r="G1232" t="s">
        <v>5746</v>
      </c>
      <c r="H1232">
        <v>119</v>
      </c>
    </row>
    <row r="1233" spans="1:8" x14ac:dyDescent="0.25">
      <c r="A1233" t="s">
        <v>1525</v>
      </c>
      <c r="B1233">
        <v>1</v>
      </c>
      <c r="C1233">
        <v>1</v>
      </c>
      <c r="D1233">
        <v>1</v>
      </c>
      <c r="E1233" t="s">
        <v>5747</v>
      </c>
      <c r="F1233" t="s">
        <v>5747</v>
      </c>
      <c r="G1233" t="s">
        <v>5747</v>
      </c>
      <c r="H1233">
        <v>129</v>
      </c>
    </row>
    <row r="1234" spans="1:8" x14ac:dyDescent="0.25">
      <c r="A1234" t="s">
        <v>491</v>
      </c>
      <c r="B1234">
        <v>1</v>
      </c>
      <c r="C1234">
        <v>1</v>
      </c>
      <c r="D1234">
        <v>1</v>
      </c>
      <c r="E1234" t="s">
        <v>5748</v>
      </c>
      <c r="F1234" t="s">
        <v>5748</v>
      </c>
      <c r="G1234" t="s">
        <v>5748</v>
      </c>
      <c r="H1234">
        <v>317</v>
      </c>
    </row>
    <row r="1235" spans="1:8" x14ac:dyDescent="0.25">
      <c r="A1235" t="s">
        <v>677</v>
      </c>
      <c r="B1235">
        <v>1</v>
      </c>
      <c r="C1235">
        <v>1</v>
      </c>
      <c r="D1235">
        <v>1</v>
      </c>
      <c r="E1235" t="s">
        <v>5749</v>
      </c>
      <c r="F1235" t="s">
        <v>5749</v>
      </c>
      <c r="G1235" t="s">
        <v>5749</v>
      </c>
      <c r="H1235">
        <v>261</v>
      </c>
    </row>
    <row r="1236" spans="1:8" x14ac:dyDescent="0.25">
      <c r="A1236" t="s">
        <v>602</v>
      </c>
      <c r="B1236">
        <v>1</v>
      </c>
      <c r="C1236">
        <v>1</v>
      </c>
      <c r="D1236">
        <v>1</v>
      </c>
      <c r="E1236" t="s">
        <v>5750</v>
      </c>
      <c r="F1236" t="s">
        <v>5750</v>
      </c>
      <c r="G1236" t="s">
        <v>5750</v>
      </c>
      <c r="H1236">
        <v>333</v>
      </c>
    </row>
    <row r="1237" spans="1:8" x14ac:dyDescent="0.25">
      <c r="A1237" t="s">
        <v>593</v>
      </c>
      <c r="B1237">
        <v>1</v>
      </c>
      <c r="C1237">
        <v>1</v>
      </c>
      <c r="D1237">
        <v>1</v>
      </c>
      <c r="E1237" t="s">
        <v>5751</v>
      </c>
      <c r="F1237" t="s">
        <v>5751</v>
      </c>
      <c r="G1237" t="s">
        <v>5751</v>
      </c>
      <c r="H1237">
        <v>389</v>
      </c>
    </row>
    <row r="1238" spans="1:8" x14ac:dyDescent="0.25">
      <c r="A1238" t="s">
        <v>1498</v>
      </c>
      <c r="B1238">
        <v>1</v>
      </c>
      <c r="C1238">
        <v>1</v>
      </c>
      <c r="D1238">
        <v>1</v>
      </c>
      <c r="E1238" t="s">
        <v>5752</v>
      </c>
      <c r="F1238" t="s">
        <v>5753</v>
      </c>
      <c r="G1238" t="s">
        <v>5753</v>
      </c>
      <c r="H1238">
        <v>83</v>
      </c>
    </row>
    <row r="1239" spans="1:8" x14ac:dyDescent="0.25">
      <c r="A1239" t="s">
        <v>844</v>
      </c>
      <c r="B1239">
        <v>1</v>
      </c>
      <c r="C1239">
        <v>1</v>
      </c>
      <c r="D1239">
        <v>1</v>
      </c>
      <c r="E1239" t="s">
        <v>5754</v>
      </c>
      <c r="F1239" t="s">
        <v>5754</v>
      </c>
      <c r="G1239" t="s">
        <v>5754</v>
      </c>
      <c r="H1239">
        <v>205</v>
      </c>
    </row>
    <row r="1240" spans="1:8" x14ac:dyDescent="0.25">
      <c r="A1240" t="s">
        <v>630</v>
      </c>
      <c r="B1240">
        <v>1</v>
      </c>
      <c r="C1240">
        <v>1</v>
      </c>
      <c r="D1240">
        <v>1</v>
      </c>
      <c r="E1240" t="s">
        <v>5755</v>
      </c>
      <c r="F1240" t="s">
        <v>5755</v>
      </c>
      <c r="G1240" t="s">
        <v>5755</v>
      </c>
      <c r="H1240">
        <v>270</v>
      </c>
    </row>
    <row r="1241" spans="1:8" x14ac:dyDescent="0.25">
      <c r="A1241" t="s">
        <v>618</v>
      </c>
      <c r="B1241">
        <v>1</v>
      </c>
      <c r="C1241">
        <v>1</v>
      </c>
      <c r="D1241">
        <v>1</v>
      </c>
      <c r="E1241" t="s">
        <v>5756</v>
      </c>
      <c r="F1241" t="s">
        <v>5756</v>
      </c>
      <c r="G1241" t="s">
        <v>5756</v>
      </c>
      <c r="H1241">
        <v>217</v>
      </c>
    </row>
    <row r="1242" spans="1:8" x14ac:dyDescent="0.25">
      <c r="A1242" t="s">
        <v>531</v>
      </c>
      <c r="B1242">
        <v>1</v>
      </c>
      <c r="C1242">
        <v>1</v>
      </c>
      <c r="D1242">
        <v>1</v>
      </c>
      <c r="E1242" t="s">
        <v>5757</v>
      </c>
      <c r="F1242" t="s">
        <v>5757</v>
      </c>
      <c r="G1242" t="s">
        <v>5757</v>
      </c>
      <c r="H1242">
        <v>273</v>
      </c>
    </row>
    <row r="1243" spans="1:8" x14ac:dyDescent="0.25">
      <c r="A1243" t="s">
        <v>1508</v>
      </c>
      <c r="B1243">
        <v>1</v>
      </c>
      <c r="C1243">
        <v>1</v>
      </c>
      <c r="D1243">
        <v>1</v>
      </c>
      <c r="E1243" t="s">
        <v>5758</v>
      </c>
      <c r="F1243" t="s">
        <v>5758</v>
      </c>
      <c r="G1243" t="s">
        <v>5758</v>
      </c>
      <c r="H1243">
        <v>62</v>
      </c>
    </row>
    <row r="1244" spans="1:8" x14ac:dyDescent="0.25">
      <c r="A1244" t="s">
        <v>1372</v>
      </c>
      <c r="B1244">
        <v>1</v>
      </c>
      <c r="C1244">
        <v>1</v>
      </c>
      <c r="D1244">
        <v>1</v>
      </c>
      <c r="E1244" t="s">
        <v>5759</v>
      </c>
      <c r="F1244" t="s">
        <v>5759</v>
      </c>
      <c r="G1244" t="s">
        <v>5759</v>
      </c>
      <c r="H1244">
        <v>52</v>
      </c>
    </row>
    <row r="1245" spans="1:8" x14ac:dyDescent="0.25">
      <c r="A1245" t="s">
        <v>1466</v>
      </c>
      <c r="B1245">
        <v>1</v>
      </c>
      <c r="C1245">
        <v>1</v>
      </c>
      <c r="D1245">
        <v>1</v>
      </c>
      <c r="E1245" t="s">
        <v>5760</v>
      </c>
      <c r="F1245" t="s">
        <v>5760</v>
      </c>
      <c r="G1245" t="s">
        <v>5760</v>
      </c>
      <c r="H1245">
        <v>119</v>
      </c>
    </row>
    <row r="1246" spans="1:8" x14ac:dyDescent="0.25">
      <c r="A1246" t="s">
        <v>1785</v>
      </c>
      <c r="B1246">
        <v>1</v>
      </c>
      <c r="C1246">
        <v>1</v>
      </c>
      <c r="D1246">
        <v>1</v>
      </c>
      <c r="E1246" t="s">
        <v>5761</v>
      </c>
      <c r="F1246" t="s">
        <v>5761</v>
      </c>
      <c r="G1246" t="s">
        <v>5761</v>
      </c>
      <c r="H1246">
        <v>80</v>
      </c>
    </row>
    <row r="1247" spans="1:8" x14ac:dyDescent="0.25">
      <c r="A1247" t="s">
        <v>1872</v>
      </c>
      <c r="B1247">
        <v>1</v>
      </c>
      <c r="C1247">
        <v>1</v>
      </c>
      <c r="D1247">
        <v>1</v>
      </c>
      <c r="E1247" t="s">
        <v>5762</v>
      </c>
      <c r="F1247" t="s">
        <v>5762</v>
      </c>
      <c r="G1247" t="s">
        <v>5762</v>
      </c>
      <c r="H1247">
        <v>105</v>
      </c>
    </row>
    <row r="1248" spans="1:8" x14ac:dyDescent="0.25">
      <c r="A1248" t="s">
        <v>1685</v>
      </c>
      <c r="B1248">
        <v>1</v>
      </c>
      <c r="C1248">
        <v>1</v>
      </c>
      <c r="D1248">
        <v>1</v>
      </c>
      <c r="E1248" t="s">
        <v>5763</v>
      </c>
      <c r="F1248" t="s">
        <v>5763</v>
      </c>
      <c r="G1248" t="s">
        <v>5763</v>
      </c>
      <c r="H1248">
        <v>123</v>
      </c>
    </row>
    <row r="1249" spans="1:8" x14ac:dyDescent="0.25">
      <c r="A1249" t="s">
        <v>1549</v>
      </c>
      <c r="B1249">
        <v>1</v>
      </c>
      <c r="C1249">
        <v>1</v>
      </c>
      <c r="D1249">
        <v>1</v>
      </c>
      <c r="E1249" t="s">
        <v>5764</v>
      </c>
      <c r="F1249" t="s">
        <v>5765</v>
      </c>
      <c r="G1249" t="s">
        <v>5765</v>
      </c>
      <c r="H1249">
        <v>111</v>
      </c>
    </row>
    <row r="1250" spans="1:8" x14ac:dyDescent="0.25">
      <c r="A1250" t="s">
        <v>851</v>
      </c>
      <c r="B1250">
        <v>1</v>
      </c>
      <c r="C1250">
        <v>1</v>
      </c>
      <c r="D1250">
        <v>1</v>
      </c>
      <c r="E1250" t="s">
        <v>5766</v>
      </c>
      <c r="F1250" t="s">
        <v>5767</v>
      </c>
      <c r="G1250" t="s">
        <v>5767</v>
      </c>
      <c r="H1250">
        <v>151</v>
      </c>
    </row>
    <row r="1251" spans="1:8" x14ac:dyDescent="0.25">
      <c r="A1251" t="s">
        <v>1215</v>
      </c>
      <c r="B1251">
        <v>1</v>
      </c>
      <c r="C1251">
        <v>1</v>
      </c>
      <c r="D1251">
        <v>1</v>
      </c>
      <c r="E1251" t="s">
        <v>5768</v>
      </c>
      <c r="F1251" t="s">
        <v>5768</v>
      </c>
      <c r="G1251" t="s">
        <v>5768</v>
      </c>
      <c r="H1251">
        <v>139</v>
      </c>
    </row>
    <row r="1252" spans="1:8" x14ac:dyDescent="0.25">
      <c r="A1252" t="s">
        <v>1395</v>
      </c>
      <c r="B1252">
        <v>1</v>
      </c>
      <c r="C1252">
        <v>1</v>
      </c>
      <c r="D1252">
        <v>1</v>
      </c>
      <c r="E1252" t="s">
        <v>5769</v>
      </c>
      <c r="F1252" t="s">
        <v>5769</v>
      </c>
      <c r="G1252" t="s">
        <v>5769</v>
      </c>
      <c r="H1252">
        <v>68</v>
      </c>
    </row>
    <row r="1253" spans="1:8" x14ac:dyDescent="0.25">
      <c r="A1253" t="s">
        <v>1288</v>
      </c>
      <c r="B1253">
        <v>1</v>
      </c>
      <c r="C1253">
        <v>1</v>
      </c>
      <c r="D1253">
        <v>1</v>
      </c>
      <c r="E1253" t="s">
        <v>5770</v>
      </c>
      <c r="F1253" t="s">
        <v>5770</v>
      </c>
      <c r="G1253" t="s">
        <v>5770</v>
      </c>
      <c r="H1253">
        <v>137</v>
      </c>
    </row>
    <row r="1254" spans="1:8" x14ac:dyDescent="0.25">
      <c r="A1254" t="s">
        <v>1586</v>
      </c>
      <c r="B1254">
        <v>1</v>
      </c>
      <c r="C1254">
        <v>1</v>
      </c>
      <c r="D1254">
        <v>1</v>
      </c>
      <c r="E1254" t="s">
        <v>5771</v>
      </c>
      <c r="F1254" t="s">
        <v>5771</v>
      </c>
      <c r="G1254" t="s">
        <v>5771</v>
      </c>
      <c r="H1254">
        <v>175</v>
      </c>
    </row>
    <row r="1255" spans="1:8" x14ac:dyDescent="0.25">
      <c r="A1255" t="s">
        <v>2012</v>
      </c>
      <c r="B1255">
        <v>1</v>
      </c>
      <c r="C1255">
        <v>1</v>
      </c>
      <c r="D1255">
        <v>1</v>
      </c>
      <c r="E1255" t="s">
        <v>5772</v>
      </c>
      <c r="F1255" t="s">
        <v>5772</v>
      </c>
      <c r="G1255" t="s">
        <v>5772</v>
      </c>
      <c r="H1255">
        <v>57</v>
      </c>
    </row>
    <row r="1256" spans="1:8" x14ac:dyDescent="0.25">
      <c r="A1256" t="s">
        <v>1866</v>
      </c>
      <c r="B1256">
        <v>1</v>
      </c>
      <c r="C1256">
        <v>1</v>
      </c>
      <c r="D1256">
        <v>1</v>
      </c>
      <c r="E1256" t="s">
        <v>5773</v>
      </c>
      <c r="F1256" t="s">
        <v>5773</v>
      </c>
      <c r="G1256" t="s">
        <v>5773</v>
      </c>
      <c r="H1256">
        <v>90</v>
      </c>
    </row>
    <row r="1257" spans="1:8" x14ac:dyDescent="0.25">
      <c r="A1257" t="s">
        <v>1406</v>
      </c>
      <c r="B1257">
        <v>1</v>
      </c>
      <c r="C1257">
        <v>1</v>
      </c>
      <c r="D1257">
        <v>1</v>
      </c>
      <c r="E1257" t="s">
        <v>5774</v>
      </c>
      <c r="F1257" t="s">
        <v>5774</v>
      </c>
      <c r="G1257" t="s">
        <v>5774</v>
      </c>
      <c r="H1257">
        <v>145</v>
      </c>
    </row>
    <row r="1258" spans="1:8" x14ac:dyDescent="0.25">
      <c r="A1258" t="s">
        <v>2207</v>
      </c>
      <c r="B1258">
        <v>1</v>
      </c>
      <c r="C1258">
        <v>1</v>
      </c>
      <c r="D1258">
        <v>1</v>
      </c>
      <c r="E1258" t="s">
        <v>5775</v>
      </c>
      <c r="F1258" t="s">
        <v>5775</v>
      </c>
      <c r="G1258" t="s">
        <v>5775</v>
      </c>
      <c r="H1258">
        <v>64</v>
      </c>
    </row>
    <row r="1259" spans="1:8" x14ac:dyDescent="0.25">
      <c r="A1259" t="s">
        <v>1637</v>
      </c>
      <c r="B1259">
        <v>1</v>
      </c>
      <c r="C1259">
        <v>1</v>
      </c>
      <c r="D1259">
        <v>1</v>
      </c>
      <c r="E1259" t="s">
        <v>5776</v>
      </c>
      <c r="F1259" t="s">
        <v>5776</v>
      </c>
      <c r="G1259" t="s">
        <v>5776</v>
      </c>
      <c r="H1259">
        <v>77</v>
      </c>
    </row>
    <row r="1260" spans="1:8" x14ac:dyDescent="0.25">
      <c r="A1260" t="s">
        <v>1867</v>
      </c>
      <c r="B1260">
        <v>1</v>
      </c>
      <c r="C1260">
        <v>1</v>
      </c>
      <c r="D1260">
        <v>1</v>
      </c>
      <c r="E1260" t="s">
        <v>5777</v>
      </c>
      <c r="F1260" t="s">
        <v>5777</v>
      </c>
      <c r="G1260" t="s">
        <v>5777</v>
      </c>
      <c r="H1260">
        <v>134</v>
      </c>
    </row>
    <row r="1261" spans="1:8" x14ac:dyDescent="0.25">
      <c r="A1261" t="s">
        <v>2008</v>
      </c>
      <c r="B1261">
        <v>1</v>
      </c>
      <c r="C1261">
        <v>1</v>
      </c>
      <c r="D1261">
        <v>1</v>
      </c>
      <c r="E1261" t="s">
        <v>5778</v>
      </c>
      <c r="F1261" t="s">
        <v>5778</v>
      </c>
      <c r="G1261" t="s">
        <v>5778</v>
      </c>
      <c r="H1261">
        <v>140</v>
      </c>
    </row>
    <row r="1262" spans="1:8" x14ac:dyDescent="0.25">
      <c r="A1262" t="s">
        <v>4016</v>
      </c>
      <c r="B1262">
        <v>1</v>
      </c>
      <c r="C1262">
        <v>1</v>
      </c>
      <c r="D1262">
        <v>1</v>
      </c>
      <c r="E1262" t="s">
        <v>5779</v>
      </c>
      <c r="F1262" t="s">
        <v>5779</v>
      </c>
      <c r="G1262" t="s">
        <v>5779</v>
      </c>
      <c r="H1262">
        <v>2</v>
      </c>
    </row>
    <row r="1263" spans="1:8" x14ac:dyDescent="0.25">
      <c r="A1263" t="s">
        <v>2080</v>
      </c>
      <c r="B1263">
        <v>1</v>
      </c>
      <c r="C1263">
        <v>1</v>
      </c>
      <c r="D1263">
        <v>1</v>
      </c>
      <c r="E1263" t="s">
        <v>5780</v>
      </c>
      <c r="F1263" t="s">
        <v>5780</v>
      </c>
      <c r="G1263" t="s">
        <v>5780</v>
      </c>
      <c r="H1263">
        <v>75</v>
      </c>
    </row>
    <row r="1264" spans="1:8" x14ac:dyDescent="0.25">
      <c r="A1264" t="s">
        <v>1633</v>
      </c>
      <c r="B1264">
        <v>1</v>
      </c>
      <c r="C1264">
        <v>1</v>
      </c>
      <c r="D1264">
        <v>1</v>
      </c>
      <c r="E1264" t="s">
        <v>5781</v>
      </c>
      <c r="F1264" t="s">
        <v>5782</v>
      </c>
      <c r="G1264" t="s">
        <v>5782</v>
      </c>
      <c r="H1264">
        <v>100</v>
      </c>
    </row>
    <row r="1265" spans="1:8" x14ac:dyDescent="0.25">
      <c r="A1265" t="s">
        <v>182</v>
      </c>
      <c r="B1265">
        <v>1</v>
      </c>
      <c r="C1265">
        <v>1</v>
      </c>
      <c r="D1265">
        <v>1</v>
      </c>
      <c r="E1265" t="s">
        <v>5783</v>
      </c>
      <c r="F1265" t="s">
        <v>5784</v>
      </c>
      <c r="G1265" t="s">
        <v>5784</v>
      </c>
      <c r="H1265">
        <v>764</v>
      </c>
    </row>
    <row r="1266" spans="1:8" x14ac:dyDescent="0.25">
      <c r="A1266" t="s">
        <v>705</v>
      </c>
      <c r="B1266">
        <v>1</v>
      </c>
      <c r="C1266">
        <v>1</v>
      </c>
      <c r="D1266">
        <v>1</v>
      </c>
      <c r="E1266" t="s">
        <v>5785</v>
      </c>
      <c r="F1266" t="s">
        <v>5785</v>
      </c>
      <c r="G1266" t="s">
        <v>5785</v>
      </c>
      <c r="H1266">
        <v>306</v>
      </c>
    </row>
    <row r="1267" spans="1:8" x14ac:dyDescent="0.25">
      <c r="A1267" t="s">
        <v>223</v>
      </c>
      <c r="B1267">
        <v>1</v>
      </c>
      <c r="C1267">
        <v>1</v>
      </c>
      <c r="D1267">
        <v>1</v>
      </c>
      <c r="E1267" t="s">
        <v>5786</v>
      </c>
      <c r="F1267" t="s">
        <v>5787</v>
      </c>
      <c r="G1267" t="s">
        <v>5787</v>
      </c>
      <c r="H1267">
        <v>611</v>
      </c>
    </row>
    <row r="1268" spans="1:8" x14ac:dyDescent="0.25">
      <c r="A1268" t="s">
        <v>996</v>
      </c>
      <c r="B1268">
        <v>1</v>
      </c>
      <c r="C1268">
        <v>1</v>
      </c>
      <c r="D1268">
        <v>1</v>
      </c>
      <c r="E1268" t="s">
        <v>5788</v>
      </c>
      <c r="F1268" t="s">
        <v>5788</v>
      </c>
      <c r="G1268" t="s">
        <v>5788</v>
      </c>
      <c r="H1268">
        <v>243</v>
      </c>
    </row>
    <row r="1269" spans="1:8" x14ac:dyDescent="0.25">
      <c r="A1269" t="s">
        <v>921</v>
      </c>
      <c r="B1269">
        <v>1</v>
      </c>
      <c r="C1269">
        <v>1</v>
      </c>
      <c r="D1269">
        <v>1</v>
      </c>
      <c r="E1269" t="s">
        <v>5789</v>
      </c>
      <c r="F1269" t="s">
        <v>5789</v>
      </c>
      <c r="G1269" t="s">
        <v>5789</v>
      </c>
      <c r="H1269">
        <v>185</v>
      </c>
    </row>
    <row r="1270" spans="1:8" x14ac:dyDescent="0.25">
      <c r="A1270" t="s">
        <v>1325</v>
      </c>
      <c r="B1270">
        <v>1</v>
      </c>
      <c r="C1270">
        <v>1</v>
      </c>
      <c r="D1270">
        <v>1</v>
      </c>
      <c r="E1270" t="s">
        <v>5790</v>
      </c>
      <c r="F1270" t="s">
        <v>5790</v>
      </c>
      <c r="G1270" t="s">
        <v>5790</v>
      </c>
      <c r="H1270">
        <v>154</v>
      </c>
    </row>
    <row r="1271" spans="1:8" x14ac:dyDescent="0.25">
      <c r="A1271" t="s">
        <v>475</v>
      </c>
      <c r="B1271">
        <v>1</v>
      </c>
      <c r="C1271">
        <v>1</v>
      </c>
      <c r="D1271">
        <v>1</v>
      </c>
      <c r="E1271" t="s">
        <v>5791</v>
      </c>
      <c r="F1271" t="s">
        <v>5791</v>
      </c>
      <c r="G1271" t="s">
        <v>5791</v>
      </c>
      <c r="H1271">
        <v>334</v>
      </c>
    </row>
    <row r="1272" spans="1:8" x14ac:dyDescent="0.25">
      <c r="A1272" t="s">
        <v>1623</v>
      </c>
      <c r="B1272">
        <v>1</v>
      </c>
      <c r="C1272">
        <v>1</v>
      </c>
      <c r="D1272">
        <v>1</v>
      </c>
      <c r="E1272" t="s">
        <v>5792</v>
      </c>
      <c r="F1272" t="s">
        <v>5792</v>
      </c>
      <c r="G1272" t="s">
        <v>5792</v>
      </c>
      <c r="H1272">
        <v>102</v>
      </c>
    </row>
    <row r="1273" spans="1:8" x14ac:dyDescent="0.25">
      <c r="A1273" t="s">
        <v>1328</v>
      </c>
      <c r="B1273">
        <v>1</v>
      </c>
      <c r="C1273">
        <v>1</v>
      </c>
      <c r="D1273">
        <v>1</v>
      </c>
      <c r="E1273" t="s">
        <v>5793</v>
      </c>
      <c r="F1273" t="s">
        <v>5794</v>
      </c>
      <c r="G1273" t="s">
        <v>5794</v>
      </c>
      <c r="H1273">
        <v>235</v>
      </c>
    </row>
    <row r="1274" spans="1:8" x14ac:dyDescent="0.25">
      <c r="A1274" t="s">
        <v>1997</v>
      </c>
      <c r="B1274">
        <v>2</v>
      </c>
      <c r="C1274">
        <v>2</v>
      </c>
      <c r="D1274">
        <v>2</v>
      </c>
      <c r="E1274" t="s">
        <v>5795</v>
      </c>
      <c r="F1274" t="s">
        <v>5796</v>
      </c>
      <c r="G1274" t="s">
        <v>4256</v>
      </c>
      <c r="H1274">
        <v>86</v>
      </c>
    </row>
    <row r="1275" spans="1:8" x14ac:dyDescent="0.25">
      <c r="A1275" t="s">
        <v>2230</v>
      </c>
      <c r="B1275">
        <v>1</v>
      </c>
      <c r="C1275">
        <v>1</v>
      </c>
      <c r="D1275">
        <v>1</v>
      </c>
      <c r="E1275" t="s">
        <v>5797</v>
      </c>
      <c r="F1275" t="s">
        <v>5798</v>
      </c>
      <c r="G1275" t="s">
        <v>5798</v>
      </c>
      <c r="H1275">
        <v>78</v>
      </c>
    </row>
    <row r="1276" spans="1:8" x14ac:dyDescent="0.25">
      <c r="A1276" t="s">
        <v>1579</v>
      </c>
      <c r="B1276">
        <v>1</v>
      </c>
      <c r="C1276">
        <v>1</v>
      </c>
      <c r="D1276">
        <v>1</v>
      </c>
      <c r="E1276" t="s">
        <v>5799</v>
      </c>
      <c r="F1276" t="s">
        <v>5800</v>
      </c>
      <c r="G1276" t="s">
        <v>5800</v>
      </c>
      <c r="H1276">
        <v>189</v>
      </c>
    </row>
    <row r="1277" spans="1:8" x14ac:dyDescent="0.25">
      <c r="A1277" t="s">
        <v>2085</v>
      </c>
      <c r="B1277">
        <v>2</v>
      </c>
      <c r="C1277">
        <v>2</v>
      </c>
      <c r="D1277">
        <v>2</v>
      </c>
      <c r="E1277" t="s">
        <v>5801</v>
      </c>
      <c r="F1277" t="s">
        <v>5802</v>
      </c>
      <c r="G1277" t="s">
        <v>4256</v>
      </c>
      <c r="H1277">
        <v>91</v>
      </c>
    </row>
    <row r="1278" spans="1:8" x14ac:dyDescent="0.25">
      <c r="A1278" t="s">
        <v>1946</v>
      </c>
      <c r="B1278">
        <v>1</v>
      </c>
      <c r="C1278">
        <v>1</v>
      </c>
      <c r="D1278">
        <v>1</v>
      </c>
      <c r="E1278" t="s">
        <v>5803</v>
      </c>
      <c r="F1278" t="s">
        <v>5804</v>
      </c>
      <c r="G1278" t="s">
        <v>5804</v>
      </c>
      <c r="H1278">
        <v>131</v>
      </c>
    </row>
    <row r="1279" spans="1:8" x14ac:dyDescent="0.25">
      <c r="A1279" t="s">
        <v>1913</v>
      </c>
      <c r="B1279">
        <v>1</v>
      </c>
      <c r="C1279">
        <v>1</v>
      </c>
      <c r="D1279">
        <v>1</v>
      </c>
      <c r="E1279" t="s">
        <v>5805</v>
      </c>
      <c r="F1279" t="s">
        <v>5806</v>
      </c>
      <c r="G1279" t="s">
        <v>5806</v>
      </c>
      <c r="H1279">
        <v>78</v>
      </c>
    </row>
    <row r="1280" spans="1:8" x14ac:dyDescent="0.25">
      <c r="A1280" t="s">
        <v>1672</v>
      </c>
      <c r="B1280">
        <v>1</v>
      </c>
      <c r="C1280">
        <v>1</v>
      </c>
      <c r="D1280">
        <v>1</v>
      </c>
      <c r="E1280" t="s">
        <v>5807</v>
      </c>
      <c r="F1280" t="s">
        <v>5808</v>
      </c>
      <c r="G1280" t="s">
        <v>5808</v>
      </c>
      <c r="H1280">
        <v>130</v>
      </c>
    </row>
    <row r="1281" spans="1:8" x14ac:dyDescent="0.25">
      <c r="A1281" t="s">
        <v>1876</v>
      </c>
      <c r="B1281">
        <v>1</v>
      </c>
      <c r="C1281">
        <v>1</v>
      </c>
      <c r="D1281">
        <v>1</v>
      </c>
      <c r="E1281" t="s">
        <v>5809</v>
      </c>
      <c r="F1281" t="s">
        <v>5809</v>
      </c>
      <c r="G1281" t="s">
        <v>5809</v>
      </c>
      <c r="H1281">
        <v>96</v>
      </c>
    </row>
    <row r="1282" spans="1:8" x14ac:dyDescent="0.25">
      <c r="A1282" t="s">
        <v>2393</v>
      </c>
      <c r="B1282">
        <v>1</v>
      </c>
      <c r="C1282">
        <v>1</v>
      </c>
      <c r="D1282">
        <v>1</v>
      </c>
      <c r="E1282" t="s">
        <v>5810</v>
      </c>
      <c r="F1282" t="s">
        <v>5810</v>
      </c>
      <c r="G1282" t="s">
        <v>5810</v>
      </c>
      <c r="H1282">
        <v>77</v>
      </c>
    </row>
    <row r="1283" spans="1:8" x14ac:dyDescent="0.25">
      <c r="A1283" t="s">
        <v>2487</v>
      </c>
      <c r="B1283">
        <v>1</v>
      </c>
      <c r="C1283">
        <v>1</v>
      </c>
      <c r="D1283">
        <v>1</v>
      </c>
      <c r="E1283" t="s">
        <v>5811</v>
      </c>
      <c r="F1283" t="s">
        <v>5811</v>
      </c>
      <c r="G1283" t="s">
        <v>5811</v>
      </c>
      <c r="H1283">
        <v>75</v>
      </c>
    </row>
    <row r="1284" spans="1:8" x14ac:dyDescent="0.25">
      <c r="A1284" t="s">
        <v>2511</v>
      </c>
      <c r="B1284">
        <v>1</v>
      </c>
      <c r="C1284">
        <v>1</v>
      </c>
      <c r="D1284">
        <v>1</v>
      </c>
      <c r="E1284" t="s">
        <v>5812</v>
      </c>
      <c r="F1284" t="s">
        <v>5812</v>
      </c>
      <c r="G1284" t="s">
        <v>5812</v>
      </c>
      <c r="H1284">
        <v>61</v>
      </c>
    </row>
    <row r="1285" spans="1:8" x14ac:dyDescent="0.25">
      <c r="A1285" t="s">
        <v>813</v>
      </c>
      <c r="B1285">
        <v>1</v>
      </c>
      <c r="C1285">
        <v>1</v>
      </c>
      <c r="D1285">
        <v>1</v>
      </c>
      <c r="E1285" t="s">
        <v>5813</v>
      </c>
      <c r="F1285" t="s">
        <v>5813</v>
      </c>
      <c r="G1285" t="s">
        <v>5813</v>
      </c>
      <c r="H1285">
        <v>364</v>
      </c>
    </row>
    <row r="1286" spans="1:8" x14ac:dyDescent="0.25">
      <c r="A1286" t="s">
        <v>597</v>
      </c>
      <c r="B1286">
        <v>1</v>
      </c>
      <c r="C1286">
        <v>1</v>
      </c>
      <c r="D1286">
        <v>1</v>
      </c>
      <c r="E1286" t="s">
        <v>5814</v>
      </c>
      <c r="F1286" t="s">
        <v>5814</v>
      </c>
      <c r="G1286" t="s">
        <v>5814</v>
      </c>
      <c r="H1286">
        <v>135</v>
      </c>
    </row>
    <row r="1287" spans="1:8" x14ac:dyDescent="0.25">
      <c r="A1287" t="s">
        <v>778</v>
      </c>
      <c r="B1287">
        <v>1</v>
      </c>
      <c r="C1287">
        <v>1</v>
      </c>
      <c r="D1287">
        <v>1</v>
      </c>
      <c r="E1287" t="s">
        <v>5815</v>
      </c>
      <c r="F1287" t="s">
        <v>5816</v>
      </c>
      <c r="G1287" t="s">
        <v>5816</v>
      </c>
      <c r="H1287">
        <v>125</v>
      </c>
    </row>
    <row r="1288" spans="1:8" x14ac:dyDescent="0.25">
      <c r="A1288" t="s">
        <v>3667</v>
      </c>
      <c r="B1288">
        <v>2</v>
      </c>
      <c r="C1288">
        <v>2</v>
      </c>
      <c r="D1288">
        <v>2</v>
      </c>
      <c r="E1288" t="s">
        <v>5817</v>
      </c>
      <c r="F1288" t="s">
        <v>5817</v>
      </c>
      <c r="G1288" t="s">
        <v>4256</v>
      </c>
      <c r="H1288">
        <v>3</v>
      </c>
    </row>
    <row r="1289" spans="1:8" x14ac:dyDescent="0.25">
      <c r="A1289" t="s">
        <v>429</v>
      </c>
      <c r="B1289">
        <v>1</v>
      </c>
      <c r="C1289">
        <v>1</v>
      </c>
      <c r="D1289">
        <v>1</v>
      </c>
      <c r="E1289" t="s">
        <v>5818</v>
      </c>
      <c r="F1289" t="s">
        <v>5819</v>
      </c>
      <c r="G1289" t="s">
        <v>5819</v>
      </c>
      <c r="H1289">
        <v>498</v>
      </c>
    </row>
    <row r="1290" spans="1:8" x14ac:dyDescent="0.25">
      <c r="A1290" t="s">
        <v>2972</v>
      </c>
      <c r="B1290">
        <v>1</v>
      </c>
      <c r="C1290">
        <v>1</v>
      </c>
      <c r="D1290">
        <v>1</v>
      </c>
      <c r="E1290" t="s">
        <v>5820</v>
      </c>
      <c r="F1290" t="s">
        <v>5821</v>
      </c>
      <c r="G1290" t="s">
        <v>5821</v>
      </c>
      <c r="H1290">
        <v>28</v>
      </c>
    </row>
    <row r="1291" spans="1:8" x14ac:dyDescent="0.25">
      <c r="A1291" t="s">
        <v>944</v>
      </c>
      <c r="B1291">
        <v>1</v>
      </c>
      <c r="C1291">
        <v>1</v>
      </c>
      <c r="D1291">
        <v>1</v>
      </c>
      <c r="E1291" t="s">
        <v>5822</v>
      </c>
      <c r="F1291" t="s">
        <v>5822</v>
      </c>
      <c r="G1291" t="s">
        <v>5822</v>
      </c>
      <c r="H1291">
        <v>84</v>
      </c>
    </row>
    <row r="1292" spans="1:8" x14ac:dyDescent="0.25">
      <c r="A1292" t="s">
        <v>160</v>
      </c>
      <c r="B1292">
        <v>2</v>
      </c>
      <c r="C1292">
        <v>2</v>
      </c>
      <c r="D1292">
        <v>2</v>
      </c>
      <c r="E1292" t="s">
        <v>5823</v>
      </c>
      <c r="F1292" t="s">
        <v>5823</v>
      </c>
      <c r="G1292" t="s">
        <v>4256</v>
      </c>
      <c r="H1292">
        <v>912</v>
      </c>
    </row>
    <row r="1293" spans="1:8" x14ac:dyDescent="0.25">
      <c r="A1293" t="s">
        <v>318</v>
      </c>
      <c r="B1293">
        <v>1</v>
      </c>
      <c r="C1293">
        <v>1</v>
      </c>
      <c r="D1293">
        <v>1</v>
      </c>
      <c r="E1293" t="s">
        <v>5824</v>
      </c>
      <c r="F1293" t="s">
        <v>5824</v>
      </c>
      <c r="G1293" t="s">
        <v>5824</v>
      </c>
      <c r="H1293">
        <v>777</v>
      </c>
    </row>
    <row r="1294" spans="1:8" x14ac:dyDescent="0.25">
      <c r="A1294" t="s">
        <v>1123</v>
      </c>
      <c r="B1294">
        <v>1</v>
      </c>
      <c r="C1294">
        <v>1</v>
      </c>
      <c r="D1294">
        <v>1</v>
      </c>
      <c r="E1294" t="s">
        <v>5825</v>
      </c>
      <c r="F1294" t="s">
        <v>5825</v>
      </c>
      <c r="G1294" t="s">
        <v>5825</v>
      </c>
      <c r="H1294">
        <v>192</v>
      </c>
    </row>
    <row r="1295" spans="1:8" x14ac:dyDescent="0.25">
      <c r="A1295" t="s">
        <v>1020</v>
      </c>
      <c r="B1295">
        <v>1</v>
      </c>
      <c r="C1295">
        <v>1</v>
      </c>
      <c r="D1295">
        <v>1</v>
      </c>
      <c r="E1295" t="s">
        <v>5826</v>
      </c>
      <c r="F1295" t="s">
        <v>5827</v>
      </c>
      <c r="G1295" t="s">
        <v>5827</v>
      </c>
      <c r="H1295">
        <v>262</v>
      </c>
    </row>
    <row r="1296" spans="1:8" x14ac:dyDescent="0.25">
      <c r="A1296" t="s">
        <v>2183</v>
      </c>
      <c r="B1296">
        <v>1</v>
      </c>
      <c r="C1296">
        <v>1</v>
      </c>
      <c r="D1296">
        <v>1</v>
      </c>
      <c r="E1296" t="s">
        <v>5828</v>
      </c>
      <c r="F1296" t="s">
        <v>5828</v>
      </c>
      <c r="G1296" t="s">
        <v>5828</v>
      </c>
      <c r="H1296">
        <v>88</v>
      </c>
    </row>
    <row r="1297" spans="1:8" x14ac:dyDescent="0.25">
      <c r="A1297" t="s">
        <v>884</v>
      </c>
      <c r="B1297">
        <v>1</v>
      </c>
      <c r="C1297">
        <v>1</v>
      </c>
      <c r="D1297">
        <v>1</v>
      </c>
      <c r="E1297" t="s">
        <v>5829</v>
      </c>
      <c r="F1297" t="s">
        <v>5829</v>
      </c>
      <c r="G1297" t="s">
        <v>5829</v>
      </c>
      <c r="H1297">
        <v>241</v>
      </c>
    </row>
    <row r="1298" spans="1:8" x14ac:dyDescent="0.25">
      <c r="A1298" t="s">
        <v>1010</v>
      </c>
      <c r="B1298">
        <v>1</v>
      </c>
      <c r="C1298">
        <v>1</v>
      </c>
      <c r="D1298">
        <v>1</v>
      </c>
      <c r="E1298" t="s">
        <v>5830</v>
      </c>
      <c r="F1298" t="s">
        <v>5830</v>
      </c>
      <c r="G1298" t="s">
        <v>5830</v>
      </c>
      <c r="H1298">
        <v>279</v>
      </c>
    </row>
    <row r="1299" spans="1:8" x14ac:dyDescent="0.25">
      <c r="A1299" t="s">
        <v>1532</v>
      </c>
      <c r="B1299">
        <v>1</v>
      </c>
      <c r="C1299">
        <v>1</v>
      </c>
      <c r="D1299">
        <v>1</v>
      </c>
      <c r="E1299" t="s">
        <v>5831</v>
      </c>
      <c r="F1299" t="s">
        <v>5831</v>
      </c>
      <c r="G1299" t="s">
        <v>5831</v>
      </c>
      <c r="H1299">
        <v>144</v>
      </c>
    </row>
    <row r="1300" spans="1:8" x14ac:dyDescent="0.25">
      <c r="A1300" t="s">
        <v>1500</v>
      </c>
      <c r="B1300">
        <v>1</v>
      </c>
      <c r="C1300">
        <v>1</v>
      </c>
      <c r="D1300">
        <v>1</v>
      </c>
      <c r="E1300" t="s">
        <v>5832</v>
      </c>
      <c r="F1300" t="s">
        <v>5833</v>
      </c>
      <c r="G1300" t="s">
        <v>5833</v>
      </c>
      <c r="H1300">
        <v>91</v>
      </c>
    </row>
    <row r="1301" spans="1:8" x14ac:dyDescent="0.25">
      <c r="A1301" t="s">
        <v>1194</v>
      </c>
      <c r="B1301">
        <v>1</v>
      </c>
      <c r="C1301">
        <v>1</v>
      </c>
      <c r="D1301">
        <v>1</v>
      </c>
      <c r="E1301" t="s">
        <v>5834</v>
      </c>
      <c r="F1301" t="s">
        <v>5834</v>
      </c>
      <c r="G1301" t="s">
        <v>5834</v>
      </c>
      <c r="H1301">
        <v>186</v>
      </c>
    </row>
    <row r="1302" spans="1:8" x14ac:dyDescent="0.25">
      <c r="A1302" t="s">
        <v>568</v>
      </c>
      <c r="B1302">
        <v>1</v>
      </c>
      <c r="C1302">
        <v>1</v>
      </c>
      <c r="D1302">
        <v>1</v>
      </c>
      <c r="E1302" t="s">
        <v>5835</v>
      </c>
      <c r="F1302" t="s">
        <v>5835</v>
      </c>
      <c r="G1302" t="s">
        <v>5835</v>
      </c>
      <c r="H1302">
        <v>184</v>
      </c>
    </row>
    <row r="1303" spans="1:8" x14ac:dyDescent="0.25">
      <c r="A1303" t="s">
        <v>548</v>
      </c>
      <c r="B1303">
        <v>1</v>
      </c>
      <c r="C1303">
        <v>1</v>
      </c>
      <c r="D1303">
        <v>1</v>
      </c>
      <c r="E1303" t="s">
        <v>5836</v>
      </c>
      <c r="F1303" t="s">
        <v>5837</v>
      </c>
      <c r="G1303" t="s">
        <v>5837</v>
      </c>
      <c r="H1303">
        <v>226</v>
      </c>
    </row>
    <row r="1304" spans="1:8" x14ac:dyDescent="0.25">
      <c r="A1304" t="s">
        <v>450</v>
      </c>
      <c r="B1304">
        <v>1</v>
      </c>
      <c r="C1304">
        <v>1</v>
      </c>
      <c r="D1304">
        <v>1</v>
      </c>
      <c r="E1304" t="s">
        <v>5838</v>
      </c>
      <c r="F1304" t="s">
        <v>5838</v>
      </c>
      <c r="G1304" t="s">
        <v>5838</v>
      </c>
      <c r="H1304">
        <v>573</v>
      </c>
    </row>
    <row r="1305" spans="1:8" x14ac:dyDescent="0.25">
      <c r="A1305" t="s">
        <v>622</v>
      </c>
      <c r="B1305">
        <v>1</v>
      </c>
      <c r="C1305">
        <v>1</v>
      </c>
      <c r="D1305">
        <v>1</v>
      </c>
      <c r="E1305" t="s">
        <v>5839</v>
      </c>
      <c r="F1305" t="s">
        <v>5839</v>
      </c>
      <c r="G1305" t="s">
        <v>5839</v>
      </c>
      <c r="H1305">
        <v>413</v>
      </c>
    </row>
    <row r="1306" spans="1:8" x14ac:dyDescent="0.25">
      <c r="A1306" t="s">
        <v>1553</v>
      </c>
      <c r="B1306">
        <v>1</v>
      </c>
      <c r="C1306">
        <v>1</v>
      </c>
      <c r="D1306">
        <v>1</v>
      </c>
      <c r="E1306" t="s">
        <v>5840</v>
      </c>
      <c r="F1306" t="s">
        <v>5841</v>
      </c>
      <c r="G1306" t="s">
        <v>5841</v>
      </c>
      <c r="H1306">
        <v>152</v>
      </c>
    </row>
    <row r="1307" spans="1:8" x14ac:dyDescent="0.25">
      <c r="A1307" t="s">
        <v>1039</v>
      </c>
      <c r="B1307">
        <v>1</v>
      </c>
      <c r="C1307">
        <v>1</v>
      </c>
      <c r="D1307">
        <v>1</v>
      </c>
      <c r="E1307" t="s">
        <v>5842</v>
      </c>
      <c r="F1307" t="s">
        <v>5842</v>
      </c>
      <c r="G1307" t="s">
        <v>5842</v>
      </c>
      <c r="H1307">
        <v>232</v>
      </c>
    </row>
    <row r="1308" spans="1:8" x14ac:dyDescent="0.25">
      <c r="A1308" t="s">
        <v>1347</v>
      </c>
      <c r="B1308">
        <v>1</v>
      </c>
      <c r="C1308">
        <v>1</v>
      </c>
      <c r="D1308">
        <v>1</v>
      </c>
      <c r="E1308" t="s">
        <v>5843</v>
      </c>
      <c r="F1308" t="s">
        <v>5843</v>
      </c>
      <c r="G1308" t="s">
        <v>5843</v>
      </c>
      <c r="H1308">
        <v>173</v>
      </c>
    </row>
    <row r="1309" spans="1:8" x14ac:dyDescent="0.25">
      <c r="A1309" t="s">
        <v>1642</v>
      </c>
      <c r="B1309">
        <v>1</v>
      </c>
      <c r="C1309">
        <v>1</v>
      </c>
      <c r="D1309">
        <v>1</v>
      </c>
      <c r="E1309" t="s">
        <v>5844</v>
      </c>
      <c r="F1309" t="s">
        <v>5844</v>
      </c>
      <c r="G1309" t="s">
        <v>5844</v>
      </c>
      <c r="H1309">
        <v>126</v>
      </c>
    </row>
    <row r="1310" spans="1:8" x14ac:dyDescent="0.25">
      <c r="A1310" t="s">
        <v>1125</v>
      </c>
      <c r="B1310">
        <v>1</v>
      </c>
      <c r="C1310">
        <v>1</v>
      </c>
      <c r="D1310">
        <v>1</v>
      </c>
      <c r="E1310" t="s">
        <v>5845</v>
      </c>
      <c r="F1310" t="s">
        <v>5846</v>
      </c>
      <c r="G1310" t="s">
        <v>5846</v>
      </c>
      <c r="H1310">
        <v>209</v>
      </c>
    </row>
    <row r="1311" spans="1:8" x14ac:dyDescent="0.25">
      <c r="A1311" t="s">
        <v>803</v>
      </c>
      <c r="B1311">
        <v>1</v>
      </c>
      <c r="C1311">
        <v>1</v>
      </c>
      <c r="D1311">
        <v>1</v>
      </c>
      <c r="E1311" t="s">
        <v>5847</v>
      </c>
      <c r="F1311" t="s">
        <v>5848</v>
      </c>
      <c r="G1311" t="s">
        <v>5848</v>
      </c>
      <c r="H1311">
        <v>296</v>
      </c>
    </row>
    <row r="1312" spans="1:8" x14ac:dyDescent="0.25">
      <c r="A1312" t="s">
        <v>256</v>
      </c>
      <c r="B1312">
        <v>1</v>
      </c>
      <c r="C1312">
        <v>1</v>
      </c>
      <c r="D1312">
        <v>1</v>
      </c>
      <c r="E1312" t="s">
        <v>5849</v>
      </c>
      <c r="F1312" t="s">
        <v>5850</v>
      </c>
      <c r="G1312" t="s">
        <v>5850</v>
      </c>
      <c r="H1312">
        <v>760</v>
      </c>
    </row>
    <row r="1313" spans="1:8" x14ac:dyDescent="0.25">
      <c r="A1313" t="s">
        <v>952</v>
      </c>
      <c r="B1313">
        <v>1</v>
      </c>
      <c r="C1313">
        <v>1</v>
      </c>
      <c r="D1313">
        <v>1</v>
      </c>
      <c r="E1313" t="s">
        <v>5851</v>
      </c>
      <c r="F1313" t="s">
        <v>5852</v>
      </c>
      <c r="G1313" t="s">
        <v>5852</v>
      </c>
      <c r="H1313">
        <v>297</v>
      </c>
    </row>
    <row r="1314" spans="1:8" x14ac:dyDescent="0.25">
      <c r="A1314" t="s">
        <v>451</v>
      </c>
      <c r="B1314">
        <v>1</v>
      </c>
      <c r="C1314">
        <v>1</v>
      </c>
      <c r="D1314">
        <v>1</v>
      </c>
      <c r="E1314" t="s">
        <v>5853</v>
      </c>
      <c r="F1314" t="s">
        <v>5853</v>
      </c>
      <c r="G1314" t="s">
        <v>5853</v>
      </c>
      <c r="H1314">
        <v>482</v>
      </c>
    </row>
    <row r="1315" spans="1:8" x14ac:dyDescent="0.25">
      <c r="A1315" t="s">
        <v>230</v>
      </c>
      <c r="B1315">
        <v>1</v>
      </c>
      <c r="C1315">
        <v>1</v>
      </c>
      <c r="D1315">
        <v>1</v>
      </c>
      <c r="E1315" t="s">
        <v>5854</v>
      </c>
      <c r="F1315" t="s">
        <v>5855</v>
      </c>
      <c r="G1315" t="s">
        <v>5855</v>
      </c>
      <c r="H1315">
        <v>1192</v>
      </c>
    </row>
    <row r="1316" spans="1:8" x14ac:dyDescent="0.25">
      <c r="A1316" t="s">
        <v>199</v>
      </c>
      <c r="B1316">
        <v>2</v>
      </c>
      <c r="C1316">
        <v>2</v>
      </c>
      <c r="D1316">
        <v>1</v>
      </c>
      <c r="E1316" t="s">
        <v>5856</v>
      </c>
      <c r="F1316" t="s">
        <v>5857</v>
      </c>
      <c r="G1316" t="s">
        <v>4256</v>
      </c>
      <c r="H1316">
        <v>1348</v>
      </c>
    </row>
    <row r="1317" spans="1:8" x14ac:dyDescent="0.25">
      <c r="A1317" t="s">
        <v>237</v>
      </c>
      <c r="B1317">
        <v>1</v>
      </c>
      <c r="C1317">
        <v>1</v>
      </c>
      <c r="D1317">
        <v>1</v>
      </c>
      <c r="E1317" t="s">
        <v>5858</v>
      </c>
      <c r="F1317" t="s">
        <v>5858</v>
      </c>
      <c r="G1317" t="s">
        <v>5858</v>
      </c>
      <c r="H1317">
        <v>1137</v>
      </c>
    </row>
    <row r="1318" spans="1:8" x14ac:dyDescent="0.25">
      <c r="A1318" t="s">
        <v>239</v>
      </c>
      <c r="B1318">
        <v>1</v>
      </c>
      <c r="C1318">
        <v>1</v>
      </c>
      <c r="D1318">
        <v>1</v>
      </c>
      <c r="E1318" t="s">
        <v>5859</v>
      </c>
      <c r="F1318" t="s">
        <v>5859</v>
      </c>
      <c r="G1318" t="s">
        <v>5859</v>
      </c>
      <c r="H1318">
        <v>702</v>
      </c>
    </row>
    <row r="1319" spans="1:8" x14ac:dyDescent="0.25">
      <c r="A1319" t="s">
        <v>141</v>
      </c>
      <c r="B1319">
        <v>1</v>
      </c>
      <c r="C1319">
        <v>1</v>
      </c>
      <c r="D1319">
        <v>1</v>
      </c>
      <c r="E1319" t="s">
        <v>5860</v>
      </c>
      <c r="F1319" t="s">
        <v>5860</v>
      </c>
      <c r="G1319" t="s">
        <v>5860</v>
      </c>
      <c r="H1319">
        <v>1251</v>
      </c>
    </row>
    <row r="1320" spans="1:8" x14ac:dyDescent="0.25">
      <c r="A1320" t="s">
        <v>2135</v>
      </c>
      <c r="B1320">
        <v>1</v>
      </c>
      <c r="C1320">
        <v>1</v>
      </c>
      <c r="D1320">
        <v>1</v>
      </c>
      <c r="E1320" t="s">
        <v>5861</v>
      </c>
      <c r="F1320" t="s">
        <v>5861</v>
      </c>
      <c r="G1320" t="s">
        <v>5861</v>
      </c>
      <c r="H1320">
        <v>46</v>
      </c>
    </row>
    <row r="1321" spans="1:8" x14ac:dyDescent="0.25">
      <c r="A1321" t="s">
        <v>2419</v>
      </c>
      <c r="B1321">
        <v>1</v>
      </c>
      <c r="C1321">
        <v>1</v>
      </c>
      <c r="D1321">
        <v>1</v>
      </c>
      <c r="E1321" t="s">
        <v>5862</v>
      </c>
      <c r="F1321" t="s">
        <v>5862</v>
      </c>
      <c r="G1321" t="s">
        <v>5862</v>
      </c>
      <c r="H1321">
        <v>37</v>
      </c>
    </row>
    <row r="1322" spans="1:8" x14ac:dyDescent="0.25">
      <c r="A1322" t="s">
        <v>2754</v>
      </c>
      <c r="B1322">
        <v>1</v>
      </c>
      <c r="C1322">
        <v>1</v>
      </c>
      <c r="D1322">
        <v>1</v>
      </c>
      <c r="E1322" t="s">
        <v>5863</v>
      </c>
      <c r="F1322" t="s">
        <v>5863</v>
      </c>
      <c r="G1322" t="s">
        <v>5863</v>
      </c>
      <c r="H1322">
        <v>29</v>
      </c>
    </row>
    <row r="1323" spans="1:8" x14ac:dyDescent="0.25">
      <c r="A1323" t="s">
        <v>2014</v>
      </c>
      <c r="B1323">
        <v>1</v>
      </c>
      <c r="C1323">
        <v>1</v>
      </c>
      <c r="D1323">
        <v>1</v>
      </c>
      <c r="E1323" t="s">
        <v>5864</v>
      </c>
      <c r="F1323" t="s">
        <v>5864</v>
      </c>
      <c r="G1323" t="s">
        <v>5864</v>
      </c>
      <c r="H1323">
        <v>74</v>
      </c>
    </row>
    <row r="1324" spans="1:8" x14ac:dyDescent="0.25">
      <c r="A1324" t="s">
        <v>2785</v>
      </c>
      <c r="B1324">
        <v>1</v>
      </c>
      <c r="C1324">
        <v>1</v>
      </c>
      <c r="D1324">
        <v>1</v>
      </c>
      <c r="E1324" t="s">
        <v>5865</v>
      </c>
      <c r="F1324" t="s">
        <v>5866</v>
      </c>
      <c r="G1324" t="s">
        <v>5866</v>
      </c>
      <c r="H1324">
        <v>24</v>
      </c>
    </row>
    <row r="1325" spans="1:8" x14ac:dyDescent="0.25">
      <c r="A1325" t="s">
        <v>2806</v>
      </c>
      <c r="B1325">
        <v>1</v>
      </c>
      <c r="C1325">
        <v>1</v>
      </c>
      <c r="D1325">
        <v>1</v>
      </c>
      <c r="E1325" t="s">
        <v>5867</v>
      </c>
      <c r="F1325" t="s">
        <v>5867</v>
      </c>
      <c r="G1325" t="s">
        <v>5867</v>
      </c>
      <c r="H1325">
        <v>33</v>
      </c>
    </row>
    <row r="1326" spans="1:8" x14ac:dyDescent="0.25">
      <c r="A1326" t="s">
        <v>2143</v>
      </c>
      <c r="B1326">
        <v>1</v>
      </c>
      <c r="C1326">
        <v>1</v>
      </c>
      <c r="D1326">
        <v>1</v>
      </c>
      <c r="E1326" t="s">
        <v>5868</v>
      </c>
      <c r="F1326" t="s">
        <v>5868</v>
      </c>
      <c r="G1326" t="s">
        <v>5868</v>
      </c>
      <c r="H1326">
        <v>135</v>
      </c>
    </row>
    <row r="1327" spans="1:8" x14ac:dyDescent="0.25">
      <c r="A1327" t="s">
        <v>1376</v>
      </c>
      <c r="B1327">
        <v>1</v>
      </c>
      <c r="C1327">
        <v>1</v>
      </c>
      <c r="D1327">
        <v>1</v>
      </c>
      <c r="E1327" t="s">
        <v>5869</v>
      </c>
      <c r="F1327" t="s">
        <v>5869</v>
      </c>
      <c r="G1327" t="s">
        <v>5869</v>
      </c>
      <c r="H1327">
        <v>258</v>
      </c>
    </row>
    <row r="1328" spans="1:8" x14ac:dyDescent="0.25">
      <c r="A1328" t="s">
        <v>1520</v>
      </c>
      <c r="B1328">
        <v>1</v>
      </c>
      <c r="C1328">
        <v>1</v>
      </c>
      <c r="D1328">
        <v>1</v>
      </c>
      <c r="E1328" t="s">
        <v>5870</v>
      </c>
      <c r="F1328" t="s">
        <v>5870</v>
      </c>
      <c r="G1328" t="s">
        <v>5870</v>
      </c>
      <c r="H1328">
        <v>101</v>
      </c>
    </row>
    <row r="1329" spans="1:8" x14ac:dyDescent="0.25">
      <c r="A1329" t="s">
        <v>2024</v>
      </c>
      <c r="B1329">
        <v>1</v>
      </c>
      <c r="C1329">
        <v>1</v>
      </c>
      <c r="D1329">
        <v>1</v>
      </c>
      <c r="E1329" t="s">
        <v>5871</v>
      </c>
      <c r="F1329" t="s">
        <v>5871</v>
      </c>
      <c r="G1329" t="s">
        <v>5871</v>
      </c>
      <c r="H1329">
        <v>160</v>
      </c>
    </row>
    <row r="1330" spans="1:8" x14ac:dyDescent="0.25">
      <c r="A1330" t="s">
        <v>1728</v>
      </c>
      <c r="B1330">
        <v>1</v>
      </c>
      <c r="C1330">
        <v>1</v>
      </c>
      <c r="D1330">
        <v>1</v>
      </c>
      <c r="E1330" t="s">
        <v>5872</v>
      </c>
      <c r="F1330" t="s">
        <v>5872</v>
      </c>
      <c r="G1330" t="s">
        <v>5872</v>
      </c>
      <c r="H1330">
        <v>158</v>
      </c>
    </row>
    <row r="1331" spans="1:8" x14ac:dyDescent="0.25">
      <c r="A1331" t="s">
        <v>2076</v>
      </c>
      <c r="B1331">
        <v>1</v>
      </c>
      <c r="C1331">
        <v>1</v>
      </c>
      <c r="D1331">
        <v>1</v>
      </c>
      <c r="E1331" t="s">
        <v>5873</v>
      </c>
      <c r="F1331" t="s">
        <v>5874</v>
      </c>
      <c r="G1331" t="s">
        <v>5874</v>
      </c>
      <c r="H1331">
        <v>128</v>
      </c>
    </row>
    <row r="1332" spans="1:8" x14ac:dyDescent="0.25">
      <c r="A1332" t="s">
        <v>2461</v>
      </c>
      <c r="B1332">
        <v>1</v>
      </c>
      <c r="C1332">
        <v>1</v>
      </c>
      <c r="D1332">
        <v>1</v>
      </c>
      <c r="E1332" t="s">
        <v>5875</v>
      </c>
      <c r="F1332" t="s">
        <v>5875</v>
      </c>
      <c r="G1332" t="s">
        <v>5875</v>
      </c>
      <c r="H1332">
        <v>73</v>
      </c>
    </row>
    <row r="1333" spans="1:8" x14ac:dyDescent="0.25">
      <c r="A1333" t="s">
        <v>2483</v>
      </c>
      <c r="B1333">
        <v>1</v>
      </c>
      <c r="C1333">
        <v>1</v>
      </c>
      <c r="D1333">
        <v>1</v>
      </c>
      <c r="E1333" t="s">
        <v>5876</v>
      </c>
      <c r="F1333" t="s">
        <v>5876</v>
      </c>
      <c r="G1333" t="s">
        <v>5876</v>
      </c>
      <c r="H1333">
        <v>85</v>
      </c>
    </row>
    <row r="1334" spans="1:8" x14ac:dyDescent="0.25">
      <c r="A1334" t="s">
        <v>3163</v>
      </c>
      <c r="B1334">
        <v>2</v>
      </c>
      <c r="C1334">
        <v>2</v>
      </c>
      <c r="D1334">
        <v>2</v>
      </c>
      <c r="E1334" t="s">
        <v>5877</v>
      </c>
      <c r="F1334" t="s">
        <v>5877</v>
      </c>
      <c r="G1334" t="s">
        <v>4256</v>
      </c>
      <c r="H1334">
        <v>25</v>
      </c>
    </row>
    <row r="1335" spans="1:8" x14ac:dyDescent="0.25">
      <c r="A1335" t="s">
        <v>2947</v>
      </c>
      <c r="B1335">
        <v>1</v>
      </c>
      <c r="C1335">
        <v>1</v>
      </c>
      <c r="D1335">
        <v>1</v>
      </c>
      <c r="E1335" t="s">
        <v>5878</v>
      </c>
      <c r="F1335" t="s">
        <v>5878</v>
      </c>
      <c r="G1335" t="s">
        <v>5878</v>
      </c>
      <c r="H1335">
        <v>30</v>
      </c>
    </row>
    <row r="1336" spans="1:8" x14ac:dyDescent="0.25">
      <c r="A1336" t="s">
        <v>2646</v>
      </c>
      <c r="B1336">
        <v>1</v>
      </c>
      <c r="C1336">
        <v>1</v>
      </c>
      <c r="D1336">
        <v>1</v>
      </c>
      <c r="E1336" t="s">
        <v>5879</v>
      </c>
      <c r="F1336" t="s">
        <v>5879</v>
      </c>
      <c r="G1336" t="s">
        <v>5879</v>
      </c>
      <c r="H1336">
        <v>59</v>
      </c>
    </row>
    <row r="1337" spans="1:8" x14ac:dyDescent="0.25">
      <c r="A1337" t="s">
        <v>2750</v>
      </c>
      <c r="B1337">
        <v>1</v>
      </c>
      <c r="C1337">
        <v>1</v>
      </c>
      <c r="D1337">
        <v>1</v>
      </c>
      <c r="E1337" t="s">
        <v>5880</v>
      </c>
      <c r="F1337" t="s">
        <v>5880</v>
      </c>
      <c r="G1337" t="s">
        <v>5880</v>
      </c>
      <c r="H1337">
        <v>58</v>
      </c>
    </row>
    <row r="1338" spans="1:8" x14ac:dyDescent="0.25">
      <c r="A1338" t="s">
        <v>163</v>
      </c>
      <c r="B1338">
        <v>1</v>
      </c>
      <c r="C1338">
        <v>1</v>
      </c>
      <c r="D1338">
        <v>1</v>
      </c>
      <c r="E1338" t="s">
        <v>5881</v>
      </c>
      <c r="F1338" t="s">
        <v>5881</v>
      </c>
      <c r="G1338" t="s">
        <v>5881</v>
      </c>
      <c r="H1338">
        <v>1202</v>
      </c>
    </row>
    <row r="1339" spans="1:8" x14ac:dyDescent="0.25">
      <c r="A1339" t="s">
        <v>1223</v>
      </c>
      <c r="B1339">
        <v>1</v>
      </c>
      <c r="C1339">
        <v>1</v>
      </c>
      <c r="D1339">
        <v>1</v>
      </c>
      <c r="E1339" t="s">
        <v>5882</v>
      </c>
      <c r="F1339" t="s">
        <v>5883</v>
      </c>
      <c r="G1339" t="s">
        <v>5883</v>
      </c>
      <c r="H1339">
        <v>153</v>
      </c>
    </row>
    <row r="1340" spans="1:8" x14ac:dyDescent="0.25">
      <c r="A1340" t="s">
        <v>327</v>
      </c>
      <c r="B1340">
        <v>1</v>
      </c>
      <c r="C1340">
        <v>1</v>
      </c>
      <c r="D1340">
        <v>1</v>
      </c>
      <c r="E1340" t="s">
        <v>5884</v>
      </c>
      <c r="F1340" t="s">
        <v>5885</v>
      </c>
      <c r="G1340" t="s">
        <v>5885</v>
      </c>
      <c r="H1340">
        <v>422</v>
      </c>
    </row>
    <row r="1341" spans="1:8" x14ac:dyDescent="0.25">
      <c r="A1341" t="s">
        <v>1177</v>
      </c>
      <c r="B1341">
        <v>1</v>
      </c>
      <c r="C1341">
        <v>1</v>
      </c>
      <c r="D1341">
        <v>1</v>
      </c>
      <c r="E1341" t="s">
        <v>5886</v>
      </c>
      <c r="F1341" t="s">
        <v>5887</v>
      </c>
      <c r="G1341" t="s">
        <v>5887</v>
      </c>
      <c r="H1341">
        <v>100</v>
      </c>
    </row>
    <row r="1342" spans="1:8" x14ac:dyDescent="0.25">
      <c r="A1342" t="s">
        <v>2983</v>
      </c>
      <c r="B1342">
        <v>1</v>
      </c>
      <c r="C1342">
        <v>1</v>
      </c>
      <c r="D1342">
        <v>1</v>
      </c>
      <c r="E1342" t="s">
        <v>5888</v>
      </c>
      <c r="F1342" t="s">
        <v>5888</v>
      </c>
      <c r="G1342" t="s">
        <v>5888</v>
      </c>
      <c r="H1342">
        <v>14</v>
      </c>
    </row>
    <row r="1343" spans="1:8" x14ac:dyDescent="0.25">
      <c r="A1343" t="s">
        <v>1594</v>
      </c>
      <c r="B1343">
        <v>2</v>
      </c>
      <c r="C1343">
        <v>2</v>
      </c>
      <c r="D1343">
        <v>2</v>
      </c>
      <c r="E1343" t="s">
        <v>5889</v>
      </c>
      <c r="F1343" t="s">
        <v>5890</v>
      </c>
      <c r="G1343" t="s">
        <v>4256</v>
      </c>
      <c r="H1343">
        <v>77</v>
      </c>
    </row>
    <row r="1344" spans="1:8" x14ac:dyDescent="0.25">
      <c r="A1344" t="s">
        <v>683</v>
      </c>
      <c r="B1344">
        <v>1</v>
      </c>
      <c r="C1344">
        <v>1</v>
      </c>
      <c r="D1344">
        <v>1</v>
      </c>
      <c r="E1344" t="s">
        <v>5891</v>
      </c>
      <c r="F1344" t="s">
        <v>5891</v>
      </c>
      <c r="G1344" t="s">
        <v>5891</v>
      </c>
      <c r="H1344">
        <v>535</v>
      </c>
    </row>
    <row r="1345" spans="1:8" x14ac:dyDescent="0.25">
      <c r="A1345" t="s">
        <v>579</v>
      </c>
      <c r="B1345">
        <v>1</v>
      </c>
      <c r="C1345">
        <v>1</v>
      </c>
      <c r="D1345">
        <v>1</v>
      </c>
      <c r="E1345" t="s">
        <v>5892</v>
      </c>
      <c r="F1345" t="s">
        <v>5892</v>
      </c>
      <c r="G1345" t="s">
        <v>5892</v>
      </c>
      <c r="H1345">
        <v>327</v>
      </c>
    </row>
    <row r="1346" spans="1:8" x14ac:dyDescent="0.25">
      <c r="A1346" t="s">
        <v>1326</v>
      </c>
      <c r="B1346">
        <v>1</v>
      </c>
      <c r="C1346">
        <v>1</v>
      </c>
      <c r="D1346">
        <v>1</v>
      </c>
      <c r="E1346" t="s">
        <v>5893</v>
      </c>
      <c r="F1346" t="s">
        <v>5893</v>
      </c>
      <c r="G1346" t="s">
        <v>5893</v>
      </c>
      <c r="H1346">
        <v>282</v>
      </c>
    </row>
    <row r="1347" spans="1:8" x14ac:dyDescent="0.25">
      <c r="A1347" t="s">
        <v>2177</v>
      </c>
      <c r="B1347">
        <v>1</v>
      </c>
      <c r="C1347">
        <v>1</v>
      </c>
      <c r="D1347">
        <v>1</v>
      </c>
      <c r="E1347" t="s">
        <v>5894</v>
      </c>
      <c r="F1347" t="s">
        <v>5894</v>
      </c>
      <c r="G1347" t="s">
        <v>5894</v>
      </c>
      <c r="H1347">
        <v>129</v>
      </c>
    </row>
    <row r="1348" spans="1:8" x14ac:dyDescent="0.25">
      <c r="A1348" t="s">
        <v>1519</v>
      </c>
      <c r="B1348">
        <v>1</v>
      </c>
      <c r="C1348">
        <v>1</v>
      </c>
      <c r="D1348">
        <v>1</v>
      </c>
      <c r="E1348" t="s">
        <v>5895</v>
      </c>
      <c r="F1348" t="s">
        <v>5895</v>
      </c>
      <c r="G1348" t="s">
        <v>5895</v>
      </c>
      <c r="H1348">
        <v>217</v>
      </c>
    </row>
    <row r="1349" spans="1:8" x14ac:dyDescent="0.25">
      <c r="A1349" t="s">
        <v>1964</v>
      </c>
      <c r="B1349">
        <v>1</v>
      </c>
      <c r="C1349">
        <v>1</v>
      </c>
      <c r="D1349">
        <v>1</v>
      </c>
      <c r="E1349" t="s">
        <v>5896</v>
      </c>
      <c r="F1349" t="s">
        <v>5896</v>
      </c>
      <c r="G1349" t="s">
        <v>5896</v>
      </c>
      <c r="H1349">
        <v>209</v>
      </c>
    </row>
    <row r="1350" spans="1:8" x14ac:dyDescent="0.25">
      <c r="A1350" t="s">
        <v>128</v>
      </c>
      <c r="B1350">
        <v>3</v>
      </c>
      <c r="C1350">
        <v>3</v>
      </c>
      <c r="D1350">
        <v>3</v>
      </c>
      <c r="E1350" t="s">
        <v>5897</v>
      </c>
      <c r="F1350" t="s">
        <v>5897</v>
      </c>
      <c r="G1350" t="s">
        <v>4256</v>
      </c>
      <c r="H1350">
        <v>2203</v>
      </c>
    </row>
    <row r="1351" spans="1:8" x14ac:dyDescent="0.25">
      <c r="A1351" t="s">
        <v>299</v>
      </c>
      <c r="B1351">
        <v>1</v>
      </c>
      <c r="C1351">
        <v>1</v>
      </c>
      <c r="D1351">
        <v>1</v>
      </c>
      <c r="E1351" t="s">
        <v>5898</v>
      </c>
      <c r="F1351" t="s">
        <v>5898</v>
      </c>
      <c r="G1351" t="s">
        <v>5898</v>
      </c>
      <c r="H1351">
        <v>473</v>
      </c>
    </row>
    <row r="1352" spans="1:8" x14ac:dyDescent="0.25">
      <c r="A1352" t="s">
        <v>1073</v>
      </c>
      <c r="B1352">
        <v>1</v>
      </c>
      <c r="C1352">
        <v>1</v>
      </c>
      <c r="D1352">
        <v>1</v>
      </c>
      <c r="E1352" t="s">
        <v>5899</v>
      </c>
      <c r="F1352" t="s">
        <v>5899</v>
      </c>
      <c r="G1352" t="s">
        <v>5899</v>
      </c>
      <c r="H1352">
        <v>170</v>
      </c>
    </row>
    <row r="1353" spans="1:8" x14ac:dyDescent="0.25">
      <c r="A1353" t="s">
        <v>945</v>
      </c>
      <c r="B1353">
        <v>2</v>
      </c>
      <c r="C1353">
        <v>2</v>
      </c>
      <c r="D1353">
        <v>2</v>
      </c>
      <c r="E1353" t="s">
        <v>5900</v>
      </c>
      <c r="F1353" t="s">
        <v>5900</v>
      </c>
      <c r="G1353" t="s">
        <v>4256</v>
      </c>
      <c r="H1353">
        <v>217</v>
      </c>
    </row>
    <row r="1354" spans="1:8" x14ac:dyDescent="0.25">
      <c r="A1354" t="s">
        <v>290</v>
      </c>
      <c r="B1354">
        <v>2</v>
      </c>
      <c r="C1354">
        <v>2</v>
      </c>
      <c r="D1354">
        <v>2</v>
      </c>
      <c r="E1354" t="s">
        <v>5901</v>
      </c>
      <c r="F1354" t="s">
        <v>5901</v>
      </c>
      <c r="G1354" t="s">
        <v>4256</v>
      </c>
      <c r="H1354">
        <v>529</v>
      </c>
    </row>
    <row r="1355" spans="1:8" x14ac:dyDescent="0.25">
      <c r="A1355" t="s">
        <v>1254</v>
      </c>
      <c r="B1355">
        <v>1</v>
      </c>
      <c r="C1355">
        <v>1</v>
      </c>
      <c r="D1355">
        <v>1</v>
      </c>
      <c r="E1355" t="s">
        <v>5902</v>
      </c>
      <c r="F1355" t="s">
        <v>5902</v>
      </c>
      <c r="G1355" t="s">
        <v>5902</v>
      </c>
      <c r="H1355">
        <v>118</v>
      </c>
    </row>
    <row r="1356" spans="1:8" x14ac:dyDescent="0.25">
      <c r="A1356" t="s">
        <v>585</v>
      </c>
      <c r="B1356">
        <v>1</v>
      </c>
      <c r="C1356">
        <v>1</v>
      </c>
      <c r="D1356">
        <v>1</v>
      </c>
      <c r="E1356" t="s">
        <v>5903</v>
      </c>
      <c r="F1356" t="s">
        <v>5903</v>
      </c>
      <c r="G1356" t="s">
        <v>5903</v>
      </c>
      <c r="H1356">
        <v>403</v>
      </c>
    </row>
    <row r="1357" spans="1:8" x14ac:dyDescent="0.25">
      <c r="A1357" t="s">
        <v>874</v>
      </c>
      <c r="B1357">
        <v>1</v>
      </c>
      <c r="C1357">
        <v>1</v>
      </c>
      <c r="D1357">
        <v>1</v>
      </c>
      <c r="E1357" t="s">
        <v>5904</v>
      </c>
      <c r="F1357" t="s">
        <v>5904</v>
      </c>
      <c r="G1357" t="s">
        <v>5904</v>
      </c>
      <c r="H1357">
        <v>212</v>
      </c>
    </row>
    <row r="1358" spans="1:8" x14ac:dyDescent="0.25">
      <c r="A1358" t="s">
        <v>746</v>
      </c>
      <c r="B1358">
        <v>1</v>
      </c>
      <c r="C1358">
        <v>1</v>
      </c>
      <c r="D1358">
        <v>1</v>
      </c>
      <c r="E1358" t="s">
        <v>5905</v>
      </c>
      <c r="F1358" t="s">
        <v>5905</v>
      </c>
      <c r="G1358" t="s">
        <v>5905</v>
      </c>
      <c r="H1358">
        <v>343</v>
      </c>
    </row>
    <row r="1359" spans="1:8" x14ac:dyDescent="0.25">
      <c r="A1359" t="s">
        <v>863</v>
      </c>
      <c r="B1359">
        <v>1</v>
      </c>
      <c r="C1359">
        <v>1</v>
      </c>
      <c r="D1359">
        <v>1</v>
      </c>
      <c r="E1359" t="s">
        <v>5906</v>
      </c>
      <c r="F1359" t="s">
        <v>5906</v>
      </c>
      <c r="G1359" t="s">
        <v>5906</v>
      </c>
      <c r="H1359">
        <v>287</v>
      </c>
    </row>
    <row r="1360" spans="1:8" x14ac:dyDescent="0.25">
      <c r="A1360" t="s">
        <v>994</v>
      </c>
      <c r="B1360">
        <v>1</v>
      </c>
      <c r="C1360">
        <v>1</v>
      </c>
      <c r="D1360">
        <v>1</v>
      </c>
      <c r="E1360" t="s">
        <v>5907</v>
      </c>
      <c r="F1360" t="s">
        <v>5907</v>
      </c>
      <c r="G1360" t="s">
        <v>5907</v>
      </c>
      <c r="H1360">
        <v>232</v>
      </c>
    </row>
    <row r="1361" spans="1:8" x14ac:dyDescent="0.25">
      <c r="A1361" t="s">
        <v>1384</v>
      </c>
      <c r="B1361">
        <v>1</v>
      </c>
      <c r="C1361">
        <v>1</v>
      </c>
      <c r="D1361">
        <v>1</v>
      </c>
      <c r="E1361" t="s">
        <v>5908</v>
      </c>
      <c r="F1361" t="s">
        <v>5908</v>
      </c>
      <c r="G1361" t="s">
        <v>5908</v>
      </c>
      <c r="H1361">
        <v>130</v>
      </c>
    </row>
    <row r="1362" spans="1:8" x14ac:dyDescent="0.25">
      <c r="A1362" t="s">
        <v>835</v>
      </c>
      <c r="B1362">
        <v>2</v>
      </c>
      <c r="C1362">
        <v>2</v>
      </c>
      <c r="D1362">
        <v>2</v>
      </c>
      <c r="E1362" t="s">
        <v>5909</v>
      </c>
      <c r="F1362" t="s">
        <v>5909</v>
      </c>
      <c r="G1362" t="s">
        <v>4256</v>
      </c>
      <c r="H1362">
        <v>276</v>
      </c>
    </row>
    <row r="1363" spans="1:8" x14ac:dyDescent="0.25">
      <c r="A1363" t="s">
        <v>1478</v>
      </c>
      <c r="B1363">
        <v>1</v>
      </c>
      <c r="C1363">
        <v>1</v>
      </c>
      <c r="D1363">
        <v>1</v>
      </c>
      <c r="E1363" t="s">
        <v>5910</v>
      </c>
      <c r="F1363" t="s">
        <v>5910</v>
      </c>
      <c r="G1363" t="s">
        <v>5910</v>
      </c>
      <c r="H1363">
        <v>170</v>
      </c>
    </row>
    <row r="1364" spans="1:8" x14ac:dyDescent="0.25">
      <c r="A1364" t="s">
        <v>1048</v>
      </c>
      <c r="B1364">
        <v>1</v>
      </c>
      <c r="C1364">
        <v>1</v>
      </c>
      <c r="D1364">
        <v>1</v>
      </c>
      <c r="E1364" t="s">
        <v>5911</v>
      </c>
      <c r="F1364" t="s">
        <v>5911</v>
      </c>
      <c r="G1364" t="s">
        <v>5911</v>
      </c>
      <c r="H1364">
        <v>231</v>
      </c>
    </row>
    <row r="1365" spans="1:8" x14ac:dyDescent="0.25">
      <c r="A1365" t="s">
        <v>1711</v>
      </c>
      <c r="B1365">
        <v>1</v>
      </c>
      <c r="C1365">
        <v>1</v>
      </c>
      <c r="D1365">
        <v>1</v>
      </c>
      <c r="E1365" t="s">
        <v>5912</v>
      </c>
      <c r="F1365" t="s">
        <v>5912</v>
      </c>
      <c r="G1365" t="s">
        <v>5912</v>
      </c>
      <c r="H1365">
        <v>104</v>
      </c>
    </row>
    <row r="1366" spans="1:8" x14ac:dyDescent="0.25">
      <c r="A1366" t="s">
        <v>1547</v>
      </c>
      <c r="B1366">
        <v>1</v>
      </c>
      <c r="C1366">
        <v>1</v>
      </c>
      <c r="D1366">
        <v>1</v>
      </c>
      <c r="E1366" t="s">
        <v>5913</v>
      </c>
      <c r="F1366" t="s">
        <v>5914</v>
      </c>
      <c r="G1366" t="s">
        <v>5914</v>
      </c>
      <c r="H1366">
        <v>207</v>
      </c>
    </row>
    <row r="1367" spans="1:8" x14ac:dyDescent="0.25">
      <c r="A1367" t="s">
        <v>1058</v>
      </c>
      <c r="B1367">
        <v>1</v>
      </c>
      <c r="C1367">
        <v>1</v>
      </c>
      <c r="D1367">
        <v>1</v>
      </c>
      <c r="E1367" t="s">
        <v>5915</v>
      </c>
      <c r="F1367" t="s">
        <v>5915</v>
      </c>
      <c r="G1367" t="s">
        <v>5915</v>
      </c>
      <c r="H1367">
        <v>163</v>
      </c>
    </row>
    <row r="1368" spans="1:8" x14ac:dyDescent="0.25">
      <c r="A1368" t="s">
        <v>1085</v>
      </c>
      <c r="B1368">
        <v>1</v>
      </c>
      <c r="C1368">
        <v>1</v>
      </c>
      <c r="D1368">
        <v>1</v>
      </c>
      <c r="E1368" t="s">
        <v>5916</v>
      </c>
      <c r="F1368" t="s">
        <v>5916</v>
      </c>
      <c r="G1368" t="s">
        <v>5916</v>
      </c>
      <c r="H1368">
        <v>228</v>
      </c>
    </row>
    <row r="1369" spans="1:8" x14ac:dyDescent="0.25">
      <c r="A1369" t="s">
        <v>1576</v>
      </c>
      <c r="B1369">
        <v>1</v>
      </c>
      <c r="C1369">
        <v>1</v>
      </c>
      <c r="D1369">
        <v>1</v>
      </c>
      <c r="E1369" t="s">
        <v>5917</v>
      </c>
      <c r="F1369" t="s">
        <v>5917</v>
      </c>
      <c r="G1369" t="s">
        <v>5917</v>
      </c>
      <c r="H1369">
        <v>85</v>
      </c>
    </row>
    <row r="1370" spans="1:8" x14ac:dyDescent="0.25">
      <c r="A1370" t="s">
        <v>1485</v>
      </c>
      <c r="B1370">
        <v>1</v>
      </c>
      <c r="C1370">
        <v>1</v>
      </c>
      <c r="D1370">
        <v>1</v>
      </c>
      <c r="E1370" t="s">
        <v>5918</v>
      </c>
      <c r="F1370" t="s">
        <v>5918</v>
      </c>
      <c r="G1370" t="s">
        <v>5918</v>
      </c>
      <c r="H1370">
        <v>94</v>
      </c>
    </row>
    <row r="1371" spans="1:8" x14ac:dyDescent="0.25">
      <c r="A1371" t="s">
        <v>1675</v>
      </c>
      <c r="B1371">
        <v>1</v>
      </c>
      <c r="C1371">
        <v>1</v>
      </c>
      <c r="D1371">
        <v>1</v>
      </c>
      <c r="E1371" t="s">
        <v>5919</v>
      </c>
      <c r="F1371" t="s">
        <v>5920</v>
      </c>
      <c r="G1371" t="s">
        <v>5920</v>
      </c>
      <c r="H1371">
        <v>66</v>
      </c>
    </row>
    <row r="1372" spans="1:8" x14ac:dyDescent="0.25">
      <c r="A1372" t="s">
        <v>1355</v>
      </c>
      <c r="B1372">
        <v>1</v>
      </c>
      <c r="C1372">
        <v>1</v>
      </c>
      <c r="D1372">
        <v>1</v>
      </c>
      <c r="E1372" t="s">
        <v>5921</v>
      </c>
      <c r="F1372" t="s">
        <v>5921</v>
      </c>
      <c r="G1372" t="s">
        <v>5921</v>
      </c>
      <c r="H1372">
        <v>138</v>
      </c>
    </row>
    <row r="1373" spans="1:8" x14ac:dyDescent="0.25">
      <c r="A1373" t="s">
        <v>1649</v>
      </c>
      <c r="B1373">
        <v>1</v>
      </c>
      <c r="C1373">
        <v>1</v>
      </c>
      <c r="D1373">
        <v>1</v>
      </c>
      <c r="E1373" t="s">
        <v>5922</v>
      </c>
      <c r="F1373" t="s">
        <v>5922</v>
      </c>
      <c r="G1373" t="s">
        <v>5922</v>
      </c>
      <c r="H1373">
        <v>136</v>
      </c>
    </row>
    <row r="1374" spans="1:8" x14ac:dyDescent="0.25">
      <c r="A1374" t="s">
        <v>2476</v>
      </c>
      <c r="B1374">
        <v>1</v>
      </c>
      <c r="C1374">
        <v>1</v>
      </c>
      <c r="D1374">
        <v>1</v>
      </c>
      <c r="E1374" t="s">
        <v>5923</v>
      </c>
      <c r="F1374" t="s">
        <v>5923</v>
      </c>
      <c r="G1374" t="s">
        <v>5923</v>
      </c>
      <c r="H1374">
        <v>45</v>
      </c>
    </row>
    <row r="1375" spans="1:8" x14ac:dyDescent="0.25">
      <c r="A1375" t="s">
        <v>2118</v>
      </c>
      <c r="B1375">
        <v>1</v>
      </c>
      <c r="C1375">
        <v>1</v>
      </c>
      <c r="D1375">
        <v>1</v>
      </c>
      <c r="E1375" t="s">
        <v>5924</v>
      </c>
      <c r="F1375" t="s">
        <v>5924</v>
      </c>
      <c r="G1375" t="s">
        <v>5924</v>
      </c>
      <c r="H1375">
        <v>45</v>
      </c>
    </row>
    <row r="1376" spans="1:8" x14ac:dyDescent="0.25">
      <c r="A1376" t="s">
        <v>1377</v>
      </c>
      <c r="B1376">
        <v>2</v>
      </c>
      <c r="C1376">
        <v>2</v>
      </c>
      <c r="D1376">
        <v>2</v>
      </c>
      <c r="E1376" t="s">
        <v>5925</v>
      </c>
      <c r="F1376" t="s">
        <v>5925</v>
      </c>
      <c r="G1376" t="s">
        <v>4256</v>
      </c>
      <c r="H1376">
        <v>147</v>
      </c>
    </row>
    <row r="1377" spans="1:8" x14ac:dyDescent="0.25">
      <c r="A1377" t="s">
        <v>2112</v>
      </c>
      <c r="B1377">
        <v>1</v>
      </c>
      <c r="C1377">
        <v>1</v>
      </c>
      <c r="D1377">
        <v>1</v>
      </c>
      <c r="E1377" t="s">
        <v>5926</v>
      </c>
      <c r="F1377" t="s">
        <v>5926</v>
      </c>
      <c r="G1377" t="s">
        <v>5926</v>
      </c>
      <c r="H1377">
        <v>61</v>
      </c>
    </row>
    <row r="1378" spans="1:8" x14ac:dyDescent="0.25">
      <c r="A1378" t="s">
        <v>1959</v>
      </c>
      <c r="B1378">
        <v>1</v>
      </c>
      <c r="C1378">
        <v>1</v>
      </c>
      <c r="D1378">
        <v>1</v>
      </c>
      <c r="E1378" t="s">
        <v>5927</v>
      </c>
      <c r="F1378" t="s">
        <v>5927</v>
      </c>
      <c r="G1378" t="s">
        <v>5927</v>
      </c>
      <c r="H1378">
        <v>58</v>
      </c>
    </row>
    <row r="1379" spans="1:8" x14ac:dyDescent="0.25">
      <c r="A1379" t="s">
        <v>1265</v>
      </c>
      <c r="B1379">
        <v>1</v>
      </c>
      <c r="C1379">
        <v>1</v>
      </c>
      <c r="D1379">
        <v>1</v>
      </c>
      <c r="E1379" t="s">
        <v>5928</v>
      </c>
      <c r="F1379" t="s">
        <v>5928</v>
      </c>
      <c r="G1379" t="s">
        <v>5928</v>
      </c>
      <c r="H1379">
        <v>149</v>
      </c>
    </row>
    <row r="1380" spans="1:8" x14ac:dyDescent="0.25">
      <c r="A1380" t="s">
        <v>1603</v>
      </c>
      <c r="B1380">
        <v>1</v>
      </c>
      <c r="C1380">
        <v>1</v>
      </c>
      <c r="D1380">
        <v>1</v>
      </c>
      <c r="E1380" t="s">
        <v>5929</v>
      </c>
      <c r="F1380" t="s">
        <v>5929</v>
      </c>
      <c r="G1380" t="s">
        <v>5929</v>
      </c>
      <c r="H1380">
        <v>83</v>
      </c>
    </row>
    <row r="1381" spans="1:8" x14ac:dyDescent="0.25">
      <c r="A1381" t="s">
        <v>1912</v>
      </c>
      <c r="B1381">
        <v>1</v>
      </c>
      <c r="C1381">
        <v>1</v>
      </c>
      <c r="D1381">
        <v>1</v>
      </c>
      <c r="E1381" t="s">
        <v>5930</v>
      </c>
      <c r="F1381" t="s">
        <v>5930</v>
      </c>
      <c r="G1381" t="s">
        <v>5930</v>
      </c>
      <c r="H1381">
        <v>45</v>
      </c>
    </row>
    <row r="1382" spans="1:8" x14ac:dyDescent="0.25">
      <c r="A1382" t="s">
        <v>373</v>
      </c>
      <c r="B1382">
        <v>1</v>
      </c>
      <c r="C1382">
        <v>1</v>
      </c>
      <c r="D1382">
        <v>1</v>
      </c>
      <c r="E1382" t="s">
        <v>5931</v>
      </c>
      <c r="F1382" t="s">
        <v>5932</v>
      </c>
      <c r="G1382" t="s">
        <v>5932</v>
      </c>
      <c r="H1382">
        <v>511</v>
      </c>
    </row>
    <row r="1383" spans="1:8" x14ac:dyDescent="0.25">
      <c r="A1383" t="s">
        <v>164</v>
      </c>
      <c r="B1383">
        <v>1</v>
      </c>
      <c r="C1383">
        <v>1</v>
      </c>
      <c r="D1383">
        <v>1</v>
      </c>
      <c r="E1383" t="s">
        <v>5933</v>
      </c>
      <c r="F1383" t="s">
        <v>5934</v>
      </c>
      <c r="G1383" t="s">
        <v>5934</v>
      </c>
      <c r="H1383">
        <v>1280</v>
      </c>
    </row>
    <row r="1384" spans="1:8" x14ac:dyDescent="0.25">
      <c r="A1384" t="s">
        <v>1469</v>
      </c>
      <c r="B1384">
        <v>2</v>
      </c>
      <c r="C1384">
        <v>2</v>
      </c>
      <c r="D1384">
        <v>2</v>
      </c>
      <c r="E1384" t="s">
        <v>5935</v>
      </c>
      <c r="F1384" t="s">
        <v>5935</v>
      </c>
      <c r="G1384" t="s">
        <v>4256</v>
      </c>
      <c r="H1384">
        <v>24</v>
      </c>
    </row>
    <row r="1385" spans="1:8" x14ac:dyDescent="0.25">
      <c r="A1385" t="s">
        <v>1747</v>
      </c>
      <c r="B1385">
        <v>2</v>
      </c>
      <c r="C1385">
        <v>2</v>
      </c>
      <c r="D1385">
        <v>2</v>
      </c>
      <c r="E1385" t="s">
        <v>5936</v>
      </c>
      <c r="F1385" t="s">
        <v>5936</v>
      </c>
      <c r="G1385" t="s">
        <v>4256</v>
      </c>
      <c r="H1385">
        <v>28</v>
      </c>
    </row>
    <row r="1386" spans="1:8" x14ac:dyDescent="0.25">
      <c r="A1386" t="s">
        <v>869</v>
      </c>
      <c r="B1386">
        <v>1</v>
      </c>
      <c r="C1386">
        <v>1</v>
      </c>
      <c r="D1386">
        <v>1</v>
      </c>
      <c r="E1386" t="s">
        <v>5937</v>
      </c>
      <c r="F1386" t="s">
        <v>5937</v>
      </c>
      <c r="G1386" t="s">
        <v>5937</v>
      </c>
      <c r="H1386">
        <v>219</v>
      </c>
    </row>
    <row r="1387" spans="1:8" x14ac:dyDescent="0.25">
      <c r="A1387" t="s">
        <v>1456</v>
      </c>
      <c r="B1387">
        <v>1</v>
      </c>
      <c r="C1387">
        <v>1</v>
      </c>
      <c r="D1387">
        <v>1</v>
      </c>
      <c r="E1387" t="s">
        <v>5938</v>
      </c>
      <c r="F1387" t="s">
        <v>5938</v>
      </c>
      <c r="G1387" t="s">
        <v>5938</v>
      </c>
      <c r="H1387">
        <v>67</v>
      </c>
    </row>
    <row r="1388" spans="1:8" x14ac:dyDescent="0.25">
      <c r="A1388" t="s">
        <v>588</v>
      </c>
      <c r="B1388">
        <v>1</v>
      </c>
      <c r="C1388">
        <v>1</v>
      </c>
      <c r="D1388">
        <v>1</v>
      </c>
      <c r="E1388" t="s">
        <v>5939</v>
      </c>
      <c r="F1388" t="s">
        <v>5939</v>
      </c>
      <c r="G1388" t="s">
        <v>5939</v>
      </c>
      <c r="H1388">
        <v>371</v>
      </c>
    </row>
    <row r="1389" spans="1:8" x14ac:dyDescent="0.25">
      <c r="A1389" t="s">
        <v>890</v>
      </c>
      <c r="B1389">
        <v>1</v>
      </c>
      <c r="C1389">
        <v>1</v>
      </c>
      <c r="D1389">
        <v>1</v>
      </c>
      <c r="E1389" t="s">
        <v>5940</v>
      </c>
      <c r="F1389" t="s">
        <v>5940</v>
      </c>
      <c r="G1389" t="s">
        <v>5940</v>
      </c>
      <c r="H1389">
        <v>209</v>
      </c>
    </row>
    <row r="1390" spans="1:8" x14ac:dyDescent="0.25">
      <c r="A1390" t="s">
        <v>578</v>
      </c>
      <c r="B1390">
        <v>2</v>
      </c>
      <c r="C1390">
        <v>2</v>
      </c>
      <c r="D1390">
        <v>2</v>
      </c>
      <c r="E1390" t="s">
        <v>5941</v>
      </c>
      <c r="F1390" t="s">
        <v>5941</v>
      </c>
      <c r="G1390" t="s">
        <v>4256</v>
      </c>
      <c r="H1390">
        <v>215</v>
      </c>
    </row>
    <row r="1391" spans="1:8" x14ac:dyDescent="0.25">
      <c r="A1391" t="s">
        <v>224</v>
      </c>
      <c r="B1391">
        <v>3</v>
      </c>
      <c r="C1391">
        <v>3</v>
      </c>
      <c r="D1391">
        <v>3</v>
      </c>
      <c r="E1391" t="s">
        <v>5942</v>
      </c>
      <c r="F1391" t="s">
        <v>5942</v>
      </c>
      <c r="G1391" t="s">
        <v>4256</v>
      </c>
      <c r="H1391">
        <v>731</v>
      </c>
    </row>
    <row r="1392" spans="1:8" x14ac:dyDescent="0.25">
      <c r="A1392" t="s">
        <v>805</v>
      </c>
      <c r="B1392">
        <v>1</v>
      </c>
      <c r="C1392">
        <v>1</v>
      </c>
      <c r="D1392">
        <v>1</v>
      </c>
      <c r="E1392" t="s">
        <v>5943</v>
      </c>
      <c r="F1392" t="s">
        <v>5943</v>
      </c>
      <c r="G1392" t="s">
        <v>5943</v>
      </c>
      <c r="H1392">
        <v>155</v>
      </c>
    </row>
    <row r="1393" spans="1:8" x14ac:dyDescent="0.25">
      <c r="A1393" t="s">
        <v>154</v>
      </c>
      <c r="B1393">
        <v>1</v>
      </c>
      <c r="C1393">
        <v>1</v>
      </c>
      <c r="D1393">
        <v>1</v>
      </c>
      <c r="E1393" t="s">
        <v>5944</v>
      </c>
      <c r="F1393" t="s">
        <v>5944</v>
      </c>
      <c r="G1393" t="s">
        <v>5944</v>
      </c>
      <c r="H1393">
        <v>1239</v>
      </c>
    </row>
    <row r="1394" spans="1:8" x14ac:dyDescent="0.25">
      <c r="A1394" t="s">
        <v>159</v>
      </c>
      <c r="B1394">
        <v>1</v>
      </c>
      <c r="C1394">
        <v>1</v>
      </c>
      <c r="D1394">
        <v>1</v>
      </c>
      <c r="E1394" t="s">
        <v>5945</v>
      </c>
      <c r="F1394" t="s">
        <v>5945</v>
      </c>
      <c r="G1394" t="s">
        <v>5945</v>
      </c>
      <c r="H1394">
        <v>963</v>
      </c>
    </row>
    <row r="1395" spans="1:8" x14ac:dyDescent="0.25">
      <c r="A1395" t="s">
        <v>1423</v>
      </c>
      <c r="B1395">
        <v>1</v>
      </c>
      <c r="C1395">
        <v>1</v>
      </c>
      <c r="D1395">
        <v>1</v>
      </c>
      <c r="E1395" t="s">
        <v>5946</v>
      </c>
      <c r="F1395" t="s">
        <v>5947</v>
      </c>
      <c r="G1395" t="s">
        <v>5947</v>
      </c>
      <c r="H1395">
        <v>107</v>
      </c>
    </row>
    <row r="1396" spans="1:8" x14ac:dyDescent="0.25">
      <c r="A1396" t="s">
        <v>1410</v>
      </c>
      <c r="B1396">
        <v>1</v>
      </c>
      <c r="C1396">
        <v>1</v>
      </c>
      <c r="D1396">
        <v>1</v>
      </c>
      <c r="E1396" t="s">
        <v>5948</v>
      </c>
      <c r="F1396" t="s">
        <v>5948</v>
      </c>
      <c r="G1396" t="s">
        <v>5948</v>
      </c>
      <c r="H1396">
        <v>112</v>
      </c>
    </row>
    <row r="1397" spans="1:8" x14ac:dyDescent="0.25">
      <c r="A1397" t="s">
        <v>1357</v>
      </c>
      <c r="B1397">
        <v>1</v>
      </c>
      <c r="C1397">
        <v>1</v>
      </c>
      <c r="D1397">
        <v>1</v>
      </c>
      <c r="E1397" t="s">
        <v>5949</v>
      </c>
      <c r="F1397" t="s">
        <v>5949</v>
      </c>
      <c r="G1397" t="s">
        <v>5949</v>
      </c>
      <c r="H1397">
        <v>114</v>
      </c>
    </row>
    <row r="1398" spans="1:8" x14ac:dyDescent="0.25">
      <c r="A1398" t="s">
        <v>1350</v>
      </c>
      <c r="B1398">
        <v>1</v>
      </c>
      <c r="C1398">
        <v>1</v>
      </c>
      <c r="D1398">
        <v>1</v>
      </c>
      <c r="E1398" t="s">
        <v>5950</v>
      </c>
      <c r="F1398" t="s">
        <v>5950</v>
      </c>
      <c r="G1398" t="s">
        <v>5950</v>
      </c>
      <c r="H1398">
        <v>135</v>
      </c>
    </row>
    <row r="1399" spans="1:8" x14ac:dyDescent="0.25">
      <c r="A1399" t="s">
        <v>1370</v>
      </c>
      <c r="B1399">
        <v>1</v>
      </c>
      <c r="C1399">
        <v>1</v>
      </c>
      <c r="D1399">
        <v>1</v>
      </c>
      <c r="E1399" t="s">
        <v>5951</v>
      </c>
      <c r="F1399" t="s">
        <v>5951</v>
      </c>
      <c r="G1399" t="s">
        <v>5951</v>
      </c>
      <c r="H1399">
        <v>143</v>
      </c>
    </row>
    <row r="1400" spans="1:8" x14ac:dyDescent="0.25">
      <c r="A1400" t="s">
        <v>950</v>
      </c>
      <c r="B1400">
        <v>1</v>
      </c>
      <c r="C1400">
        <v>1</v>
      </c>
      <c r="D1400">
        <v>1</v>
      </c>
      <c r="E1400" t="s">
        <v>5952</v>
      </c>
      <c r="F1400" t="s">
        <v>5952</v>
      </c>
      <c r="G1400" t="s">
        <v>5952</v>
      </c>
      <c r="H1400">
        <v>128</v>
      </c>
    </row>
    <row r="1401" spans="1:8" x14ac:dyDescent="0.25">
      <c r="A1401" t="s">
        <v>1207</v>
      </c>
      <c r="B1401">
        <v>1</v>
      </c>
      <c r="C1401">
        <v>1</v>
      </c>
      <c r="D1401">
        <v>1</v>
      </c>
      <c r="E1401" t="s">
        <v>5953</v>
      </c>
      <c r="F1401" t="s">
        <v>5953</v>
      </c>
      <c r="G1401" t="s">
        <v>5953</v>
      </c>
      <c r="H1401">
        <v>129</v>
      </c>
    </row>
    <row r="1402" spans="1:8" x14ac:dyDescent="0.25">
      <c r="A1402" t="s">
        <v>1107</v>
      </c>
      <c r="B1402">
        <v>1</v>
      </c>
      <c r="C1402">
        <v>1</v>
      </c>
      <c r="D1402">
        <v>1</v>
      </c>
      <c r="E1402" t="s">
        <v>5954</v>
      </c>
      <c r="F1402" t="s">
        <v>5955</v>
      </c>
      <c r="G1402" t="s">
        <v>5955</v>
      </c>
      <c r="H1402">
        <v>141</v>
      </c>
    </row>
    <row r="1403" spans="1:8" x14ac:dyDescent="0.25">
      <c r="A1403" t="s">
        <v>1337</v>
      </c>
      <c r="B1403">
        <v>1</v>
      </c>
      <c r="C1403">
        <v>1</v>
      </c>
      <c r="D1403">
        <v>1</v>
      </c>
      <c r="E1403" t="s">
        <v>5956</v>
      </c>
      <c r="F1403" t="s">
        <v>5956</v>
      </c>
      <c r="G1403" t="s">
        <v>5956</v>
      </c>
      <c r="H1403">
        <v>98</v>
      </c>
    </row>
    <row r="1404" spans="1:8" x14ac:dyDescent="0.25">
      <c r="A1404" t="s">
        <v>1995</v>
      </c>
      <c r="B1404">
        <v>1</v>
      </c>
      <c r="C1404">
        <v>1</v>
      </c>
      <c r="D1404">
        <v>1</v>
      </c>
      <c r="E1404" t="s">
        <v>5957</v>
      </c>
      <c r="F1404" t="s">
        <v>5957</v>
      </c>
      <c r="G1404" t="s">
        <v>5957</v>
      </c>
      <c r="H1404">
        <v>75</v>
      </c>
    </row>
    <row r="1405" spans="1:8" x14ac:dyDescent="0.25">
      <c r="A1405" t="s">
        <v>2007</v>
      </c>
      <c r="B1405">
        <v>2</v>
      </c>
      <c r="C1405">
        <v>2</v>
      </c>
      <c r="D1405">
        <v>2</v>
      </c>
      <c r="E1405" t="s">
        <v>5958</v>
      </c>
      <c r="F1405" t="s">
        <v>5958</v>
      </c>
      <c r="G1405" t="s">
        <v>4256</v>
      </c>
      <c r="H1405">
        <v>132</v>
      </c>
    </row>
    <row r="1406" spans="1:8" x14ac:dyDescent="0.25">
      <c r="A1406" t="s">
        <v>2244</v>
      </c>
      <c r="B1406">
        <v>1</v>
      </c>
      <c r="C1406">
        <v>1</v>
      </c>
      <c r="D1406">
        <v>1</v>
      </c>
      <c r="E1406" t="s">
        <v>5959</v>
      </c>
      <c r="F1406" t="s">
        <v>5959</v>
      </c>
      <c r="G1406" t="s">
        <v>5959</v>
      </c>
      <c r="H1406">
        <v>54</v>
      </c>
    </row>
    <row r="1407" spans="1:8" x14ac:dyDescent="0.25">
      <c r="A1407" t="s">
        <v>1080</v>
      </c>
      <c r="B1407">
        <v>1</v>
      </c>
      <c r="C1407">
        <v>1</v>
      </c>
      <c r="D1407">
        <v>1</v>
      </c>
      <c r="E1407" t="s">
        <v>5960</v>
      </c>
      <c r="F1407" t="s">
        <v>5961</v>
      </c>
      <c r="G1407" t="s">
        <v>5961</v>
      </c>
      <c r="H1407">
        <v>174</v>
      </c>
    </row>
    <row r="1408" spans="1:8" x14ac:dyDescent="0.25">
      <c r="A1408" t="s">
        <v>461</v>
      </c>
      <c r="B1408">
        <v>1</v>
      </c>
      <c r="C1408">
        <v>1</v>
      </c>
      <c r="D1408">
        <v>1</v>
      </c>
      <c r="E1408" t="s">
        <v>5962</v>
      </c>
      <c r="F1408" t="s">
        <v>5962</v>
      </c>
      <c r="G1408" t="s">
        <v>5962</v>
      </c>
      <c r="H1408">
        <v>212</v>
      </c>
    </row>
    <row r="1409" spans="1:8" x14ac:dyDescent="0.25">
      <c r="A1409" t="s">
        <v>2417</v>
      </c>
      <c r="B1409">
        <v>1</v>
      </c>
      <c r="C1409">
        <v>1</v>
      </c>
      <c r="D1409">
        <v>1</v>
      </c>
      <c r="E1409" t="s">
        <v>5963</v>
      </c>
      <c r="F1409" t="s">
        <v>5963</v>
      </c>
      <c r="G1409" t="s">
        <v>5963</v>
      </c>
      <c r="H1409">
        <v>28</v>
      </c>
    </row>
    <row r="1410" spans="1:8" x14ac:dyDescent="0.25">
      <c r="A1410" t="s">
        <v>428</v>
      </c>
      <c r="B1410">
        <v>1</v>
      </c>
      <c r="C1410">
        <v>1</v>
      </c>
      <c r="D1410">
        <v>1</v>
      </c>
      <c r="E1410" t="s">
        <v>5964</v>
      </c>
      <c r="F1410" t="s">
        <v>5964</v>
      </c>
      <c r="G1410" t="s">
        <v>5964</v>
      </c>
      <c r="H1410">
        <v>447</v>
      </c>
    </row>
    <row r="1411" spans="1:8" x14ac:dyDescent="0.25">
      <c r="A1411" t="s">
        <v>580</v>
      </c>
      <c r="B1411">
        <v>1</v>
      </c>
      <c r="C1411">
        <v>1</v>
      </c>
      <c r="D1411">
        <v>1</v>
      </c>
      <c r="E1411" t="s">
        <v>5965</v>
      </c>
      <c r="F1411" t="s">
        <v>5965</v>
      </c>
      <c r="G1411" t="s">
        <v>5965</v>
      </c>
      <c r="H1411">
        <v>427</v>
      </c>
    </row>
    <row r="1412" spans="1:8" x14ac:dyDescent="0.25">
      <c r="A1412" t="s">
        <v>737</v>
      </c>
      <c r="B1412">
        <v>1</v>
      </c>
      <c r="C1412">
        <v>1</v>
      </c>
      <c r="D1412">
        <v>1</v>
      </c>
      <c r="E1412" t="s">
        <v>5966</v>
      </c>
      <c r="F1412" t="s">
        <v>5966</v>
      </c>
      <c r="G1412" t="s">
        <v>5966</v>
      </c>
      <c r="H1412">
        <v>450</v>
      </c>
    </row>
    <row r="1413" spans="1:8" x14ac:dyDescent="0.25">
      <c r="A1413" t="s">
        <v>886</v>
      </c>
      <c r="B1413">
        <v>1</v>
      </c>
      <c r="C1413">
        <v>1</v>
      </c>
      <c r="D1413">
        <v>1</v>
      </c>
      <c r="E1413" t="s">
        <v>5967</v>
      </c>
      <c r="F1413" t="s">
        <v>5967</v>
      </c>
      <c r="G1413" t="s">
        <v>5967</v>
      </c>
      <c r="H1413">
        <v>223</v>
      </c>
    </row>
    <row r="1414" spans="1:8" x14ac:dyDescent="0.25">
      <c r="A1414" t="s">
        <v>243</v>
      </c>
      <c r="B1414">
        <v>1</v>
      </c>
      <c r="C1414">
        <v>1</v>
      </c>
      <c r="D1414">
        <v>1</v>
      </c>
      <c r="E1414" t="s">
        <v>5968</v>
      </c>
      <c r="F1414" t="s">
        <v>5969</v>
      </c>
      <c r="G1414" t="s">
        <v>5969</v>
      </c>
      <c r="H1414">
        <v>390</v>
      </c>
    </row>
    <row r="1415" spans="1:8" x14ac:dyDescent="0.25">
      <c r="A1415" t="s">
        <v>750</v>
      </c>
      <c r="B1415">
        <v>1</v>
      </c>
      <c r="C1415">
        <v>1</v>
      </c>
      <c r="D1415">
        <v>1</v>
      </c>
      <c r="E1415" t="s">
        <v>5970</v>
      </c>
      <c r="F1415" t="s">
        <v>5970</v>
      </c>
      <c r="G1415" t="s">
        <v>5970</v>
      </c>
      <c r="H1415">
        <v>228</v>
      </c>
    </row>
    <row r="1416" spans="1:8" x14ac:dyDescent="0.25">
      <c r="A1416" t="s">
        <v>1388</v>
      </c>
      <c r="B1416">
        <v>1</v>
      </c>
      <c r="C1416">
        <v>1</v>
      </c>
      <c r="D1416">
        <v>1</v>
      </c>
      <c r="E1416" t="s">
        <v>5971</v>
      </c>
      <c r="F1416" t="s">
        <v>5972</v>
      </c>
      <c r="G1416" t="s">
        <v>5972</v>
      </c>
      <c r="H1416">
        <v>253</v>
      </c>
    </row>
    <row r="1417" spans="1:8" x14ac:dyDescent="0.25">
      <c r="A1417" t="s">
        <v>2001</v>
      </c>
      <c r="B1417">
        <v>1</v>
      </c>
      <c r="C1417">
        <v>1</v>
      </c>
      <c r="D1417">
        <v>1</v>
      </c>
      <c r="E1417" t="s">
        <v>5973</v>
      </c>
      <c r="F1417" t="s">
        <v>5974</v>
      </c>
      <c r="G1417" t="s">
        <v>5974</v>
      </c>
      <c r="H1417">
        <v>100</v>
      </c>
    </row>
    <row r="1418" spans="1:8" x14ac:dyDescent="0.25">
      <c r="A1418" t="s">
        <v>2286</v>
      </c>
      <c r="B1418">
        <v>1</v>
      </c>
      <c r="C1418">
        <v>1</v>
      </c>
      <c r="D1418">
        <v>1</v>
      </c>
      <c r="E1418" t="s">
        <v>5975</v>
      </c>
      <c r="F1418" t="s">
        <v>5975</v>
      </c>
      <c r="G1418" t="s">
        <v>5975</v>
      </c>
      <c r="H1418">
        <v>81</v>
      </c>
    </row>
    <row r="1419" spans="1:8" x14ac:dyDescent="0.25">
      <c r="A1419" t="s">
        <v>1638</v>
      </c>
      <c r="B1419">
        <v>1</v>
      </c>
      <c r="C1419">
        <v>1</v>
      </c>
      <c r="D1419">
        <v>1</v>
      </c>
      <c r="E1419" t="s">
        <v>5976</v>
      </c>
      <c r="F1419" t="s">
        <v>5977</v>
      </c>
      <c r="G1419" t="s">
        <v>5977</v>
      </c>
      <c r="H1419">
        <v>102</v>
      </c>
    </row>
    <row r="1420" spans="1:8" x14ac:dyDescent="0.25">
      <c r="A1420" t="s">
        <v>1147</v>
      </c>
      <c r="B1420">
        <v>1</v>
      </c>
      <c r="C1420">
        <v>1</v>
      </c>
      <c r="D1420">
        <v>1</v>
      </c>
      <c r="E1420" t="s">
        <v>5978</v>
      </c>
      <c r="F1420" t="s">
        <v>5978</v>
      </c>
      <c r="G1420" t="s">
        <v>5978</v>
      </c>
      <c r="H1420">
        <v>151</v>
      </c>
    </row>
    <row r="1421" spans="1:8" x14ac:dyDescent="0.25">
      <c r="A1421" t="s">
        <v>289</v>
      </c>
      <c r="B1421">
        <v>1</v>
      </c>
      <c r="C1421">
        <v>1</v>
      </c>
      <c r="D1421">
        <v>1</v>
      </c>
      <c r="E1421" t="s">
        <v>5979</v>
      </c>
      <c r="F1421" t="s">
        <v>5979</v>
      </c>
      <c r="G1421" t="s">
        <v>5979</v>
      </c>
      <c r="H1421">
        <v>412</v>
      </c>
    </row>
    <row r="1422" spans="1:8" x14ac:dyDescent="0.25">
      <c r="A1422" t="s">
        <v>1777</v>
      </c>
      <c r="B1422">
        <v>1</v>
      </c>
      <c r="C1422">
        <v>1</v>
      </c>
      <c r="D1422">
        <v>1</v>
      </c>
      <c r="E1422" t="s">
        <v>5980</v>
      </c>
      <c r="F1422" t="s">
        <v>5980</v>
      </c>
      <c r="G1422" t="s">
        <v>5980</v>
      </c>
      <c r="H1422">
        <v>101</v>
      </c>
    </row>
    <row r="1423" spans="1:8" x14ac:dyDescent="0.25">
      <c r="A1423" t="s">
        <v>222</v>
      </c>
      <c r="B1423">
        <v>4</v>
      </c>
      <c r="C1423">
        <v>4</v>
      </c>
      <c r="D1423">
        <v>4</v>
      </c>
      <c r="E1423" t="s">
        <v>5981</v>
      </c>
      <c r="F1423" t="s">
        <v>5981</v>
      </c>
      <c r="G1423" t="s">
        <v>4256</v>
      </c>
      <c r="H1423">
        <v>474</v>
      </c>
    </row>
    <row r="1424" spans="1:8" x14ac:dyDescent="0.25">
      <c r="A1424" t="s">
        <v>138</v>
      </c>
      <c r="B1424">
        <v>3</v>
      </c>
      <c r="C1424">
        <v>3</v>
      </c>
      <c r="D1424">
        <v>3</v>
      </c>
      <c r="E1424" t="s">
        <v>5982</v>
      </c>
      <c r="F1424" t="s">
        <v>5982</v>
      </c>
      <c r="G1424" t="s">
        <v>4256</v>
      </c>
      <c r="H1424">
        <v>484</v>
      </c>
    </row>
    <row r="1425" spans="1:8" x14ac:dyDescent="0.25">
      <c r="A1425" t="s">
        <v>1195</v>
      </c>
      <c r="B1425">
        <v>1</v>
      </c>
      <c r="C1425">
        <v>1</v>
      </c>
      <c r="D1425">
        <v>1</v>
      </c>
      <c r="E1425" t="s">
        <v>5983</v>
      </c>
      <c r="F1425" t="s">
        <v>5983</v>
      </c>
      <c r="G1425" t="s">
        <v>5983</v>
      </c>
      <c r="H1425">
        <v>37</v>
      </c>
    </row>
    <row r="1426" spans="1:8" x14ac:dyDescent="0.25">
      <c r="A1426" t="s">
        <v>674</v>
      </c>
      <c r="B1426">
        <v>1</v>
      </c>
      <c r="C1426">
        <v>1</v>
      </c>
      <c r="D1426">
        <v>1</v>
      </c>
      <c r="E1426" t="s">
        <v>5984</v>
      </c>
      <c r="F1426" t="s">
        <v>5984</v>
      </c>
      <c r="G1426" t="s">
        <v>5984</v>
      </c>
      <c r="H1426">
        <v>72</v>
      </c>
    </row>
    <row r="1427" spans="1:8" x14ac:dyDescent="0.25">
      <c r="A1427" t="s">
        <v>471</v>
      </c>
      <c r="B1427">
        <v>1</v>
      </c>
      <c r="C1427">
        <v>1</v>
      </c>
      <c r="D1427">
        <v>1</v>
      </c>
      <c r="E1427" t="s">
        <v>5985</v>
      </c>
      <c r="F1427" t="s">
        <v>5985</v>
      </c>
      <c r="G1427" t="s">
        <v>5985</v>
      </c>
      <c r="H1427">
        <v>322</v>
      </c>
    </row>
    <row r="1428" spans="1:8" x14ac:dyDescent="0.25">
      <c r="A1428" t="s">
        <v>266</v>
      </c>
      <c r="B1428">
        <v>1</v>
      </c>
      <c r="C1428">
        <v>1</v>
      </c>
      <c r="D1428">
        <v>1</v>
      </c>
      <c r="E1428" t="s">
        <v>5986</v>
      </c>
      <c r="F1428" t="s">
        <v>5986</v>
      </c>
      <c r="G1428" t="s">
        <v>5986</v>
      </c>
      <c r="H1428">
        <v>464</v>
      </c>
    </row>
    <row r="1429" spans="1:8" x14ac:dyDescent="0.25">
      <c r="A1429" t="s">
        <v>515</v>
      </c>
      <c r="B1429">
        <v>1</v>
      </c>
      <c r="C1429">
        <v>1</v>
      </c>
      <c r="D1429">
        <v>1</v>
      </c>
      <c r="E1429" t="s">
        <v>5987</v>
      </c>
      <c r="F1429" t="s">
        <v>5987</v>
      </c>
      <c r="G1429" t="s">
        <v>5987</v>
      </c>
      <c r="H1429">
        <v>304</v>
      </c>
    </row>
    <row r="1430" spans="1:8" x14ac:dyDescent="0.25">
      <c r="A1430" t="s">
        <v>1142</v>
      </c>
      <c r="B1430">
        <v>1</v>
      </c>
      <c r="C1430">
        <v>1</v>
      </c>
      <c r="D1430">
        <v>1</v>
      </c>
      <c r="E1430" t="s">
        <v>5988</v>
      </c>
      <c r="F1430" t="s">
        <v>5989</v>
      </c>
      <c r="G1430" t="s">
        <v>5989</v>
      </c>
      <c r="H1430">
        <v>90</v>
      </c>
    </row>
    <row r="1431" spans="1:8" x14ac:dyDescent="0.25">
      <c r="A1431" t="s">
        <v>2480</v>
      </c>
      <c r="B1431">
        <v>1</v>
      </c>
      <c r="C1431">
        <v>1</v>
      </c>
      <c r="D1431">
        <v>1</v>
      </c>
      <c r="E1431" t="s">
        <v>5990</v>
      </c>
      <c r="F1431" t="s">
        <v>5990</v>
      </c>
      <c r="G1431" t="s">
        <v>5990</v>
      </c>
      <c r="H1431">
        <v>43</v>
      </c>
    </row>
    <row r="1432" spans="1:8" x14ac:dyDescent="0.25">
      <c r="A1432" t="s">
        <v>2350</v>
      </c>
      <c r="B1432">
        <v>1</v>
      </c>
      <c r="C1432">
        <v>1</v>
      </c>
      <c r="D1432">
        <v>1</v>
      </c>
      <c r="E1432" t="s">
        <v>5991</v>
      </c>
      <c r="F1432" t="s">
        <v>5991</v>
      </c>
      <c r="G1432" t="s">
        <v>5991</v>
      </c>
      <c r="H1432">
        <v>55</v>
      </c>
    </row>
    <row r="1433" spans="1:8" x14ac:dyDescent="0.25">
      <c r="A1433" t="s">
        <v>2689</v>
      </c>
      <c r="B1433">
        <v>1</v>
      </c>
      <c r="C1433">
        <v>1</v>
      </c>
      <c r="D1433">
        <v>1</v>
      </c>
      <c r="E1433" t="s">
        <v>5992</v>
      </c>
      <c r="F1433" t="s">
        <v>5992</v>
      </c>
      <c r="G1433" t="s">
        <v>5992</v>
      </c>
      <c r="H1433">
        <v>39</v>
      </c>
    </row>
    <row r="1434" spans="1:8" x14ac:dyDescent="0.25">
      <c r="A1434" t="s">
        <v>2283</v>
      </c>
      <c r="B1434">
        <v>1</v>
      </c>
      <c r="C1434">
        <v>1</v>
      </c>
      <c r="D1434">
        <v>1</v>
      </c>
      <c r="E1434" t="s">
        <v>5993</v>
      </c>
      <c r="F1434" t="s">
        <v>5993</v>
      </c>
      <c r="G1434" t="s">
        <v>5993</v>
      </c>
      <c r="H1434">
        <v>68</v>
      </c>
    </row>
    <row r="1435" spans="1:8" x14ac:dyDescent="0.25">
      <c r="A1435" t="s">
        <v>2056</v>
      </c>
      <c r="B1435">
        <v>1</v>
      </c>
      <c r="C1435">
        <v>1</v>
      </c>
      <c r="D1435">
        <v>1</v>
      </c>
      <c r="E1435" t="s">
        <v>5994</v>
      </c>
      <c r="F1435" t="s">
        <v>5994</v>
      </c>
      <c r="G1435" t="s">
        <v>5994</v>
      </c>
      <c r="H1435">
        <v>105</v>
      </c>
    </row>
    <row r="1436" spans="1:8" x14ac:dyDescent="0.25">
      <c r="A1436" t="s">
        <v>2182</v>
      </c>
      <c r="B1436">
        <v>1</v>
      </c>
      <c r="C1436">
        <v>1</v>
      </c>
      <c r="D1436">
        <v>1</v>
      </c>
      <c r="E1436" t="s">
        <v>5995</v>
      </c>
      <c r="F1436" t="s">
        <v>5995</v>
      </c>
      <c r="G1436" t="s">
        <v>5995</v>
      </c>
      <c r="H1436">
        <v>88</v>
      </c>
    </row>
    <row r="1437" spans="1:8" x14ac:dyDescent="0.25">
      <c r="A1437" t="s">
        <v>2348</v>
      </c>
      <c r="B1437">
        <v>1</v>
      </c>
      <c r="C1437">
        <v>1</v>
      </c>
      <c r="D1437">
        <v>1</v>
      </c>
      <c r="E1437" t="s">
        <v>5996</v>
      </c>
      <c r="F1437" t="s">
        <v>5996</v>
      </c>
      <c r="G1437" t="s">
        <v>5996</v>
      </c>
      <c r="H1437">
        <v>66</v>
      </c>
    </row>
    <row r="1438" spans="1:8" x14ac:dyDescent="0.25">
      <c r="A1438" t="s">
        <v>2389</v>
      </c>
      <c r="B1438">
        <v>1</v>
      </c>
      <c r="C1438">
        <v>1</v>
      </c>
      <c r="D1438">
        <v>1</v>
      </c>
      <c r="E1438" t="s">
        <v>5997</v>
      </c>
      <c r="F1438" t="s">
        <v>5997</v>
      </c>
      <c r="G1438" t="s">
        <v>5997</v>
      </c>
      <c r="H1438">
        <v>73</v>
      </c>
    </row>
    <row r="1439" spans="1:8" x14ac:dyDescent="0.25">
      <c r="A1439" t="s">
        <v>1955</v>
      </c>
      <c r="B1439">
        <v>1</v>
      </c>
      <c r="C1439">
        <v>1</v>
      </c>
      <c r="D1439">
        <v>1</v>
      </c>
      <c r="E1439" t="s">
        <v>5998</v>
      </c>
      <c r="F1439" t="s">
        <v>5998</v>
      </c>
      <c r="G1439" t="s">
        <v>5998</v>
      </c>
      <c r="H1439">
        <v>85</v>
      </c>
    </row>
    <row r="1440" spans="1:8" x14ac:dyDescent="0.25">
      <c r="A1440" t="s">
        <v>1840</v>
      </c>
      <c r="B1440">
        <v>1</v>
      </c>
      <c r="C1440">
        <v>1</v>
      </c>
      <c r="D1440">
        <v>1</v>
      </c>
      <c r="E1440" t="s">
        <v>5999</v>
      </c>
      <c r="F1440" t="s">
        <v>5999</v>
      </c>
      <c r="G1440" t="s">
        <v>5999</v>
      </c>
      <c r="H1440">
        <v>91</v>
      </c>
    </row>
    <row r="1441" spans="1:8" x14ac:dyDescent="0.25">
      <c r="A1441" t="s">
        <v>2167</v>
      </c>
      <c r="B1441">
        <v>1</v>
      </c>
      <c r="C1441">
        <v>1</v>
      </c>
      <c r="D1441">
        <v>1</v>
      </c>
      <c r="E1441" t="s">
        <v>6000</v>
      </c>
      <c r="F1441" t="s">
        <v>6001</v>
      </c>
      <c r="G1441" t="s">
        <v>6001</v>
      </c>
      <c r="H1441">
        <v>120</v>
      </c>
    </row>
    <row r="1442" spans="1:8" x14ac:dyDescent="0.25">
      <c r="A1442" t="s">
        <v>2293</v>
      </c>
      <c r="B1442">
        <v>1</v>
      </c>
      <c r="C1442">
        <v>1</v>
      </c>
      <c r="D1442">
        <v>1</v>
      </c>
      <c r="E1442" t="s">
        <v>6002</v>
      </c>
      <c r="F1442" t="s">
        <v>6002</v>
      </c>
      <c r="G1442" t="s">
        <v>6002</v>
      </c>
      <c r="H1442">
        <v>113</v>
      </c>
    </row>
    <row r="1443" spans="1:8" x14ac:dyDescent="0.25">
      <c r="A1443" t="s">
        <v>1968</v>
      </c>
      <c r="B1443">
        <v>2</v>
      </c>
      <c r="C1443">
        <v>2</v>
      </c>
      <c r="D1443">
        <v>2</v>
      </c>
      <c r="E1443" t="s">
        <v>6003</v>
      </c>
      <c r="F1443" t="s">
        <v>6004</v>
      </c>
      <c r="G1443" t="s">
        <v>4256</v>
      </c>
      <c r="H1443">
        <v>135</v>
      </c>
    </row>
    <row r="1444" spans="1:8" x14ac:dyDescent="0.25">
      <c r="A1444" t="s">
        <v>2002</v>
      </c>
      <c r="B1444">
        <v>2</v>
      </c>
      <c r="C1444">
        <v>2</v>
      </c>
      <c r="D1444">
        <v>2</v>
      </c>
      <c r="E1444" t="s">
        <v>6005</v>
      </c>
      <c r="F1444" t="s">
        <v>6005</v>
      </c>
      <c r="G1444" t="s">
        <v>4256</v>
      </c>
      <c r="H1444">
        <v>139</v>
      </c>
    </row>
    <row r="1445" spans="1:8" x14ac:dyDescent="0.25">
      <c r="A1445" t="s">
        <v>1864</v>
      </c>
      <c r="B1445">
        <v>1</v>
      </c>
      <c r="C1445">
        <v>1</v>
      </c>
      <c r="D1445">
        <v>1</v>
      </c>
      <c r="E1445" t="s">
        <v>6006</v>
      </c>
      <c r="F1445" t="s">
        <v>6006</v>
      </c>
      <c r="G1445" t="s">
        <v>6006</v>
      </c>
      <c r="H1445">
        <v>88</v>
      </c>
    </row>
    <row r="1446" spans="1:8" x14ac:dyDescent="0.25">
      <c r="A1446" t="s">
        <v>2123</v>
      </c>
      <c r="B1446">
        <v>1</v>
      </c>
      <c r="C1446">
        <v>1</v>
      </c>
      <c r="D1446">
        <v>1</v>
      </c>
      <c r="E1446" t="s">
        <v>6007</v>
      </c>
      <c r="F1446" t="s">
        <v>6007</v>
      </c>
      <c r="G1446" t="s">
        <v>6007</v>
      </c>
      <c r="H1446">
        <v>77</v>
      </c>
    </row>
    <row r="1447" spans="1:8" x14ac:dyDescent="0.25">
      <c r="A1447" t="s">
        <v>1306</v>
      </c>
      <c r="B1447">
        <v>1</v>
      </c>
      <c r="C1447">
        <v>1</v>
      </c>
      <c r="D1447">
        <v>1</v>
      </c>
      <c r="E1447" t="s">
        <v>6008</v>
      </c>
      <c r="F1447" t="s">
        <v>6009</v>
      </c>
      <c r="G1447" t="s">
        <v>6009</v>
      </c>
      <c r="H1447">
        <v>85</v>
      </c>
    </row>
    <row r="1448" spans="1:8" x14ac:dyDescent="0.25">
      <c r="A1448" t="s">
        <v>3981</v>
      </c>
      <c r="B1448">
        <v>1</v>
      </c>
      <c r="C1448">
        <v>1</v>
      </c>
      <c r="D1448">
        <v>1</v>
      </c>
      <c r="E1448" t="s">
        <v>6010</v>
      </c>
      <c r="F1448" t="s">
        <v>6010</v>
      </c>
      <c r="G1448" t="s">
        <v>6010</v>
      </c>
      <c r="H1448">
        <v>2</v>
      </c>
    </row>
    <row r="1449" spans="1:8" x14ac:dyDescent="0.25">
      <c r="A1449" t="s">
        <v>2567</v>
      </c>
      <c r="B1449">
        <v>1</v>
      </c>
      <c r="C1449">
        <v>1</v>
      </c>
      <c r="D1449">
        <v>1</v>
      </c>
      <c r="E1449" t="s">
        <v>6011</v>
      </c>
      <c r="F1449" t="s">
        <v>6012</v>
      </c>
      <c r="G1449" t="s">
        <v>6012</v>
      </c>
      <c r="H1449">
        <v>71</v>
      </c>
    </row>
    <row r="1450" spans="1:8" x14ac:dyDescent="0.25">
      <c r="A1450" t="s">
        <v>1418</v>
      </c>
      <c r="B1450">
        <v>1</v>
      </c>
      <c r="C1450">
        <v>1</v>
      </c>
      <c r="D1450">
        <v>1</v>
      </c>
      <c r="E1450" t="s">
        <v>6013</v>
      </c>
      <c r="F1450" t="s">
        <v>6014</v>
      </c>
      <c r="G1450" t="s">
        <v>6014</v>
      </c>
      <c r="H1450">
        <v>239</v>
      </c>
    </row>
    <row r="1451" spans="1:8" x14ac:dyDescent="0.25">
      <c r="A1451" t="s">
        <v>1476</v>
      </c>
      <c r="B1451">
        <v>1</v>
      </c>
      <c r="C1451">
        <v>1</v>
      </c>
      <c r="D1451">
        <v>1</v>
      </c>
      <c r="E1451" t="s">
        <v>6015</v>
      </c>
      <c r="F1451" t="s">
        <v>6016</v>
      </c>
      <c r="G1451" t="s">
        <v>6016</v>
      </c>
      <c r="H1451">
        <v>203</v>
      </c>
    </row>
    <row r="1452" spans="1:8" x14ac:dyDescent="0.25">
      <c r="A1452" t="s">
        <v>2532</v>
      </c>
      <c r="B1452">
        <v>1</v>
      </c>
      <c r="C1452">
        <v>1</v>
      </c>
      <c r="D1452">
        <v>1</v>
      </c>
      <c r="E1452" t="s">
        <v>6017</v>
      </c>
      <c r="F1452" t="s">
        <v>6018</v>
      </c>
      <c r="G1452" t="s">
        <v>6018</v>
      </c>
      <c r="H1452">
        <v>75</v>
      </c>
    </row>
    <row r="1453" spans="1:8" x14ac:dyDescent="0.25">
      <c r="A1453" t="s">
        <v>2125</v>
      </c>
      <c r="B1453">
        <v>2</v>
      </c>
      <c r="C1453">
        <v>2</v>
      </c>
      <c r="D1453">
        <v>2</v>
      </c>
      <c r="E1453" t="s">
        <v>6019</v>
      </c>
      <c r="F1453" t="s">
        <v>6020</v>
      </c>
      <c r="G1453" t="s">
        <v>4256</v>
      </c>
      <c r="H1453">
        <v>92</v>
      </c>
    </row>
    <row r="1454" spans="1:8" x14ac:dyDescent="0.25">
      <c r="A1454" t="s">
        <v>1245</v>
      </c>
      <c r="B1454">
        <v>1</v>
      </c>
      <c r="C1454">
        <v>1</v>
      </c>
      <c r="D1454">
        <v>1</v>
      </c>
      <c r="E1454" t="s">
        <v>6021</v>
      </c>
      <c r="F1454" t="s">
        <v>6022</v>
      </c>
      <c r="G1454" t="s">
        <v>6022</v>
      </c>
      <c r="H1454">
        <v>267</v>
      </c>
    </row>
    <row r="1455" spans="1:8" x14ac:dyDescent="0.25">
      <c r="A1455" t="s">
        <v>2103</v>
      </c>
      <c r="B1455">
        <v>1</v>
      </c>
      <c r="C1455">
        <v>1</v>
      </c>
      <c r="D1455">
        <v>1</v>
      </c>
      <c r="E1455" t="s">
        <v>6023</v>
      </c>
      <c r="F1455" t="s">
        <v>6024</v>
      </c>
      <c r="G1455" t="s">
        <v>6024</v>
      </c>
      <c r="H1455">
        <v>138</v>
      </c>
    </row>
    <row r="1456" spans="1:8" x14ac:dyDescent="0.25">
      <c r="A1456" t="s">
        <v>1274</v>
      </c>
      <c r="B1456">
        <v>1</v>
      </c>
      <c r="C1456">
        <v>1</v>
      </c>
      <c r="D1456">
        <v>1</v>
      </c>
      <c r="E1456" t="s">
        <v>6025</v>
      </c>
      <c r="F1456" t="s">
        <v>6025</v>
      </c>
      <c r="G1456" t="s">
        <v>6025</v>
      </c>
      <c r="H1456">
        <v>162</v>
      </c>
    </row>
    <row r="1457" spans="1:8" x14ac:dyDescent="0.25">
      <c r="A1457" t="s">
        <v>1894</v>
      </c>
      <c r="B1457">
        <v>1</v>
      </c>
      <c r="C1457">
        <v>1</v>
      </c>
      <c r="D1457">
        <v>1</v>
      </c>
      <c r="E1457" t="s">
        <v>6026</v>
      </c>
      <c r="F1457" t="s">
        <v>6026</v>
      </c>
      <c r="G1457" t="s">
        <v>6026</v>
      </c>
      <c r="H1457">
        <v>175</v>
      </c>
    </row>
    <row r="1458" spans="1:8" x14ac:dyDescent="0.25">
      <c r="A1458" t="s">
        <v>2942</v>
      </c>
      <c r="B1458">
        <v>1</v>
      </c>
      <c r="C1458">
        <v>1</v>
      </c>
      <c r="D1458">
        <v>1</v>
      </c>
      <c r="E1458" t="s">
        <v>6027</v>
      </c>
      <c r="F1458" t="s">
        <v>6027</v>
      </c>
      <c r="G1458" t="s">
        <v>6027</v>
      </c>
      <c r="H1458">
        <v>41</v>
      </c>
    </row>
    <row r="1459" spans="1:8" x14ac:dyDescent="0.25">
      <c r="A1459" t="s">
        <v>1653</v>
      </c>
      <c r="B1459">
        <v>1</v>
      </c>
      <c r="C1459">
        <v>1</v>
      </c>
      <c r="D1459">
        <v>1</v>
      </c>
      <c r="E1459" t="s">
        <v>6028</v>
      </c>
      <c r="F1459" t="s">
        <v>6028</v>
      </c>
      <c r="G1459" t="s">
        <v>6028</v>
      </c>
      <c r="H1459">
        <v>141</v>
      </c>
    </row>
    <row r="1460" spans="1:8" x14ac:dyDescent="0.25">
      <c r="A1460" t="s">
        <v>1794</v>
      </c>
      <c r="B1460">
        <v>1</v>
      </c>
      <c r="C1460">
        <v>1</v>
      </c>
      <c r="D1460">
        <v>1</v>
      </c>
      <c r="E1460" t="s">
        <v>6029</v>
      </c>
      <c r="F1460" t="s">
        <v>6030</v>
      </c>
      <c r="G1460" t="s">
        <v>6030</v>
      </c>
      <c r="H1460">
        <v>93</v>
      </c>
    </row>
    <row r="1461" spans="1:8" x14ac:dyDescent="0.25">
      <c r="A1461" t="s">
        <v>2844</v>
      </c>
      <c r="B1461">
        <v>1</v>
      </c>
      <c r="C1461">
        <v>1</v>
      </c>
      <c r="D1461">
        <v>1</v>
      </c>
      <c r="E1461" t="s">
        <v>6031</v>
      </c>
      <c r="F1461" t="s">
        <v>6031</v>
      </c>
      <c r="G1461" t="s">
        <v>6031</v>
      </c>
      <c r="H1461">
        <v>36</v>
      </c>
    </row>
    <row r="1462" spans="1:8" x14ac:dyDescent="0.25">
      <c r="A1462" t="s">
        <v>2294</v>
      </c>
      <c r="B1462">
        <v>1</v>
      </c>
      <c r="C1462">
        <v>1</v>
      </c>
      <c r="D1462">
        <v>1</v>
      </c>
      <c r="E1462" t="s">
        <v>6032</v>
      </c>
      <c r="F1462" t="s">
        <v>6033</v>
      </c>
      <c r="G1462" t="s">
        <v>6033</v>
      </c>
      <c r="H1462">
        <v>57</v>
      </c>
    </row>
    <row r="1463" spans="1:8" x14ac:dyDescent="0.25">
      <c r="A1463" t="s">
        <v>1309</v>
      </c>
      <c r="B1463">
        <v>1</v>
      </c>
      <c r="C1463">
        <v>1</v>
      </c>
      <c r="D1463">
        <v>1</v>
      </c>
      <c r="E1463" t="s">
        <v>6034</v>
      </c>
      <c r="F1463" t="s">
        <v>6034</v>
      </c>
      <c r="G1463" t="s">
        <v>6034</v>
      </c>
      <c r="H1463">
        <v>180</v>
      </c>
    </row>
    <row r="1464" spans="1:8" x14ac:dyDescent="0.25">
      <c r="A1464" t="s">
        <v>2431</v>
      </c>
      <c r="B1464">
        <v>1</v>
      </c>
      <c r="C1464">
        <v>1</v>
      </c>
      <c r="D1464">
        <v>1</v>
      </c>
      <c r="E1464" t="s">
        <v>6035</v>
      </c>
      <c r="F1464" t="s">
        <v>6035</v>
      </c>
      <c r="G1464" t="s">
        <v>6035</v>
      </c>
      <c r="H1464">
        <v>77</v>
      </c>
    </row>
    <row r="1465" spans="1:8" x14ac:dyDescent="0.25">
      <c r="A1465" t="s">
        <v>1936</v>
      </c>
      <c r="B1465">
        <v>1</v>
      </c>
      <c r="C1465">
        <v>1</v>
      </c>
      <c r="D1465">
        <v>1</v>
      </c>
      <c r="E1465" t="s">
        <v>6036</v>
      </c>
      <c r="F1465" t="s">
        <v>6036</v>
      </c>
      <c r="G1465" t="s">
        <v>6036</v>
      </c>
      <c r="H1465">
        <v>88</v>
      </c>
    </row>
    <row r="1466" spans="1:8" x14ac:dyDescent="0.25">
      <c r="A1466" t="s">
        <v>2582</v>
      </c>
      <c r="B1466">
        <v>1</v>
      </c>
      <c r="C1466">
        <v>1</v>
      </c>
      <c r="D1466">
        <v>1</v>
      </c>
      <c r="E1466" t="s">
        <v>6037</v>
      </c>
      <c r="F1466" t="s">
        <v>6038</v>
      </c>
      <c r="G1466" t="s">
        <v>6038</v>
      </c>
      <c r="H1466">
        <v>103</v>
      </c>
    </row>
    <row r="1467" spans="1:8" x14ac:dyDescent="0.25">
      <c r="A1467" t="s">
        <v>1072</v>
      </c>
      <c r="B1467">
        <v>2</v>
      </c>
      <c r="C1467">
        <v>2</v>
      </c>
      <c r="D1467">
        <v>2</v>
      </c>
      <c r="E1467" t="s">
        <v>6039</v>
      </c>
      <c r="F1467" t="s">
        <v>6039</v>
      </c>
      <c r="G1467" t="s">
        <v>4256</v>
      </c>
      <c r="H1467">
        <v>216</v>
      </c>
    </row>
    <row r="1468" spans="1:8" x14ac:dyDescent="0.25">
      <c r="A1468" t="s">
        <v>655</v>
      </c>
      <c r="B1468">
        <v>1</v>
      </c>
      <c r="C1468">
        <v>1</v>
      </c>
      <c r="D1468">
        <v>1</v>
      </c>
      <c r="E1468" t="s">
        <v>6040</v>
      </c>
      <c r="F1468" t="s">
        <v>6040</v>
      </c>
      <c r="G1468" t="s">
        <v>6040</v>
      </c>
      <c r="H1468">
        <v>363</v>
      </c>
    </row>
    <row r="1469" spans="1:8" x14ac:dyDescent="0.25">
      <c r="A1469" t="s">
        <v>722</v>
      </c>
      <c r="B1469">
        <v>1</v>
      </c>
      <c r="C1469">
        <v>1</v>
      </c>
      <c r="D1469">
        <v>1</v>
      </c>
      <c r="E1469" t="s">
        <v>6041</v>
      </c>
      <c r="F1469" t="s">
        <v>6041</v>
      </c>
      <c r="G1469" t="s">
        <v>6041</v>
      </c>
      <c r="H1469">
        <v>222</v>
      </c>
    </row>
    <row r="1470" spans="1:8" x14ac:dyDescent="0.25">
      <c r="A1470" t="s">
        <v>278</v>
      </c>
      <c r="B1470">
        <v>1</v>
      </c>
      <c r="C1470">
        <v>1</v>
      </c>
      <c r="D1470">
        <v>1</v>
      </c>
      <c r="E1470" t="s">
        <v>6042</v>
      </c>
      <c r="F1470" t="s">
        <v>6042</v>
      </c>
      <c r="G1470" t="s">
        <v>6042</v>
      </c>
      <c r="H1470">
        <v>697</v>
      </c>
    </row>
    <row r="1471" spans="1:8" x14ac:dyDescent="0.25">
      <c r="A1471" t="s">
        <v>462</v>
      </c>
      <c r="B1471">
        <v>1</v>
      </c>
      <c r="C1471">
        <v>1</v>
      </c>
      <c r="D1471">
        <v>1</v>
      </c>
      <c r="E1471" t="s">
        <v>6043</v>
      </c>
      <c r="F1471" t="s">
        <v>6043</v>
      </c>
      <c r="G1471" t="s">
        <v>6043</v>
      </c>
      <c r="H1471">
        <v>593</v>
      </c>
    </row>
    <row r="1472" spans="1:8" x14ac:dyDescent="0.25">
      <c r="A1472" t="s">
        <v>283</v>
      </c>
      <c r="B1472">
        <v>1</v>
      </c>
      <c r="C1472">
        <v>1</v>
      </c>
      <c r="D1472">
        <v>1</v>
      </c>
      <c r="E1472" t="s">
        <v>6044</v>
      </c>
      <c r="F1472" t="s">
        <v>6044</v>
      </c>
      <c r="G1472" t="s">
        <v>6044</v>
      </c>
      <c r="H1472">
        <v>729</v>
      </c>
    </row>
    <row r="1473" spans="1:8" x14ac:dyDescent="0.25">
      <c r="A1473" t="s">
        <v>362</v>
      </c>
      <c r="B1473">
        <v>1</v>
      </c>
      <c r="C1473">
        <v>1</v>
      </c>
      <c r="D1473">
        <v>1</v>
      </c>
      <c r="E1473" t="s">
        <v>6045</v>
      </c>
      <c r="F1473" t="s">
        <v>6045</v>
      </c>
      <c r="G1473" t="s">
        <v>6045</v>
      </c>
      <c r="H1473">
        <v>534</v>
      </c>
    </row>
    <row r="1474" spans="1:8" x14ac:dyDescent="0.25">
      <c r="A1474" t="s">
        <v>350</v>
      </c>
      <c r="B1474">
        <v>1</v>
      </c>
      <c r="C1474">
        <v>1</v>
      </c>
      <c r="D1474">
        <v>1</v>
      </c>
      <c r="E1474" t="s">
        <v>6046</v>
      </c>
      <c r="F1474" t="s">
        <v>6047</v>
      </c>
      <c r="G1474" t="s">
        <v>6047</v>
      </c>
      <c r="H1474">
        <v>591</v>
      </c>
    </row>
    <row r="1475" spans="1:8" x14ac:dyDescent="0.25">
      <c r="A1475" t="s">
        <v>433</v>
      </c>
      <c r="B1475">
        <v>1</v>
      </c>
      <c r="C1475">
        <v>1</v>
      </c>
      <c r="D1475">
        <v>1</v>
      </c>
      <c r="E1475" t="s">
        <v>6048</v>
      </c>
      <c r="F1475" t="s">
        <v>6049</v>
      </c>
      <c r="G1475" t="s">
        <v>6049</v>
      </c>
      <c r="H1475">
        <v>589</v>
      </c>
    </row>
    <row r="1476" spans="1:8" x14ac:dyDescent="0.25">
      <c r="A1476" t="s">
        <v>282</v>
      </c>
      <c r="B1476">
        <v>1</v>
      </c>
      <c r="C1476">
        <v>1</v>
      </c>
      <c r="D1476">
        <v>1</v>
      </c>
      <c r="E1476" t="s">
        <v>6050</v>
      </c>
      <c r="F1476" t="s">
        <v>6051</v>
      </c>
      <c r="G1476" t="s">
        <v>6051</v>
      </c>
      <c r="H1476">
        <v>792</v>
      </c>
    </row>
    <row r="1477" spans="1:8" x14ac:dyDescent="0.25">
      <c r="A1477" t="s">
        <v>2158</v>
      </c>
      <c r="B1477">
        <v>1</v>
      </c>
      <c r="C1477">
        <v>1</v>
      </c>
      <c r="D1477">
        <v>1</v>
      </c>
      <c r="E1477" t="s">
        <v>6052</v>
      </c>
      <c r="F1477" t="s">
        <v>6052</v>
      </c>
      <c r="G1477" t="s">
        <v>6052</v>
      </c>
      <c r="H1477">
        <v>83</v>
      </c>
    </row>
    <row r="1478" spans="1:8" x14ac:dyDescent="0.25">
      <c r="A1478" t="s">
        <v>370</v>
      </c>
      <c r="B1478">
        <v>1</v>
      </c>
      <c r="C1478">
        <v>1</v>
      </c>
      <c r="D1478">
        <v>1</v>
      </c>
      <c r="E1478" t="s">
        <v>6053</v>
      </c>
      <c r="F1478" t="s">
        <v>6053</v>
      </c>
      <c r="G1478" t="s">
        <v>6053</v>
      </c>
      <c r="H1478">
        <v>391</v>
      </c>
    </row>
    <row r="1479" spans="1:8" x14ac:dyDescent="0.25">
      <c r="A1479" t="s">
        <v>366</v>
      </c>
      <c r="B1479">
        <v>1</v>
      </c>
      <c r="C1479">
        <v>1</v>
      </c>
      <c r="D1479">
        <v>1</v>
      </c>
      <c r="E1479" t="s">
        <v>6054</v>
      </c>
      <c r="F1479" t="s">
        <v>6054</v>
      </c>
      <c r="G1479" t="s">
        <v>6054</v>
      </c>
      <c r="H1479">
        <v>449</v>
      </c>
    </row>
    <row r="1480" spans="1:8" x14ac:dyDescent="0.25">
      <c r="A1480" t="s">
        <v>1284</v>
      </c>
      <c r="B1480">
        <v>1</v>
      </c>
      <c r="C1480">
        <v>1</v>
      </c>
      <c r="D1480">
        <v>1</v>
      </c>
      <c r="E1480" t="s">
        <v>6055</v>
      </c>
      <c r="F1480" t="s">
        <v>6055</v>
      </c>
      <c r="G1480" t="s">
        <v>6055</v>
      </c>
      <c r="H1480">
        <v>217</v>
      </c>
    </row>
    <row r="1481" spans="1:8" x14ac:dyDescent="0.25">
      <c r="A1481" t="s">
        <v>861</v>
      </c>
      <c r="B1481">
        <v>1</v>
      </c>
      <c r="C1481">
        <v>1</v>
      </c>
      <c r="D1481">
        <v>1</v>
      </c>
      <c r="E1481" t="s">
        <v>6056</v>
      </c>
      <c r="F1481" t="s">
        <v>6056</v>
      </c>
      <c r="G1481" t="s">
        <v>6056</v>
      </c>
      <c r="H1481">
        <v>292</v>
      </c>
    </row>
    <row r="1482" spans="1:8" x14ac:dyDescent="0.25">
      <c r="A1482" t="s">
        <v>902</v>
      </c>
      <c r="B1482">
        <v>1</v>
      </c>
      <c r="C1482">
        <v>1</v>
      </c>
      <c r="D1482">
        <v>1</v>
      </c>
      <c r="E1482" t="s">
        <v>6057</v>
      </c>
      <c r="F1482" t="s">
        <v>6057</v>
      </c>
      <c r="G1482" t="s">
        <v>6057</v>
      </c>
      <c r="H1482">
        <v>193</v>
      </c>
    </row>
    <row r="1483" spans="1:8" x14ac:dyDescent="0.25">
      <c r="A1483" t="s">
        <v>1877</v>
      </c>
      <c r="B1483">
        <v>1</v>
      </c>
      <c r="C1483">
        <v>1</v>
      </c>
      <c r="D1483">
        <v>1</v>
      </c>
      <c r="E1483" t="s">
        <v>6058</v>
      </c>
      <c r="F1483" t="s">
        <v>6059</v>
      </c>
      <c r="G1483" t="s">
        <v>6059</v>
      </c>
      <c r="H1483">
        <v>150</v>
      </c>
    </row>
    <row r="1484" spans="1:8" x14ac:dyDescent="0.25">
      <c r="A1484" t="s">
        <v>1941</v>
      </c>
      <c r="B1484">
        <v>1</v>
      </c>
      <c r="C1484">
        <v>1</v>
      </c>
      <c r="D1484">
        <v>1</v>
      </c>
      <c r="E1484" t="s">
        <v>6060</v>
      </c>
      <c r="F1484" t="s">
        <v>6060</v>
      </c>
      <c r="G1484" t="s">
        <v>6060</v>
      </c>
      <c r="H1484">
        <v>156</v>
      </c>
    </row>
    <row r="1485" spans="1:8" x14ac:dyDescent="0.25">
      <c r="A1485" t="s">
        <v>870</v>
      </c>
      <c r="B1485">
        <v>1</v>
      </c>
      <c r="C1485">
        <v>1</v>
      </c>
      <c r="D1485">
        <v>1</v>
      </c>
      <c r="E1485" t="s">
        <v>6061</v>
      </c>
      <c r="F1485" t="s">
        <v>6061</v>
      </c>
      <c r="G1485" t="s">
        <v>6061</v>
      </c>
      <c r="H1485">
        <v>238</v>
      </c>
    </row>
    <row r="1486" spans="1:8" x14ac:dyDescent="0.25">
      <c r="A1486" t="s">
        <v>298</v>
      </c>
      <c r="B1486">
        <v>2</v>
      </c>
      <c r="C1486">
        <v>2</v>
      </c>
      <c r="D1486">
        <v>2</v>
      </c>
      <c r="E1486" t="s">
        <v>6062</v>
      </c>
      <c r="F1486" t="s">
        <v>6062</v>
      </c>
      <c r="G1486" t="s">
        <v>4256</v>
      </c>
      <c r="H1486">
        <v>490</v>
      </c>
    </row>
    <row r="1487" spans="1:8" x14ac:dyDescent="0.25">
      <c r="A1487" t="s">
        <v>348</v>
      </c>
      <c r="B1487">
        <v>2</v>
      </c>
      <c r="C1487">
        <v>2</v>
      </c>
      <c r="D1487">
        <v>2</v>
      </c>
      <c r="E1487" t="s">
        <v>6063</v>
      </c>
      <c r="F1487" t="s">
        <v>6063</v>
      </c>
      <c r="G1487" t="s">
        <v>4256</v>
      </c>
      <c r="H1487">
        <v>359</v>
      </c>
    </row>
    <row r="1488" spans="1:8" x14ac:dyDescent="0.25">
      <c r="A1488" t="s">
        <v>325</v>
      </c>
      <c r="B1488">
        <v>2</v>
      </c>
      <c r="C1488">
        <v>2</v>
      </c>
      <c r="D1488">
        <v>2</v>
      </c>
      <c r="E1488" t="s">
        <v>6064</v>
      </c>
      <c r="F1488" t="s">
        <v>6064</v>
      </c>
      <c r="G1488" t="s">
        <v>4256</v>
      </c>
      <c r="H1488">
        <v>403</v>
      </c>
    </row>
    <row r="1489" spans="1:8" x14ac:dyDescent="0.25">
      <c r="A1489" t="s">
        <v>1118</v>
      </c>
      <c r="B1489">
        <v>1</v>
      </c>
      <c r="C1489">
        <v>1</v>
      </c>
      <c r="D1489">
        <v>1</v>
      </c>
      <c r="E1489" t="s">
        <v>6065</v>
      </c>
      <c r="F1489" t="s">
        <v>6066</v>
      </c>
      <c r="G1489" t="s">
        <v>6066</v>
      </c>
      <c r="H1489">
        <v>266</v>
      </c>
    </row>
    <row r="1490" spans="1:8" x14ac:dyDescent="0.25">
      <c r="A1490" t="s">
        <v>1568</v>
      </c>
      <c r="B1490">
        <v>2</v>
      </c>
      <c r="C1490">
        <v>2</v>
      </c>
      <c r="D1490">
        <v>2</v>
      </c>
      <c r="E1490" t="s">
        <v>6067</v>
      </c>
      <c r="F1490" t="s">
        <v>6068</v>
      </c>
      <c r="G1490" t="s">
        <v>4256</v>
      </c>
      <c r="H1490">
        <v>187</v>
      </c>
    </row>
    <row r="1491" spans="1:8" x14ac:dyDescent="0.25">
      <c r="A1491" t="s">
        <v>1044</v>
      </c>
      <c r="B1491">
        <v>1</v>
      </c>
      <c r="C1491">
        <v>1</v>
      </c>
      <c r="D1491">
        <v>1</v>
      </c>
      <c r="E1491" t="s">
        <v>6069</v>
      </c>
      <c r="F1491" t="s">
        <v>6069</v>
      </c>
      <c r="G1491" t="s">
        <v>6069</v>
      </c>
      <c r="H1491">
        <v>223</v>
      </c>
    </row>
    <row r="1492" spans="1:8" x14ac:dyDescent="0.25">
      <c r="A1492" t="s">
        <v>1114</v>
      </c>
      <c r="B1492">
        <v>1</v>
      </c>
      <c r="C1492">
        <v>1</v>
      </c>
      <c r="D1492">
        <v>1</v>
      </c>
      <c r="E1492" t="s">
        <v>6070</v>
      </c>
      <c r="F1492" t="s">
        <v>6070</v>
      </c>
      <c r="G1492" t="s">
        <v>6070</v>
      </c>
      <c r="H1492">
        <v>226</v>
      </c>
    </row>
    <row r="1493" spans="1:8" x14ac:dyDescent="0.25">
      <c r="A1493" t="s">
        <v>1585</v>
      </c>
      <c r="B1493">
        <v>2</v>
      </c>
      <c r="C1493">
        <v>2</v>
      </c>
      <c r="D1493">
        <v>2</v>
      </c>
      <c r="E1493" t="s">
        <v>6071</v>
      </c>
      <c r="F1493" t="s">
        <v>6071</v>
      </c>
      <c r="G1493" t="s">
        <v>4256</v>
      </c>
      <c r="H1493">
        <v>95</v>
      </c>
    </row>
    <row r="1494" spans="1:8" x14ac:dyDescent="0.25">
      <c r="A1494" t="s">
        <v>1473</v>
      </c>
      <c r="B1494">
        <v>2</v>
      </c>
      <c r="C1494">
        <v>2</v>
      </c>
      <c r="D1494">
        <v>2</v>
      </c>
      <c r="E1494" t="s">
        <v>6072</v>
      </c>
      <c r="F1494" t="s">
        <v>6072</v>
      </c>
      <c r="G1494" t="s">
        <v>4256</v>
      </c>
      <c r="H1494">
        <v>180</v>
      </c>
    </row>
    <row r="1495" spans="1:8" x14ac:dyDescent="0.25">
      <c r="A1495" t="s">
        <v>736</v>
      </c>
      <c r="B1495">
        <v>2</v>
      </c>
      <c r="C1495">
        <v>2</v>
      </c>
      <c r="D1495">
        <v>2</v>
      </c>
      <c r="E1495" t="s">
        <v>6073</v>
      </c>
      <c r="F1495" t="s">
        <v>6073</v>
      </c>
      <c r="G1495" t="s">
        <v>4256</v>
      </c>
      <c r="H1495">
        <v>558</v>
      </c>
    </row>
    <row r="1496" spans="1:8" x14ac:dyDescent="0.25">
      <c r="A1496" t="s">
        <v>765</v>
      </c>
      <c r="B1496">
        <v>2</v>
      </c>
      <c r="C1496">
        <v>2</v>
      </c>
      <c r="D1496">
        <v>2</v>
      </c>
      <c r="E1496" t="s">
        <v>6074</v>
      </c>
      <c r="F1496" t="s">
        <v>6074</v>
      </c>
      <c r="G1496" t="s">
        <v>4256</v>
      </c>
      <c r="H1496">
        <v>536</v>
      </c>
    </row>
    <row r="1497" spans="1:8" x14ac:dyDescent="0.25">
      <c r="A1497" t="s">
        <v>1204</v>
      </c>
      <c r="B1497">
        <v>2</v>
      </c>
      <c r="C1497">
        <v>2</v>
      </c>
      <c r="D1497">
        <v>2</v>
      </c>
      <c r="E1497" t="s">
        <v>6075</v>
      </c>
      <c r="F1497" t="s">
        <v>6075</v>
      </c>
      <c r="G1497" t="s">
        <v>4256</v>
      </c>
      <c r="H1497">
        <v>355</v>
      </c>
    </row>
    <row r="1498" spans="1:8" x14ac:dyDescent="0.25">
      <c r="A1498" t="s">
        <v>494</v>
      </c>
      <c r="B1498">
        <v>1</v>
      </c>
      <c r="C1498">
        <v>1</v>
      </c>
      <c r="D1498">
        <v>1</v>
      </c>
      <c r="E1498" t="s">
        <v>6076</v>
      </c>
      <c r="F1498" t="s">
        <v>6076</v>
      </c>
      <c r="G1498" t="s">
        <v>6076</v>
      </c>
      <c r="H1498">
        <v>253</v>
      </c>
    </row>
    <row r="1499" spans="1:8" x14ac:dyDescent="0.25">
      <c r="A1499" t="s">
        <v>1646</v>
      </c>
      <c r="B1499">
        <v>1</v>
      </c>
      <c r="C1499">
        <v>1</v>
      </c>
      <c r="D1499">
        <v>1</v>
      </c>
      <c r="E1499" t="s">
        <v>6077</v>
      </c>
      <c r="F1499" t="s">
        <v>6077</v>
      </c>
      <c r="G1499" t="s">
        <v>6077</v>
      </c>
      <c r="H1499">
        <v>185</v>
      </c>
    </row>
    <row r="1500" spans="1:8" x14ac:dyDescent="0.25">
      <c r="A1500" t="s">
        <v>1000</v>
      </c>
      <c r="B1500">
        <v>1</v>
      </c>
      <c r="C1500">
        <v>1</v>
      </c>
      <c r="D1500">
        <v>1</v>
      </c>
      <c r="E1500" t="s">
        <v>6078</v>
      </c>
      <c r="F1500" t="s">
        <v>6078</v>
      </c>
      <c r="G1500" t="s">
        <v>6078</v>
      </c>
      <c r="H1500">
        <v>105</v>
      </c>
    </row>
    <row r="1501" spans="1:8" x14ac:dyDescent="0.25">
      <c r="A1501" t="s">
        <v>1389</v>
      </c>
      <c r="B1501">
        <v>1</v>
      </c>
      <c r="C1501">
        <v>1</v>
      </c>
      <c r="D1501">
        <v>1</v>
      </c>
      <c r="E1501" t="s">
        <v>6079</v>
      </c>
      <c r="F1501" t="s">
        <v>6079</v>
      </c>
      <c r="G1501" t="s">
        <v>6079</v>
      </c>
      <c r="H1501">
        <v>115</v>
      </c>
    </row>
    <row r="1502" spans="1:8" x14ac:dyDescent="0.25">
      <c r="A1502" t="s">
        <v>556</v>
      </c>
      <c r="B1502">
        <v>2</v>
      </c>
      <c r="C1502">
        <v>2</v>
      </c>
      <c r="D1502">
        <v>2</v>
      </c>
      <c r="E1502" t="s">
        <v>6080</v>
      </c>
      <c r="F1502" t="s">
        <v>6080</v>
      </c>
      <c r="G1502" t="s">
        <v>4256</v>
      </c>
      <c r="H1502">
        <v>201</v>
      </c>
    </row>
    <row r="1503" spans="1:8" x14ac:dyDescent="0.25">
      <c r="A1503" t="s">
        <v>447</v>
      </c>
      <c r="B1503">
        <v>1</v>
      </c>
      <c r="C1503">
        <v>1</v>
      </c>
      <c r="D1503">
        <v>1</v>
      </c>
      <c r="E1503" t="s">
        <v>6081</v>
      </c>
      <c r="F1503" t="s">
        <v>6081</v>
      </c>
      <c r="G1503" t="s">
        <v>6081</v>
      </c>
      <c r="H1503">
        <v>420</v>
      </c>
    </row>
    <row r="1504" spans="1:8" x14ac:dyDescent="0.25">
      <c r="A1504" t="s">
        <v>1966</v>
      </c>
      <c r="B1504">
        <v>2</v>
      </c>
      <c r="C1504">
        <v>2</v>
      </c>
      <c r="D1504">
        <v>2</v>
      </c>
      <c r="E1504" t="s">
        <v>6082</v>
      </c>
      <c r="F1504" t="s">
        <v>6082</v>
      </c>
      <c r="G1504" t="s">
        <v>4256</v>
      </c>
      <c r="H1504">
        <v>165</v>
      </c>
    </row>
    <row r="1505" spans="1:8" x14ac:dyDescent="0.25">
      <c r="A1505" t="s">
        <v>1907</v>
      </c>
      <c r="B1505">
        <v>2</v>
      </c>
      <c r="C1505">
        <v>2</v>
      </c>
      <c r="D1505">
        <v>2</v>
      </c>
      <c r="E1505" t="s">
        <v>6083</v>
      </c>
      <c r="F1505" t="s">
        <v>6083</v>
      </c>
      <c r="G1505" t="s">
        <v>4256</v>
      </c>
      <c r="H1505">
        <v>166</v>
      </c>
    </row>
    <row r="1506" spans="1:8" x14ac:dyDescent="0.25">
      <c r="A1506" t="s">
        <v>1135</v>
      </c>
      <c r="B1506">
        <v>1</v>
      </c>
      <c r="C1506">
        <v>1</v>
      </c>
      <c r="D1506">
        <v>1</v>
      </c>
      <c r="E1506" t="s">
        <v>6084</v>
      </c>
      <c r="F1506" t="s">
        <v>6084</v>
      </c>
      <c r="G1506" t="s">
        <v>6084</v>
      </c>
      <c r="H1506">
        <v>182</v>
      </c>
    </row>
    <row r="1507" spans="1:8" x14ac:dyDescent="0.25">
      <c r="A1507" t="s">
        <v>1593</v>
      </c>
      <c r="B1507">
        <v>1</v>
      </c>
      <c r="C1507">
        <v>1</v>
      </c>
      <c r="D1507">
        <v>1</v>
      </c>
      <c r="E1507" t="s">
        <v>6085</v>
      </c>
      <c r="F1507" t="s">
        <v>6085</v>
      </c>
      <c r="G1507" t="s">
        <v>6085</v>
      </c>
      <c r="H1507">
        <v>81</v>
      </c>
    </row>
    <row r="1508" spans="1:8" x14ac:dyDescent="0.25">
      <c r="A1508" t="s">
        <v>1422</v>
      </c>
      <c r="B1508">
        <v>1</v>
      </c>
      <c r="C1508">
        <v>1</v>
      </c>
      <c r="D1508">
        <v>1</v>
      </c>
      <c r="E1508" t="s">
        <v>6086</v>
      </c>
      <c r="F1508" t="s">
        <v>6086</v>
      </c>
      <c r="G1508" t="s">
        <v>6086</v>
      </c>
      <c r="H1508">
        <v>93</v>
      </c>
    </row>
    <row r="1509" spans="1:8" x14ac:dyDescent="0.25">
      <c r="A1509" t="s">
        <v>912</v>
      </c>
      <c r="B1509">
        <v>1</v>
      </c>
      <c r="C1509">
        <v>1</v>
      </c>
      <c r="D1509">
        <v>1</v>
      </c>
      <c r="E1509" t="s">
        <v>6087</v>
      </c>
      <c r="F1509" t="s">
        <v>6087</v>
      </c>
      <c r="G1509" t="s">
        <v>6087</v>
      </c>
      <c r="H1509">
        <v>137</v>
      </c>
    </row>
    <row r="1510" spans="1:8" x14ac:dyDescent="0.25">
      <c r="A1510" t="s">
        <v>1163</v>
      </c>
      <c r="B1510">
        <v>1</v>
      </c>
      <c r="C1510">
        <v>1</v>
      </c>
      <c r="D1510">
        <v>1</v>
      </c>
      <c r="E1510" t="s">
        <v>6088</v>
      </c>
      <c r="F1510" t="s">
        <v>6088</v>
      </c>
      <c r="G1510" t="s">
        <v>6088</v>
      </c>
      <c r="H1510">
        <v>203</v>
      </c>
    </row>
    <row r="1511" spans="1:8" x14ac:dyDescent="0.25">
      <c r="A1511" t="s">
        <v>1232</v>
      </c>
      <c r="B1511">
        <v>1</v>
      </c>
      <c r="C1511">
        <v>1</v>
      </c>
      <c r="D1511">
        <v>1</v>
      </c>
      <c r="E1511" t="s">
        <v>6089</v>
      </c>
      <c r="F1511" t="s">
        <v>6089</v>
      </c>
      <c r="G1511" t="s">
        <v>6089</v>
      </c>
      <c r="H1511">
        <v>198</v>
      </c>
    </row>
    <row r="1512" spans="1:8" x14ac:dyDescent="0.25">
      <c r="A1512" t="s">
        <v>570</v>
      </c>
      <c r="B1512">
        <v>3</v>
      </c>
      <c r="C1512">
        <v>3</v>
      </c>
      <c r="D1512">
        <v>3</v>
      </c>
      <c r="E1512" t="s">
        <v>6090</v>
      </c>
      <c r="F1512" t="s">
        <v>6090</v>
      </c>
      <c r="G1512" t="s">
        <v>4256</v>
      </c>
      <c r="H1512">
        <v>478</v>
      </c>
    </row>
    <row r="1513" spans="1:8" x14ac:dyDescent="0.25">
      <c r="A1513" t="s">
        <v>729</v>
      </c>
      <c r="B1513">
        <v>1</v>
      </c>
      <c r="C1513">
        <v>1</v>
      </c>
      <c r="D1513">
        <v>1</v>
      </c>
      <c r="E1513" t="s">
        <v>6091</v>
      </c>
      <c r="F1513" t="s">
        <v>6091</v>
      </c>
      <c r="G1513" t="s">
        <v>6091</v>
      </c>
      <c r="H1513">
        <v>274</v>
      </c>
    </row>
    <row r="1514" spans="1:8" x14ac:dyDescent="0.25">
      <c r="A1514" t="s">
        <v>1572</v>
      </c>
      <c r="B1514">
        <v>2</v>
      </c>
      <c r="C1514">
        <v>2</v>
      </c>
      <c r="D1514">
        <v>2</v>
      </c>
      <c r="E1514" t="s">
        <v>6092</v>
      </c>
      <c r="F1514" t="s">
        <v>6093</v>
      </c>
      <c r="G1514" t="s">
        <v>4256</v>
      </c>
      <c r="H1514">
        <v>193</v>
      </c>
    </row>
    <row r="1515" spans="1:8" x14ac:dyDescent="0.25">
      <c r="A1515" t="s">
        <v>2413</v>
      </c>
      <c r="B1515">
        <v>1</v>
      </c>
      <c r="C1515">
        <v>1</v>
      </c>
      <c r="D1515">
        <v>1</v>
      </c>
      <c r="E1515" t="s">
        <v>6094</v>
      </c>
      <c r="F1515" t="s">
        <v>6094</v>
      </c>
      <c r="G1515" t="s">
        <v>6094</v>
      </c>
      <c r="H1515">
        <v>99</v>
      </c>
    </row>
    <row r="1516" spans="1:8" x14ac:dyDescent="0.25">
      <c r="A1516" t="s">
        <v>1788</v>
      </c>
      <c r="B1516">
        <v>1</v>
      </c>
      <c r="C1516">
        <v>1</v>
      </c>
      <c r="D1516">
        <v>1</v>
      </c>
      <c r="E1516" t="s">
        <v>6095</v>
      </c>
      <c r="F1516" t="s">
        <v>6095</v>
      </c>
      <c r="G1516" t="s">
        <v>6095</v>
      </c>
      <c r="H1516">
        <v>125</v>
      </c>
    </row>
    <row r="1517" spans="1:8" x14ac:dyDescent="0.25">
      <c r="A1517" t="s">
        <v>1404</v>
      </c>
      <c r="B1517">
        <v>1</v>
      </c>
      <c r="C1517">
        <v>1</v>
      </c>
      <c r="D1517">
        <v>1</v>
      </c>
      <c r="E1517" t="s">
        <v>6096</v>
      </c>
      <c r="F1517" t="s">
        <v>6096</v>
      </c>
      <c r="G1517" t="s">
        <v>6096</v>
      </c>
      <c r="H1517">
        <v>200</v>
      </c>
    </row>
    <row r="1518" spans="1:8" x14ac:dyDescent="0.25">
      <c r="A1518" t="s">
        <v>1105</v>
      </c>
      <c r="B1518">
        <v>2</v>
      </c>
      <c r="C1518">
        <v>2</v>
      </c>
      <c r="D1518">
        <v>2</v>
      </c>
      <c r="E1518" t="s">
        <v>6097</v>
      </c>
      <c r="F1518" t="s">
        <v>6097</v>
      </c>
      <c r="G1518" t="s">
        <v>4256</v>
      </c>
      <c r="H1518">
        <v>208</v>
      </c>
    </row>
    <row r="1519" spans="1:8" x14ac:dyDescent="0.25">
      <c r="A1519" t="s">
        <v>1183</v>
      </c>
      <c r="B1519">
        <v>2</v>
      </c>
      <c r="C1519">
        <v>2</v>
      </c>
      <c r="D1519">
        <v>2</v>
      </c>
      <c r="E1519" t="s">
        <v>6098</v>
      </c>
      <c r="F1519" t="s">
        <v>6098</v>
      </c>
      <c r="G1519" t="s">
        <v>4256</v>
      </c>
      <c r="H1519">
        <v>283</v>
      </c>
    </row>
    <row r="1520" spans="1:8" x14ac:dyDescent="0.25">
      <c r="A1520" t="s">
        <v>1578</v>
      </c>
      <c r="B1520">
        <v>1</v>
      </c>
      <c r="C1520">
        <v>1</v>
      </c>
      <c r="D1520">
        <v>1</v>
      </c>
      <c r="E1520" t="s">
        <v>6099</v>
      </c>
      <c r="F1520" t="s">
        <v>6099</v>
      </c>
      <c r="G1520" t="s">
        <v>6099</v>
      </c>
      <c r="H1520">
        <v>179</v>
      </c>
    </row>
    <row r="1521" spans="1:8" x14ac:dyDescent="0.25">
      <c r="A1521" t="s">
        <v>906</v>
      </c>
      <c r="B1521">
        <v>1</v>
      </c>
      <c r="C1521">
        <v>1</v>
      </c>
      <c r="D1521">
        <v>1</v>
      </c>
      <c r="E1521" t="s">
        <v>6100</v>
      </c>
      <c r="F1521" t="s">
        <v>6100</v>
      </c>
      <c r="G1521" t="s">
        <v>6100</v>
      </c>
      <c r="H1521">
        <v>131</v>
      </c>
    </row>
    <row r="1522" spans="1:8" x14ac:dyDescent="0.25">
      <c r="A1522" t="s">
        <v>324</v>
      </c>
      <c r="B1522">
        <v>1</v>
      </c>
      <c r="C1522">
        <v>1</v>
      </c>
      <c r="D1522">
        <v>1</v>
      </c>
      <c r="E1522" t="s">
        <v>6101</v>
      </c>
      <c r="F1522" t="s">
        <v>6101</v>
      </c>
      <c r="G1522" t="s">
        <v>6101</v>
      </c>
      <c r="H1522">
        <v>307</v>
      </c>
    </row>
    <row r="1523" spans="1:8" x14ac:dyDescent="0.25">
      <c r="A1523" t="s">
        <v>675</v>
      </c>
      <c r="B1523">
        <v>2</v>
      </c>
      <c r="C1523">
        <v>2</v>
      </c>
      <c r="D1523">
        <v>2</v>
      </c>
      <c r="E1523" t="s">
        <v>6102</v>
      </c>
      <c r="F1523" t="s">
        <v>6102</v>
      </c>
      <c r="G1523" t="s">
        <v>4256</v>
      </c>
      <c r="H1523">
        <v>157</v>
      </c>
    </row>
    <row r="1524" spans="1:8" x14ac:dyDescent="0.25">
      <c r="A1524" t="s">
        <v>294</v>
      </c>
      <c r="B1524">
        <v>1</v>
      </c>
      <c r="C1524">
        <v>1</v>
      </c>
      <c r="D1524">
        <v>1</v>
      </c>
      <c r="E1524" t="s">
        <v>6103</v>
      </c>
      <c r="F1524" t="s">
        <v>6104</v>
      </c>
      <c r="G1524" t="s">
        <v>6104</v>
      </c>
      <c r="H1524">
        <v>366</v>
      </c>
    </row>
    <row r="1525" spans="1:8" x14ac:dyDescent="0.25">
      <c r="A1525" t="s">
        <v>1661</v>
      </c>
      <c r="B1525">
        <v>1</v>
      </c>
      <c r="C1525">
        <v>1</v>
      </c>
      <c r="D1525">
        <v>1</v>
      </c>
      <c r="E1525" t="s">
        <v>6105</v>
      </c>
      <c r="F1525" t="s">
        <v>6106</v>
      </c>
      <c r="G1525" t="s">
        <v>6106</v>
      </c>
      <c r="H1525">
        <v>146</v>
      </c>
    </row>
    <row r="1526" spans="1:8" x14ac:dyDescent="0.25">
      <c r="A1526" t="s">
        <v>1502</v>
      </c>
      <c r="B1526">
        <v>1</v>
      </c>
      <c r="C1526">
        <v>1</v>
      </c>
      <c r="D1526">
        <v>1</v>
      </c>
      <c r="E1526" t="s">
        <v>6107</v>
      </c>
      <c r="F1526" t="s">
        <v>6107</v>
      </c>
      <c r="G1526" t="s">
        <v>6107</v>
      </c>
      <c r="H1526">
        <v>159</v>
      </c>
    </row>
    <row r="1527" spans="1:8" x14ac:dyDescent="0.25">
      <c r="A1527" t="s">
        <v>1016</v>
      </c>
      <c r="B1527">
        <v>1</v>
      </c>
      <c r="C1527">
        <v>1</v>
      </c>
      <c r="D1527">
        <v>1</v>
      </c>
      <c r="E1527" t="s">
        <v>6108</v>
      </c>
      <c r="F1527" t="s">
        <v>6108</v>
      </c>
      <c r="G1527" t="s">
        <v>6108</v>
      </c>
      <c r="H1527">
        <v>218</v>
      </c>
    </row>
    <row r="1528" spans="1:8" x14ac:dyDescent="0.25">
      <c r="A1528" t="s">
        <v>1697</v>
      </c>
      <c r="B1528">
        <v>1</v>
      </c>
      <c r="C1528">
        <v>1</v>
      </c>
      <c r="D1528">
        <v>1</v>
      </c>
      <c r="E1528" t="s">
        <v>6109</v>
      </c>
      <c r="F1528" t="s">
        <v>6109</v>
      </c>
      <c r="G1528" t="s">
        <v>6109</v>
      </c>
      <c r="H1528">
        <v>47</v>
      </c>
    </row>
    <row r="1529" spans="1:8" x14ac:dyDescent="0.25">
      <c r="A1529" t="s">
        <v>1584</v>
      </c>
      <c r="B1529">
        <v>1</v>
      </c>
      <c r="C1529">
        <v>1</v>
      </c>
      <c r="D1529">
        <v>1</v>
      </c>
      <c r="E1529" t="s">
        <v>6110</v>
      </c>
      <c r="F1529" t="s">
        <v>6110</v>
      </c>
      <c r="G1529" t="s">
        <v>6110</v>
      </c>
      <c r="H1529">
        <v>148</v>
      </c>
    </row>
    <row r="1530" spans="1:8" x14ac:dyDescent="0.25">
      <c r="A1530" t="s">
        <v>1740</v>
      </c>
      <c r="B1530">
        <v>1</v>
      </c>
      <c r="C1530">
        <v>1</v>
      </c>
      <c r="D1530">
        <v>1</v>
      </c>
      <c r="E1530" t="s">
        <v>6111</v>
      </c>
      <c r="F1530" t="s">
        <v>6111</v>
      </c>
      <c r="G1530" t="s">
        <v>6111</v>
      </c>
      <c r="H1530">
        <v>228</v>
      </c>
    </row>
    <row r="1531" spans="1:8" x14ac:dyDescent="0.25">
      <c r="A1531" t="s">
        <v>2114</v>
      </c>
      <c r="B1531">
        <v>1</v>
      </c>
      <c r="C1531">
        <v>1</v>
      </c>
      <c r="D1531">
        <v>1</v>
      </c>
      <c r="E1531" t="s">
        <v>6112</v>
      </c>
      <c r="F1531" t="s">
        <v>6113</v>
      </c>
      <c r="G1531" t="s">
        <v>6113</v>
      </c>
      <c r="H1531">
        <v>104</v>
      </c>
    </row>
    <row r="1532" spans="1:8" x14ac:dyDescent="0.25">
      <c r="A1532" t="s">
        <v>425</v>
      </c>
      <c r="B1532">
        <v>1</v>
      </c>
      <c r="C1532">
        <v>1</v>
      </c>
      <c r="D1532">
        <v>1</v>
      </c>
      <c r="E1532" t="s">
        <v>6114</v>
      </c>
      <c r="F1532" t="s">
        <v>6115</v>
      </c>
      <c r="G1532" t="s">
        <v>6115</v>
      </c>
      <c r="H1532">
        <v>531</v>
      </c>
    </row>
    <row r="1533" spans="1:8" x14ac:dyDescent="0.25">
      <c r="A1533" t="s">
        <v>334</v>
      </c>
      <c r="B1533">
        <v>2</v>
      </c>
      <c r="C1533">
        <v>2</v>
      </c>
      <c r="D1533">
        <v>2</v>
      </c>
      <c r="E1533" t="s">
        <v>6116</v>
      </c>
      <c r="F1533" t="s">
        <v>6116</v>
      </c>
      <c r="G1533" t="s">
        <v>4256</v>
      </c>
      <c r="H1533">
        <v>484</v>
      </c>
    </row>
    <row r="1534" spans="1:8" x14ac:dyDescent="0.25">
      <c r="A1534" t="s">
        <v>2102</v>
      </c>
      <c r="B1534">
        <v>2</v>
      </c>
      <c r="C1534">
        <v>2</v>
      </c>
      <c r="D1534">
        <v>2</v>
      </c>
      <c r="E1534" t="s">
        <v>6117</v>
      </c>
      <c r="F1534" t="s">
        <v>6117</v>
      </c>
      <c r="G1534" t="s">
        <v>4256</v>
      </c>
      <c r="H1534">
        <v>32</v>
      </c>
    </row>
    <row r="1535" spans="1:8" x14ac:dyDescent="0.25">
      <c r="A1535" t="s">
        <v>360</v>
      </c>
      <c r="B1535">
        <v>1</v>
      </c>
      <c r="C1535">
        <v>1</v>
      </c>
      <c r="D1535">
        <v>1</v>
      </c>
      <c r="E1535" t="s">
        <v>6118</v>
      </c>
      <c r="F1535" t="s">
        <v>6118</v>
      </c>
      <c r="G1535" t="s">
        <v>6118</v>
      </c>
      <c r="H1535">
        <v>455</v>
      </c>
    </row>
    <row r="1536" spans="1:8" x14ac:dyDescent="0.25">
      <c r="A1536" t="s">
        <v>500</v>
      </c>
      <c r="B1536">
        <v>1</v>
      </c>
      <c r="C1536">
        <v>1</v>
      </c>
      <c r="D1536">
        <v>1</v>
      </c>
      <c r="E1536" t="s">
        <v>6119</v>
      </c>
      <c r="F1536" t="s">
        <v>6119</v>
      </c>
      <c r="G1536" t="s">
        <v>6119</v>
      </c>
      <c r="H1536">
        <v>498</v>
      </c>
    </row>
    <row r="1537" spans="1:8" x14ac:dyDescent="0.25">
      <c r="A1537" t="s">
        <v>352</v>
      </c>
      <c r="B1537">
        <v>1</v>
      </c>
      <c r="C1537">
        <v>1</v>
      </c>
      <c r="D1537">
        <v>1</v>
      </c>
      <c r="E1537" t="s">
        <v>6120</v>
      </c>
      <c r="F1537" t="s">
        <v>6120</v>
      </c>
      <c r="G1537" t="s">
        <v>6120</v>
      </c>
      <c r="H1537">
        <v>625</v>
      </c>
    </row>
    <row r="1538" spans="1:8" x14ac:dyDescent="0.25">
      <c r="A1538" t="s">
        <v>272</v>
      </c>
      <c r="B1538">
        <v>1</v>
      </c>
      <c r="C1538">
        <v>1</v>
      </c>
      <c r="D1538">
        <v>1</v>
      </c>
      <c r="E1538" t="s">
        <v>6121</v>
      </c>
      <c r="F1538" t="s">
        <v>6121</v>
      </c>
      <c r="G1538" t="s">
        <v>6121</v>
      </c>
      <c r="H1538">
        <v>272</v>
      </c>
    </row>
    <row r="1539" spans="1:8" x14ac:dyDescent="0.25">
      <c r="A1539" t="s">
        <v>603</v>
      </c>
      <c r="B1539">
        <v>1</v>
      </c>
      <c r="C1539">
        <v>1</v>
      </c>
      <c r="D1539">
        <v>1</v>
      </c>
      <c r="E1539" t="s">
        <v>6122</v>
      </c>
      <c r="F1539" t="s">
        <v>6123</v>
      </c>
      <c r="G1539" t="s">
        <v>6123</v>
      </c>
      <c r="H1539">
        <v>243</v>
      </c>
    </row>
    <row r="1540" spans="1:8" x14ac:dyDescent="0.25">
      <c r="A1540" t="s">
        <v>245</v>
      </c>
      <c r="B1540">
        <v>1</v>
      </c>
      <c r="C1540">
        <v>1</v>
      </c>
      <c r="D1540">
        <v>1</v>
      </c>
      <c r="E1540" t="s">
        <v>6124</v>
      </c>
      <c r="F1540" t="s">
        <v>6124</v>
      </c>
      <c r="G1540" t="s">
        <v>6124</v>
      </c>
      <c r="H1540">
        <v>741</v>
      </c>
    </row>
    <row r="1541" spans="1:8" x14ac:dyDescent="0.25">
      <c r="A1541" t="s">
        <v>268</v>
      </c>
      <c r="B1541">
        <v>1</v>
      </c>
      <c r="C1541">
        <v>1</v>
      </c>
      <c r="D1541">
        <v>1</v>
      </c>
      <c r="E1541" t="s">
        <v>6125</v>
      </c>
      <c r="F1541" t="s">
        <v>6125</v>
      </c>
      <c r="G1541" t="s">
        <v>6125</v>
      </c>
      <c r="H1541">
        <v>578</v>
      </c>
    </row>
    <row r="1542" spans="1:8" x14ac:dyDescent="0.25">
      <c r="A1542" t="s">
        <v>701</v>
      </c>
      <c r="B1542">
        <v>1</v>
      </c>
      <c r="C1542">
        <v>1</v>
      </c>
      <c r="D1542">
        <v>1</v>
      </c>
      <c r="E1542" t="s">
        <v>6126</v>
      </c>
      <c r="F1542" t="s">
        <v>6126</v>
      </c>
      <c r="G1542" t="s">
        <v>6126</v>
      </c>
      <c r="H1542">
        <v>210</v>
      </c>
    </row>
    <row r="1543" spans="1:8" x14ac:dyDescent="0.25">
      <c r="A1543" t="s">
        <v>448</v>
      </c>
      <c r="B1543">
        <v>1</v>
      </c>
      <c r="C1543">
        <v>1</v>
      </c>
      <c r="D1543">
        <v>1</v>
      </c>
      <c r="E1543" t="s">
        <v>6127</v>
      </c>
      <c r="F1543" t="s">
        <v>6127</v>
      </c>
      <c r="G1543" t="s">
        <v>6127</v>
      </c>
      <c r="H1543">
        <v>382</v>
      </c>
    </row>
    <row r="1544" spans="1:8" x14ac:dyDescent="0.25">
      <c r="A1544" t="s">
        <v>679</v>
      </c>
      <c r="B1544">
        <v>1</v>
      </c>
      <c r="C1544">
        <v>1</v>
      </c>
      <c r="D1544">
        <v>1</v>
      </c>
      <c r="E1544" t="s">
        <v>6128</v>
      </c>
      <c r="F1544" t="s">
        <v>6129</v>
      </c>
      <c r="G1544" t="s">
        <v>6129</v>
      </c>
      <c r="H1544">
        <v>203</v>
      </c>
    </row>
    <row r="1545" spans="1:8" x14ac:dyDescent="0.25">
      <c r="A1545" t="s">
        <v>174</v>
      </c>
      <c r="B1545">
        <v>1</v>
      </c>
      <c r="C1545">
        <v>1</v>
      </c>
      <c r="D1545">
        <v>1</v>
      </c>
      <c r="E1545" t="s">
        <v>6130</v>
      </c>
      <c r="F1545" t="s">
        <v>6131</v>
      </c>
      <c r="G1545" t="s">
        <v>6131</v>
      </c>
      <c r="H1545">
        <v>924</v>
      </c>
    </row>
    <row r="1546" spans="1:8" x14ac:dyDescent="0.25">
      <c r="A1546" t="s">
        <v>208</v>
      </c>
      <c r="B1546">
        <v>1</v>
      </c>
      <c r="C1546">
        <v>1</v>
      </c>
      <c r="D1546">
        <v>1</v>
      </c>
      <c r="E1546" t="s">
        <v>6132</v>
      </c>
      <c r="F1546" t="s">
        <v>6132</v>
      </c>
      <c r="G1546" t="s">
        <v>6132</v>
      </c>
      <c r="H1546">
        <v>881</v>
      </c>
    </row>
    <row r="1547" spans="1:8" x14ac:dyDescent="0.25">
      <c r="A1547" t="s">
        <v>459</v>
      </c>
      <c r="B1547">
        <v>1</v>
      </c>
      <c r="C1547">
        <v>1</v>
      </c>
      <c r="D1547">
        <v>1</v>
      </c>
      <c r="E1547" t="s">
        <v>6133</v>
      </c>
      <c r="F1547" t="s">
        <v>6134</v>
      </c>
      <c r="G1547" t="s">
        <v>6134</v>
      </c>
      <c r="H1547">
        <v>411</v>
      </c>
    </row>
    <row r="1548" spans="1:8" x14ac:dyDescent="0.25">
      <c r="A1548" t="s">
        <v>392</v>
      </c>
      <c r="B1548">
        <v>2</v>
      </c>
      <c r="C1548">
        <v>2</v>
      </c>
      <c r="D1548">
        <v>2</v>
      </c>
      <c r="E1548" t="s">
        <v>6135</v>
      </c>
      <c r="F1548" t="s">
        <v>6135</v>
      </c>
      <c r="G1548" t="s">
        <v>4256</v>
      </c>
      <c r="H1548">
        <v>415</v>
      </c>
    </row>
    <row r="1549" spans="1:8" x14ac:dyDescent="0.25">
      <c r="A1549" t="s">
        <v>351</v>
      </c>
      <c r="B1549">
        <v>1</v>
      </c>
      <c r="C1549">
        <v>1</v>
      </c>
      <c r="D1549">
        <v>1</v>
      </c>
      <c r="E1549" t="s">
        <v>6136</v>
      </c>
      <c r="F1549" t="s">
        <v>6136</v>
      </c>
      <c r="G1549" t="s">
        <v>6136</v>
      </c>
      <c r="H1549">
        <v>516</v>
      </c>
    </row>
    <row r="1550" spans="1:8" x14ac:dyDescent="0.25">
      <c r="A1550" t="s">
        <v>460</v>
      </c>
      <c r="B1550">
        <v>1</v>
      </c>
      <c r="C1550">
        <v>1</v>
      </c>
      <c r="D1550">
        <v>1</v>
      </c>
      <c r="E1550" t="s">
        <v>6137</v>
      </c>
      <c r="F1550" t="s">
        <v>6138</v>
      </c>
      <c r="G1550" t="s">
        <v>6138</v>
      </c>
      <c r="H1550">
        <v>250</v>
      </c>
    </row>
    <row r="1551" spans="1:8" x14ac:dyDescent="0.25">
      <c r="A1551" t="s">
        <v>525</v>
      </c>
      <c r="B1551">
        <v>1</v>
      </c>
      <c r="C1551">
        <v>1</v>
      </c>
      <c r="D1551">
        <v>1</v>
      </c>
      <c r="E1551" t="s">
        <v>6139</v>
      </c>
      <c r="F1551" t="s">
        <v>6140</v>
      </c>
      <c r="G1551" t="s">
        <v>6140</v>
      </c>
      <c r="H1551">
        <v>204</v>
      </c>
    </row>
    <row r="1552" spans="1:8" x14ac:dyDescent="0.25">
      <c r="A1552" t="s">
        <v>634</v>
      </c>
      <c r="B1552">
        <v>1</v>
      </c>
      <c r="C1552">
        <v>1</v>
      </c>
      <c r="D1552">
        <v>1</v>
      </c>
      <c r="E1552" t="s">
        <v>6141</v>
      </c>
      <c r="F1552" t="s">
        <v>6141</v>
      </c>
      <c r="G1552" t="s">
        <v>6141</v>
      </c>
      <c r="H1552">
        <v>213</v>
      </c>
    </row>
    <row r="1553" spans="1:8" x14ac:dyDescent="0.25">
      <c r="A1553" t="s">
        <v>468</v>
      </c>
      <c r="B1553">
        <v>2</v>
      </c>
      <c r="C1553">
        <v>2</v>
      </c>
      <c r="D1553">
        <v>2</v>
      </c>
      <c r="E1553" t="s">
        <v>6142</v>
      </c>
      <c r="F1553" t="s">
        <v>6143</v>
      </c>
      <c r="G1553" t="s">
        <v>4256</v>
      </c>
      <c r="H1553">
        <v>358</v>
      </c>
    </row>
    <row r="1554" spans="1:8" x14ac:dyDescent="0.25">
      <c r="A1554" t="s">
        <v>2365</v>
      </c>
      <c r="B1554">
        <v>1</v>
      </c>
      <c r="C1554">
        <v>1</v>
      </c>
      <c r="D1554">
        <v>1</v>
      </c>
      <c r="E1554" t="s">
        <v>6144</v>
      </c>
      <c r="F1554" t="s">
        <v>6145</v>
      </c>
      <c r="G1554" t="s">
        <v>6145</v>
      </c>
      <c r="H1554">
        <v>53</v>
      </c>
    </row>
    <row r="1555" spans="1:8" x14ac:dyDescent="0.25">
      <c r="A1555" t="s">
        <v>1224</v>
      </c>
      <c r="B1555">
        <v>1</v>
      </c>
      <c r="C1555">
        <v>1</v>
      </c>
      <c r="D1555">
        <v>1</v>
      </c>
      <c r="E1555" t="s">
        <v>6146</v>
      </c>
      <c r="F1555" t="s">
        <v>6146</v>
      </c>
      <c r="G1555" t="s">
        <v>6146</v>
      </c>
      <c r="H1555">
        <v>152</v>
      </c>
    </row>
    <row r="1556" spans="1:8" x14ac:dyDescent="0.25">
      <c r="A1556" t="s">
        <v>2412</v>
      </c>
      <c r="B1556">
        <v>1</v>
      </c>
      <c r="C1556">
        <v>1</v>
      </c>
      <c r="D1556">
        <v>1</v>
      </c>
      <c r="E1556" t="s">
        <v>6147</v>
      </c>
      <c r="F1556" t="s">
        <v>6148</v>
      </c>
      <c r="G1556" t="s">
        <v>6148</v>
      </c>
      <c r="H1556">
        <v>58</v>
      </c>
    </row>
    <row r="1557" spans="1:8" x14ac:dyDescent="0.25">
      <c r="A1557" t="s">
        <v>2642</v>
      </c>
      <c r="B1557">
        <v>1</v>
      </c>
      <c r="C1557">
        <v>1</v>
      </c>
      <c r="D1557">
        <v>1</v>
      </c>
      <c r="E1557" t="s">
        <v>6149</v>
      </c>
      <c r="F1557" t="s">
        <v>6149</v>
      </c>
      <c r="G1557" t="s">
        <v>6149</v>
      </c>
      <c r="H1557">
        <v>37</v>
      </c>
    </row>
    <row r="1558" spans="1:8" x14ac:dyDescent="0.25">
      <c r="A1558" t="s">
        <v>2199</v>
      </c>
      <c r="B1558">
        <v>1</v>
      </c>
      <c r="C1558">
        <v>1</v>
      </c>
      <c r="D1558">
        <v>1</v>
      </c>
      <c r="E1558" t="s">
        <v>6150</v>
      </c>
      <c r="F1558" t="s">
        <v>6151</v>
      </c>
      <c r="G1558" t="s">
        <v>6151</v>
      </c>
      <c r="H1558">
        <v>53</v>
      </c>
    </row>
    <row r="1559" spans="1:8" x14ac:dyDescent="0.25">
      <c r="A1559" t="s">
        <v>2420</v>
      </c>
      <c r="B1559">
        <v>1</v>
      </c>
      <c r="C1559">
        <v>1</v>
      </c>
      <c r="D1559">
        <v>1</v>
      </c>
      <c r="E1559" t="s">
        <v>6152</v>
      </c>
      <c r="F1559" t="s">
        <v>6153</v>
      </c>
      <c r="G1559" t="s">
        <v>6153</v>
      </c>
      <c r="H1559">
        <v>50</v>
      </c>
    </row>
    <row r="1560" spans="1:8" x14ac:dyDescent="0.25">
      <c r="A1560" t="s">
        <v>916</v>
      </c>
      <c r="B1560">
        <v>1</v>
      </c>
      <c r="C1560">
        <v>1</v>
      </c>
      <c r="D1560">
        <v>1</v>
      </c>
      <c r="E1560" t="s">
        <v>6154</v>
      </c>
      <c r="F1560" t="s">
        <v>6154</v>
      </c>
      <c r="G1560" t="s">
        <v>6154</v>
      </c>
      <c r="H1560">
        <v>283</v>
      </c>
    </row>
    <row r="1561" spans="1:8" x14ac:dyDescent="0.25">
      <c r="A1561" t="s">
        <v>667</v>
      </c>
      <c r="B1561">
        <v>1</v>
      </c>
      <c r="C1561">
        <v>1</v>
      </c>
      <c r="D1561">
        <v>1</v>
      </c>
      <c r="E1561" t="s">
        <v>6155</v>
      </c>
      <c r="F1561" t="s">
        <v>6155</v>
      </c>
      <c r="G1561" t="s">
        <v>6155</v>
      </c>
      <c r="H1561">
        <v>363</v>
      </c>
    </row>
    <row r="1562" spans="1:8" x14ac:dyDescent="0.25">
      <c r="A1562" t="s">
        <v>574</v>
      </c>
      <c r="B1562">
        <v>1</v>
      </c>
      <c r="C1562">
        <v>1</v>
      </c>
      <c r="D1562">
        <v>1</v>
      </c>
      <c r="E1562" t="s">
        <v>6156</v>
      </c>
      <c r="F1562" t="s">
        <v>6156</v>
      </c>
      <c r="G1562" t="s">
        <v>6156</v>
      </c>
      <c r="H1562">
        <v>406</v>
      </c>
    </row>
    <row r="1563" spans="1:8" x14ac:dyDescent="0.25">
      <c r="A1563" t="s">
        <v>2386</v>
      </c>
      <c r="B1563">
        <v>1</v>
      </c>
      <c r="C1563">
        <v>1</v>
      </c>
      <c r="D1563">
        <v>1</v>
      </c>
      <c r="E1563" t="s">
        <v>6157</v>
      </c>
      <c r="F1563" t="s">
        <v>6157</v>
      </c>
      <c r="G1563" t="s">
        <v>6157</v>
      </c>
      <c r="H1563">
        <v>47</v>
      </c>
    </row>
    <row r="1564" spans="1:8" x14ac:dyDescent="0.25">
      <c r="A1564" t="s">
        <v>727</v>
      </c>
      <c r="B1564">
        <v>1</v>
      </c>
      <c r="C1564">
        <v>1</v>
      </c>
      <c r="D1564">
        <v>1</v>
      </c>
      <c r="E1564" t="s">
        <v>6158</v>
      </c>
      <c r="F1564" t="s">
        <v>6158</v>
      </c>
      <c r="G1564" t="s">
        <v>6158</v>
      </c>
      <c r="H1564">
        <v>230</v>
      </c>
    </row>
    <row r="1565" spans="1:8" x14ac:dyDescent="0.25">
      <c r="A1565" t="s">
        <v>1530</v>
      </c>
      <c r="B1565">
        <v>1</v>
      </c>
      <c r="C1565">
        <v>1</v>
      </c>
      <c r="D1565">
        <v>1</v>
      </c>
      <c r="E1565" t="s">
        <v>6159</v>
      </c>
      <c r="F1565" t="s">
        <v>6159</v>
      </c>
      <c r="G1565" t="s">
        <v>6159</v>
      </c>
      <c r="H1565">
        <v>148</v>
      </c>
    </row>
    <row r="1566" spans="1:8" x14ac:dyDescent="0.25">
      <c r="A1566" t="s">
        <v>1262</v>
      </c>
      <c r="B1566">
        <v>1</v>
      </c>
      <c r="C1566">
        <v>1</v>
      </c>
      <c r="D1566">
        <v>1</v>
      </c>
      <c r="E1566" t="s">
        <v>6160</v>
      </c>
      <c r="F1566" t="s">
        <v>6161</v>
      </c>
      <c r="G1566" t="s">
        <v>6161</v>
      </c>
      <c r="H1566">
        <v>170</v>
      </c>
    </row>
    <row r="1567" spans="1:8" x14ac:dyDescent="0.25">
      <c r="A1567" t="s">
        <v>401</v>
      </c>
      <c r="B1567">
        <v>2</v>
      </c>
      <c r="C1567">
        <v>2</v>
      </c>
      <c r="D1567">
        <v>2</v>
      </c>
      <c r="E1567" t="s">
        <v>6162</v>
      </c>
      <c r="F1567" t="s">
        <v>6162</v>
      </c>
      <c r="G1567" t="s">
        <v>4256</v>
      </c>
      <c r="H1567">
        <v>479</v>
      </c>
    </row>
    <row r="1568" spans="1:8" x14ac:dyDescent="0.25">
      <c r="A1568" t="s">
        <v>858</v>
      </c>
      <c r="B1568">
        <v>1</v>
      </c>
      <c r="C1568">
        <v>1</v>
      </c>
      <c r="D1568">
        <v>1</v>
      </c>
      <c r="E1568" t="s">
        <v>6163</v>
      </c>
      <c r="F1568" t="s">
        <v>6164</v>
      </c>
      <c r="G1568" t="s">
        <v>6164</v>
      </c>
      <c r="H1568">
        <v>256</v>
      </c>
    </row>
    <row r="1569" spans="1:8" x14ac:dyDescent="0.25">
      <c r="A1569" t="s">
        <v>361</v>
      </c>
      <c r="B1569">
        <v>1</v>
      </c>
      <c r="C1569">
        <v>1</v>
      </c>
      <c r="D1569">
        <v>1</v>
      </c>
      <c r="E1569" t="s">
        <v>6165</v>
      </c>
      <c r="F1569" t="s">
        <v>6166</v>
      </c>
      <c r="G1569" t="s">
        <v>6166</v>
      </c>
      <c r="H1569">
        <v>345</v>
      </c>
    </row>
    <row r="1570" spans="1:8" x14ac:dyDescent="0.25">
      <c r="A1570" t="s">
        <v>421</v>
      </c>
      <c r="B1570">
        <v>2</v>
      </c>
      <c r="C1570">
        <v>2</v>
      </c>
      <c r="D1570">
        <v>2</v>
      </c>
      <c r="E1570" t="s">
        <v>6167</v>
      </c>
      <c r="F1570" t="s">
        <v>6167</v>
      </c>
      <c r="G1570" t="s">
        <v>4256</v>
      </c>
      <c r="H1570">
        <v>47</v>
      </c>
    </row>
    <row r="1571" spans="1:8" x14ac:dyDescent="0.25">
      <c r="A1571" t="s">
        <v>797</v>
      </c>
      <c r="B1571">
        <v>1</v>
      </c>
      <c r="C1571">
        <v>1</v>
      </c>
      <c r="D1571">
        <v>1</v>
      </c>
      <c r="E1571" t="s">
        <v>6168</v>
      </c>
      <c r="F1571" t="s">
        <v>6168</v>
      </c>
      <c r="G1571" t="s">
        <v>6168</v>
      </c>
      <c r="H1571">
        <v>27</v>
      </c>
    </row>
    <row r="1572" spans="1:8" x14ac:dyDescent="0.25">
      <c r="A1572" t="s">
        <v>216</v>
      </c>
      <c r="B1572">
        <v>1</v>
      </c>
      <c r="C1572">
        <v>1</v>
      </c>
      <c r="D1572">
        <v>1</v>
      </c>
      <c r="E1572" t="s">
        <v>6169</v>
      </c>
      <c r="F1572" t="s">
        <v>6169</v>
      </c>
      <c r="G1572" t="s">
        <v>6169</v>
      </c>
      <c r="H1572">
        <v>750</v>
      </c>
    </row>
    <row r="1573" spans="1:8" x14ac:dyDescent="0.25">
      <c r="A1573" t="s">
        <v>992</v>
      </c>
      <c r="B1573">
        <v>1</v>
      </c>
      <c r="C1573">
        <v>1</v>
      </c>
      <c r="D1573">
        <v>1</v>
      </c>
      <c r="E1573" t="s">
        <v>6170</v>
      </c>
      <c r="F1573" t="s">
        <v>6170</v>
      </c>
      <c r="G1573" t="s">
        <v>6170</v>
      </c>
      <c r="H1573">
        <v>102</v>
      </c>
    </row>
    <row r="1574" spans="1:8" x14ac:dyDescent="0.25">
      <c r="A1574" t="s">
        <v>716</v>
      </c>
      <c r="B1574">
        <v>1</v>
      </c>
      <c r="C1574">
        <v>1</v>
      </c>
      <c r="D1574">
        <v>1</v>
      </c>
      <c r="E1574" t="s">
        <v>6171</v>
      </c>
      <c r="F1574" t="s">
        <v>6171</v>
      </c>
      <c r="G1574" t="s">
        <v>6171</v>
      </c>
      <c r="H1574">
        <v>425</v>
      </c>
    </row>
    <row r="1575" spans="1:8" x14ac:dyDescent="0.25">
      <c r="A1575" t="s">
        <v>328</v>
      </c>
      <c r="B1575">
        <v>1</v>
      </c>
      <c r="C1575">
        <v>1</v>
      </c>
      <c r="D1575">
        <v>1</v>
      </c>
      <c r="E1575" t="s">
        <v>6172</v>
      </c>
      <c r="F1575" t="s">
        <v>6172</v>
      </c>
      <c r="G1575" t="s">
        <v>6172</v>
      </c>
      <c r="H1575">
        <v>706</v>
      </c>
    </row>
    <row r="1576" spans="1:8" x14ac:dyDescent="0.25">
      <c r="A1576" t="s">
        <v>474</v>
      </c>
      <c r="B1576">
        <v>1</v>
      </c>
      <c r="C1576">
        <v>1</v>
      </c>
      <c r="D1576">
        <v>1</v>
      </c>
      <c r="E1576" t="s">
        <v>6173</v>
      </c>
      <c r="F1576" t="s">
        <v>6173</v>
      </c>
      <c r="G1576" t="s">
        <v>6173</v>
      </c>
      <c r="H1576">
        <v>454</v>
      </c>
    </row>
    <row r="1577" spans="1:8" x14ac:dyDescent="0.25">
      <c r="A1577" t="s">
        <v>1445</v>
      </c>
      <c r="B1577">
        <v>1</v>
      </c>
      <c r="C1577">
        <v>1</v>
      </c>
      <c r="D1577">
        <v>1</v>
      </c>
      <c r="E1577" t="s">
        <v>6174</v>
      </c>
      <c r="F1577" t="s">
        <v>6174</v>
      </c>
      <c r="G1577" t="s">
        <v>6174</v>
      </c>
      <c r="H1577">
        <v>165</v>
      </c>
    </row>
    <row r="1578" spans="1:8" x14ac:dyDescent="0.25">
      <c r="A1578" t="s">
        <v>608</v>
      </c>
      <c r="B1578">
        <v>1</v>
      </c>
      <c r="C1578">
        <v>1</v>
      </c>
      <c r="D1578">
        <v>1</v>
      </c>
      <c r="E1578" t="s">
        <v>6175</v>
      </c>
      <c r="F1578" t="s">
        <v>6175</v>
      </c>
      <c r="G1578" t="s">
        <v>6175</v>
      </c>
      <c r="H1578">
        <v>372</v>
      </c>
    </row>
    <row r="1579" spans="1:8" x14ac:dyDescent="0.25">
      <c r="A1579" t="s">
        <v>172</v>
      </c>
      <c r="B1579">
        <v>1</v>
      </c>
      <c r="C1579">
        <v>1</v>
      </c>
      <c r="D1579">
        <v>1</v>
      </c>
      <c r="E1579" t="s">
        <v>6176</v>
      </c>
      <c r="F1579" t="s">
        <v>6176</v>
      </c>
      <c r="G1579" t="s">
        <v>6176</v>
      </c>
      <c r="H1579">
        <v>1180</v>
      </c>
    </row>
    <row r="1580" spans="1:8" x14ac:dyDescent="0.25">
      <c r="A1580" t="s">
        <v>422</v>
      </c>
      <c r="B1580">
        <v>2</v>
      </c>
      <c r="C1580">
        <v>2</v>
      </c>
      <c r="D1580">
        <v>2</v>
      </c>
      <c r="E1580" t="s">
        <v>6177</v>
      </c>
      <c r="F1580" t="s">
        <v>6178</v>
      </c>
      <c r="G1580" t="s">
        <v>4256</v>
      </c>
      <c r="H1580">
        <v>500</v>
      </c>
    </row>
    <row r="1581" spans="1:8" x14ac:dyDescent="0.25">
      <c r="A1581" t="s">
        <v>506</v>
      </c>
      <c r="B1581">
        <v>1</v>
      </c>
      <c r="C1581">
        <v>1</v>
      </c>
      <c r="D1581">
        <v>1</v>
      </c>
      <c r="E1581" t="s">
        <v>6179</v>
      </c>
      <c r="F1581" t="s">
        <v>6179</v>
      </c>
      <c r="G1581" t="s">
        <v>6179</v>
      </c>
      <c r="H1581">
        <v>351</v>
      </c>
    </row>
    <row r="1582" spans="1:8" x14ac:dyDescent="0.25">
      <c r="A1582" t="s">
        <v>821</v>
      </c>
      <c r="B1582">
        <v>1</v>
      </c>
      <c r="C1582">
        <v>1</v>
      </c>
      <c r="D1582">
        <v>1</v>
      </c>
      <c r="E1582" t="s">
        <v>6180</v>
      </c>
      <c r="F1582" t="s">
        <v>6181</v>
      </c>
      <c r="G1582" t="s">
        <v>6181</v>
      </c>
      <c r="H1582">
        <v>235</v>
      </c>
    </row>
    <row r="1583" spans="1:8" x14ac:dyDescent="0.25">
      <c r="A1583" t="s">
        <v>1028</v>
      </c>
      <c r="B1583">
        <v>1</v>
      </c>
      <c r="C1583">
        <v>1</v>
      </c>
      <c r="D1583">
        <v>1</v>
      </c>
      <c r="E1583" t="s">
        <v>6182</v>
      </c>
      <c r="F1583" t="s">
        <v>6182</v>
      </c>
      <c r="G1583" t="s">
        <v>6182</v>
      </c>
      <c r="H1583">
        <v>306</v>
      </c>
    </row>
    <row r="1584" spans="1:8" x14ac:dyDescent="0.25">
      <c r="A1584" t="s">
        <v>1367</v>
      </c>
      <c r="B1584">
        <v>1</v>
      </c>
      <c r="C1584">
        <v>1</v>
      </c>
      <c r="D1584">
        <v>1</v>
      </c>
      <c r="E1584" t="s">
        <v>6183</v>
      </c>
      <c r="F1584" t="s">
        <v>6183</v>
      </c>
      <c r="G1584" t="s">
        <v>6183</v>
      </c>
      <c r="H1584">
        <v>146</v>
      </c>
    </row>
    <row r="1585" spans="1:8" x14ac:dyDescent="0.25">
      <c r="A1585" t="s">
        <v>1031</v>
      </c>
      <c r="B1585">
        <v>1</v>
      </c>
      <c r="C1585">
        <v>1</v>
      </c>
      <c r="D1585">
        <v>1</v>
      </c>
      <c r="E1585" t="s">
        <v>6184</v>
      </c>
      <c r="F1585" t="s">
        <v>6184</v>
      </c>
      <c r="G1585" t="s">
        <v>6184</v>
      </c>
      <c r="H1585">
        <v>224</v>
      </c>
    </row>
    <row r="1586" spans="1:8" x14ac:dyDescent="0.25">
      <c r="A1586" t="s">
        <v>1746</v>
      </c>
      <c r="B1586">
        <v>1</v>
      </c>
      <c r="C1586">
        <v>1</v>
      </c>
      <c r="D1586">
        <v>1</v>
      </c>
      <c r="E1586" t="s">
        <v>6185</v>
      </c>
      <c r="F1586" t="s">
        <v>6185</v>
      </c>
      <c r="G1586" t="s">
        <v>6185</v>
      </c>
      <c r="H1586">
        <v>135</v>
      </c>
    </row>
    <row r="1587" spans="1:8" x14ac:dyDescent="0.25">
      <c r="A1587" t="s">
        <v>1317</v>
      </c>
      <c r="B1587">
        <v>1</v>
      </c>
      <c r="C1587">
        <v>1</v>
      </c>
      <c r="D1587">
        <v>1</v>
      </c>
      <c r="E1587" t="s">
        <v>6186</v>
      </c>
      <c r="F1587" t="s">
        <v>6186</v>
      </c>
      <c r="G1587" t="s">
        <v>6186</v>
      </c>
      <c r="H1587">
        <v>193</v>
      </c>
    </row>
    <row r="1588" spans="1:8" x14ac:dyDescent="0.25">
      <c r="A1588" t="s">
        <v>1399</v>
      </c>
      <c r="B1588">
        <v>1</v>
      </c>
      <c r="C1588">
        <v>1</v>
      </c>
      <c r="D1588">
        <v>1</v>
      </c>
      <c r="E1588" t="s">
        <v>6187</v>
      </c>
      <c r="F1588" t="s">
        <v>6187</v>
      </c>
      <c r="G1588" t="s">
        <v>6187</v>
      </c>
      <c r="H1588">
        <v>172</v>
      </c>
    </row>
    <row r="1589" spans="1:8" x14ac:dyDescent="0.25">
      <c r="A1589" t="s">
        <v>1383</v>
      </c>
      <c r="B1589">
        <v>1</v>
      </c>
      <c r="C1589">
        <v>1</v>
      </c>
      <c r="D1589">
        <v>1</v>
      </c>
      <c r="E1589" t="s">
        <v>6188</v>
      </c>
      <c r="F1589" t="s">
        <v>6188</v>
      </c>
      <c r="G1589" t="s">
        <v>6188</v>
      </c>
      <c r="H1589">
        <v>213</v>
      </c>
    </row>
    <row r="1590" spans="1:8" x14ac:dyDescent="0.25">
      <c r="A1590" t="s">
        <v>1494</v>
      </c>
      <c r="B1590">
        <v>1</v>
      </c>
      <c r="C1590">
        <v>1</v>
      </c>
      <c r="D1590">
        <v>1</v>
      </c>
      <c r="E1590" t="s">
        <v>6189</v>
      </c>
      <c r="F1590" t="s">
        <v>6189</v>
      </c>
      <c r="G1590" t="s">
        <v>6189</v>
      </c>
      <c r="H1590">
        <v>196</v>
      </c>
    </row>
    <row r="1591" spans="1:8" x14ac:dyDescent="0.25">
      <c r="A1591" t="s">
        <v>1631</v>
      </c>
      <c r="B1591">
        <v>1</v>
      </c>
      <c r="C1591">
        <v>1</v>
      </c>
      <c r="D1591">
        <v>1</v>
      </c>
      <c r="E1591" t="s">
        <v>6190</v>
      </c>
      <c r="F1591" t="s">
        <v>6190</v>
      </c>
      <c r="G1591" t="s">
        <v>6190</v>
      </c>
      <c r="H1591">
        <v>170</v>
      </c>
    </row>
    <row r="1592" spans="1:8" x14ac:dyDescent="0.25">
      <c r="A1592" t="s">
        <v>1741</v>
      </c>
      <c r="B1592">
        <v>1</v>
      </c>
      <c r="C1592">
        <v>1</v>
      </c>
      <c r="D1592">
        <v>1</v>
      </c>
      <c r="E1592" t="s">
        <v>6191</v>
      </c>
      <c r="F1592" t="s">
        <v>6191</v>
      </c>
      <c r="G1592" t="s">
        <v>6191</v>
      </c>
      <c r="H1592">
        <v>161</v>
      </c>
    </row>
    <row r="1593" spans="1:8" x14ac:dyDescent="0.25">
      <c r="A1593" t="s">
        <v>1624</v>
      </c>
      <c r="B1593">
        <v>1</v>
      </c>
      <c r="C1593">
        <v>1</v>
      </c>
      <c r="D1593">
        <v>1</v>
      </c>
      <c r="E1593" t="s">
        <v>6192</v>
      </c>
      <c r="F1593" t="s">
        <v>6192</v>
      </c>
      <c r="G1593" t="s">
        <v>6192</v>
      </c>
      <c r="H1593">
        <v>164</v>
      </c>
    </row>
    <row r="1594" spans="1:8" x14ac:dyDescent="0.25">
      <c r="A1594" t="s">
        <v>1783</v>
      </c>
      <c r="B1594">
        <v>1</v>
      </c>
      <c r="C1594">
        <v>1</v>
      </c>
      <c r="D1594">
        <v>1</v>
      </c>
      <c r="E1594" t="s">
        <v>6193</v>
      </c>
      <c r="F1594" t="s">
        <v>6193</v>
      </c>
      <c r="G1594" t="s">
        <v>6193</v>
      </c>
      <c r="H1594">
        <v>137</v>
      </c>
    </row>
    <row r="1595" spans="1:8" x14ac:dyDescent="0.25">
      <c r="A1595" t="s">
        <v>1849</v>
      </c>
      <c r="B1595">
        <v>1</v>
      </c>
      <c r="C1595">
        <v>1</v>
      </c>
      <c r="D1595">
        <v>1</v>
      </c>
      <c r="E1595" t="s">
        <v>6194</v>
      </c>
      <c r="F1595" t="s">
        <v>6194</v>
      </c>
      <c r="G1595" t="s">
        <v>6194</v>
      </c>
      <c r="H1595">
        <v>122</v>
      </c>
    </row>
    <row r="1596" spans="1:8" x14ac:dyDescent="0.25">
      <c r="A1596" t="s">
        <v>1878</v>
      </c>
      <c r="B1596">
        <v>1</v>
      </c>
      <c r="C1596">
        <v>1</v>
      </c>
      <c r="D1596">
        <v>1</v>
      </c>
      <c r="E1596" t="s">
        <v>6195</v>
      </c>
      <c r="F1596" t="s">
        <v>6195</v>
      </c>
      <c r="G1596" t="s">
        <v>6195</v>
      </c>
      <c r="H1596">
        <v>130</v>
      </c>
    </row>
    <row r="1597" spans="1:8" x14ac:dyDescent="0.25">
      <c r="A1597" t="s">
        <v>2031</v>
      </c>
      <c r="B1597">
        <v>1</v>
      </c>
      <c r="C1597">
        <v>1</v>
      </c>
      <c r="D1597">
        <v>1</v>
      </c>
      <c r="E1597" t="s">
        <v>6196</v>
      </c>
      <c r="F1597" t="s">
        <v>6196</v>
      </c>
      <c r="G1597" t="s">
        <v>6196</v>
      </c>
      <c r="H1597">
        <v>110</v>
      </c>
    </row>
    <row r="1598" spans="1:8" x14ac:dyDescent="0.25">
      <c r="A1598" t="s">
        <v>1958</v>
      </c>
      <c r="B1598">
        <v>1</v>
      </c>
      <c r="C1598">
        <v>1</v>
      </c>
      <c r="D1598">
        <v>1</v>
      </c>
      <c r="E1598" t="s">
        <v>6197</v>
      </c>
      <c r="F1598" t="s">
        <v>6197</v>
      </c>
      <c r="G1598" t="s">
        <v>6197</v>
      </c>
      <c r="H1598">
        <v>105</v>
      </c>
    </row>
    <row r="1599" spans="1:8" x14ac:dyDescent="0.25">
      <c r="A1599" t="s">
        <v>1543</v>
      </c>
      <c r="B1599">
        <v>1</v>
      </c>
      <c r="C1599">
        <v>1</v>
      </c>
      <c r="D1599">
        <v>1</v>
      </c>
      <c r="E1599" t="s">
        <v>6198</v>
      </c>
      <c r="F1599" t="s">
        <v>6198</v>
      </c>
      <c r="G1599" t="s">
        <v>6198</v>
      </c>
      <c r="H1599">
        <v>167</v>
      </c>
    </row>
    <row r="1600" spans="1:8" x14ac:dyDescent="0.25">
      <c r="A1600" t="s">
        <v>862</v>
      </c>
      <c r="B1600">
        <v>3</v>
      </c>
      <c r="C1600">
        <v>3</v>
      </c>
      <c r="D1600">
        <v>3</v>
      </c>
      <c r="E1600" t="s">
        <v>6199</v>
      </c>
      <c r="F1600" t="s">
        <v>6199</v>
      </c>
      <c r="G1600" t="s">
        <v>4256</v>
      </c>
      <c r="H1600">
        <v>56</v>
      </c>
    </row>
    <row r="1601" spans="1:8" x14ac:dyDescent="0.25">
      <c r="A1601" t="s">
        <v>825</v>
      </c>
      <c r="B1601">
        <v>1</v>
      </c>
      <c r="C1601">
        <v>1</v>
      </c>
      <c r="D1601">
        <v>1</v>
      </c>
      <c r="E1601" t="s">
        <v>6200</v>
      </c>
      <c r="F1601" t="s">
        <v>6200</v>
      </c>
      <c r="G1601" t="s">
        <v>6200</v>
      </c>
      <c r="H1601">
        <v>35</v>
      </c>
    </row>
    <row r="1602" spans="1:8" x14ac:dyDescent="0.25">
      <c r="A1602" t="s">
        <v>610</v>
      </c>
      <c r="B1602">
        <v>2</v>
      </c>
      <c r="C1602">
        <v>2</v>
      </c>
      <c r="D1602">
        <v>2</v>
      </c>
      <c r="E1602" t="s">
        <v>6201</v>
      </c>
      <c r="F1602" t="s">
        <v>6202</v>
      </c>
      <c r="G1602" t="s">
        <v>4256</v>
      </c>
      <c r="H1602">
        <v>152</v>
      </c>
    </row>
    <row r="1603" spans="1:8" x14ac:dyDescent="0.25">
      <c r="A1603" t="s">
        <v>358</v>
      </c>
      <c r="B1603">
        <v>1</v>
      </c>
      <c r="C1603">
        <v>1</v>
      </c>
      <c r="D1603">
        <v>1</v>
      </c>
      <c r="E1603" t="s">
        <v>6203</v>
      </c>
      <c r="F1603" t="s">
        <v>6204</v>
      </c>
      <c r="G1603" t="s">
        <v>6204</v>
      </c>
      <c r="H1603">
        <v>293</v>
      </c>
    </row>
    <row r="1604" spans="1:8" x14ac:dyDescent="0.25">
      <c r="A1604" t="s">
        <v>989</v>
      </c>
      <c r="B1604">
        <v>1</v>
      </c>
      <c r="C1604">
        <v>1</v>
      </c>
      <c r="D1604">
        <v>1</v>
      </c>
      <c r="E1604" t="s">
        <v>6205</v>
      </c>
      <c r="F1604" t="s">
        <v>6205</v>
      </c>
      <c r="G1604" t="s">
        <v>6205</v>
      </c>
      <c r="H1604">
        <v>123</v>
      </c>
    </row>
    <row r="1605" spans="1:8" x14ac:dyDescent="0.25">
      <c r="A1605" t="s">
        <v>314</v>
      </c>
      <c r="B1605">
        <v>1</v>
      </c>
      <c r="C1605">
        <v>1</v>
      </c>
      <c r="D1605">
        <v>1</v>
      </c>
      <c r="E1605" t="s">
        <v>6206</v>
      </c>
      <c r="F1605" t="s">
        <v>6206</v>
      </c>
      <c r="G1605" t="s">
        <v>6206</v>
      </c>
      <c r="H1605">
        <v>452</v>
      </c>
    </row>
    <row r="1606" spans="1:8" x14ac:dyDescent="0.25">
      <c r="A1606" t="s">
        <v>233</v>
      </c>
      <c r="B1606">
        <v>1</v>
      </c>
      <c r="C1606">
        <v>1</v>
      </c>
      <c r="D1606">
        <v>1</v>
      </c>
      <c r="E1606" t="s">
        <v>6207</v>
      </c>
      <c r="F1606" t="s">
        <v>6207</v>
      </c>
      <c r="G1606" t="s">
        <v>6207</v>
      </c>
      <c r="H1606">
        <v>307</v>
      </c>
    </row>
    <row r="1607" spans="1:8" x14ac:dyDescent="0.25">
      <c r="A1607" t="s">
        <v>714</v>
      </c>
      <c r="B1607">
        <v>1</v>
      </c>
      <c r="C1607">
        <v>1</v>
      </c>
      <c r="D1607">
        <v>1</v>
      </c>
      <c r="E1607" t="s">
        <v>6208</v>
      </c>
      <c r="F1607" t="s">
        <v>6209</v>
      </c>
      <c r="G1607" t="s">
        <v>6209</v>
      </c>
      <c r="H1607">
        <v>419</v>
      </c>
    </row>
    <row r="1608" spans="1:8" x14ac:dyDescent="0.25">
      <c r="A1608" t="s">
        <v>1760</v>
      </c>
      <c r="B1608">
        <v>1</v>
      </c>
      <c r="C1608">
        <v>1</v>
      </c>
      <c r="D1608">
        <v>1</v>
      </c>
      <c r="E1608" t="s">
        <v>6210</v>
      </c>
      <c r="F1608" t="s">
        <v>6210</v>
      </c>
      <c r="G1608" t="s">
        <v>6210</v>
      </c>
      <c r="H1608">
        <v>125</v>
      </c>
    </row>
    <row r="1609" spans="1:8" x14ac:dyDescent="0.25">
      <c r="A1609" t="s">
        <v>1454</v>
      </c>
      <c r="B1609">
        <v>1</v>
      </c>
      <c r="C1609">
        <v>1</v>
      </c>
      <c r="D1609">
        <v>1</v>
      </c>
      <c r="E1609" t="s">
        <v>6211</v>
      </c>
      <c r="F1609" t="s">
        <v>6211</v>
      </c>
      <c r="G1609" t="s">
        <v>6211</v>
      </c>
      <c r="H1609">
        <v>159</v>
      </c>
    </row>
    <row r="1610" spans="1:8" x14ac:dyDescent="0.25">
      <c r="A1610" t="s">
        <v>196</v>
      </c>
      <c r="B1610">
        <v>1</v>
      </c>
      <c r="C1610">
        <v>1</v>
      </c>
      <c r="D1610">
        <v>1</v>
      </c>
      <c r="E1610" t="s">
        <v>6212</v>
      </c>
      <c r="F1610" t="s">
        <v>6212</v>
      </c>
      <c r="G1610" t="s">
        <v>6212</v>
      </c>
      <c r="H1610">
        <v>1085</v>
      </c>
    </row>
    <row r="1611" spans="1:8" x14ac:dyDescent="0.25">
      <c r="A1611" t="s">
        <v>236</v>
      </c>
      <c r="B1611">
        <v>1</v>
      </c>
      <c r="C1611">
        <v>1</v>
      </c>
      <c r="D1611">
        <v>1</v>
      </c>
      <c r="E1611" t="s">
        <v>6213</v>
      </c>
      <c r="F1611" t="s">
        <v>6213</v>
      </c>
      <c r="G1611" t="s">
        <v>6213</v>
      </c>
      <c r="H1611">
        <v>830</v>
      </c>
    </row>
    <row r="1612" spans="1:8" x14ac:dyDescent="0.25">
      <c r="A1612" t="s">
        <v>161</v>
      </c>
      <c r="B1612">
        <v>1</v>
      </c>
      <c r="C1612">
        <v>1</v>
      </c>
      <c r="D1612">
        <v>1</v>
      </c>
      <c r="E1612" t="s">
        <v>6214</v>
      </c>
      <c r="F1612" t="s">
        <v>6215</v>
      </c>
      <c r="G1612" t="s">
        <v>6215</v>
      </c>
      <c r="H1612">
        <v>1138</v>
      </c>
    </row>
    <row r="1613" spans="1:8" x14ac:dyDescent="0.25">
      <c r="A1613" t="s">
        <v>1007</v>
      </c>
      <c r="B1613">
        <v>2</v>
      </c>
      <c r="C1613">
        <v>2</v>
      </c>
      <c r="D1613">
        <v>2</v>
      </c>
      <c r="E1613" t="s">
        <v>6216</v>
      </c>
      <c r="F1613" t="s">
        <v>6216</v>
      </c>
      <c r="G1613" t="s">
        <v>4256</v>
      </c>
      <c r="H1613">
        <v>58</v>
      </c>
    </row>
    <row r="1614" spans="1:8" x14ac:dyDescent="0.25">
      <c r="A1614" t="s">
        <v>1827</v>
      </c>
      <c r="B1614">
        <v>1</v>
      </c>
      <c r="C1614">
        <v>1</v>
      </c>
      <c r="D1614">
        <v>1</v>
      </c>
      <c r="E1614" t="s">
        <v>6217</v>
      </c>
      <c r="F1614" t="s">
        <v>6217</v>
      </c>
      <c r="G1614" t="s">
        <v>6217</v>
      </c>
      <c r="H1614">
        <v>121</v>
      </c>
    </row>
    <row r="1615" spans="1:8" x14ac:dyDescent="0.25">
      <c r="A1615" t="s">
        <v>990</v>
      </c>
      <c r="B1615">
        <v>1</v>
      </c>
      <c r="C1615">
        <v>1</v>
      </c>
      <c r="D1615">
        <v>1</v>
      </c>
      <c r="E1615" t="s">
        <v>6218</v>
      </c>
      <c r="F1615" t="s">
        <v>6218</v>
      </c>
      <c r="G1615" t="s">
        <v>6218</v>
      </c>
      <c r="H1615">
        <v>49</v>
      </c>
    </row>
    <row r="1616" spans="1:8" x14ac:dyDescent="0.25">
      <c r="A1616" t="s">
        <v>2216</v>
      </c>
      <c r="B1616">
        <v>1</v>
      </c>
      <c r="C1616">
        <v>1</v>
      </c>
      <c r="D1616">
        <v>1</v>
      </c>
      <c r="E1616" t="s">
        <v>6219</v>
      </c>
      <c r="F1616" t="s">
        <v>6219</v>
      </c>
      <c r="G1616" t="s">
        <v>6219</v>
      </c>
      <c r="H1616">
        <v>123</v>
      </c>
    </row>
    <row r="1617" spans="1:8" x14ac:dyDescent="0.25">
      <c r="A1617" t="s">
        <v>1126</v>
      </c>
      <c r="B1617">
        <v>1</v>
      </c>
      <c r="C1617">
        <v>1</v>
      </c>
      <c r="D1617">
        <v>1</v>
      </c>
      <c r="E1617" t="s">
        <v>6220</v>
      </c>
      <c r="F1617" t="s">
        <v>6221</v>
      </c>
      <c r="G1617" t="s">
        <v>6221</v>
      </c>
      <c r="H1617">
        <v>177</v>
      </c>
    </row>
    <row r="1618" spans="1:8" x14ac:dyDescent="0.25">
      <c r="A1618" t="s">
        <v>1935</v>
      </c>
      <c r="B1618">
        <v>1</v>
      </c>
      <c r="C1618">
        <v>1</v>
      </c>
      <c r="D1618">
        <v>1</v>
      </c>
      <c r="E1618" t="s">
        <v>6222</v>
      </c>
      <c r="F1618" t="s">
        <v>6223</v>
      </c>
      <c r="G1618" t="s">
        <v>6223</v>
      </c>
      <c r="H1618">
        <v>79</v>
      </c>
    </row>
    <row r="1619" spans="1:8" x14ac:dyDescent="0.25">
      <c r="A1619" t="s">
        <v>1892</v>
      </c>
      <c r="B1619">
        <v>1</v>
      </c>
      <c r="C1619">
        <v>1</v>
      </c>
      <c r="D1619">
        <v>1</v>
      </c>
      <c r="E1619" t="s">
        <v>6224</v>
      </c>
      <c r="F1619" t="s">
        <v>6225</v>
      </c>
      <c r="G1619" t="s">
        <v>6225</v>
      </c>
      <c r="H1619">
        <v>72</v>
      </c>
    </row>
    <row r="1620" spans="1:8" x14ac:dyDescent="0.25">
      <c r="A1620" t="s">
        <v>2304</v>
      </c>
      <c r="B1620">
        <v>1</v>
      </c>
      <c r="C1620">
        <v>1</v>
      </c>
      <c r="D1620">
        <v>1</v>
      </c>
      <c r="E1620" t="s">
        <v>6226</v>
      </c>
      <c r="F1620" t="s">
        <v>6227</v>
      </c>
      <c r="G1620" t="s">
        <v>6227</v>
      </c>
      <c r="H1620">
        <v>49</v>
      </c>
    </row>
    <row r="1621" spans="1:8" x14ac:dyDescent="0.25">
      <c r="A1621" t="s">
        <v>1625</v>
      </c>
      <c r="B1621">
        <v>1</v>
      </c>
      <c r="C1621">
        <v>1</v>
      </c>
      <c r="D1621">
        <v>1</v>
      </c>
      <c r="E1621" t="s">
        <v>6228</v>
      </c>
      <c r="F1621" t="s">
        <v>6228</v>
      </c>
      <c r="G1621" t="s">
        <v>6228</v>
      </c>
      <c r="H1621">
        <v>101</v>
      </c>
    </row>
    <row r="1622" spans="1:8" x14ac:dyDescent="0.25">
      <c r="A1622" t="s">
        <v>2301</v>
      </c>
      <c r="B1622">
        <v>1</v>
      </c>
      <c r="C1622">
        <v>1</v>
      </c>
      <c r="D1622">
        <v>1</v>
      </c>
      <c r="E1622" t="s">
        <v>6229</v>
      </c>
      <c r="F1622" t="s">
        <v>6229</v>
      </c>
      <c r="G1622" t="s">
        <v>6229</v>
      </c>
      <c r="H1622">
        <v>39</v>
      </c>
    </row>
    <row r="1623" spans="1:8" x14ac:dyDescent="0.25">
      <c r="A1623" t="s">
        <v>1283</v>
      </c>
      <c r="B1623">
        <v>1</v>
      </c>
      <c r="C1623">
        <v>1</v>
      </c>
      <c r="D1623">
        <v>1</v>
      </c>
      <c r="E1623" t="s">
        <v>6230</v>
      </c>
      <c r="F1623" t="s">
        <v>6231</v>
      </c>
      <c r="G1623" t="s">
        <v>6231</v>
      </c>
      <c r="H1623">
        <v>106</v>
      </c>
    </row>
    <row r="1624" spans="1:8" x14ac:dyDescent="0.25">
      <c r="A1624" t="s">
        <v>1591</v>
      </c>
      <c r="B1624">
        <v>1</v>
      </c>
      <c r="C1624">
        <v>1</v>
      </c>
      <c r="D1624">
        <v>1</v>
      </c>
      <c r="E1624" t="s">
        <v>6232</v>
      </c>
      <c r="F1624" t="s">
        <v>6232</v>
      </c>
      <c r="G1624" t="s">
        <v>6232</v>
      </c>
      <c r="H1624">
        <v>106</v>
      </c>
    </row>
    <row r="1625" spans="1:8" x14ac:dyDescent="0.25">
      <c r="A1625" t="s">
        <v>1259</v>
      </c>
      <c r="B1625">
        <v>1</v>
      </c>
      <c r="C1625">
        <v>1</v>
      </c>
      <c r="D1625">
        <v>1</v>
      </c>
      <c r="E1625" t="s">
        <v>6233</v>
      </c>
      <c r="F1625" t="s">
        <v>6234</v>
      </c>
      <c r="G1625" t="s">
        <v>6234</v>
      </c>
      <c r="H1625">
        <v>320</v>
      </c>
    </row>
    <row r="1626" spans="1:8" x14ac:dyDescent="0.25">
      <c r="A1626" t="s">
        <v>1448</v>
      </c>
      <c r="B1626">
        <v>1</v>
      </c>
      <c r="C1626">
        <v>1</v>
      </c>
      <c r="D1626">
        <v>1</v>
      </c>
      <c r="E1626" t="s">
        <v>6235</v>
      </c>
      <c r="F1626" t="s">
        <v>6236</v>
      </c>
      <c r="G1626" t="s">
        <v>6236</v>
      </c>
      <c r="H1626">
        <v>224</v>
      </c>
    </row>
    <row r="1627" spans="1:8" x14ac:dyDescent="0.25">
      <c r="A1627" t="s">
        <v>1472</v>
      </c>
      <c r="B1627">
        <v>1</v>
      </c>
      <c r="C1627">
        <v>1</v>
      </c>
      <c r="D1627">
        <v>1</v>
      </c>
      <c r="E1627" t="s">
        <v>6237</v>
      </c>
      <c r="F1627" t="s">
        <v>6237</v>
      </c>
      <c r="G1627" t="s">
        <v>6237</v>
      </c>
      <c r="H1627">
        <v>226</v>
      </c>
    </row>
    <row r="1628" spans="1:8" x14ac:dyDescent="0.25">
      <c r="A1628" t="s">
        <v>2126</v>
      </c>
      <c r="B1628">
        <v>1</v>
      </c>
      <c r="C1628">
        <v>1</v>
      </c>
      <c r="D1628">
        <v>1</v>
      </c>
      <c r="E1628" t="s">
        <v>6238</v>
      </c>
      <c r="F1628" t="s">
        <v>6238</v>
      </c>
      <c r="G1628" t="s">
        <v>6238</v>
      </c>
      <c r="H1628">
        <v>130</v>
      </c>
    </row>
    <row r="1629" spans="1:8" x14ac:dyDescent="0.25">
      <c r="A1629" t="s">
        <v>1509</v>
      </c>
      <c r="B1629">
        <v>1</v>
      </c>
      <c r="C1629">
        <v>1</v>
      </c>
      <c r="D1629">
        <v>1</v>
      </c>
      <c r="E1629" t="s">
        <v>6239</v>
      </c>
      <c r="F1629" t="s">
        <v>6239</v>
      </c>
      <c r="G1629" t="s">
        <v>6239</v>
      </c>
      <c r="H1629">
        <v>289</v>
      </c>
    </row>
    <row r="1630" spans="1:8" x14ac:dyDescent="0.25">
      <c r="A1630" t="s">
        <v>2288</v>
      </c>
      <c r="B1630">
        <v>1</v>
      </c>
      <c r="C1630">
        <v>1</v>
      </c>
      <c r="D1630">
        <v>1</v>
      </c>
      <c r="E1630" t="s">
        <v>6240</v>
      </c>
      <c r="F1630" t="s">
        <v>6241</v>
      </c>
      <c r="G1630" t="s">
        <v>6241</v>
      </c>
      <c r="H1630">
        <v>131</v>
      </c>
    </row>
    <row r="1631" spans="1:8" x14ac:dyDescent="0.25">
      <c r="A1631" t="s">
        <v>2034</v>
      </c>
      <c r="B1631">
        <v>1</v>
      </c>
      <c r="C1631">
        <v>1</v>
      </c>
      <c r="D1631">
        <v>1</v>
      </c>
      <c r="E1631" t="s">
        <v>6242</v>
      </c>
      <c r="F1631" t="s">
        <v>6243</v>
      </c>
      <c r="G1631" t="s">
        <v>6243</v>
      </c>
      <c r="H1631">
        <v>172</v>
      </c>
    </row>
    <row r="1632" spans="1:8" x14ac:dyDescent="0.25">
      <c r="A1632" t="s">
        <v>1853</v>
      </c>
      <c r="B1632">
        <v>4</v>
      </c>
      <c r="C1632">
        <v>4</v>
      </c>
      <c r="D1632">
        <v>4</v>
      </c>
      <c r="E1632" t="s">
        <v>6244</v>
      </c>
      <c r="F1632" t="s">
        <v>6244</v>
      </c>
      <c r="G1632" t="s">
        <v>4256</v>
      </c>
      <c r="H1632">
        <v>120</v>
      </c>
    </row>
    <row r="1633" spans="1:8" x14ac:dyDescent="0.25">
      <c r="A1633" t="s">
        <v>145</v>
      </c>
      <c r="B1633">
        <v>1</v>
      </c>
      <c r="C1633">
        <v>1</v>
      </c>
      <c r="D1633">
        <v>1</v>
      </c>
      <c r="E1633" t="s">
        <v>6245</v>
      </c>
      <c r="F1633" t="s">
        <v>6246</v>
      </c>
      <c r="G1633" t="s">
        <v>6246</v>
      </c>
      <c r="H1633">
        <v>1477</v>
      </c>
    </row>
    <row r="1634" spans="1:8" x14ac:dyDescent="0.25">
      <c r="A1634" t="s">
        <v>672</v>
      </c>
      <c r="B1634">
        <v>1</v>
      </c>
      <c r="C1634">
        <v>1</v>
      </c>
      <c r="D1634">
        <v>1</v>
      </c>
      <c r="E1634" t="s">
        <v>6247</v>
      </c>
      <c r="F1634" t="s">
        <v>6247</v>
      </c>
      <c r="G1634" t="s">
        <v>6247</v>
      </c>
      <c r="H1634">
        <v>300</v>
      </c>
    </row>
    <row r="1635" spans="1:8" x14ac:dyDescent="0.25">
      <c r="A1635" t="s">
        <v>181</v>
      </c>
      <c r="B1635">
        <v>1</v>
      </c>
      <c r="C1635">
        <v>1</v>
      </c>
      <c r="D1635">
        <v>1</v>
      </c>
      <c r="E1635" t="s">
        <v>6248</v>
      </c>
      <c r="F1635" t="s">
        <v>6248</v>
      </c>
      <c r="G1635" t="s">
        <v>6248</v>
      </c>
      <c r="H1635">
        <v>872</v>
      </c>
    </row>
    <row r="1636" spans="1:8" x14ac:dyDescent="0.25">
      <c r="A1636" t="s">
        <v>712</v>
      </c>
      <c r="B1636">
        <v>1</v>
      </c>
      <c r="C1636">
        <v>1</v>
      </c>
      <c r="D1636">
        <v>1</v>
      </c>
      <c r="E1636" t="s">
        <v>6249</v>
      </c>
      <c r="F1636" t="s">
        <v>6249</v>
      </c>
      <c r="G1636" t="s">
        <v>6249</v>
      </c>
      <c r="H1636">
        <v>305</v>
      </c>
    </row>
    <row r="1637" spans="1:8" x14ac:dyDescent="0.25">
      <c r="A1637" t="s">
        <v>418</v>
      </c>
      <c r="B1637">
        <v>1</v>
      </c>
      <c r="C1637">
        <v>1</v>
      </c>
      <c r="D1637">
        <v>1</v>
      </c>
      <c r="E1637" t="s">
        <v>6250</v>
      </c>
      <c r="F1637" t="s">
        <v>6250</v>
      </c>
      <c r="G1637" t="s">
        <v>6250</v>
      </c>
      <c r="H1637">
        <v>453</v>
      </c>
    </row>
    <row r="1638" spans="1:8" x14ac:dyDescent="0.25">
      <c r="A1638" t="s">
        <v>168</v>
      </c>
      <c r="B1638">
        <v>1</v>
      </c>
      <c r="C1638">
        <v>1</v>
      </c>
      <c r="D1638">
        <v>1</v>
      </c>
      <c r="E1638" t="s">
        <v>6251</v>
      </c>
      <c r="F1638" t="s">
        <v>6251</v>
      </c>
      <c r="G1638" t="s">
        <v>6251</v>
      </c>
      <c r="H1638">
        <v>1026</v>
      </c>
    </row>
    <row r="1639" spans="1:8" x14ac:dyDescent="0.25">
      <c r="A1639" t="s">
        <v>157</v>
      </c>
      <c r="B1639">
        <v>1</v>
      </c>
      <c r="C1639">
        <v>1</v>
      </c>
      <c r="D1639">
        <v>1</v>
      </c>
      <c r="E1639" t="s">
        <v>6252</v>
      </c>
      <c r="F1639" t="s">
        <v>6253</v>
      </c>
      <c r="G1639" t="s">
        <v>6253</v>
      </c>
      <c r="H1639">
        <v>1107</v>
      </c>
    </row>
    <row r="1640" spans="1:8" x14ac:dyDescent="0.25">
      <c r="A1640" t="s">
        <v>217</v>
      </c>
      <c r="B1640">
        <v>1</v>
      </c>
      <c r="C1640">
        <v>1</v>
      </c>
      <c r="D1640">
        <v>1</v>
      </c>
      <c r="E1640" t="s">
        <v>6254</v>
      </c>
      <c r="F1640" t="s">
        <v>6254</v>
      </c>
      <c r="G1640" t="s">
        <v>6254</v>
      </c>
      <c r="H1640">
        <v>810</v>
      </c>
    </row>
    <row r="1641" spans="1:8" x14ac:dyDescent="0.25">
      <c r="A1641" t="s">
        <v>388</v>
      </c>
      <c r="B1641">
        <v>1</v>
      </c>
      <c r="C1641">
        <v>1</v>
      </c>
      <c r="D1641">
        <v>1</v>
      </c>
      <c r="E1641" t="s">
        <v>6255</v>
      </c>
      <c r="F1641" t="s">
        <v>6255</v>
      </c>
      <c r="G1641" t="s">
        <v>6255</v>
      </c>
      <c r="H1641">
        <v>474</v>
      </c>
    </row>
    <row r="1642" spans="1:8" x14ac:dyDescent="0.25">
      <c r="A1642" t="s">
        <v>316</v>
      </c>
      <c r="B1642">
        <v>1</v>
      </c>
      <c r="C1642">
        <v>1</v>
      </c>
      <c r="D1642">
        <v>1</v>
      </c>
      <c r="E1642" t="s">
        <v>6256</v>
      </c>
      <c r="F1642" t="s">
        <v>6256</v>
      </c>
      <c r="G1642" t="s">
        <v>6256</v>
      </c>
      <c r="H1642">
        <v>594</v>
      </c>
    </row>
    <row r="1643" spans="1:8" x14ac:dyDescent="0.25">
      <c r="A1643" t="s">
        <v>1411</v>
      </c>
      <c r="B1643">
        <v>1</v>
      </c>
      <c r="C1643">
        <v>1</v>
      </c>
      <c r="D1643">
        <v>1</v>
      </c>
      <c r="E1643" t="s">
        <v>6257</v>
      </c>
      <c r="F1643" t="s">
        <v>6258</v>
      </c>
      <c r="G1643" t="s">
        <v>6258</v>
      </c>
      <c r="H1643">
        <v>145</v>
      </c>
    </row>
    <row r="1644" spans="1:8" x14ac:dyDescent="0.25">
      <c r="A1644" t="s">
        <v>1129</v>
      </c>
      <c r="B1644">
        <v>1</v>
      </c>
      <c r="C1644">
        <v>1</v>
      </c>
      <c r="D1644">
        <v>1</v>
      </c>
      <c r="E1644" t="s">
        <v>6259</v>
      </c>
      <c r="F1644" t="s">
        <v>6260</v>
      </c>
      <c r="G1644" t="s">
        <v>6260</v>
      </c>
      <c r="H1644">
        <v>190</v>
      </c>
    </row>
    <row r="1645" spans="1:8" x14ac:dyDescent="0.25">
      <c r="A1645" t="s">
        <v>1158</v>
      </c>
      <c r="B1645">
        <v>1</v>
      </c>
      <c r="C1645">
        <v>1</v>
      </c>
      <c r="D1645">
        <v>1</v>
      </c>
      <c r="E1645" t="s">
        <v>6261</v>
      </c>
      <c r="F1645" t="s">
        <v>6261</v>
      </c>
      <c r="G1645" t="s">
        <v>6261</v>
      </c>
      <c r="H1645">
        <v>201</v>
      </c>
    </row>
    <row r="1646" spans="1:8" x14ac:dyDescent="0.25">
      <c r="A1646" t="s">
        <v>336</v>
      </c>
      <c r="B1646">
        <v>4</v>
      </c>
      <c r="C1646">
        <v>4</v>
      </c>
      <c r="D1646">
        <v>4</v>
      </c>
      <c r="E1646" t="s">
        <v>6262</v>
      </c>
      <c r="F1646" t="s">
        <v>6262</v>
      </c>
      <c r="G1646" t="s">
        <v>4256</v>
      </c>
      <c r="H1646">
        <v>447</v>
      </c>
    </row>
    <row r="1647" spans="1:8" x14ac:dyDescent="0.25">
      <c r="A1647" t="s">
        <v>1497</v>
      </c>
      <c r="B1647">
        <v>1</v>
      </c>
      <c r="C1647">
        <v>1</v>
      </c>
      <c r="D1647">
        <v>1</v>
      </c>
      <c r="E1647" t="s">
        <v>6263</v>
      </c>
      <c r="F1647" t="s">
        <v>6263</v>
      </c>
      <c r="G1647" t="s">
        <v>6263</v>
      </c>
      <c r="H1647">
        <v>141</v>
      </c>
    </row>
    <row r="1648" spans="1:8" x14ac:dyDescent="0.25">
      <c r="A1648" t="s">
        <v>1079</v>
      </c>
      <c r="B1648">
        <v>1</v>
      </c>
      <c r="C1648">
        <v>1</v>
      </c>
      <c r="D1648">
        <v>1</v>
      </c>
      <c r="E1648" t="s">
        <v>6264</v>
      </c>
      <c r="F1648" t="s">
        <v>6265</v>
      </c>
      <c r="G1648" t="s">
        <v>6265</v>
      </c>
      <c r="H1648">
        <v>232</v>
      </c>
    </row>
    <row r="1649" spans="1:8" x14ac:dyDescent="0.25">
      <c r="A1649" t="s">
        <v>985</v>
      </c>
      <c r="B1649">
        <v>1</v>
      </c>
      <c r="C1649">
        <v>1</v>
      </c>
      <c r="D1649">
        <v>1</v>
      </c>
      <c r="E1649" t="s">
        <v>6266</v>
      </c>
      <c r="F1649" t="s">
        <v>6267</v>
      </c>
      <c r="G1649" t="s">
        <v>6267</v>
      </c>
      <c r="H1649">
        <v>269</v>
      </c>
    </row>
    <row r="1650" spans="1:8" x14ac:dyDescent="0.25">
      <c r="A1650" t="s">
        <v>768</v>
      </c>
      <c r="B1650">
        <v>1</v>
      </c>
      <c r="C1650">
        <v>1</v>
      </c>
      <c r="D1650">
        <v>1</v>
      </c>
      <c r="E1650" t="s">
        <v>6268</v>
      </c>
      <c r="F1650" t="s">
        <v>6268</v>
      </c>
      <c r="G1650" t="s">
        <v>6268</v>
      </c>
      <c r="H1650">
        <v>283</v>
      </c>
    </row>
    <row r="1651" spans="1:8" x14ac:dyDescent="0.25">
      <c r="A1651" t="s">
        <v>812</v>
      </c>
      <c r="B1651">
        <v>1</v>
      </c>
      <c r="C1651">
        <v>1</v>
      </c>
      <c r="D1651">
        <v>1</v>
      </c>
      <c r="E1651" t="s">
        <v>6269</v>
      </c>
      <c r="F1651" t="s">
        <v>6269</v>
      </c>
      <c r="G1651" t="s">
        <v>6269</v>
      </c>
      <c r="H1651">
        <v>327</v>
      </c>
    </row>
    <row r="1652" spans="1:8" x14ac:dyDescent="0.25">
      <c r="A1652" t="s">
        <v>567</v>
      </c>
      <c r="B1652">
        <v>3</v>
      </c>
      <c r="C1652">
        <v>3</v>
      </c>
      <c r="D1652">
        <v>3</v>
      </c>
      <c r="E1652" t="s">
        <v>6270</v>
      </c>
      <c r="F1652" t="s">
        <v>6270</v>
      </c>
      <c r="G1652" t="s">
        <v>4256</v>
      </c>
      <c r="H1652">
        <v>173</v>
      </c>
    </row>
    <row r="1653" spans="1:8" x14ac:dyDescent="0.25">
      <c r="A1653" t="s">
        <v>453</v>
      </c>
      <c r="B1653">
        <v>1</v>
      </c>
      <c r="C1653">
        <v>1</v>
      </c>
      <c r="D1653">
        <v>1</v>
      </c>
      <c r="E1653" t="s">
        <v>6271</v>
      </c>
      <c r="F1653" t="s">
        <v>6271</v>
      </c>
      <c r="G1653" t="s">
        <v>6271</v>
      </c>
      <c r="H1653">
        <v>237</v>
      </c>
    </row>
    <row r="1654" spans="1:8" x14ac:dyDescent="0.25">
      <c r="A1654" t="s">
        <v>1531</v>
      </c>
      <c r="B1654">
        <v>1</v>
      </c>
      <c r="C1654">
        <v>1</v>
      </c>
      <c r="D1654">
        <v>1</v>
      </c>
      <c r="E1654" t="s">
        <v>6272</v>
      </c>
      <c r="F1654" t="s">
        <v>6272</v>
      </c>
      <c r="G1654" t="s">
        <v>6272</v>
      </c>
      <c r="H1654">
        <v>105</v>
      </c>
    </row>
    <row r="1655" spans="1:8" x14ac:dyDescent="0.25">
      <c r="A1655" t="s">
        <v>1046</v>
      </c>
      <c r="B1655">
        <v>1</v>
      </c>
      <c r="C1655">
        <v>1</v>
      </c>
      <c r="D1655">
        <v>1</v>
      </c>
      <c r="E1655" t="s">
        <v>6273</v>
      </c>
      <c r="F1655" t="s">
        <v>6273</v>
      </c>
      <c r="G1655" t="s">
        <v>6273</v>
      </c>
      <c r="H1655">
        <v>211</v>
      </c>
    </row>
    <row r="1656" spans="1:8" x14ac:dyDescent="0.25">
      <c r="A1656" t="s">
        <v>1161</v>
      </c>
      <c r="B1656">
        <v>1</v>
      </c>
      <c r="C1656">
        <v>1</v>
      </c>
      <c r="D1656">
        <v>1</v>
      </c>
      <c r="E1656" t="s">
        <v>6274</v>
      </c>
      <c r="F1656" t="s">
        <v>6274</v>
      </c>
      <c r="G1656" t="s">
        <v>6274</v>
      </c>
      <c r="H1656">
        <v>178</v>
      </c>
    </row>
    <row r="1657" spans="1:8" x14ac:dyDescent="0.25">
      <c r="A1657" t="s">
        <v>673</v>
      </c>
      <c r="B1657">
        <v>1</v>
      </c>
      <c r="C1657">
        <v>1</v>
      </c>
      <c r="D1657">
        <v>1</v>
      </c>
      <c r="E1657" t="s">
        <v>4213</v>
      </c>
      <c r="F1657" t="s">
        <v>4214</v>
      </c>
      <c r="G1657" t="s">
        <v>4214</v>
      </c>
      <c r="H1657">
        <v>436</v>
      </c>
    </row>
    <row r="1658" spans="1:8" x14ac:dyDescent="0.25">
      <c r="A1658" t="s">
        <v>878</v>
      </c>
      <c r="B1658">
        <v>1</v>
      </c>
      <c r="C1658">
        <v>1</v>
      </c>
      <c r="D1658">
        <v>1</v>
      </c>
      <c r="E1658" t="s">
        <v>6275</v>
      </c>
      <c r="F1658" t="s">
        <v>6276</v>
      </c>
      <c r="G1658" t="s">
        <v>6276</v>
      </c>
      <c r="H1658">
        <v>335</v>
      </c>
    </row>
    <row r="1659" spans="1:8" x14ac:dyDescent="0.25">
      <c r="A1659" t="s">
        <v>1164</v>
      </c>
      <c r="B1659">
        <v>1</v>
      </c>
      <c r="C1659">
        <v>1</v>
      </c>
      <c r="D1659">
        <v>1</v>
      </c>
      <c r="E1659" t="s">
        <v>6277</v>
      </c>
      <c r="F1659" t="s">
        <v>6277</v>
      </c>
      <c r="G1659" t="s">
        <v>6277</v>
      </c>
      <c r="H1659">
        <v>233</v>
      </c>
    </row>
    <row r="1660" spans="1:8" x14ac:dyDescent="0.25">
      <c r="A1660" t="s">
        <v>644</v>
      </c>
      <c r="B1660">
        <v>1</v>
      </c>
      <c r="C1660">
        <v>1</v>
      </c>
      <c r="D1660">
        <v>1</v>
      </c>
      <c r="E1660" t="s">
        <v>6278</v>
      </c>
      <c r="F1660" t="s">
        <v>6278</v>
      </c>
      <c r="G1660" t="s">
        <v>6278</v>
      </c>
      <c r="H1660">
        <v>451</v>
      </c>
    </row>
    <row r="1661" spans="1:8" x14ac:dyDescent="0.25">
      <c r="A1661" t="s">
        <v>381</v>
      </c>
      <c r="B1661">
        <v>1</v>
      </c>
      <c r="C1661">
        <v>1</v>
      </c>
      <c r="D1661">
        <v>1</v>
      </c>
      <c r="E1661" t="s">
        <v>6279</v>
      </c>
      <c r="F1661" t="s">
        <v>6279</v>
      </c>
      <c r="G1661" t="s">
        <v>6279</v>
      </c>
      <c r="H1661">
        <v>469</v>
      </c>
    </row>
    <row r="1662" spans="1:8" x14ac:dyDescent="0.25">
      <c r="A1662" t="s">
        <v>446</v>
      </c>
      <c r="B1662">
        <v>1</v>
      </c>
      <c r="C1662">
        <v>1</v>
      </c>
      <c r="D1662">
        <v>1</v>
      </c>
      <c r="E1662" t="s">
        <v>6280</v>
      </c>
      <c r="F1662" t="s">
        <v>6280</v>
      </c>
      <c r="G1662" t="s">
        <v>6280</v>
      </c>
      <c r="H1662">
        <v>428</v>
      </c>
    </row>
    <row r="1663" spans="1:8" x14ac:dyDescent="0.25">
      <c r="A1663" t="s">
        <v>564</v>
      </c>
      <c r="B1663">
        <v>1</v>
      </c>
      <c r="C1663">
        <v>1</v>
      </c>
      <c r="D1663">
        <v>1</v>
      </c>
      <c r="E1663" t="s">
        <v>6281</v>
      </c>
      <c r="F1663" t="s">
        <v>6281</v>
      </c>
      <c r="G1663" t="s">
        <v>6281</v>
      </c>
      <c r="H1663">
        <v>295</v>
      </c>
    </row>
    <row r="1664" spans="1:8" x14ac:dyDescent="0.25">
      <c r="A1664" t="s">
        <v>261</v>
      </c>
      <c r="B1664">
        <v>1</v>
      </c>
      <c r="C1664">
        <v>1</v>
      </c>
      <c r="D1664">
        <v>1</v>
      </c>
      <c r="E1664" t="s">
        <v>6282</v>
      </c>
      <c r="F1664" t="s">
        <v>6282</v>
      </c>
      <c r="G1664" t="s">
        <v>6282</v>
      </c>
      <c r="H1664">
        <v>389</v>
      </c>
    </row>
    <row r="1665" spans="1:8" x14ac:dyDescent="0.25">
      <c r="A1665" t="s">
        <v>1993</v>
      </c>
      <c r="B1665">
        <v>1</v>
      </c>
      <c r="C1665">
        <v>1</v>
      </c>
      <c r="D1665">
        <v>1</v>
      </c>
      <c r="E1665" t="s">
        <v>6283</v>
      </c>
      <c r="F1665" t="s">
        <v>6284</v>
      </c>
      <c r="G1665" t="s">
        <v>6284</v>
      </c>
      <c r="H1665">
        <v>220</v>
      </c>
    </row>
    <row r="1666" spans="1:8" x14ac:dyDescent="0.25">
      <c r="A1666" t="s">
        <v>1516</v>
      </c>
      <c r="B1666">
        <v>1</v>
      </c>
      <c r="C1666">
        <v>1</v>
      </c>
      <c r="D1666">
        <v>1</v>
      </c>
      <c r="E1666" t="s">
        <v>6285</v>
      </c>
      <c r="F1666" t="s">
        <v>6286</v>
      </c>
      <c r="G1666" t="s">
        <v>6286</v>
      </c>
      <c r="H1666">
        <v>270</v>
      </c>
    </row>
    <row r="1667" spans="1:8" x14ac:dyDescent="0.25">
      <c r="A1667" t="s">
        <v>1604</v>
      </c>
      <c r="B1667">
        <v>1</v>
      </c>
      <c r="C1667">
        <v>1</v>
      </c>
      <c r="D1667">
        <v>1</v>
      </c>
      <c r="E1667" t="s">
        <v>6287</v>
      </c>
      <c r="F1667" t="s">
        <v>6288</v>
      </c>
      <c r="G1667" t="s">
        <v>6288</v>
      </c>
      <c r="H1667">
        <v>256</v>
      </c>
    </row>
    <row r="1668" spans="1:8" x14ac:dyDescent="0.25">
      <c r="A1668" t="s">
        <v>2117</v>
      </c>
      <c r="B1668">
        <v>1</v>
      </c>
      <c r="C1668">
        <v>1</v>
      </c>
      <c r="D1668">
        <v>1</v>
      </c>
      <c r="E1668" t="s">
        <v>6289</v>
      </c>
      <c r="F1668" t="s">
        <v>6290</v>
      </c>
      <c r="G1668" t="s">
        <v>6290</v>
      </c>
      <c r="H1668">
        <v>123</v>
      </c>
    </row>
    <row r="1669" spans="1:8" x14ac:dyDescent="0.25">
      <c r="A1669" t="s">
        <v>1617</v>
      </c>
      <c r="B1669">
        <v>1</v>
      </c>
      <c r="C1669">
        <v>1</v>
      </c>
      <c r="D1669">
        <v>1</v>
      </c>
      <c r="E1669" t="s">
        <v>6291</v>
      </c>
      <c r="F1669" t="s">
        <v>6292</v>
      </c>
      <c r="G1669" t="s">
        <v>6292</v>
      </c>
      <c r="H1669">
        <v>165</v>
      </c>
    </row>
    <row r="1670" spans="1:8" x14ac:dyDescent="0.25">
      <c r="A1670" t="s">
        <v>1671</v>
      </c>
      <c r="B1670">
        <v>1</v>
      </c>
      <c r="C1670">
        <v>1</v>
      </c>
      <c r="D1670">
        <v>1</v>
      </c>
      <c r="E1670" t="s">
        <v>6293</v>
      </c>
      <c r="F1670" t="s">
        <v>6294</v>
      </c>
      <c r="G1670" t="s">
        <v>6294</v>
      </c>
      <c r="H1670">
        <v>181</v>
      </c>
    </row>
    <row r="1671" spans="1:8" x14ac:dyDescent="0.25">
      <c r="A1671" t="s">
        <v>390</v>
      </c>
      <c r="B1671">
        <v>3</v>
      </c>
      <c r="C1671">
        <v>3</v>
      </c>
      <c r="D1671">
        <v>3</v>
      </c>
      <c r="E1671" t="s">
        <v>6295</v>
      </c>
      <c r="F1671" t="s">
        <v>6295</v>
      </c>
      <c r="G1671" t="s">
        <v>4256</v>
      </c>
      <c r="H1671">
        <v>444</v>
      </c>
    </row>
    <row r="1672" spans="1:8" x14ac:dyDescent="0.25">
      <c r="A1672" t="s">
        <v>829</v>
      </c>
      <c r="B1672">
        <v>1</v>
      </c>
      <c r="C1672">
        <v>1</v>
      </c>
      <c r="D1672">
        <v>1</v>
      </c>
      <c r="E1672" t="s">
        <v>6296</v>
      </c>
      <c r="F1672" t="s">
        <v>6296</v>
      </c>
      <c r="G1672" t="s">
        <v>6296</v>
      </c>
      <c r="H1672">
        <v>86</v>
      </c>
    </row>
    <row r="1673" spans="1:8" x14ac:dyDescent="0.25">
      <c r="A1673" t="s">
        <v>1855</v>
      </c>
      <c r="B1673">
        <v>1</v>
      </c>
      <c r="C1673">
        <v>1</v>
      </c>
      <c r="D1673">
        <v>1</v>
      </c>
      <c r="E1673" t="s">
        <v>6297</v>
      </c>
      <c r="F1673" t="s">
        <v>6297</v>
      </c>
      <c r="G1673" t="s">
        <v>6297</v>
      </c>
      <c r="H1673">
        <v>27</v>
      </c>
    </row>
    <row r="1674" spans="1:8" x14ac:dyDescent="0.25">
      <c r="A1674" t="s">
        <v>957</v>
      </c>
      <c r="B1674">
        <v>1</v>
      </c>
      <c r="C1674">
        <v>1</v>
      </c>
      <c r="D1674">
        <v>1</v>
      </c>
      <c r="E1674" t="s">
        <v>6298</v>
      </c>
      <c r="F1674" t="s">
        <v>6298</v>
      </c>
      <c r="G1674" t="s">
        <v>6298</v>
      </c>
      <c r="H1674">
        <v>119</v>
      </c>
    </row>
    <row r="1675" spans="1:8" x14ac:dyDescent="0.25">
      <c r="A1675" t="s">
        <v>1119</v>
      </c>
      <c r="B1675">
        <v>1</v>
      </c>
      <c r="C1675">
        <v>1</v>
      </c>
      <c r="D1675">
        <v>1</v>
      </c>
      <c r="E1675" t="s">
        <v>6299</v>
      </c>
      <c r="F1675" t="s">
        <v>6299</v>
      </c>
      <c r="G1675" t="s">
        <v>6299</v>
      </c>
      <c r="H1675">
        <v>112</v>
      </c>
    </row>
    <row r="1676" spans="1:8" x14ac:dyDescent="0.25">
      <c r="A1676" t="s">
        <v>2914</v>
      </c>
      <c r="B1676">
        <v>1</v>
      </c>
      <c r="C1676">
        <v>1</v>
      </c>
      <c r="D1676">
        <v>1</v>
      </c>
      <c r="E1676" t="s">
        <v>6300</v>
      </c>
      <c r="F1676" t="s">
        <v>6300</v>
      </c>
      <c r="G1676" t="s">
        <v>6300</v>
      </c>
      <c r="H1676">
        <v>5</v>
      </c>
    </row>
    <row r="1677" spans="1:8" x14ac:dyDescent="0.25">
      <c r="A1677" t="s">
        <v>2620</v>
      </c>
      <c r="B1677">
        <v>1</v>
      </c>
      <c r="C1677">
        <v>1</v>
      </c>
      <c r="D1677">
        <v>1</v>
      </c>
      <c r="E1677" t="s">
        <v>6301</v>
      </c>
      <c r="F1677" t="s">
        <v>6301</v>
      </c>
      <c r="G1677" t="s">
        <v>6301</v>
      </c>
      <c r="H1677">
        <v>6</v>
      </c>
    </row>
    <row r="1678" spans="1:8" x14ac:dyDescent="0.25">
      <c r="A1678" t="s">
        <v>363</v>
      </c>
      <c r="B1678">
        <v>1</v>
      </c>
      <c r="C1678">
        <v>1</v>
      </c>
      <c r="D1678">
        <v>1</v>
      </c>
      <c r="E1678" t="s">
        <v>6302</v>
      </c>
      <c r="F1678" t="s">
        <v>6302</v>
      </c>
      <c r="G1678" t="s">
        <v>6302</v>
      </c>
      <c r="H1678">
        <v>533</v>
      </c>
    </row>
    <row r="1679" spans="1:8" x14ac:dyDescent="0.25">
      <c r="A1679" t="s">
        <v>463</v>
      </c>
      <c r="B1679">
        <v>1</v>
      </c>
      <c r="C1679">
        <v>1</v>
      </c>
      <c r="D1679">
        <v>1</v>
      </c>
      <c r="E1679" t="s">
        <v>6303</v>
      </c>
      <c r="F1679" t="s">
        <v>6304</v>
      </c>
      <c r="G1679" t="s">
        <v>6304</v>
      </c>
      <c r="H1679">
        <v>235</v>
      </c>
    </row>
    <row r="1680" spans="1:8" x14ac:dyDescent="0.25">
      <c r="A1680" t="s">
        <v>415</v>
      </c>
      <c r="B1680">
        <v>1</v>
      </c>
      <c r="C1680">
        <v>1</v>
      </c>
      <c r="D1680">
        <v>1</v>
      </c>
      <c r="E1680" t="s">
        <v>6305</v>
      </c>
      <c r="F1680" t="s">
        <v>6305</v>
      </c>
      <c r="G1680" t="s">
        <v>6305</v>
      </c>
      <c r="H1680">
        <v>287</v>
      </c>
    </row>
    <row r="1681" spans="1:8" x14ac:dyDescent="0.25">
      <c r="A1681" t="s">
        <v>2533</v>
      </c>
      <c r="B1681">
        <v>1</v>
      </c>
      <c r="C1681">
        <v>1</v>
      </c>
      <c r="D1681">
        <v>1</v>
      </c>
      <c r="E1681" t="s">
        <v>6306</v>
      </c>
      <c r="F1681" t="s">
        <v>6306</v>
      </c>
      <c r="G1681" t="s">
        <v>6306</v>
      </c>
      <c r="H1681">
        <v>11</v>
      </c>
    </row>
    <row r="1682" spans="1:8" x14ac:dyDescent="0.25">
      <c r="A1682" t="s">
        <v>1419</v>
      </c>
      <c r="B1682">
        <v>1</v>
      </c>
      <c r="C1682">
        <v>1</v>
      </c>
      <c r="D1682">
        <v>1</v>
      </c>
      <c r="E1682" t="s">
        <v>6307</v>
      </c>
      <c r="F1682" t="s">
        <v>6307</v>
      </c>
      <c r="G1682" t="s">
        <v>6307</v>
      </c>
      <c r="H1682">
        <v>66</v>
      </c>
    </row>
    <row r="1683" spans="1:8" x14ac:dyDescent="0.25">
      <c r="A1683" t="s">
        <v>389</v>
      </c>
      <c r="B1683">
        <v>1</v>
      </c>
      <c r="C1683">
        <v>1</v>
      </c>
      <c r="D1683">
        <v>1</v>
      </c>
      <c r="E1683" t="s">
        <v>6308</v>
      </c>
      <c r="F1683" t="s">
        <v>6308</v>
      </c>
      <c r="G1683" t="s">
        <v>6308</v>
      </c>
      <c r="H1683">
        <v>458</v>
      </c>
    </row>
    <row r="1684" spans="1:8" x14ac:dyDescent="0.25">
      <c r="A1684" t="s">
        <v>606</v>
      </c>
      <c r="B1684">
        <v>1</v>
      </c>
      <c r="C1684">
        <v>1</v>
      </c>
      <c r="D1684">
        <v>1</v>
      </c>
      <c r="E1684" t="s">
        <v>6309</v>
      </c>
      <c r="F1684" t="s">
        <v>6309</v>
      </c>
      <c r="G1684" t="s">
        <v>6309</v>
      </c>
      <c r="H1684">
        <v>264</v>
      </c>
    </row>
    <row r="1685" spans="1:8" x14ac:dyDescent="0.25">
      <c r="A1685" t="s">
        <v>968</v>
      </c>
      <c r="B1685">
        <v>1</v>
      </c>
      <c r="C1685">
        <v>1</v>
      </c>
      <c r="D1685">
        <v>1</v>
      </c>
      <c r="E1685" t="s">
        <v>6310</v>
      </c>
      <c r="F1685" t="s">
        <v>6310</v>
      </c>
      <c r="G1685" t="s">
        <v>6310</v>
      </c>
      <c r="H1685">
        <v>196</v>
      </c>
    </row>
    <row r="1686" spans="1:8" x14ac:dyDescent="0.25">
      <c r="A1686" t="s">
        <v>936</v>
      </c>
      <c r="B1686">
        <v>1</v>
      </c>
      <c r="C1686">
        <v>1</v>
      </c>
      <c r="D1686">
        <v>1</v>
      </c>
      <c r="E1686" t="s">
        <v>6311</v>
      </c>
      <c r="F1686" t="s">
        <v>6311</v>
      </c>
      <c r="G1686" t="s">
        <v>6311</v>
      </c>
      <c r="H1686">
        <v>146</v>
      </c>
    </row>
    <row r="1687" spans="1:8" x14ac:dyDescent="0.25">
      <c r="A1687" t="s">
        <v>680</v>
      </c>
      <c r="B1687">
        <v>1</v>
      </c>
      <c r="C1687">
        <v>1</v>
      </c>
      <c r="D1687">
        <v>1</v>
      </c>
      <c r="E1687" t="s">
        <v>6312</v>
      </c>
      <c r="F1687" t="s">
        <v>6312</v>
      </c>
      <c r="G1687" t="s">
        <v>6312</v>
      </c>
      <c r="H1687">
        <v>257</v>
      </c>
    </row>
    <row r="1688" spans="1:8" x14ac:dyDescent="0.25">
      <c r="A1688" t="s">
        <v>286</v>
      </c>
      <c r="B1688">
        <v>3</v>
      </c>
      <c r="C1688">
        <v>3</v>
      </c>
      <c r="D1688">
        <v>3</v>
      </c>
      <c r="E1688" t="s">
        <v>6313</v>
      </c>
      <c r="F1688" t="s">
        <v>6314</v>
      </c>
      <c r="G1688" t="s">
        <v>4256</v>
      </c>
      <c r="H1688">
        <v>578</v>
      </c>
    </row>
    <row r="1689" spans="1:8" x14ac:dyDescent="0.25">
      <c r="A1689" t="s">
        <v>924</v>
      </c>
      <c r="B1689">
        <v>2</v>
      </c>
      <c r="C1689">
        <v>2</v>
      </c>
      <c r="D1689">
        <v>2</v>
      </c>
      <c r="E1689" t="s">
        <v>6315</v>
      </c>
      <c r="F1689" t="s">
        <v>6315</v>
      </c>
      <c r="G1689" t="s">
        <v>4256</v>
      </c>
      <c r="H1689">
        <v>65</v>
      </c>
    </row>
    <row r="1690" spans="1:8" x14ac:dyDescent="0.25">
      <c r="A1690" t="s">
        <v>891</v>
      </c>
      <c r="B1690">
        <v>3</v>
      </c>
      <c r="C1690">
        <v>3</v>
      </c>
      <c r="D1690">
        <v>3</v>
      </c>
      <c r="E1690" t="s">
        <v>6316</v>
      </c>
      <c r="F1690" t="s">
        <v>6316</v>
      </c>
      <c r="G1690" t="s">
        <v>4256</v>
      </c>
      <c r="H1690">
        <v>168</v>
      </c>
    </row>
    <row r="1691" spans="1:8" x14ac:dyDescent="0.25">
      <c r="A1691" t="s">
        <v>566</v>
      </c>
      <c r="B1691">
        <v>1</v>
      </c>
      <c r="C1691">
        <v>1</v>
      </c>
      <c r="D1691">
        <v>1</v>
      </c>
      <c r="E1691" t="s">
        <v>6317</v>
      </c>
      <c r="F1691" t="s">
        <v>6318</v>
      </c>
      <c r="G1691" t="s">
        <v>6318</v>
      </c>
      <c r="H1691">
        <v>160</v>
      </c>
    </row>
    <row r="1692" spans="1:8" x14ac:dyDescent="0.25">
      <c r="A1692" t="s">
        <v>628</v>
      </c>
      <c r="B1692">
        <v>1</v>
      </c>
      <c r="C1692">
        <v>1</v>
      </c>
      <c r="D1692">
        <v>1</v>
      </c>
      <c r="E1692" t="s">
        <v>6319</v>
      </c>
      <c r="F1692" t="s">
        <v>6319</v>
      </c>
      <c r="G1692" t="s">
        <v>6319</v>
      </c>
      <c r="H1692">
        <v>142</v>
      </c>
    </row>
    <row r="1693" spans="1:8" x14ac:dyDescent="0.25">
      <c r="A1693" t="s">
        <v>607</v>
      </c>
      <c r="B1693">
        <v>1</v>
      </c>
      <c r="C1693">
        <v>1</v>
      </c>
      <c r="D1693">
        <v>1</v>
      </c>
      <c r="E1693" t="s">
        <v>6320</v>
      </c>
      <c r="F1693" t="s">
        <v>6320</v>
      </c>
      <c r="G1693" t="s">
        <v>6320</v>
      </c>
      <c r="H1693">
        <v>246</v>
      </c>
    </row>
    <row r="1694" spans="1:8" x14ac:dyDescent="0.25">
      <c r="A1694" t="s">
        <v>853</v>
      </c>
      <c r="B1694">
        <v>1</v>
      </c>
      <c r="C1694">
        <v>1</v>
      </c>
      <c r="D1694">
        <v>1</v>
      </c>
      <c r="E1694" t="s">
        <v>6321</v>
      </c>
      <c r="F1694" t="s">
        <v>6322</v>
      </c>
      <c r="G1694" t="s">
        <v>6322</v>
      </c>
      <c r="H1694">
        <v>74</v>
      </c>
    </row>
    <row r="1695" spans="1:8" x14ac:dyDescent="0.25">
      <c r="A1695" t="s">
        <v>555</v>
      </c>
      <c r="B1695">
        <v>1</v>
      </c>
      <c r="C1695">
        <v>1</v>
      </c>
      <c r="D1695">
        <v>1</v>
      </c>
      <c r="E1695" t="s">
        <v>6323</v>
      </c>
      <c r="F1695" t="s">
        <v>6323</v>
      </c>
      <c r="G1695" t="s">
        <v>6323</v>
      </c>
      <c r="H1695">
        <v>34</v>
      </c>
    </row>
    <row r="1696" spans="1:8" x14ac:dyDescent="0.25">
      <c r="A1696" t="s">
        <v>527</v>
      </c>
      <c r="B1696">
        <v>2</v>
      </c>
      <c r="C1696">
        <v>2</v>
      </c>
      <c r="D1696">
        <v>2</v>
      </c>
      <c r="E1696" t="s">
        <v>6324</v>
      </c>
      <c r="F1696" t="s">
        <v>6325</v>
      </c>
      <c r="G1696" t="s">
        <v>4256</v>
      </c>
      <c r="H1696">
        <v>338</v>
      </c>
    </row>
    <row r="1697" spans="1:8" x14ac:dyDescent="0.25">
      <c r="A1697" t="s">
        <v>1688</v>
      </c>
      <c r="B1697">
        <v>2</v>
      </c>
      <c r="C1697">
        <v>2</v>
      </c>
      <c r="D1697">
        <v>2</v>
      </c>
      <c r="E1697" t="s">
        <v>6326</v>
      </c>
      <c r="F1697" t="s">
        <v>6326</v>
      </c>
      <c r="G1697" t="s">
        <v>4256</v>
      </c>
      <c r="H1697">
        <v>74</v>
      </c>
    </row>
    <row r="1698" spans="1:8" x14ac:dyDescent="0.25">
      <c r="A1698" t="s">
        <v>1980</v>
      </c>
      <c r="B1698">
        <v>1</v>
      </c>
      <c r="C1698">
        <v>1</v>
      </c>
      <c r="D1698">
        <v>1</v>
      </c>
      <c r="E1698" t="s">
        <v>6327</v>
      </c>
      <c r="F1698" t="s">
        <v>6327</v>
      </c>
      <c r="G1698" t="s">
        <v>6327</v>
      </c>
      <c r="H1698">
        <v>47</v>
      </c>
    </row>
    <row r="1699" spans="1:8" x14ac:dyDescent="0.25">
      <c r="A1699" t="s">
        <v>1182</v>
      </c>
      <c r="B1699">
        <v>1</v>
      </c>
      <c r="C1699">
        <v>1</v>
      </c>
      <c r="D1699">
        <v>1</v>
      </c>
      <c r="E1699" t="s">
        <v>6328</v>
      </c>
      <c r="F1699" t="s">
        <v>6328</v>
      </c>
      <c r="G1699" t="s">
        <v>6328</v>
      </c>
      <c r="H1699">
        <v>64</v>
      </c>
    </row>
    <row r="1700" spans="1:8" x14ac:dyDescent="0.25">
      <c r="A1700" t="s">
        <v>1321</v>
      </c>
      <c r="B1700">
        <v>1</v>
      </c>
      <c r="C1700">
        <v>1</v>
      </c>
      <c r="D1700">
        <v>1</v>
      </c>
      <c r="E1700" t="s">
        <v>6329</v>
      </c>
      <c r="F1700" t="s">
        <v>6329</v>
      </c>
      <c r="G1700" t="s">
        <v>6329</v>
      </c>
      <c r="H1700">
        <v>144</v>
      </c>
    </row>
    <row r="1701" spans="1:8" x14ac:dyDescent="0.25">
      <c r="A1701" t="s">
        <v>357</v>
      </c>
      <c r="B1701">
        <v>1</v>
      </c>
      <c r="C1701">
        <v>1</v>
      </c>
      <c r="D1701">
        <v>1</v>
      </c>
      <c r="E1701" t="s">
        <v>6330</v>
      </c>
      <c r="F1701" t="s">
        <v>6330</v>
      </c>
      <c r="G1701" t="s">
        <v>6330</v>
      </c>
      <c r="H1701">
        <v>362</v>
      </c>
    </row>
    <row r="1702" spans="1:8" x14ac:dyDescent="0.25">
      <c r="A1702" t="s">
        <v>1001</v>
      </c>
      <c r="B1702">
        <v>2</v>
      </c>
      <c r="C1702">
        <v>2</v>
      </c>
      <c r="D1702">
        <v>2</v>
      </c>
      <c r="E1702" t="s">
        <v>6331</v>
      </c>
      <c r="F1702" t="s">
        <v>6331</v>
      </c>
      <c r="G1702" t="s">
        <v>4256</v>
      </c>
      <c r="H1702">
        <v>210</v>
      </c>
    </row>
    <row r="1703" spans="1:8" x14ac:dyDescent="0.25">
      <c r="A1703" t="s">
        <v>958</v>
      </c>
      <c r="B1703">
        <v>1</v>
      </c>
      <c r="C1703">
        <v>1</v>
      </c>
      <c r="D1703">
        <v>1</v>
      </c>
      <c r="E1703" t="s">
        <v>6332</v>
      </c>
      <c r="F1703" t="s">
        <v>6332</v>
      </c>
      <c r="G1703" t="s">
        <v>6332</v>
      </c>
      <c r="H1703">
        <v>186</v>
      </c>
    </row>
    <row r="1704" spans="1:8" x14ac:dyDescent="0.25">
      <c r="A1704" t="s">
        <v>403</v>
      </c>
      <c r="B1704">
        <v>1</v>
      </c>
      <c r="C1704">
        <v>1</v>
      </c>
      <c r="D1704">
        <v>1</v>
      </c>
      <c r="E1704" t="s">
        <v>6333</v>
      </c>
      <c r="F1704" t="s">
        <v>6333</v>
      </c>
      <c r="G1704" t="s">
        <v>6333</v>
      </c>
      <c r="H1704">
        <v>376</v>
      </c>
    </row>
    <row r="1705" spans="1:8" x14ac:dyDescent="0.25">
      <c r="A1705" t="s">
        <v>565</v>
      </c>
      <c r="B1705">
        <v>2</v>
      </c>
      <c r="C1705">
        <v>2</v>
      </c>
      <c r="D1705">
        <v>2</v>
      </c>
      <c r="E1705" t="s">
        <v>6334</v>
      </c>
      <c r="F1705" t="s">
        <v>6334</v>
      </c>
      <c r="G1705" t="s">
        <v>4256</v>
      </c>
      <c r="H1705">
        <v>258</v>
      </c>
    </row>
    <row r="1706" spans="1:8" x14ac:dyDescent="0.25">
      <c r="A1706" t="s">
        <v>947</v>
      </c>
      <c r="B1706">
        <v>2</v>
      </c>
      <c r="C1706">
        <v>2</v>
      </c>
      <c r="D1706">
        <v>2</v>
      </c>
      <c r="E1706" t="s">
        <v>6335</v>
      </c>
      <c r="F1706" t="s">
        <v>6336</v>
      </c>
      <c r="G1706" t="s">
        <v>4256</v>
      </c>
      <c r="H1706">
        <v>103</v>
      </c>
    </row>
    <row r="1707" spans="1:8" x14ac:dyDescent="0.25">
      <c r="A1707" t="s">
        <v>582</v>
      </c>
      <c r="B1707">
        <v>1</v>
      </c>
      <c r="C1707">
        <v>1</v>
      </c>
      <c r="D1707">
        <v>1</v>
      </c>
      <c r="E1707" t="s">
        <v>6337</v>
      </c>
      <c r="F1707" t="s">
        <v>6337</v>
      </c>
      <c r="G1707" t="s">
        <v>6337</v>
      </c>
      <c r="H1707">
        <v>285</v>
      </c>
    </row>
    <row r="1708" spans="1:8" x14ac:dyDescent="0.25">
      <c r="A1708" t="s">
        <v>1354</v>
      </c>
      <c r="B1708">
        <v>1</v>
      </c>
      <c r="C1708">
        <v>1</v>
      </c>
      <c r="D1708">
        <v>1</v>
      </c>
      <c r="E1708" t="s">
        <v>6338</v>
      </c>
      <c r="F1708" t="s">
        <v>6338</v>
      </c>
      <c r="G1708" t="s">
        <v>6338</v>
      </c>
      <c r="H1708">
        <v>90</v>
      </c>
    </row>
    <row r="1709" spans="1:8" x14ac:dyDescent="0.25">
      <c r="A1709" t="s">
        <v>817</v>
      </c>
      <c r="B1709">
        <v>1</v>
      </c>
      <c r="C1709">
        <v>1</v>
      </c>
      <c r="D1709">
        <v>1</v>
      </c>
      <c r="E1709" t="s">
        <v>6339</v>
      </c>
      <c r="F1709" t="s">
        <v>6339</v>
      </c>
      <c r="G1709" t="s">
        <v>6339</v>
      </c>
      <c r="H1709">
        <v>210</v>
      </c>
    </row>
    <row r="1710" spans="1:8" x14ac:dyDescent="0.25">
      <c r="A1710" t="s">
        <v>719</v>
      </c>
      <c r="B1710">
        <v>1</v>
      </c>
      <c r="C1710">
        <v>1</v>
      </c>
      <c r="D1710">
        <v>1</v>
      </c>
      <c r="E1710" t="s">
        <v>6340</v>
      </c>
      <c r="F1710" t="s">
        <v>6340</v>
      </c>
      <c r="G1710" t="s">
        <v>6340</v>
      </c>
      <c r="H1710">
        <v>237</v>
      </c>
    </row>
    <row r="1711" spans="1:8" x14ac:dyDescent="0.25">
      <c r="A1711" t="s">
        <v>1431</v>
      </c>
      <c r="B1711">
        <v>1</v>
      </c>
      <c r="C1711">
        <v>1</v>
      </c>
      <c r="D1711">
        <v>1</v>
      </c>
      <c r="E1711" t="s">
        <v>6341</v>
      </c>
      <c r="F1711" t="s">
        <v>6341</v>
      </c>
      <c r="G1711" t="s">
        <v>6341</v>
      </c>
      <c r="H1711">
        <v>50</v>
      </c>
    </row>
    <row r="1712" spans="1:8" x14ac:dyDescent="0.25">
      <c r="A1712" t="s">
        <v>1178</v>
      </c>
      <c r="B1712">
        <v>1</v>
      </c>
      <c r="C1712">
        <v>1</v>
      </c>
      <c r="D1712">
        <v>1</v>
      </c>
      <c r="E1712" t="s">
        <v>6342</v>
      </c>
      <c r="F1712" t="s">
        <v>6343</v>
      </c>
      <c r="G1712" t="s">
        <v>6343</v>
      </c>
      <c r="H1712">
        <v>31</v>
      </c>
    </row>
    <row r="1713" spans="1:8" x14ac:dyDescent="0.25">
      <c r="A1713" t="s">
        <v>420</v>
      </c>
      <c r="B1713">
        <v>3</v>
      </c>
      <c r="C1713">
        <v>3</v>
      </c>
      <c r="D1713">
        <v>3</v>
      </c>
      <c r="E1713" t="s">
        <v>6344</v>
      </c>
      <c r="F1713" t="s">
        <v>6344</v>
      </c>
      <c r="G1713" t="s">
        <v>4256</v>
      </c>
      <c r="H1713">
        <v>496</v>
      </c>
    </row>
    <row r="1714" spans="1:8" x14ac:dyDescent="0.25">
      <c r="A1714" t="s">
        <v>1011</v>
      </c>
      <c r="B1714">
        <v>1</v>
      </c>
      <c r="C1714">
        <v>1</v>
      </c>
      <c r="D1714">
        <v>1</v>
      </c>
      <c r="E1714" t="s">
        <v>6345</v>
      </c>
      <c r="F1714" t="s">
        <v>6345</v>
      </c>
      <c r="G1714" t="s">
        <v>6345</v>
      </c>
      <c r="H1714">
        <v>200</v>
      </c>
    </row>
    <row r="1715" spans="1:8" x14ac:dyDescent="0.25">
      <c r="A1715" t="s">
        <v>2092</v>
      </c>
      <c r="B1715">
        <v>1</v>
      </c>
      <c r="C1715">
        <v>1</v>
      </c>
      <c r="D1715">
        <v>1</v>
      </c>
      <c r="E1715" t="s">
        <v>6346</v>
      </c>
      <c r="F1715" t="s">
        <v>6347</v>
      </c>
      <c r="G1715" t="s">
        <v>6347</v>
      </c>
      <c r="H1715">
        <v>38</v>
      </c>
    </row>
    <row r="1716" spans="1:8" x14ac:dyDescent="0.25">
      <c r="A1716" t="s">
        <v>1043</v>
      </c>
      <c r="B1716">
        <v>1</v>
      </c>
      <c r="C1716">
        <v>1</v>
      </c>
      <c r="D1716">
        <v>1</v>
      </c>
      <c r="E1716" t="s">
        <v>6348</v>
      </c>
      <c r="F1716" t="s">
        <v>6348</v>
      </c>
      <c r="G1716" t="s">
        <v>6348</v>
      </c>
      <c r="H1716">
        <v>199</v>
      </c>
    </row>
    <row r="1717" spans="1:8" x14ac:dyDescent="0.25">
      <c r="A1717" t="s">
        <v>1725</v>
      </c>
      <c r="B1717">
        <v>1</v>
      </c>
      <c r="C1717">
        <v>1</v>
      </c>
      <c r="D1717">
        <v>1</v>
      </c>
      <c r="E1717" t="s">
        <v>6349</v>
      </c>
      <c r="F1717" t="s">
        <v>6349</v>
      </c>
      <c r="G1717" t="s">
        <v>6349</v>
      </c>
      <c r="H1717">
        <v>76</v>
      </c>
    </row>
    <row r="1718" spans="1:8" x14ac:dyDescent="0.25">
      <c r="A1718" t="s">
        <v>776</v>
      </c>
      <c r="B1718">
        <v>1</v>
      </c>
      <c r="C1718">
        <v>1</v>
      </c>
      <c r="D1718">
        <v>1</v>
      </c>
      <c r="E1718" t="s">
        <v>6350</v>
      </c>
      <c r="F1718" t="s">
        <v>6350</v>
      </c>
      <c r="G1718" t="s">
        <v>6350</v>
      </c>
      <c r="H1718">
        <v>213</v>
      </c>
    </row>
    <row r="1719" spans="1:8" x14ac:dyDescent="0.25">
      <c r="A1719" t="s">
        <v>905</v>
      </c>
      <c r="B1719">
        <v>2</v>
      </c>
      <c r="C1719">
        <v>2</v>
      </c>
      <c r="D1719">
        <v>2</v>
      </c>
      <c r="E1719" t="s">
        <v>6351</v>
      </c>
      <c r="F1719" t="s">
        <v>6351</v>
      </c>
      <c r="G1719" t="s">
        <v>4256</v>
      </c>
      <c r="H1719">
        <v>173</v>
      </c>
    </row>
    <row r="1720" spans="1:8" x14ac:dyDescent="0.25">
      <c r="A1720" t="s">
        <v>1047</v>
      </c>
      <c r="B1720">
        <v>1</v>
      </c>
      <c r="C1720">
        <v>1</v>
      </c>
      <c r="D1720">
        <v>1</v>
      </c>
      <c r="E1720" t="s">
        <v>6352</v>
      </c>
      <c r="F1720" t="s">
        <v>6353</v>
      </c>
      <c r="G1720" t="s">
        <v>6353</v>
      </c>
      <c r="H1720">
        <v>110</v>
      </c>
    </row>
    <row r="1721" spans="1:8" x14ac:dyDescent="0.25">
      <c r="A1721" t="s">
        <v>809</v>
      </c>
      <c r="B1721">
        <v>4</v>
      </c>
      <c r="C1721">
        <v>4</v>
      </c>
      <c r="D1721">
        <v>4</v>
      </c>
      <c r="E1721" t="s">
        <v>6354</v>
      </c>
      <c r="F1721" t="s">
        <v>6354</v>
      </c>
      <c r="G1721" t="s">
        <v>4256</v>
      </c>
      <c r="H1721">
        <v>199</v>
      </c>
    </row>
    <row r="1722" spans="1:8" x14ac:dyDescent="0.25">
      <c r="A1722" t="s">
        <v>678</v>
      </c>
      <c r="B1722">
        <v>2</v>
      </c>
      <c r="C1722">
        <v>2</v>
      </c>
      <c r="D1722">
        <v>2</v>
      </c>
      <c r="E1722" t="s">
        <v>6355</v>
      </c>
      <c r="F1722" t="s">
        <v>6356</v>
      </c>
      <c r="G1722" t="s">
        <v>4256</v>
      </c>
      <c r="H1722">
        <v>218</v>
      </c>
    </row>
    <row r="1723" spans="1:8" x14ac:dyDescent="0.25">
      <c r="A1723" t="s">
        <v>1856</v>
      </c>
      <c r="B1723">
        <v>1</v>
      </c>
      <c r="C1723">
        <v>1</v>
      </c>
      <c r="D1723">
        <v>1</v>
      </c>
      <c r="E1723" t="s">
        <v>6357</v>
      </c>
      <c r="F1723" t="s">
        <v>6358</v>
      </c>
      <c r="G1723" t="s">
        <v>6358</v>
      </c>
      <c r="H1723">
        <v>236</v>
      </c>
    </row>
    <row r="1724" spans="1:8" x14ac:dyDescent="0.25">
      <c r="A1724" t="s">
        <v>1658</v>
      </c>
      <c r="B1724">
        <v>1</v>
      </c>
      <c r="C1724">
        <v>1</v>
      </c>
      <c r="D1724">
        <v>1</v>
      </c>
      <c r="E1724" t="s">
        <v>6359</v>
      </c>
      <c r="F1724" t="s">
        <v>6359</v>
      </c>
      <c r="G1724" t="s">
        <v>6359</v>
      </c>
      <c r="H1724">
        <v>269</v>
      </c>
    </row>
    <row r="1725" spans="1:8" x14ac:dyDescent="0.25">
      <c r="A1725" t="s">
        <v>1314</v>
      </c>
      <c r="B1725">
        <v>1</v>
      </c>
      <c r="C1725">
        <v>1</v>
      </c>
      <c r="D1725">
        <v>1</v>
      </c>
      <c r="E1725" t="s">
        <v>6360</v>
      </c>
      <c r="F1725" t="s">
        <v>6360</v>
      </c>
      <c r="G1725" t="s">
        <v>6360</v>
      </c>
      <c r="H1725">
        <v>271</v>
      </c>
    </row>
    <row r="1726" spans="1:8" x14ac:dyDescent="0.25">
      <c r="A1726" t="s">
        <v>1669</v>
      </c>
      <c r="B1726">
        <v>1</v>
      </c>
      <c r="C1726">
        <v>1</v>
      </c>
      <c r="D1726">
        <v>1</v>
      </c>
      <c r="E1726" t="s">
        <v>6361</v>
      </c>
      <c r="F1726" t="s">
        <v>6361</v>
      </c>
      <c r="G1726" t="s">
        <v>6361</v>
      </c>
      <c r="H1726">
        <v>290</v>
      </c>
    </row>
    <row r="1727" spans="1:8" x14ac:dyDescent="0.25">
      <c r="A1727" t="s">
        <v>1398</v>
      </c>
      <c r="B1727">
        <v>1</v>
      </c>
      <c r="C1727">
        <v>1</v>
      </c>
      <c r="D1727">
        <v>1</v>
      </c>
      <c r="E1727" t="s">
        <v>6362</v>
      </c>
      <c r="F1727" t="s">
        <v>6362</v>
      </c>
      <c r="G1727" t="s">
        <v>6362</v>
      </c>
      <c r="H1727">
        <v>249</v>
      </c>
    </row>
    <row r="1728" spans="1:8" x14ac:dyDescent="0.25">
      <c r="A1728" t="s">
        <v>1681</v>
      </c>
      <c r="B1728">
        <v>1</v>
      </c>
      <c r="C1728">
        <v>1</v>
      </c>
      <c r="D1728">
        <v>1</v>
      </c>
      <c r="E1728" t="s">
        <v>6363</v>
      </c>
      <c r="F1728" t="s">
        <v>6363</v>
      </c>
      <c r="G1728" t="s">
        <v>6363</v>
      </c>
      <c r="H1728">
        <v>270</v>
      </c>
    </row>
    <row r="1729" spans="1:8" x14ac:dyDescent="0.25">
      <c r="A1729" t="s">
        <v>2227</v>
      </c>
      <c r="B1729">
        <v>1</v>
      </c>
      <c r="C1729">
        <v>1</v>
      </c>
      <c r="D1729">
        <v>1</v>
      </c>
      <c r="E1729" t="s">
        <v>6364</v>
      </c>
      <c r="F1729" t="s">
        <v>6364</v>
      </c>
      <c r="G1729" t="s">
        <v>6364</v>
      </c>
      <c r="H1729">
        <v>79</v>
      </c>
    </row>
    <row r="1730" spans="1:8" x14ac:dyDescent="0.25">
      <c r="A1730" t="s">
        <v>2026</v>
      </c>
      <c r="B1730">
        <v>1</v>
      </c>
      <c r="C1730">
        <v>1</v>
      </c>
      <c r="D1730">
        <v>1</v>
      </c>
      <c r="E1730" t="s">
        <v>6365</v>
      </c>
      <c r="F1730" t="s">
        <v>6365</v>
      </c>
      <c r="G1730" t="s">
        <v>6365</v>
      </c>
      <c r="H1730">
        <v>141</v>
      </c>
    </row>
    <row r="1731" spans="1:8" x14ac:dyDescent="0.25">
      <c r="A1731" t="s">
        <v>1013</v>
      </c>
      <c r="B1731">
        <v>1</v>
      </c>
      <c r="C1731">
        <v>1</v>
      </c>
      <c r="D1731">
        <v>1</v>
      </c>
      <c r="E1731" t="s">
        <v>6366</v>
      </c>
      <c r="F1731" t="s">
        <v>6366</v>
      </c>
      <c r="G1731" t="s">
        <v>6366</v>
      </c>
      <c r="H1731">
        <v>161</v>
      </c>
    </row>
    <row r="1732" spans="1:8" x14ac:dyDescent="0.25">
      <c r="A1732" t="s">
        <v>970</v>
      </c>
      <c r="B1732">
        <v>2</v>
      </c>
      <c r="C1732">
        <v>2</v>
      </c>
      <c r="D1732">
        <v>2</v>
      </c>
      <c r="E1732" t="s">
        <v>6367</v>
      </c>
      <c r="F1732" t="s">
        <v>6367</v>
      </c>
      <c r="G1732" t="s">
        <v>4256</v>
      </c>
      <c r="H1732">
        <v>15</v>
      </c>
    </row>
    <row r="1733" spans="1:8" x14ac:dyDescent="0.25">
      <c r="A1733" t="s">
        <v>1222</v>
      </c>
      <c r="B1733">
        <v>1</v>
      </c>
      <c r="C1733">
        <v>1</v>
      </c>
      <c r="D1733">
        <v>1</v>
      </c>
      <c r="E1733" t="s">
        <v>6368</v>
      </c>
      <c r="F1733" t="s">
        <v>6368</v>
      </c>
      <c r="G1733" t="s">
        <v>6368</v>
      </c>
      <c r="H1733">
        <v>44</v>
      </c>
    </row>
    <row r="1734" spans="1:8" x14ac:dyDescent="0.25">
      <c r="A1734" t="s">
        <v>2215</v>
      </c>
      <c r="B1734">
        <v>1</v>
      </c>
      <c r="C1734">
        <v>1</v>
      </c>
      <c r="D1734">
        <v>1</v>
      </c>
      <c r="E1734" t="s">
        <v>6369</v>
      </c>
      <c r="F1734" t="s">
        <v>6369</v>
      </c>
      <c r="G1734" t="s">
        <v>6369</v>
      </c>
      <c r="H1734">
        <v>29</v>
      </c>
    </row>
    <row r="1735" spans="1:8" x14ac:dyDescent="0.25">
      <c r="A1735" t="s">
        <v>537</v>
      </c>
      <c r="B1735">
        <v>1</v>
      </c>
      <c r="C1735">
        <v>1</v>
      </c>
      <c r="D1735">
        <v>1</v>
      </c>
      <c r="E1735" t="s">
        <v>6370</v>
      </c>
      <c r="F1735" t="s">
        <v>6370</v>
      </c>
      <c r="G1735" t="s">
        <v>6370</v>
      </c>
      <c r="H1735">
        <v>45</v>
      </c>
    </row>
    <row r="1736" spans="1:8" x14ac:dyDescent="0.25">
      <c r="A1736" t="s">
        <v>595</v>
      </c>
      <c r="B1736">
        <v>1</v>
      </c>
      <c r="C1736">
        <v>1</v>
      </c>
      <c r="D1736">
        <v>1</v>
      </c>
      <c r="E1736" t="s">
        <v>6371</v>
      </c>
      <c r="F1736" t="s">
        <v>6371</v>
      </c>
      <c r="G1736" t="s">
        <v>6371</v>
      </c>
      <c r="H1736">
        <v>31</v>
      </c>
    </row>
    <row r="1737" spans="1:8" x14ac:dyDescent="0.25">
      <c r="A1737" t="s">
        <v>1415</v>
      </c>
      <c r="B1737">
        <v>1</v>
      </c>
      <c r="C1737">
        <v>1</v>
      </c>
      <c r="D1737">
        <v>1</v>
      </c>
      <c r="E1737" t="s">
        <v>6372</v>
      </c>
      <c r="F1737" t="s">
        <v>6372</v>
      </c>
      <c r="G1737" t="s">
        <v>6372</v>
      </c>
      <c r="H1737">
        <v>7</v>
      </c>
    </row>
    <row r="1738" spans="1:8" x14ac:dyDescent="0.25">
      <c r="A1738" t="s">
        <v>1078</v>
      </c>
      <c r="B1738">
        <v>1</v>
      </c>
      <c r="C1738">
        <v>1</v>
      </c>
      <c r="D1738">
        <v>1</v>
      </c>
      <c r="E1738" t="s">
        <v>6373</v>
      </c>
      <c r="F1738" t="s">
        <v>6373</v>
      </c>
      <c r="G1738" t="s">
        <v>6373</v>
      </c>
      <c r="H1738">
        <v>115</v>
      </c>
    </row>
    <row r="1739" spans="1:8" x14ac:dyDescent="0.25">
      <c r="A1739" t="s">
        <v>1006</v>
      </c>
      <c r="B1739">
        <v>1</v>
      </c>
      <c r="C1739">
        <v>1</v>
      </c>
      <c r="D1739">
        <v>1</v>
      </c>
      <c r="E1739" t="s">
        <v>6374</v>
      </c>
      <c r="F1739" t="s">
        <v>6374</v>
      </c>
      <c r="G1739" t="s">
        <v>6374</v>
      </c>
      <c r="H1739">
        <v>8</v>
      </c>
    </row>
    <row r="1740" spans="1:8" x14ac:dyDescent="0.25">
      <c r="A1740" t="s">
        <v>1167</v>
      </c>
      <c r="B1740">
        <v>1</v>
      </c>
      <c r="C1740">
        <v>1</v>
      </c>
      <c r="D1740">
        <v>1</v>
      </c>
      <c r="E1740" t="s">
        <v>6375</v>
      </c>
      <c r="F1740" t="s">
        <v>6375</v>
      </c>
      <c r="G1740" t="s">
        <v>6375</v>
      </c>
      <c r="H1740">
        <v>123</v>
      </c>
    </row>
    <row r="1741" spans="1:8" x14ac:dyDescent="0.25">
      <c r="A1741" t="s">
        <v>1281</v>
      </c>
      <c r="B1741">
        <v>1</v>
      </c>
      <c r="C1741">
        <v>1</v>
      </c>
      <c r="D1741">
        <v>1</v>
      </c>
      <c r="E1741" t="s">
        <v>6376</v>
      </c>
      <c r="F1741" t="s">
        <v>6376</v>
      </c>
      <c r="G1741" t="s">
        <v>6376</v>
      </c>
      <c r="H1741">
        <v>81</v>
      </c>
    </row>
    <row r="1742" spans="1:8" x14ac:dyDescent="0.25">
      <c r="A1742" t="s">
        <v>1008</v>
      </c>
      <c r="B1742">
        <v>1</v>
      </c>
      <c r="C1742">
        <v>1</v>
      </c>
      <c r="D1742">
        <v>1</v>
      </c>
      <c r="E1742" t="s">
        <v>6377</v>
      </c>
      <c r="F1742" t="s">
        <v>6377</v>
      </c>
      <c r="G1742" t="s">
        <v>6377</v>
      </c>
      <c r="H1742">
        <v>7</v>
      </c>
    </row>
    <row r="1743" spans="1:8" x14ac:dyDescent="0.25">
      <c r="A1743" t="s">
        <v>465</v>
      </c>
      <c r="B1743">
        <v>1</v>
      </c>
      <c r="C1743">
        <v>1</v>
      </c>
      <c r="D1743">
        <v>1</v>
      </c>
      <c r="E1743" t="s">
        <v>6378</v>
      </c>
      <c r="F1743" t="s">
        <v>6378</v>
      </c>
      <c r="G1743" t="s">
        <v>6378</v>
      </c>
      <c r="H1743">
        <v>386</v>
      </c>
    </row>
    <row r="1744" spans="1:8" x14ac:dyDescent="0.25">
      <c r="A1744" t="s">
        <v>232</v>
      </c>
      <c r="B1744">
        <v>1</v>
      </c>
      <c r="C1744">
        <v>1</v>
      </c>
      <c r="D1744">
        <v>1</v>
      </c>
      <c r="E1744" t="s">
        <v>6379</v>
      </c>
      <c r="F1744" t="s">
        <v>6379</v>
      </c>
      <c r="G1744" t="s">
        <v>6379</v>
      </c>
      <c r="H1744">
        <v>679</v>
      </c>
    </row>
    <row r="1745" spans="1:8" x14ac:dyDescent="0.25">
      <c r="A1745" t="s">
        <v>576</v>
      </c>
      <c r="B1745">
        <v>4</v>
      </c>
      <c r="C1745">
        <v>4</v>
      </c>
      <c r="D1745">
        <v>4</v>
      </c>
      <c r="E1745" t="s">
        <v>6380</v>
      </c>
      <c r="F1745" t="s">
        <v>6381</v>
      </c>
      <c r="G1745" t="s">
        <v>4256</v>
      </c>
      <c r="H1745">
        <v>195</v>
      </c>
    </row>
    <row r="1746" spans="1:8" x14ac:dyDescent="0.25">
      <c r="A1746" t="s">
        <v>365</v>
      </c>
      <c r="B1746">
        <v>1</v>
      </c>
      <c r="C1746">
        <v>1</v>
      </c>
      <c r="D1746">
        <v>1</v>
      </c>
      <c r="E1746" t="s">
        <v>6382</v>
      </c>
      <c r="F1746" t="s">
        <v>6382</v>
      </c>
      <c r="G1746" t="s">
        <v>6382</v>
      </c>
      <c r="H1746">
        <v>184</v>
      </c>
    </row>
    <row r="1747" spans="1:8" x14ac:dyDescent="0.25">
      <c r="A1747" t="s">
        <v>479</v>
      </c>
      <c r="B1747">
        <v>1</v>
      </c>
      <c r="C1747">
        <v>1</v>
      </c>
      <c r="D1747">
        <v>1</v>
      </c>
      <c r="E1747" t="s">
        <v>6383</v>
      </c>
      <c r="F1747" t="s">
        <v>6383</v>
      </c>
      <c r="G1747" t="s">
        <v>6383</v>
      </c>
      <c r="H1747">
        <v>214</v>
      </c>
    </row>
    <row r="1748" spans="1:8" x14ac:dyDescent="0.25">
      <c r="A1748" t="s">
        <v>489</v>
      </c>
      <c r="B1748">
        <v>1</v>
      </c>
      <c r="C1748">
        <v>1</v>
      </c>
      <c r="D1748">
        <v>1</v>
      </c>
      <c r="E1748" t="s">
        <v>6384</v>
      </c>
      <c r="F1748" t="s">
        <v>6384</v>
      </c>
      <c r="G1748" t="s">
        <v>6384</v>
      </c>
      <c r="H1748">
        <v>289</v>
      </c>
    </row>
    <row r="1749" spans="1:8" x14ac:dyDescent="0.25">
      <c r="A1749" t="s">
        <v>731</v>
      </c>
      <c r="B1749">
        <v>1</v>
      </c>
      <c r="C1749">
        <v>1</v>
      </c>
      <c r="D1749">
        <v>1</v>
      </c>
      <c r="E1749" t="s">
        <v>4225</v>
      </c>
      <c r="F1749" t="s">
        <v>4225</v>
      </c>
      <c r="G1749" t="s">
        <v>4225</v>
      </c>
      <c r="H1749">
        <v>224</v>
      </c>
    </row>
    <row r="1750" spans="1:8" x14ac:dyDescent="0.25">
      <c r="A1750" t="s">
        <v>775</v>
      </c>
      <c r="B1750">
        <v>1</v>
      </c>
      <c r="C1750">
        <v>1</v>
      </c>
      <c r="D1750">
        <v>1</v>
      </c>
      <c r="E1750" t="s">
        <v>6385</v>
      </c>
      <c r="F1750" t="s">
        <v>6385</v>
      </c>
      <c r="G1750" t="s">
        <v>6385</v>
      </c>
      <c r="H1750">
        <v>177</v>
      </c>
    </row>
    <row r="1751" spans="1:8" x14ac:dyDescent="0.25">
      <c r="A1751" t="s">
        <v>934</v>
      </c>
      <c r="B1751">
        <v>1</v>
      </c>
      <c r="C1751">
        <v>1</v>
      </c>
      <c r="D1751">
        <v>1</v>
      </c>
      <c r="E1751" t="s">
        <v>6386</v>
      </c>
      <c r="F1751" t="s">
        <v>6386</v>
      </c>
      <c r="G1751" t="s">
        <v>6386</v>
      </c>
      <c r="H1751">
        <v>137</v>
      </c>
    </row>
    <row r="1752" spans="1:8" x14ac:dyDescent="0.25">
      <c r="A1752" t="s">
        <v>368</v>
      </c>
      <c r="B1752">
        <v>1</v>
      </c>
      <c r="C1752">
        <v>1</v>
      </c>
      <c r="D1752">
        <v>1</v>
      </c>
      <c r="E1752" t="s">
        <v>6387</v>
      </c>
      <c r="F1752" t="s">
        <v>6387</v>
      </c>
      <c r="G1752" t="s">
        <v>6387</v>
      </c>
      <c r="H1752">
        <v>429</v>
      </c>
    </row>
    <row r="1753" spans="1:8" x14ac:dyDescent="0.25">
      <c r="A1753" t="s">
        <v>596</v>
      </c>
      <c r="B1753">
        <v>1</v>
      </c>
      <c r="C1753">
        <v>1</v>
      </c>
      <c r="D1753">
        <v>1</v>
      </c>
      <c r="E1753" t="s">
        <v>6388</v>
      </c>
      <c r="F1753" t="s">
        <v>6388</v>
      </c>
      <c r="G1753" t="s">
        <v>6388</v>
      </c>
      <c r="H1753">
        <v>327</v>
      </c>
    </row>
    <row r="1754" spans="1:8" x14ac:dyDescent="0.25">
      <c r="A1754" t="s">
        <v>335</v>
      </c>
      <c r="B1754">
        <v>1</v>
      </c>
      <c r="C1754">
        <v>1</v>
      </c>
      <c r="D1754">
        <v>1</v>
      </c>
      <c r="E1754" t="s">
        <v>6389</v>
      </c>
      <c r="F1754" t="s">
        <v>6390</v>
      </c>
      <c r="G1754" t="s">
        <v>6390</v>
      </c>
      <c r="H1754">
        <v>296</v>
      </c>
    </row>
    <row r="1755" spans="1:8" x14ac:dyDescent="0.25">
      <c r="A1755" t="s">
        <v>263</v>
      </c>
      <c r="B1755">
        <v>2</v>
      </c>
      <c r="C1755">
        <v>2</v>
      </c>
      <c r="D1755">
        <v>2</v>
      </c>
      <c r="E1755" t="s">
        <v>6391</v>
      </c>
      <c r="F1755" t="s">
        <v>6391</v>
      </c>
      <c r="G1755" t="s">
        <v>4256</v>
      </c>
      <c r="H1755">
        <v>409</v>
      </c>
    </row>
    <row r="1756" spans="1:8" x14ac:dyDescent="0.25">
      <c r="A1756" t="s">
        <v>604</v>
      </c>
      <c r="B1756">
        <v>3</v>
      </c>
      <c r="C1756">
        <v>3</v>
      </c>
      <c r="D1756">
        <v>3</v>
      </c>
      <c r="E1756" t="s">
        <v>6392</v>
      </c>
      <c r="F1756" t="s">
        <v>6392</v>
      </c>
      <c r="G1756" t="s">
        <v>4256</v>
      </c>
      <c r="H1756">
        <v>140</v>
      </c>
    </row>
    <row r="1757" spans="1:8" x14ac:dyDescent="0.25">
      <c r="A1757" t="s">
        <v>627</v>
      </c>
      <c r="B1757">
        <v>2</v>
      </c>
      <c r="C1757">
        <v>2</v>
      </c>
      <c r="D1757">
        <v>2</v>
      </c>
      <c r="E1757" t="s">
        <v>6393</v>
      </c>
      <c r="F1757" t="s">
        <v>6393</v>
      </c>
      <c r="G1757" t="s">
        <v>4256</v>
      </c>
      <c r="H1757">
        <v>139</v>
      </c>
    </row>
    <row r="1758" spans="1:8" x14ac:dyDescent="0.25">
      <c r="A1758" t="s">
        <v>1063</v>
      </c>
      <c r="B1758">
        <v>1</v>
      </c>
      <c r="C1758">
        <v>1</v>
      </c>
      <c r="D1758">
        <v>1</v>
      </c>
      <c r="E1758" t="s">
        <v>6394</v>
      </c>
      <c r="F1758" t="s">
        <v>6395</v>
      </c>
      <c r="G1758" t="s">
        <v>6395</v>
      </c>
      <c r="H1758">
        <v>363</v>
      </c>
    </row>
    <row r="1759" spans="1:8" x14ac:dyDescent="0.25">
      <c r="A1759" t="s">
        <v>1291</v>
      </c>
      <c r="B1759">
        <v>1</v>
      </c>
      <c r="C1759">
        <v>1</v>
      </c>
      <c r="D1759">
        <v>1</v>
      </c>
      <c r="E1759" t="s">
        <v>6396</v>
      </c>
      <c r="F1759" t="s">
        <v>6396</v>
      </c>
      <c r="G1759" t="s">
        <v>6396</v>
      </c>
      <c r="H1759">
        <v>127</v>
      </c>
    </row>
    <row r="1760" spans="1:8" x14ac:dyDescent="0.25">
      <c r="A1760" t="s">
        <v>1338</v>
      </c>
      <c r="B1760">
        <v>1</v>
      </c>
      <c r="C1760">
        <v>1</v>
      </c>
      <c r="D1760">
        <v>1</v>
      </c>
      <c r="E1760" t="s">
        <v>6397</v>
      </c>
      <c r="F1760" t="s">
        <v>6397</v>
      </c>
      <c r="G1760" t="s">
        <v>6397</v>
      </c>
      <c r="H1760">
        <v>117</v>
      </c>
    </row>
    <row r="1761" spans="1:8" x14ac:dyDescent="0.25">
      <c r="A1761" t="s">
        <v>794</v>
      </c>
      <c r="B1761">
        <v>1</v>
      </c>
      <c r="C1761">
        <v>1</v>
      </c>
      <c r="D1761">
        <v>1</v>
      </c>
      <c r="E1761" t="s">
        <v>6398</v>
      </c>
      <c r="F1761" t="s">
        <v>6398</v>
      </c>
      <c r="G1761" t="s">
        <v>6398</v>
      </c>
      <c r="H1761">
        <v>167</v>
      </c>
    </row>
    <row r="1762" spans="1:8" x14ac:dyDescent="0.25">
      <c r="A1762" t="s">
        <v>867</v>
      </c>
      <c r="B1762">
        <v>1</v>
      </c>
      <c r="C1762">
        <v>1</v>
      </c>
      <c r="D1762">
        <v>1</v>
      </c>
      <c r="E1762" t="s">
        <v>6399</v>
      </c>
      <c r="F1762" t="s">
        <v>6400</v>
      </c>
      <c r="G1762" t="s">
        <v>6400</v>
      </c>
      <c r="H1762">
        <v>241</v>
      </c>
    </row>
    <row r="1763" spans="1:8" x14ac:dyDescent="0.25">
      <c r="A1763" t="s">
        <v>2029</v>
      </c>
      <c r="B1763">
        <v>2</v>
      </c>
      <c r="C1763">
        <v>2</v>
      </c>
      <c r="D1763">
        <v>2</v>
      </c>
      <c r="E1763" t="s">
        <v>6401</v>
      </c>
      <c r="F1763" t="s">
        <v>6401</v>
      </c>
      <c r="G1763" t="s">
        <v>4256</v>
      </c>
      <c r="H1763">
        <v>30</v>
      </c>
    </row>
    <row r="1764" spans="1:8" x14ac:dyDescent="0.25">
      <c r="A1764" t="s">
        <v>1779</v>
      </c>
      <c r="B1764">
        <v>2</v>
      </c>
      <c r="C1764">
        <v>2</v>
      </c>
      <c r="D1764">
        <v>2</v>
      </c>
      <c r="E1764" t="s">
        <v>6402</v>
      </c>
      <c r="F1764" t="s">
        <v>6402</v>
      </c>
      <c r="G1764" t="s">
        <v>4256</v>
      </c>
      <c r="H1764">
        <v>65</v>
      </c>
    </row>
    <row r="1765" spans="1:8" x14ac:dyDescent="0.25">
      <c r="A1765" t="s">
        <v>1249</v>
      </c>
      <c r="B1765">
        <v>1</v>
      </c>
      <c r="C1765">
        <v>1</v>
      </c>
      <c r="D1765">
        <v>1</v>
      </c>
      <c r="E1765" t="s">
        <v>6403</v>
      </c>
      <c r="F1765" t="s">
        <v>6403</v>
      </c>
      <c r="G1765" t="s">
        <v>6403</v>
      </c>
      <c r="H1765">
        <v>142</v>
      </c>
    </row>
    <row r="1766" spans="1:8" x14ac:dyDescent="0.25">
      <c r="A1766" t="s">
        <v>1190</v>
      </c>
      <c r="B1766">
        <v>1</v>
      </c>
      <c r="C1766">
        <v>1</v>
      </c>
      <c r="D1766">
        <v>1</v>
      </c>
      <c r="E1766" t="s">
        <v>6404</v>
      </c>
      <c r="F1766" t="s">
        <v>6404</v>
      </c>
      <c r="G1766" t="s">
        <v>6404</v>
      </c>
      <c r="H1766">
        <v>167</v>
      </c>
    </row>
    <row r="1767" spans="1:8" x14ac:dyDescent="0.25">
      <c r="A1767" t="s">
        <v>1733</v>
      </c>
      <c r="B1767">
        <v>1</v>
      </c>
      <c r="C1767">
        <v>1</v>
      </c>
      <c r="D1767">
        <v>1</v>
      </c>
      <c r="E1767" t="s">
        <v>6405</v>
      </c>
      <c r="F1767" t="s">
        <v>6405</v>
      </c>
      <c r="G1767" t="s">
        <v>6405</v>
      </c>
      <c r="H1767">
        <v>113</v>
      </c>
    </row>
    <row r="1768" spans="1:8" x14ac:dyDescent="0.25">
      <c r="A1768" t="s">
        <v>2310</v>
      </c>
      <c r="B1768">
        <v>1</v>
      </c>
      <c r="C1768">
        <v>1</v>
      </c>
      <c r="D1768">
        <v>1</v>
      </c>
      <c r="E1768" t="s">
        <v>6406</v>
      </c>
      <c r="F1768" t="s">
        <v>6406</v>
      </c>
      <c r="G1768" t="s">
        <v>6406</v>
      </c>
      <c r="H1768">
        <v>50</v>
      </c>
    </row>
    <row r="1769" spans="1:8" x14ac:dyDescent="0.25">
      <c r="A1769" t="s">
        <v>1895</v>
      </c>
      <c r="B1769">
        <v>1</v>
      </c>
      <c r="C1769">
        <v>1</v>
      </c>
      <c r="D1769">
        <v>1</v>
      </c>
      <c r="E1769" t="s">
        <v>6407</v>
      </c>
      <c r="F1769" t="s">
        <v>6408</v>
      </c>
      <c r="G1769" t="s">
        <v>6408</v>
      </c>
      <c r="H1769">
        <v>70</v>
      </c>
    </row>
    <row r="1770" spans="1:8" x14ac:dyDescent="0.25">
      <c r="A1770" t="s">
        <v>1166</v>
      </c>
      <c r="B1770">
        <v>1</v>
      </c>
      <c r="C1770">
        <v>1</v>
      </c>
      <c r="D1770">
        <v>1</v>
      </c>
      <c r="E1770" t="s">
        <v>6409</v>
      </c>
      <c r="F1770" t="s">
        <v>6409</v>
      </c>
      <c r="G1770" t="s">
        <v>6409</v>
      </c>
      <c r="H1770">
        <v>115</v>
      </c>
    </row>
    <row r="1771" spans="1:8" x14ac:dyDescent="0.25">
      <c r="A1771" t="s">
        <v>234</v>
      </c>
      <c r="B1771">
        <v>1</v>
      </c>
      <c r="C1771">
        <v>1</v>
      </c>
      <c r="D1771">
        <v>1</v>
      </c>
      <c r="E1771" t="s">
        <v>6410</v>
      </c>
      <c r="F1771" t="s">
        <v>6410</v>
      </c>
      <c r="G1771" t="s">
        <v>6410</v>
      </c>
      <c r="H1771">
        <v>689</v>
      </c>
    </row>
    <row r="1772" spans="1:8" x14ac:dyDescent="0.25">
      <c r="A1772" t="s">
        <v>262</v>
      </c>
      <c r="B1772">
        <v>1</v>
      </c>
      <c r="C1772">
        <v>1</v>
      </c>
      <c r="D1772">
        <v>1</v>
      </c>
      <c r="E1772" t="s">
        <v>6411</v>
      </c>
      <c r="F1772" t="s">
        <v>6411</v>
      </c>
      <c r="G1772" t="s">
        <v>6411</v>
      </c>
      <c r="H1772">
        <v>590</v>
      </c>
    </row>
    <row r="1773" spans="1:8" x14ac:dyDescent="0.25">
      <c r="A1773" t="s">
        <v>269</v>
      </c>
      <c r="B1773">
        <v>1</v>
      </c>
      <c r="C1773">
        <v>1</v>
      </c>
      <c r="D1773">
        <v>1</v>
      </c>
      <c r="E1773" t="s">
        <v>6412</v>
      </c>
      <c r="F1773" t="s">
        <v>6412</v>
      </c>
      <c r="G1773" t="s">
        <v>6412</v>
      </c>
      <c r="H1773">
        <v>576</v>
      </c>
    </row>
    <row r="1774" spans="1:8" x14ac:dyDescent="0.25">
      <c r="A1774" t="s">
        <v>3000</v>
      </c>
      <c r="B1774">
        <v>1</v>
      </c>
      <c r="C1774">
        <v>1</v>
      </c>
      <c r="D1774">
        <v>1</v>
      </c>
      <c r="E1774" t="s">
        <v>6413</v>
      </c>
      <c r="F1774" t="s">
        <v>6414</v>
      </c>
      <c r="G1774" t="s">
        <v>6414</v>
      </c>
      <c r="H1774">
        <v>21</v>
      </c>
    </row>
    <row r="1775" spans="1:8" x14ac:dyDescent="0.25">
      <c r="A1775" t="s">
        <v>2752</v>
      </c>
      <c r="B1775">
        <v>1</v>
      </c>
      <c r="C1775">
        <v>1</v>
      </c>
      <c r="D1775">
        <v>1</v>
      </c>
      <c r="E1775" t="s">
        <v>6415</v>
      </c>
      <c r="F1775" t="s">
        <v>6415</v>
      </c>
      <c r="G1775" t="s">
        <v>6415</v>
      </c>
      <c r="H1775">
        <v>45</v>
      </c>
    </row>
    <row r="1776" spans="1:8" x14ac:dyDescent="0.25">
      <c r="A1776" t="s">
        <v>2762</v>
      </c>
      <c r="B1776">
        <v>1</v>
      </c>
      <c r="C1776">
        <v>1</v>
      </c>
      <c r="D1776">
        <v>1</v>
      </c>
      <c r="E1776" t="s">
        <v>6416</v>
      </c>
      <c r="F1776" t="s">
        <v>6416</v>
      </c>
      <c r="G1776" t="s">
        <v>6416</v>
      </c>
      <c r="H1776">
        <v>41</v>
      </c>
    </row>
    <row r="1777" spans="1:8" x14ac:dyDescent="0.25">
      <c r="A1777" t="s">
        <v>2948</v>
      </c>
      <c r="B1777">
        <v>1</v>
      </c>
      <c r="C1777">
        <v>1</v>
      </c>
      <c r="D1777">
        <v>1</v>
      </c>
      <c r="E1777" t="s">
        <v>6417</v>
      </c>
      <c r="F1777" t="s">
        <v>6418</v>
      </c>
      <c r="G1777" t="s">
        <v>6418</v>
      </c>
      <c r="H1777">
        <v>25</v>
      </c>
    </row>
    <row r="1778" spans="1:8" x14ac:dyDescent="0.25">
      <c r="A1778" t="s">
        <v>2909</v>
      </c>
      <c r="B1778">
        <v>1</v>
      </c>
      <c r="C1778">
        <v>1</v>
      </c>
      <c r="D1778">
        <v>1</v>
      </c>
      <c r="E1778" t="s">
        <v>6419</v>
      </c>
      <c r="F1778" t="s">
        <v>6419</v>
      </c>
      <c r="G1778" t="s">
        <v>6419</v>
      </c>
      <c r="H1778">
        <v>30</v>
      </c>
    </row>
    <row r="1779" spans="1:8" x14ac:dyDescent="0.25">
      <c r="A1779" t="s">
        <v>3005</v>
      </c>
      <c r="B1779">
        <v>1</v>
      </c>
      <c r="C1779">
        <v>1</v>
      </c>
      <c r="D1779">
        <v>1</v>
      </c>
      <c r="E1779" t="s">
        <v>6420</v>
      </c>
      <c r="F1779" t="s">
        <v>6420</v>
      </c>
      <c r="G1779" t="s">
        <v>6420</v>
      </c>
      <c r="H1779">
        <v>26</v>
      </c>
    </row>
    <row r="1780" spans="1:8" x14ac:dyDescent="0.25">
      <c r="A1780" t="s">
        <v>2985</v>
      </c>
      <c r="B1780">
        <v>1</v>
      </c>
      <c r="C1780">
        <v>1</v>
      </c>
      <c r="D1780">
        <v>1</v>
      </c>
      <c r="E1780" t="s">
        <v>6421</v>
      </c>
      <c r="F1780" t="s">
        <v>6421</v>
      </c>
      <c r="G1780" t="s">
        <v>6421</v>
      </c>
      <c r="H1780">
        <v>22</v>
      </c>
    </row>
    <row r="1781" spans="1:8" x14ac:dyDescent="0.25">
      <c r="A1781" t="s">
        <v>2994</v>
      </c>
      <c r="B1781">
        <v>1</v>
      </c>
      <c r="C1781">
        <v>1</v>
      </c>
      <c r="D1781">
        <v>1</v>
      </c>
      <c r="E1781" t="s">
        <v>6422</v>
      </c>
      <c r="F1781" t="s">
        <v>6422</v>
      </c>
      <c r="G1781" t="s">
        <v>6422</v>
      </c>
      <c r="H1781">
        <v>25</v>
      </c>
    </row>
    <row r="1782" spans="1:8" x14ac:dyDescent="0.25">
      <c r="A1782" t="s">
        <v>3026</v>
      </c>
      <c r="B1782">
        <v>1</v>
      </c>
      <c r="C1782">
        <v>1</v>
      </c>
      <c r="D1782">
        <v>1</v>
      </c>
      <c r="E1782" t="s">
        <v>6423</v>
      </c>
      <c r="F1782" t="s">
        <v>6423</v>
      </c>
      <c r="G1782" t="s">
        <v>6423</v>
      </c>
      <c r="H1782">
        <v>20</v>
      </c>
    </row>
    <row r="1783" spans="1:8" x14ac:dyDescent="0.25">
      <c r="A1783" t="s">
        <v>3031</v>
      </c>
      <c r="B1783">
        <v>1</v>
      </c>
      <c r="C1783">
        <v>1</v>
      </c>
      <c r="D1783">
        <v>1</v>
      </c>
      <c r="E1783" t="s">
        <v>6424</v>
      </c>
      <c r="F1783" t="s">
        <v>6424</v>
      </c>
      <c r="G1783" t="s">
        <v>6424</v>
      </c>
      <c r="H1783">
        <v>20</v>
      </c>
    </row>
    <row r="1784" spans="1:8" x14ac:dyDescent="0.25">
      <c r="A1784" t="s">
        <v>2837</v>
      </c>
      <c r="B1784">
        <v>1</v>
      </c>
      <c r="C1784">
        <v>1</v>
      </c>
      <c r="D1784">
        <v>1</v>
      </c>
      <c r="E1784" t="s">
        <v>6425</v>
      </c>
      <c r="F1784" t="s">
        <v>6425</v>
      </c>
      <c r="G1784" t="s">
        <v>6425</v>
      </c>
      <c r="H1784">
        <v>34</v>
      </c>
    </row>
    <row r="1785" spans="1:8" x14ac:dyDescent="0.25">
      <c r="A1785" t="s">
        <v>3155</v>
      </c>
      <c r="B1785">
        <v>1</v>
      </c>
      <c r="C1785">
        <v>1</v>
      </c>
      <c r="D1785">
        <v>1</v>
      </c>
      <c r="E1785" t="s">
        <v>6426</v>
      </c>
      <c r="F1785" t="s">
        <v>6426</v>
      </c>
      <c r="G1785" t="s">
        <v>6426</v>
      </c>
      <c r="H1785">
        <v>16</v>
      </c>
    </row>
    <row r="1786" spans="1:8" x14ac:dyDescent="0.25">
      <c r="A1786" t="s">
        <v>2846</v>
      </c>
      <c r="B1786">
        <v>1</v>
      </c>
      <c r="C1786">
        <v>1</v>
      </c>
      <c r="D1786">
        <v>1</v>
      </c>
      <c r="E1786" t="s">
        <v>6427</v>
      </c>
      <c r="F1786" t="s">
        <v>6427</v>
      </c>
      <c r="G1786" t="s">
        <v>6427</v>
      </c>
      <c r="H1786">
        <v>33</v>
      </c>
    </row>
    <row r="1787" spans="1:8" x14ac:dyDescent="0.25">
      <c r="A1787" t="s">
        <v>2855</v>
      </c>
      <c r="B1787">
        <v>1</v>
      </c>
      <c r="C1787">
        <v>1</v>
      </c>
      <c r="D1787">
        <v>1</v>
      </c>
      <c r="E1787" t="s">
        <v>6428</v>
      </c>
      <c r="F1787" t="s">
        <v>6428</v>
      </c>
      <c r="G1787" t="s">
        <v>6428</v>
      </c>
      <c r="H1787">
        <v>34</v>
      </c>
    </row>
    <row r="1788" spans="1:8" x14ac:dyDescent="0.25">
      <c r="A1788" t="s">
        <v>2822</v>
      </c>
      <c r="B1788">
        <v>1</v>
      </c>
      <c r="C1788">
        <v>1</v>
      </c>
      <c r="D1788">
        <v>1</v>
      </c>
      <c r="E1788" t="s">
        <v>6429</v>
      </c>
      <c r="F1788" t="s">
        <v>6429</v>
      </c>
      <c r="G1788" t="s">
        <v>6429</v>
      </c>
      <c r="H1788">
        <v>43</v>
      </c>
    </row>
    <row r="1789" spans="1:8" x14ac:dyDescent="0.25">
      <c r="A1789" t="s">
        <v>2870</v>
      </c>
      <c r="B1789">
        <v>1</v>
      </c>
      <c r="C1789">
        <v>1</v>
      </c>
      <c r="D1789">
        <v>1</v>
      </c>
      <c r="E1789" t="s">
        <v>6430</v>
      </c>
      <c r="F1789" t="s">
        <v>6430</v>
      </c>
      <c r="G1789" t="s">
        <v>6430</v>
      </c>
      <c r="H1789">
        <v>33</v>
      </c>
    </row>
    <row r="1790" spans="1:8" x14ac:dyDescent="0.25">
      <c r="A1790" t="s">
        <v>2864</v>
      </c>
      <c r="B1790">
        <v>1</v>
      </c>
      <c r="C1790">
        <v>1</v>
      </c>
      <c r="D1790">
        <v>1</v>
      </c>
      <c r="E1790" t="s">
        <v>6431</v>
      </c>
      <c r="F1790" t="s">
        <v>6431</v>
      </c>
      <c r="G1790" t="s">
        <v>6431</v>
      </c>
      <c r="H1790">
        <v>36</v>
      </c>
    </row>
    <row r="1791" spans="1:8" x14ac:dyDescent="0.25">
      <c r="A1791" t="s">
        <v>2922</v>
      </c>
      <c r="B1791">
        <v>1</v>
      </c>
      <c r="C1791">
        <v>1</v>
      </c>
      <c r="D1791">
        <v>1</v>
      </c>
      <c r="E1791" t="s">
        <v>6432</v>
      </c>
      <c r="F1791" t="s">
        <v>6433</v>
      </c>
      <c r="G1791" t="s">
        <v>6433</v>
      </c>
      <c r="H1791">
        <v>29</v>
      </c>
    </row>
    <row r="1792" spans="1:8" x14ac:dyDescent="0.25">
      <c r="A1792" t="s">
        <v>3001</v>
      </c>
      <c r="B1792">
        <v>1</v>
      </c>
      <c r="C1792">
        <v>1</v>
      </c>
      <c r="D1792">
        <v>1</v>
      </c>
      <c r="E1792" t="s">
        <v>6434</v>
      </c>
      <c r="F1792" t="s">
        <v>6434</v>
      </c>
      <c r="G1792" t="s">
        <v>6434</v>
      </c>
      <c r="H1792">
        <v>25</v>
      </c>
    </row>
    <row r="1793" spans="1:8" x14ac:dyDescent="0.25">
      <c r="A1793" t="s">
        <v>3067</v>
      </c>
      <c r="B1793">
        <v>1</v>
      </c>
      <c r="C1793">
        <v>1</v>
      </c>
      <c r="D1793">
        <v>1</v>
      </c>
      <c r="E1793" t="s">
        <v>6435</v>
      </c>
      <c r="F1793" t="s">
        <v>6435</v>
      </c>
      <c r="G1793" t="s">
        <v>6435</v>
      </c>
      <c r="H1793">
        <v>23</v>
      </c>
    </row>
    <row r="1794" spans="1:8" x14ac:dyDescent="0.25">
      <c r="A1794" t="s">
        <v>3073</v>
      </c>
      <c r="B1794">
        <v>1</v>
      </c>
      <c r="C1794">
        <v>1</v>
      </c>
      <c r="D1794">
        <v>1</v>
      </c>
      <c r="E1794" t="s">
        <v>6436</v>
      </c>
      <c r="F1794" t="s">
        <v>6437</v>
      </c>
      <c r="G1794" t="s">
        <v>6437</v>
      </c>
      <c r="H1794">
        <v>21</v>
      </c>
    </row>
    <row r="1795" spans="1:8" x14ac:dyDescent="0.25">
      <c r="A1795" t="s">
        <v>2693</v>
      </c>
      <c r="B1795">
        <v>1</v>
      </c>
      <c r="C1795">
        <v>1</v>
      </c>
      <c r="D1795">
        <v>1</v>
      </c>
      <c r="E1795" t="s">
        <v>6438</v>
      </c>
      <c r="F1795" t="s">
        <v>6439</v>
      </c>
      <c r="G1795" t="s">
        <v>6439</v>
      </c>
      <c r="H1795">
        <v>35</v>
      </c>
    </row>
    <row r="1796" spans="1:8" x14ac:dyDescent="0.25">
      <c r="A1796" t="s">
        <v>747</v>
      </c>
      <c r="B1796">
        <v>1</v>
      </c>
      <c r="C1796">
        <v>1</v>
      </c>
      <c r="D1796">
        <v>1</v>
      </c>
      <c r="E1796" t="s">
        <v>6440</v>
      </c>
      <c r="F1796" t="s">
        <v>6440</v>
      </c>
      <c r="G1796" t="s">
        <v>6440</v>
      </c>
      <c r="H1796">
        <v>183</v>
      </c>
    </row>
    <row r="1797" spans="1:8" x14ac:dyDescent="0.25">
      <c r="A1797" t="s">
        <v>1145</v>
      </c>
      <c r="B1797">
        <v>1</v>
      </c>
      <c r="C1797">
        <v>1</v>
      </c>
      <c r="D1797">
        <v>1</v>
      </c>
      <c r="E1797" t="s">
        <v>6441</v>
      </c>
      <c r="F1797" t="s">
        <v>6441</v>
      </c>
      <c r="G1797" t="s">
        <v>6441</v>
      </c>
      <c r="H1797">
        <v>190</v>
      </c>
    </row>
    <row r="1798" spans="1:8" x14ac:dyDescent="0.25">
      <c r="A1798" t="s">
        <v>909</v>
      </c>
      <c r="B1798">
        <v>2</v>
      </c>
      <c r="C1798">
        <v>2</v>
      </c>
      <c r="D1798">
        <v>2</v>
      </c>
      <c r="E1798" t="s">
        <v>6442</v>
      </c>
      <c r="F1798" t="s">
        <v>6442</v>
      </c>
      <c r="G1798" t="s">
        <v>4256</v>
      </c>
      <c r="H1798">
        <v>218</v>
      </c>
    </row>
    <row r="1799" spans="1:8" x14ac:dyDescent="0.25">
      <c r="A1799" t="s">
        <v>1817</v>
      </c>
      <c r="B1799">
        <v>1</v>
      </c>
      <c r="C1799">
        <v>1</v>
      </c>
      <c r="D1799">
        <v>1</v>
      </c>
      <c r="E1799" t="s">
        <v>6443</v>
      </c>
      <c r="F1799" t="s">
        <v>6443</v>
      </c>
      <c r="G1799" t="s">
        <v>6443</v>
      </c>
      <c r="H1799">
        <v>149</v>
      </c>
    </row>
    <row r="1800" spans="1:8" x14ac:dyDescent="0.25">
      <c r="A1800" t="s">
        <v>910</v>
      </c>
      <c r="B1800">
        <v>1</v>
      </c>
      <c r="C1800">
        <v>1</v>
      </c>
      <c r="D1800">
        <v>1</v>
      </c>
      <c r="E1800" t="s">
        <v>6444</v>
      </c>
      <c r="F1800" t="s">
        <v>6445</v>
      </c>
      <c r="G1800" t="s">
        <v>6445</v>
      </c>
      <c r="H1800">
        <v>123</v>
      </c>
    </row>
    <row r="1801" spans="1:8" x14ac:dyDescent="0.25">
      <c r="A1801" t="s">
        <v>532</v>
      </c>
      <c r="B1801">
        <v>1</v>
      </c>
      <c r="C1801">
        <v>1</v>
      </c>
      <c r="D1801">
        <v>1</v>
      </c>
      <c r="E1801" t="s">
        <v>6446</v>
      </c>
      <c r="F1801" t="s">
        <v>6446</v>
      </c>
      <c r="G1801" t="s">
        <v>6446</v>
      </c>
      <c r="H1801">
        <v>292</v>
      </c>
    </row>
    <row r="1802" spans="1:8" x14ac:dyDescent="0.25">
      <c r="A1802" t="s">
        <v>738</v>
      </c>
      <c r="B1802">
        <v>2</v>
      </c>
      <c r="C1802">
        <v>2</v>
      </c>
      <c r="D1802">
        <v>2</v>
      </c>
      <c r="E1802" t="s">
        <v>6447</v>
      </c>
      <c r="F1802" t="s">
        <v>6447</v>
      </c>
      <c r="G1802" t="s">
        <v>4256</v>
      </c>
      <c r="H1802">
        <v>295</v>
      </c>
    </row>
    <row r="1803" spans="1:8" x14ac:dyDescent="0.25">
      <c r="A1803" t="s">
        <v>1187</v>
      </c>
      <c r="B1803">
        <v>1</v>
      </c>
      <c r="C1803">
        <v>1</v>
      </c>
      <c r="D1803">
        <v>1</v>
      </c>
      <c r="E1803" t="s">
        <v>6448</v>
      </c>
      <c r="F1803" t="s">
        <v>6448</v>
      </c>
      <c r="G1803" t="s">
        <v>6448</v>
      </c>
      <c r="H1803">
        <v>218</v>
      </c>
    </row>
    <row r="1804" spans="1:8" x14ac:dyDescent="0.25">
      <c r="A1804" t="s">
        <v>611</v>
      </c>
      <c r="B1804">
        <v>1</v>
      </c>
      <c r="C1804">
        <v>1</v>
      </c>
      <c r="D1804">
        <v>1</v>
      </c>
      <c r="E1804" t="s">
        <v>6449</v>
      </c>
      <c r="F1804" t="s">
        <v>6449</v>
      </c>
      <c r="G1804" t="s">
        <v>6449</v>
      </c>
      <c r="H1804">
        <v>372</v>
      </c>
    </row>
    <row r="1805" spans="1:8" x14ac:dyDescent="0.25">
      <c r="A1805" t="s">
        <v>708</v>
      </c>
      <c r="B1805">
        <v>1</v>
      </c>
      <c r="C1805">
        <v>1</v>
      </c>
      <c r="D1805">
        <v>1</v>
      </c>
      <c r="E1805" t="s">
        <v>6450</v>
      </c>
      <c r="F1805" t="s">
        <v>6451</v>
      </c>
      <c r="G1805" t="s">
        <v>6451</v>
      </c>
      <c r="H1805">
        <v>320</v>
      </c>
    </row>
    <row r="1806" spans="1:8" x14ac:dyDescent="0.25">
      <c r="A1806" t="s">
        <v>259</v>
      </c>
      <c r="B1806">
        <v>2</v>
      </c>
      <c r="C1806">
        <v>1</v>
      </c>
      <c r="D1806">
        <v>1</v>
      </c>
      <c r="E1806" t="s">
        <v>6452</v>
      </c>
      <c r="F1806" t="s">
        <v>6453</v>
      </c>
      <c r="G1806" t="s">
        <v>6453</v>
      </c>
      <c r="H1806">
        <v>564</v>
      </c>
    </row>
    <row r="1807" spans="1:8" x14ac:dyDescent="0.25">
      <c r="A1807" t="s">
        <v>999</v>
      </c>
      <c r="B1807">
        <v>1</v>
      </c>
      <c r="C1807">
        <v>1</v>
      </c>
      <c r="D1807">
        <v>1</v>
      </c>
      <c r="E1807" t="s">
        <v>6454</v>
      </c>
      <c r="F1807" t="s">
        <v>6454</v>
      </c>
      <c r="G1807" t="s">
        <v>6454</v>
      </c>
      <c r="H1807">
        <v>140</v>
      </c>
    </row>
    <row r="1808" spans="1:8" x14ac:dyDescent="0.25">
      <c r="A1808" t="s">
        <v>2274</v>
      </c>
      <c r="B1808">
        <v>1</v>
      </c>
      <c r="C1808">
        <v>1</v>
      </c>
      <c r="D1808">
        <v>1</v>
      </c>
      <c r="E1808" t="s">
        <v>6455</v>
      </c>
      <c r="F1808" t="s">
        <v>6455</v>
      </c>
      <c r="G1808" t="s">
        <v>6455</v>
      </c>
      <c r="H1808">
        <v>59</v>
      </c>
    </row>
    <row r="1809" spans="1:8" x14ac:dyDescent="0.25">
      <c r="A1809" t="s">
        <v>592</v>
      </c>
      <c r="B1809">
        <v>1</v>
      </c>
      <c r="C1809">
        <v>1</v>
      </c>
      <c r="D1809">
        <v>1</v>
      </c>
      <c r="E1809" t="s">
        <v>6456</v>
      </c>
      <c r="F1809" t="s">
        <v>6456</v>
      </c>
      <c r="G1809" t="s">
        <v>6456</v>
      </c>
      <c r="H1809">
        <v>279</v>
      </c>
    </row>
    <row r="1810" spans="1:8" x14ac:dyDescent="0.25">
      <c r="A1810" t="s">
        <v>1425</v>
      </c>
      <c r="B1810">
        <v>1</v>
      </c>
      <c r="C1810">
        <v>1</v>
      </c>
      <c r="D1810">
        <v>1</v>
      </c>
      <c r="E1810" t="s">
        <v>6457</v>
      </c>
      <c r="F1810" t="s">
        <v>6457</v>
      </c>
      <c r="G1810" t="s">
        <v>6457</v>
      </c>
      <c r="H1810">
        <v>112</v>
      </c>
    </row>
    <row r="1811" spans="1:8" x14ac:dyDescent="0.25">
      <c r="A1811" t="s">
        <v>923</v>
      </c>
      <c r="B1811">
        <v>1</v>
      </c>
      <c r="C1811">
        <v>1</v>
      </c>
      <c r="D1811">
        <v>1</v>
      </c>
      <c r="E1811" t="s">
        <v>6458</v>
      </c>
      <c r="F1811" t="s">
        <v>6458</v>
      </c>
      <c r="G1811" t="s">
        <v>6458</v>
      </c>
      <c r="H1811">
        <v>265</v>
      </c>
    </row>
    <row r="1812" spans="1:8" x14ac:dyDescent="0.25">
      <c r="A1812" t="s">
        <v>575</v>
      </c>
      <c r="B1812">
        <v>1</v>
      </c>
      <c r="C1812">
        <v>1</v>
      </c>
      <c r="D1812">
        <v>1</v>
      </c>
      <c r="E1812" t="s">
        <v>6459</v>
      </c>
      <c r="F1812" t="s">
        <v>6459</v>
      </c>
      <c r="G1812" t="s">
        <v>6459</v>
      </c>
      <c r="H1812">
        <v>709</v>
      </c>
    </row>
    <row r="1813" spans="1:8" x14ac:dyDescent="0.25">
      <c r="A1813" t="s">
        <v>815</v>
      </c>
      <c r="B1813">
        <v>1</v>
      </c>
      <c r="C1813">
        <v>1</v>
      </c>
      <c r="D1813">
        <v>1</v>
      </c>
      <c r="E1813" t="s">
        <v>6460</v>
      </c>
      <c r="F1813" t="s">
        <v>6460</v>
      </c>
      <c r="G1813" t="s">
        <v>6460</v>
      </c>
      <c r="H1813">
        <v>389</v>
      </c>
    </row>
    <row r="1814" spans="1:8" x14ac:dyDescent="0.25">
      <c r="A1814" t="s">
        <v>423</v>
      </c>
      <c r="B1814">
        <v>1</v>
      </c>
      <c r="C1814">
        <v>1</v>
      </c>
      <c r="D1814">
        <v>1</v>
      </c>
      <c r="E1814" t="s">
        <v>6461</v>
      </c>
      <c r="F1814" t="s">
        <v>6461</v>
      </c>
      <c r="G1814" t="s">
        <v>6461</v>
      </c>
      <c r="H1814">
        <v>640</v>
      </c>
    </row>
    <row r="1815" spans="1:8" x14ac:dyDescent="0.25">
      <c r="A1815" t="s">
        <v>151</v>
      </c>
      <c r="B1815">
        <v>1</v>
      </c>
      <c r="C1815">
        <v>1</v>
      </c>
      <c r="D1815">
        <v>1</v>
      </c>
      <c r="E1815" t="s">
        <v>6462</v>
      </c>
      <c r="F1815" t="s">
        <v>6462</v>
      </c>
      <c r="G1815" t="s">
        <v>6462</v>
      </c>
      <c r="H1815">
        <v>850</v>
      </c>
    </row>
    <row r="1816" spans="1:8" x14ac:dyDescent="0.25">
      <c r="A1816" t="s">
        <v>1512</v>
      </c>
      <c r="B1816">
        <v>1</v>
      </c>
      <c r="C1816">
        <v>1</v>
      </c>
      <c r="D1816">
        <v>1</v>
      </c>
      <c r="E1816" t="s">
        <v>6463</v>
      </c>
      <c r="F1816" t="s">
        <v>6463</v>
      </c>
      <c r="G1816" t="s">
        <v>6463</v>
      </c>
      <c r="H1816">
        <v>99</v>
      </c>
    </row>
    <row r="1817" spans="1:8" x14ac:dyDescent="0.25">
      <c r="A1817" t="s">
        <v>1524</v>
      </c>
      <c r="B1817">
        <v>1</v>
      </c>
      <c r="C1817">
        <v>1</v>
      </c>
      <c r="D1817">
        <v>1</v>
      </c>
      <c r="E1817" t="s">
        <v>6464</v>
      </c>
      <c r="F1817" t="s">
        <v>6464</v>
      </c>
      <c r="G1817" t="s">
        <v>6464</v>
      </c>
      <c r="H1817">
        <v>103</v>
      </c>
    </row>
    <row r="1818" spans="1:8" x14ac:dyDescent="0.25">
      <c r="A1818" t="s">
        <v>1327</v>
      </c>
      <c r="B1818">
        <v>1</v>
      </c>
      <c r="C1818">
        <v>1</v>
      </c>
      <c r="D1818">
        <v>1</v>
      </c>
      <c r="E1818" t="s">
        <v>6465</v>
      </c>
      <c r="F1818" t="s">
        <v>6465</v>
      </c>
      <c r="G1818" t="s">
        <v>6465</v>
      </c>
      <c r="H1818">
        <v>114</v>
      </c>
    </row>
    <row r="1819" spans="1:8" x14ac:dyDescent="0.25">
      <c r="A1819" t="s">
        <v>1094</v>
      </c>
      <c r="B1819">
        <v>1</v>
      </c>
      <c r="C1819">
        <v>1</v>
      </c>
      <c r="D1819">
        <v>1</v>
      </c>
      <c r="E1819" t="s">
        <v>6466</v>
      </c>
      <c r="F1819" t="s">
        <v>6466</v>
      </c>
      <c r="G1819" t="s">
        <v>6466</v>
      </c>
      <c r="H1819">
        <v>160</v>
      </c>
    </row>
    <row r="1820" spans="1:8" x14ac:dyDescent="0.25">
      <c r="A1820" t="s">
        <v>1480</v>
      </c>
      <c r="B1820">
        <v>2</v>
      </c>
      <c r="C1820">
        <v>2</v>
      </c>
      <c r="D1820">
        <v>2</v>
      </c>
      <c r="E1820" t="s">
        <v>6467</v>
      </c>
      <c r="F1820" t="s">
        <v>6468</v>
      </c>
      <c r="G1820" t="s">
        <v>4256</v>
      </c>
      <c r="H1820">
        <v>190</v>
      </c>
    </row>
    <row r="1821" spans="1:8" x14ac:dyDescent="0.25">
      <c r="A1821" t="s">
        <v>1536</v>
      </c>
      <c r="B1821">
        <v>1</v>
      </c>
      <c r="C1821">
        <v>1</v>
      </c>
      <c r="D1821">
        <v>1</v>
      </c>
      <c r="E1821" t="s">
        <v>6469</v>
      </c>
      <c r="F1821" t="s">
        <v>6469</v>
      </c>
      <c r="G1821" t="s">
        <v>6469</v>
      </c>
      <c r="H1821">
        <v>246</v>
      </c>
    </row>
    <row r="1822" spans="1:8" x14ac:dyDescent="0.25">
      <c r="A1822" t="s">
        <v>1522</v>
      </c>
      <c r="B1822">
        <v>1</v>
      </c>
      <c r="C1822">
        <v>1</v>
      </c>
      <c r="D1822">
        <v>1</v>
      </c>
      <c r="E1822" t="s">
        <v>6470</v>
      </c>
      <c r="F1822" t="s">
        <v>6470</v>
      </c>
      <c r="G1822" t="s">
        <v>6470</v>
      </c>
      <c r="H1822">
        <v>249</v>
      </c>
    </row>
    <row r="1823" spans="1:8" x14ac:dyDescent="0.25">
      <c r="A1823" t="s">
        <v>1558</v>
      </c>
      <c r="B1823">
        <v>1</v>
      </c>
      <c r="C1823">
        <v>1</v>
      </c>
      <c r="D1823">
        <v>1</v>
      </c>
      <c r="E1823" t="s">
        <v>6471</v>
      </c>
      <c r="F1823" t="s">
        <v>6471</v>
      </c>
      <c r="G1823" t="s">
        <v>6471</v>
      </c>
      <c r="H1823">
        <v>247</v>
      </c>
    </row>
    <row r="1824" spans="1:8" x14ac:dyDescent="0.25">
      <c r="A1824" t="s">
        <v>1583</v>
      </c>
      <c r="B1824">
        <v>1</v>
      </c>
      <c r="C1824">
        <v>1</v>
      </c>
      <c r="D1824">
        <v>1</v>
      </c>
      <c r="E1824" t="s">
        <v>6472</v>
      </c>
      <c r="F1824" t="s">
        <v>6472</v>
      </c>
      <c r="G1824" t="s">
        <v>6472</v>
      </c>
      <c r="H1824">
        <v>248</v>
      </c>
    </row>
    <row r="1825" spans="1:8" x14ac:dyDescent="0.25">
      <c r="A1825" t="s">
        <v>1133</v>
      </c>
      <c r="B1825">
        <v>1</v>
      </c>
      <c r="C1825">
        <v>1</v>
      </c>
      <c r="D1825">
        <v>1</v>
      </c>
      <c r="E1825" t="s">
        <v>6473</v>
      </c>
      <c r="F1825" t="s">
        <v>6473</v>
      </c>
      <c r="G1825" t="s">
        <v>6473</v>
      </c>
      <c r="H1825">
        <v>250</v>
      </c>
    </row>
    <row r="1826" spans="1:8" x14ac:dyDescent="0.25">
      <c r="A1826" t="s">
        <v>1606</v>
      </c>
      <c r="B1826">
        <v>1</v>
      </c>
      <c r="C1826">
        <v>1</v>
      </c>
      <c r="D1826">
        <v>1</v>
      </c>
      <c r="E1826" t="s">
        <v>6474</v>
      </c>
      <c r="F1826" t="s">
        <v>6475</v>
      </c>
      <c r="G1826" t="s">
        <v>6475</v>
      </c>
      <c r="H1826">
        <v>216</v>
      </c>
    </row>
    <row r="1827" spans="1:8" x14ac:dyDescent="0.25">
      <c r="A1827" t="s">
        <v>1468</v>
      </c>
      <c r="B1827">
        <v>2</v>
      </c>
      <c r="C1827">
        <v>2</v>
      </c>
      <c r="D1827">
        <v>2</v>
      </c>
      <c r="E1827" t="s">
        <v>6476</v>
      </c>
      <c r="F1827" t="s">
        <v>6476</v>
      </c>
      <c r="G1827" t="s">
        <v>4256</v>
      </c>
      <c r="H1827">
        <v>108</v>
      </c>
    </row>
    <row r="1828" spans="1:8" x14ac:dyDescent="0.25">
      <c r="A1828" t="s">
        <v>1644</v>
      </c>
      <c r="B1828">
        <v>2</v>
      </c>
      <c r="C1828">
        <v>2</v>
      </c>
      <c r="D1828">
        <v>2</v>
      </c>
      <c r="E1828" t="s">
        <v>6477</v>
      </c>
      <c r="F1828" t="s">
        <v>6477</v>
      </c>
      <c r="G1828" t="s">
        <v>4256</v>
      </c>
      <c r="H1828">
        <v>89</v>
      </c>
    </row>
    <row r="1829" spans="1:8" x14ac:dyDescent="0.25">
      <c r="A1829" t="s">
        <v>1616</v>
      </c>
      <c r="B1829">
        <v>2</v>
      </c>
      <c r="C1829">
        <v>2</v>
      </c>
      <c r="D1829">
        <v>2</v>
      </c>
      <c r="E1829" t="s">
        <v>6478</v>
      </c>
      <c r="F1829" t="s">
        <v>6478</v>
      </c>
      <c r="G1829" t="s">
        <v>4256</v>
      </c>
      <c r="H1829">
        <v>96</v>
      </c>
    </row>
    <row r="1830" spans="1:8" x14ac:dyDescent="0.25">
      <c r="A1830" t="s">
        <v>963</v>
      </c>
      <c r="B1830">
        <v>3</v>
      </c>
      <c r="C1830">
        <v>3</v>
      </c>
      <c r="D1830">
        <v>3</v>
      </c>
      <c r="E1830" t="s">
        <v>6479</v>
      </c>
      <c r="F1830" t="s">
        <v>6479</v>
      </c>
      <c r="G1830" t="s">
        <v>4256</v>
      </c>
      <c r="H1830">
        <v>192</v>
      </c>
    </row>
    <row r="1831" spans="1:8" x14ac:dyDescent="0.25">
      <c r="A1831" t="s">
        <v>799</v>
      </c>
      <c r="B1831">
        <v>1</v>
      </c>
      <c r="C1831">
        <v>1</v>
      </c>
      <c r="D1831">
        <v>1</v>
      </c>
      <c r="E1831" t="s">
        <v>6480</v>
      </c>
      <c r="F1831" t="s">
        <v>6480</v>
      </c>
      <c r="G1831" t="s">
        <v>6480</v>
      </c>
      <c r="H1831">
        <v>206</v>
      </c>
    </row>
    <row r="1832" spans="1:8" x14ac:dyDescent="0.25">
      <c r="A1832" t="s">
        <v>983</v>
      </c>
      <c r="B1832">
        <v>4</v>
      </c>
      <c r="C1832">
        <v>4</v>
      </c>
      <c r="D1832">
        <v>4</v>
      </c>
      <c r="E1832" t="s">
        <v>6481</v>
      </c>
      <c r="F1832" t="s">
        <v>6481</v>
      </c>
      <c r="G1832" t="s">
        <v>4256</v>
      </c>
      <c r="H1832">
        <v>158</v>
      </c>
    </row>
    <row r="1833" spans="1:8" x14ac:dyDescent="0.25">
      <c r="A1833" t="s">
        <v>1201</v>
      </c>
      <c r="B1833">
        <v>1</v>
      </c>
      <c r="C1833">
        <v>1</v>
      </c>
      <c r="D1833">
        <v>1</v>
      </c>
      <c r="E1833" t="s">
        <v>6482</v>
      </c>
      <c r="F1833" t="s">
        <v>6482</v>
      </c>
      <c r="G1833" t="s">
        <v>6482</v>
      </c>
      <c r="H1833">
        <v>119</v>
      </c>
    </row>
    <row r="1834" spans="1:8" x14ac:dyDescent="0.25">
      <c r="A1834" t="s">
        <v>1600</v>
      </c>
      <c r="B1834">
        <v>1</v>
      </c>
      <c r="C1834">
        <v>1</v>
      </c>
      <c r="D1834">
        <v>1</v>
      </c>
      <c r="E1834" t="s">
        <v>6483</v>
      </c>
      <c r="F1834" t="s">
        <v>6484</v>
      </c>
      <c r="G1834" t="s">
        <v>6484</v>
      </c>
      <c r="H1834">
        <v>15</v>
      </c>
    </row>
    <row r="1835" spans="1:8" x14ac:dyDescent="0.25">
      <c r="A1835" t="s">
        <v>948</v>
      </c>
      <c r="B1835">
        <v>1</v>
      </c>
      <c r="C1835">
        <v>1</v>
      </c>
      <c r="D1835">
        <v>1</v>
      </c>
      <c r="E1835" t="s">
        <v>6485</v>
      </c>
      <c r="F1835" t="s">
        <v>6485</v>
      </c>
      <c r="G1835" t="s">
        <v>6485</v>
      </c>
      <c r="H1835">
        <v>193</v>
      </c>
    </row>
    <row r="1836" spans="1:8" x14ac:dyDescent="0.25">
      <c r="A1836" t="s">
        <v>1212</v>
      </c>
      <c r="B1836">
        <v>1</v>
      </c>
      <c r="C1836">
        <v>1</v>
      </c>
      <c r="D1836">
        <v>1</v>
      </c>
      <c r="E1836" t="s">
        <v>6486</v>
      </c>
      <c r="F1836" t="s">
        <v>6486</v>
      </c>
      <c r="G1836" t="s">
        <v>6486</v>
      </c>
      <c r="H1836">
        <v>132</v>
      </c>
    </row>
    <row r="1837" spans="1:8" x14ac:dyDescent="0.25">
      <c r="A1837" t="s">
        <v>1199</v>
      </c>
      <c r="B1837">
        <v>2</v>
      </c>
      <c r="C1837">
        <v>2</v>
      </c>
      <c r="D1837">
        <v>1</v>
      </c>
      <c r="E1837" t="s">
        <v>6487</v>
      </c>
      <c r="F1837" t="s">
        <v>6487</v>
      </c>
      <c r="G1837" t="s">
        <v>4256</v>
      </c>
      <c r="H1837">
        <v>74</v>
      </c>
    </row>
    <row r="1838" spans="1:8" x14ac:dyDescent="0.25">
      <c r="A1838" t="s">
        <v>1015</v>
      </c>
      <c r="B1838">
        <v>1</v>
      </c>
      <c r="C1838">
        <v>1</v>
      </c>
      <c r="D1838">
        <v>1</v>
      </c>
      <c r="E1838" t="s">
        <v>6488</v>
      </c>
      <c r="F1838" t="s">
        <v>6488</v>
      </c>
      <c r="G1838" t="s">
        <v>6488</v>
      </c>
      <c r="H1838">
        <v>125</v>
      </c>
    </row>
    <row r="1839" spans="1:8" x14ac:dyDescent="0.25">
      <c r="A1839" t="s">
        <v>1313</v>
      </c>
      <c r="B1839">
        <v>1</v>
      </c>
      <c r="C1839">
        <v>1</v>
      </c>
      <c r="D1839">
        <v>1</v>
      </c>
      <c r="E1839" t="s">
        <v>6489</v>
      </c>
      <c r="F1839" t="s">
        <v>6489</v>
      </c>
      <c r="G1839" t="s">
        <v>6489</v>
      </c>
      <c r="H1839">
        <v>79</v>
      </c>
    </row>
    <row r="1840" spans="1:8" x14ac:dyDescent="0.25">
      <c r="A1840" t="s">
        <v>1170</v>
      </c>
      <c r="B1840">
        <v>1</v>
      </c>
      <c r="C1840">
        <v>1</v>
      </c>
      <c r="D1840">
        <v>1</v>
      </c>
      <c r="E1840" t="s">
        <v>6490</v>
      </c>
      <c r="F1840" t="s">
        <v>6490</v>
      </c>
      <c r="G1840" t="s">
        <v>6490</v>
      </c>
      <c r="H1840">
        <v>66</v>
      </c>
    </row>
    <row r="1841" spans="1:8" x14ac:dyDescent="0.25">
      <c r="A1841" t="s">
        <v>1852</v>
      </c>
      <c r="B1841">
        <v>1</v>
      </c>
      <c r="C1841">
        <v>1</v>
      </c>
      <c r="D1841">
        <v>1</v>
      </c>
      <c r="E1841" t="s">
        <v>6491</v>
      </c>
      <c r="F1841" t="s">
        <v>6491</v>
      </c>
      <c r="G1841" t="s">
        <v>6491</v>
      </c>
      <c r="H1841">
        <v>53</v>
      </c>
    </row>
    <row r="1842" spans="1:8" x14ac:dyDescent="0.25">
      <c r="A1842" t="s">
        <v>1019</v>
      </c>
      <c r="B1842">
        <v>3</v>
      </c>
      <c r="C1842">
        <v>3</v>
      </c>
      <c r="D1842">
        <v>3</v>
      </c>
      <c r="E1842" t="s">
        <v>6492</v>
      </c>
      <c r="F1842" t="s">
        <v>6492</v>
      </c>
      <c r="G1842" t="s">
        <v>4256</v>
      </c>
      <c r="H1842">
        <v>168</v>
      </c>
    </row>
    <row r="1843" spans="1:8" x14ac:dyDescent="0.25">
      <c r="A1843" t="s">
        <v>692</v>
      </c>
      <c r="B1843">
        <v>1</v>
      </c>
      <c r="C1843">
        <v>1</v>
      </c>
      <c r="D1843">
        <v>1</v>
      </c>
      <c r="E1843" t="s">
        <v>6493</v>
      </c>
      <c r="F1843" t="s">
        <v>6493</v>
      </c>
      <c r="G1843" t="s">
        <v>6493</v>
      </c>
      <c r="H1843">
        <v>192</v>
      </c>
    </row>
    <row r="1844" spans="1:8" x14ac:dyDescent="0.25">
      <c r="A1844" t="s">
        <v>1051</v>
      </c>
      <c r="B1844">
        <v>2</v>
      </c>
      <c r="C1844">
        <v>2</v>
      </c>
      <c r="D1844">
        <v>2</v>
      </c>
      <c r="E1844" t="s">
        <v>6494</v>
      </c>
      <c r="F1844" t="s">
        <v>6494</v>
      </c>
      <c r="G1844" t="s">
        <v>4256</v>
      </c>
      <c r="H1844">
        <v>130</v>
      </c>
    </row>
    <row r="1845" spans="1:8" x14ac:dyDescent="0.25">
      <c r="A1845" t="s">
        <v>426</v>
      </c>
      <c r="B1845">
        <v>1</v>
      </c>
      <c r="C1845">
        <v>1</v>
      </c>
      <c r="D1845">
        <v>1</v>
      </c>
      <c r="E1845" t="s">
        <v>6495</v>
      </c>
      <c r="F1845" t="s">
        <v>6495</v>
      </c>
      <c r="G1845" t="s">
        <v>6495</v>
      </c>
      <c r="H1845">
        <v>339</v>
      </c>
    </row>
    <row r="1846" spans="1:8" x14ac:dyDescent="0.25">
      <c r="A1846" t="s">
        <v>275</v>
      </c>
      <c r="B1846">
        <v>1</v>
      </c>
      <c r="C1846">
        <v>1</v>
      </c>
      <c r="D1846">
        <v>1</v>
      </c>
      <c r="E1846" t="s">
        <v>6496</v>
      </c>
      <c r="F1846" t="s">
        <v>6496</v>
      </c>
      <c r="G1846" t="s">
        <v>6496</v>
      </c>
      <c r="H1846">
        <v>333</v>
      </c>
    </row>
    <row r="1847" spans="1:8" x14ac:dyDescent="0.25">
      <c r="A1847" t="s">
        <v>697</v>
      </c>
      <c r="B1847">
        <v>1</v>
      </c>
      <c r="C1847">
        <v>1</v>
      </c>
      <c r="D1847">
        <v>1</v>
      </c>
      <c r="E1847" t="s">
        <v>6497</v>
      </c>
      <c r="F1847" t="s">
        <v>6498</v>
      </c>
      <c r="G1847" t="s">
        <v>6498</v>
      </c>
      <c r="H1847">
        <v>166</v>
      </c>
    </row>
    <row r="1848" spans="1:8" x14ac:dyDescent="0.25">
      <c r="A1848" t="s">
        <v>501</v>
      </c>
      <c r="B1848">
        <v>2</v>
      </c>
      <c r="C1848">
        <v>2</v>
      </c>
      <c r="D1848">
        <v>2</v>
      </c>
      <c r="E1848" t="s">
        <v>6499</v>
      </c>
      <c r="F1848" t="s">
        <v>6499</v>
      </c>
      <c r="G1848" t="s">
        <v>4256</v>
      </c>
      <c r="H1848">
        <v>225</v>
      </c>
    </row>
    <row r="1849" spans="1:8" x14ac:dyDescent="0.25">
      <c r="A1849" t="s">
        <v>1256</v>
      </c>
      <c r="B1849">
        <v>2</v>
      </c>
      <c r="C1849">
        <v>2</v>
      </c>
      <c r="D1849">
        <v>2</v>
      </c>
      <c r="E1849" t="s">
        <v>6500</v>
      </c>
      <c r="F1849" t="s">
        <v>6500</v>
      </c>
      <c r="G1849" t="s">
        <v>4256</v>
      </c>
      <c r="H1849">
        <v>117</v>
      </c>
    </row>
    <row r="1850" spans="1:8" x14ac:dyDescent="0.25">
      <c r="A1850" t="s">
        <v>913</v>
      </c>
      <c r="B1850">
        <v>2</v>
      </c>
      <c r="C1850">
        <v>2</v>
      </c>
      <c r="D1850">
        <v>2</v>
      </c>
      <c r="E1850" t="s">
        <v>6501</v>
      </c>
      <c r="F1850" t="s">
        <v>6502</v>
      </c>
      <c r="G1850" t="s">
        <v>4256</v>
      </c>
      <c r="H1850">
        <v>184</v>
      </c>
    </row>
    <row r="1851" spans="1:8" x14ac:dyDescent="0.25">
      <c r="A1851" t="s">
        <v>476</v>
      </c>
      <c r="B1851">
        <v>2</v>
      </c>
      <c r="C1851">
        <v>2</v>
      </c>
      <c r="D1851">
        <v>2</v>
      </c>
      <c r="E1851" t="s">
        <v>6503</v>
      </c>
      <c r="F1851" t="s">
        <v>6503</v>
      </c>
      <c r="G1851" t="s">
        <v>4256</v>
      </c>
      <c r="H1851">
        <v>147</v>
      </c>
    </row>
    <row r="1852" spans="1:8" x14ac:dyDescent="0.25">
      <c r="A1852" t="s">
        <v>398</v>
      </c>
      <c r="B1852">
        <v>1</v>
      </c>
      <c r="C1852">
        <v>1</v>
      </c>
      <c r="D1852">
        <v>1</v>
      </c>
      <c r="E1852" t="s">
        <v>6504</v>
      </c>
      <c r="F1852" t="s">
        <v>6504</v>
      </c>
      <c r="G1852" t="s">
        <v>6504</v>
      </c>
      <c r="H1852">
        <v>142</v>
      </c>
    </row>
    <row r="1853" spans="1:8" x14ac:dyDescent="0.25">
      <c r="A1853" t="s">
        <v>1371</v>
      </c>
      <c r="B1853">
        <v>2</v>
      </c>
      <c r="C1853">
        <v>2</v>
      </c>
      <c r="D1853">
        <v>2</v>
      </c>
      <c r="E1853" t="s">
        <v>6505</v>
      </c>
      <c r="F1853" t="s">
        <v>6506</v>
      </c>
      <c r="G1853" t="s">
        <v>4256</v>
      </c>
      <c r="H1853">
        <v>147</v>
      </c>
    </row>
    <row r="1854" spans="1:8" x14ac:dyDescent="0.25">
      <c r="A1854" t="s">
        <v>1462</v>
      </c>
      <c r="B1854">
        <v>2</v>
      </c>
      <c r="C1854">
        <v>2</v>
      </c>
      <c r="D1854">
        <v>2</v>
      </c>
      <c r="E1854" t="s">
        <v>6507</v>
      </c>
      <c r="F1854" t="s">
        <v>6507</v>
      </c>
      <c r="G1854" t="s">
        <v>4256</v>
      </c>
      <c r="H1854">
        <v>108</v>
      </c>
    </row>
    <row r="1855" spans="1:8" x14ac:dyDescent="0.25">
      <c r="A1855" t="s">
        <v>467</v>
      </c>
      <c r="B1855">
        <v>2</v>
      </c>
      <c r="C1855">
        <v>2</v>
      </c>
      <c r="D1855">
        <v>2</v>
      </c>
      <c r="E1855" t="s">
        <v>6508</v>
      </c>
      <c r="F1855" t="s">
        <v>6508</v>
      </c>
      <c r="G1855" t="s">
        <v>4256</v>
      </c>
      <c r="H1855">
        <v>190</v>
      </c>
    </row>
    <row r="1856" spans="1:8" x14ac:dyDescent="0.25">
      <c r="A1856" t="s">
        <v>745</v>
      </c>
      <c r="B1856">
        <v>1</v>
      </c>
      <c r="C1856">
        <v>1</v>
      </c>
      <c r="D1856">
        <v>1</v>
      </c>
      <c r="E1856" t="s">
        <v>6509</v>
      </c>
      <c r="F1856" t="s">
        <v>6509</v>
      </c>
      <c r="G1856" t="s">
        <v>6509</v>
      </c>
      <c r="H1856">
        <v>458</v>
      </c>
    </row>
    <row r="1857" spans="1:8" x14ac:dyDescent="0.25">
      <c r="A1857" t="s">
        <v>375</v>
      </c>
      <c r="B1857">
        <v>2</v>
      </c>
      <c r="C1857">
        <v>2</v>
      </c>
      <c r="D1857">
        <v>2</v>
      </c>
      <c r="E1857" t="s">
        <v>6510</v>
      </c>
      <c r="F1857" t="s">
        <v>6510</v>
      </c>
      <c r="G1857" t="s">
        <v>4256</v>
      </c>
      <c r="H1857">
        <v>653</v>
      </c>
    </row>
    <row r="1858" spans="1:8" x14ac:dyDescent="0.25">
      <c r="A1858" t="s">
        <v>2124</v>
      </c>
      <c r="B1858">
        <v>2</v>
      </c>
      <c r="C1858">
        <v>2</v>
      </c>
      <c r="D1858">
        <v>2</v>
      </c>
      <c r="E1858" t="s">
        <v>6511</v>
      </c>
      <c r="F1858" t="s">
        <v>6511</v>
      </c>
      <c r="G1858" t="s">
        <v>4256</v>
      </c>
      <c r="H1858">
        <v>99</v>
      </c>
    </row>
    <row r="1859" spans="1:8" x14ac:dyDescent="0.25">
      <c r="A1859" t="s">
        <v>2748</v>
      </c>
      <c r="B1859">
        <v>1</v>
      </c>
      <c r="C1859">
        <v>1</v>
      </c>
      <c r="D1859">
        <v>1</v>
      </c>
      <c r="E1859" t="s">
        <v>6512</v>
      </c>
      <c r="F1859" t="s">
        <v>6512</v>
      </c>
      <c r="G1859" t="s">
        <v>6512</v>
      </c>
      <c r="H1859">
        <v>42</v>
      </c>
    </row>
    <row r="1860" spans="1:8" x14ac:dyDescent="0.25">
      <c r="A1860" t="s">
        <v>1168</v>
      </c>
      <c r="B1860">
        <v>1</v>
      </c>
      <c r="C1860">
        <v>1</v>
      </c>
      <c r="D1860">
        <v>1</v>
      </c>
      <c r="E1860" t="s">
        <v>6513</v>
      </c>
      <c r="F1860" t="s">
        <v>6514</v>
      </c>
      <c r="G1860" t="s">
        <v>6514</v>
      </c>
      <c r="H1860">
        <v>140</v>
      </c>
    </row>
    <row r="1861" spans="1:8" x14ac:dyDescent="0.25">
      <c r="A1861" t="s">
        <v>749</v>
      </c>
      <c r="B1861">
        <v>1</v>
      </c>
      <c r="C1861">
        <v>1</v>
      </c>
      <c r="D1861">
        <v>1</v>
      </c>
      <c r="E1861" t="s">
        <v>6515</v>
      </c>
      <c r="F1861" t="s">
        <v>6515</v>
      </c>
      <c r="G1861" t="s">
        <v>6515</v>
      </c>
      <c r="H1861">
        <v>209</v>
      </c>
    </row>
    <row r="1862" spans="1:8" x14ac:dyDescent="0.25">
      <c r="A1862" t="s">
        <v>632</v>
      </c>
      <c r="B1862">
        <v>1</v>
      </c>
      <c r="C1862">
        <v>1</v>
      </c>
      <c r="D1862">
        <v>1</v>
      </c>
      <c r="E1862" t="s">
        <v>6516</v>
      </c>
      <c r="F1862" t="s">
        <v>6516</v>
      </c>
      <c r="G1862" t="s">
        <v>6516</v>
      </c>
      <c r="H1862">
        <v>223</v>
      </c>
    </row>
    <row r="1863" spans="1:8" x14ac:dyDescent="0.25">
      <c r="A1863" t="s">
        <v>1188</v>
      </c>
      <c r="B1863">
        <v>2</v>
      </c>
      <c r="C1863">
        <v>2</v>
      </c>
      <c r="D1863">
        <v>2</v>
      </c>
      <c r="E1863" t="s">
        <v>6517</v>
      </c>
      <c r="F1863" t="s">
        <v>6517</v>
      </c>
      <c r="G1863" t="s">
        <v>4256</v>
      </c>
      <c r="H1863">
        <v>148</v>
      </c>
    </row>
    <row r="1864" spans="1:8" x14ac:dyDescent="0.25">
      <c r="A1864" t="s">
        <v>146</v>
      </c>
      <c r="B1864">
        <v>1</v>
      </c>
      <c r="C1864">
        <v>1</v>
      </c>
      <c r="D1864">
        <v>1</v>
      </c>
      <c r="E1864" t="s">
        <v>6518</v>
      </c>
      <c r="F1864" t="s">
        <v>6518</v>
      </c>
      <c r="G1864" t="s">
        <v>6518</v>
      </c>
      <c r="H1864">
        <v>1229</v>
      </c>
    </row>
    <row r="1865" spans="1:8" x14ac:dyDescent="0.25">
      <c r="A1865" t="s">
        <v>175</v>
      </c>
      <c r="B1865">
        <v>1</v>
      </c>
      <c r="C1865">
        <v>1</v>
      </c>
      <c r="D1865">
        <v>1</v>
      </c>
      <c r="E1865" t="s">
        <v>6519</v>
      </c>
      <c r="F1865" t="s">
        <v>6519</v>
      </c>
      <c r="G1865" t="s">
        <v>6519</v>
      </c>
      <c r="H1865">
        <v>1182</v>
      </c>
    </row>
    <row r="1866" spans="1:8" x14ac:dyDescent="0.25">
      <c r="A1866" t="s">
        <v>868</v>
      </c>
      <c r="B1866">
        <v>1</v>
      </c>
      <c r="C1866">
        <v>1</v>
      </c>
      <c r="D1866">
        <v>1</v>
      </c>
      <c r="E1866" t="s">
        <v>6520</v>
      </c>
      <c r="F1866" t="s">
        <v>6520</v>
      </c>
      <c r="G1866" t="s">
        <v>6520</v>
      </c>
      <c r="H1866">
        <v>366</v>
      </c>
    </row>
    <row r="1867" spans="1:8" x14ac:dyDescent="0.25">
      <c r="A1867" t="s">
        <v>960</v>
      </c>
      <c r="B1867">
        <v>2</v>
      </c>
      <c r="C1867">
        <v>2</v>
      </c>
      <c r="D1867">
        <v>2</v>
      </c>
      <c r="E1867" t="s">
        <v>6521</v>
      </c>
      <c r="F1867" t="s">
        <v>6521</v>
      </c>
      <c r="G1867" t="s">
        <v>4256</v>
      </c>
      <c r="H1867">
        <v>322</v>
      </c>
    </row>
    <row r="1868" spans="1:8" x14ac:dyDescent="0.25">
      <c r="A1868" t="s">
        <v>591</v>
      </c>
      <c r="B1868">
        <v>1</v>
      </c>
      <c r="C1868">
        <v>1</v>
      </c>
      <c r="D1868">
        <v>1</v>
      </c>
      <c r="E1868" t="s">
        <v>6522</v>
      </c>
      <c r="F1868" t="s">
        <v>6522</v>
      </c>
      <c r="G1868" t="s">
        <v>6522</v>
      </c>
      <c r="H1868">
        <v>391</v>
      </c>
    </row>
    <row r="1869" spans="1:8" x14ac:dyDescent="0.25">
      <c r="A1869" t="s">
        <v>933</v>
      </c>
      <c r="B1869">
        <v>2</v>
      </c>
      <c r="C1869">
        <v>2</v>
      </c>
      <c r="D1869">
        <v>2</v>
      </c>
      <c r="E1869" t="s">
        <v>6523</v>
      </c>
      <c r="F1869" t="s">
        <v>6523</v>
      </c>
      <c r="G1869" t="s">
        <v>4256</v>
      </c>
      <c r="H1869">
        <v>244</v>
      </c>
    </row>
    <row r="1870" spans="1:8" x14ac:dyDescent="0.25">
      <c r="A1870" t="s">
        <v>382</v>
      </c>
      <c r="B1870">
        <v>1</v>
      </c>
      <c r="C1870">
        <v>1</v>
      </c>
      <c r="D1870">
        <v>1</v>
      </c>
      <c r="E1870" t="s">
        <v>6524</v>
      </c>
      <c r="F1870" t="s">
        <v>6524</v>
      </c>
      <c r="G1870" t="s">
        <v>6524</v>
      </c>
      <c r="H1870">
        <v>693</v>
      </c>
    </row>
    <row r="1871" spans="1:8" x14ac:dyDescent="0.25">
      <c r="A1871" t="s">
        <v>873</v>
      </c>
      <c r="B1871">
        <v>1</v>
      </c>
      <c r="C1871">
        <v>1</v>
      </c>
      <c r="D1871">
        <v>1</v>
      </c>
      <c r="E1871" t="s">
        <v>6525</v>
      </c>
      <c r="F1871" t="s">
        <v>6525</v>
      </c>
      <c r="G1871" t="s">
        <v>6525</v>
      </c>
      <c r="H1871">
        <v>143</v>
      </c>
    </row>
    <row r="1872" spans="1:8" x14ac:dyDescent="0.25">
      <c r="A1872" t="s">
        <v>430</v>
      </c>
      <c r="B1872">
        <v>2</v>
      </c>
      <c r="C1872">
        <v>2</v>
      </c>
      <c r="D1872">
        <v>2</v>
      </c>
      <c r="E1872" t="s">
        <v>6526</v>
      </c>
      <c r="F1872" t="s">
        <v>6527</v>
      </c>
      <c r="G1872" t="s">
        <v>4256</v>
      </c>
      <c r="H1872">
        <v>203</v>
      </c>
    </row>
    <row r="1873" spans="1:8" x14ac:dyDescent="0.25">
      <c r="A1873" t="s">
        <v>225</v>
      </c>
      <c r="B1873">
        <v>1</v>
      </c>
      <c r="C1873">
        <v>1</v>
      </c>
      <c r="D1873">
        <v>1</v>
      </c>
      <c r="E1873" t="s">
        <v>6528</v>
      </c>
      <c r="F1873" t="s">
        <v>6528</v>
      </c>
      <c r="G1873" t="s">
        <v>6528</v>
      </c>
      <c r="H1873">
        <v>655</v>
      </c>
    </row>
    <row r="1874" spans="1:8" x14ac:dyDescent="0.25">
      <c r="A1874" t="s">
        <v>347</v>
      </c>
      <c r="B1874">
        <v>1</v>
      </c>
      <c r="C1874">
        <v>1</v>
      </c>
      <c r="D1874">
        <v>1</v>
      </c>
      <c r="E1874" t="s">
        <v>6529</v>
      </c>
      <c r="F1874" t="s">
        <v>6529</v>
      </c>
      <c r="G1874" t="s">
        <v>6529</v>
      </c>
      <c r="H1874">
        <v>328</v>
      </c>
    </row>
    <row r="1875" spans="1:8" x14ac:dyDescent="0.25">
      <c r="A1875" t="s">
        <v>561</v>
      </c>
      <c r="B1875">
        <v>1</v>
      </c>
      <c r="C1875">
        <v>1</v>
      </c>
      <c r="D1875">
        <v>1</v>
      </c>
      <c r="E1875" t="s">
        <v>6530</v>
      </c>
      <c r="F1875" t="s">
        <v>6530</v>
      </c>
      <c r="G1875" t="s">
        <v>6530</v>
      </c>
      <c r="H1875">
        <v>279</v>
      </c>
    </row>
    <row r="1876" spans="1:8" x14ac:dyDescent="0.25">
      <c r="A1876" t="s">
        <v>901</v>
      </c>
      <c r="B1876">
        <v>2</v>
      </c>
      <c r="C1876">
        <v>2</v>
      </c>
      <c r="D1876">
        <v>2</v>
      </c>
      <c r="E1876" t="s">
        <v>6531</v>
      </c>
      <c r="F1876" t="s">
        <v>6531</v>
      </c>
      <c r="G1876" t="s">
        <v>4256</v>
      </c>
      <c r="H1876">
        <v>241</v>
      </c>
    </row>
    <row r="1877" spans="1:8" x14ac:dyDescent="0.25">
      <c r="A1877" t="s">
        <v>1137</v>
      </c>
      <c r="B1877">
        <v>1</v>
      </c>
      <c r="C1877">
        <v>1</v>
      </c>
      <c r="D1877">
        <v>1</v>
      </c>
      <c r="E1877" t="s">
        <v>6532</v>
      </c>
      <c r="F1877" t="s">
        <v>6532</v>
      </c>
      <c r="G1877" t="s">
        <v>6532</v>
      </c>
      <c r="H1877">
        <v>151</v>
      </c>
    </row>
    <row r="1878" spans="1:8" x14ac:dyDescent="0.25">
      <c r="A1878" t="s">
        <v>971</v>
      </c>
      <c r="B1878">
        <v>1</v>
      </c>
      <c r="C1878">
        <v>1</v>
      </c>
      <c r="D1878">
        <v>1</v>
      </c>
      <c r="E1878" t="s">
        <v>6533</v>
      </c>
      <c r="F1878" t="s">
        <v>6533</v>
      </c>
      <c r="G1878" t="s">
        <v>6533</v>
      </c>
      <c r="H1878">
        <v>216</v>
      </c>
    </row>
    <row r="1879" spans="1:8" x14ac:dyDescent="0.25">
      <c r="A1879" t="s">
        <v>1356</v>
      </c>
      <c r="B1879">
        <v>1</v>
      </c>
      <c r="C1879">
        <v>1</v>
      </c>
      <c r="D1879">
        <v>1</v>
      </c>
      <c r="E1879" t="s">
        <v>6534</v>
      </c>
      <c r="F1879" t="s">
        <v>6534</v>
      </c>
      <c r="G1879" t="s">
        <v>6534</v>
      </c>
      <c r="H1879">
        <v>189</v>
      </c>
    </row>
    <row r="1880" spans="1:8" x14ac:dyDescent="0.25">
      <c r="A1880" t="s">
        <v>1471</v>
      </c>
      <c r="B1880">
        <v>1</v>
      </c>
      <c r="C1880">
        <v>1</v>
      </c>
      <c r="D1880">
        <v>1</v>
      </c>
      <c r="E1880" t="s">
        <v>6535</v>
      </c>
      <c r="F1880" t="s">
        <v>6536</v>
      </c>
      <c r="G1880" t="s">
        <v>6536</v>
      </c>
      <c r="H1880">
        <v>151</v>
      </c>
    </row>
    <row r="1881" spans="1:8" x14ac:dyDescent="0.25">
      <c r="A1881" t="s">
        <v>1570</v>
      </c>
      <c r="B1881">
        <v>1</v>
      </c>
      <c r="C1881">
        <v>1</v>
      </c>
      <c r="D1881">
        <v>1</v>
      </c>
      <c r="E1881" t="s">
        <v>6537</v>
      </c>
      <c r="F1881" t="s">
        <v>6537</v>
      </c>
      <c r="G1881" t="s">
        <v>6537</v>
      </c>
      <c r="H1881">
        <v>138</v>
      </c>
    </row>
    <row r="1882" spans="1:8" x14ac:dyDescent="0.25">
      <c r="A1882" t="s">
        <v>372</v>
      </c>
      <c r="B1882">
        <v>1</v>
      </c>
      <c r="C1882">
        <v>1</v>
      </c>
      <c r="D1882">
        <v>1</v>
      </c>
      <c r="E1882" t="s">
        <v>6538</v>
      </c>
      <c r="F1882" t="s">
        <v>6538</v>
      </c>
      <c r="G1882" t="s">
        <v>6538</v>
      </c>
      <c r="H1882">
        <v>251</v>
      </c>
    </row>
    <row r="1883" spans="1:8" x14ac:dyDescent="0.25">
      <c r="A1883" t="s">
        <v>528</v>
      </c>
      <c r="B1883">
        <v>1</v>
      </c>
      <c r="C1883">
        <v>1</v>
      </c>
      <c r="D1883">
        <v>1</v>
      </c>
      <c r="E1883" t="s">
        <v>6539</v>
      </c>
      <c r="F1883" t="s">
        <v>6539</v>
      </c>
      <c r="G1883" t="s">
        <v>6539</v>
      </c>
      <c r="H1883">
        <v>395</v>
      </c>
    </row>
    <row r="1884" spans="1:8" x14ac:dyDescent="0.25">
      <c r="A1884" t="s">
        <v>758</v>
      </c>
      <c r="B1884">
        <v>1</v>
      </c>
      <c r="C1884">
        <v>1</v>
      </c>
      <c r="D1884">
        <v>1</v>
      </c>
      <c r="E1884" t="s">
        <v>6540</v>
      </c>
      <c r="F1884" t="s">
        <v>6540</v>
      </c>
      <c r="G1884" t="s">
        <v>6540</v>
      </c>
      <c r="H1884">
        <v>303</v>
      </c>
    </row>
    <row r="1885" spans="1:8" x14ac:dyDescent="0.25">
      <c r="A1885" t="s">
        <v>2057</v>
      </c>
      <c r="B1885">
        <v>1</v>
      </c>
      <c r="C1885">
        <v>1</v>
      </c>
      <c r="D1885">
        <v>1</v>
      </c>
      <c r="E1885" t="s">
        <v>6541</v>
      </c>
      <c r="F1885" t="s">
        <v>6541</v>
      </c>
      <c r="G1885" t="s">
        <v>6541</v>
      </c>
      <c r="H1885">
        <v>111</v>
      </c>
    </row>
    <row r="1886" spans="1:8" x14ac:dyDescent="0.25">
      <c r="A1886" t="s">
        <v>1403</v>
      </c>
      <c r="B1886">
        <v>1</v>
      </c>
      <c r="C1886">
        <v>1</v>
      </c>
      <c r="D1886">
        <v>1</v>
      </c>
      <c r="E1886" t="s">
        <v>6542</v>
      </c>
      <c r="F1886" t="s">
        <v>6542</v>
      </c>
      <c r="G1886" t="s">
        <v>6542</v>
      </c>
      <c r="H1886">
        <v>215</v>
      </c>
    </row>
    <row r="1887" spans="1:8" x14ac:dyDescent="0.25">
      <c r="A1887" t="s">
        <v>1095</v>
      </c>
      <c r="B1887">
        <v>1</v>
      </c>
      <c r="C1887">
        <v>1</v>
      </c>
      <c r="D1887">
        <v>1</v>
      </c>
      <c r="E1887" t="s">
        <v>6543</v>
      </c>
      <c r="F1887" t="s">
        <v>6543</v>
      </c>
      <c r="G1887" t="s">
        <v>6543</v>
      </c>
      <c r="H1887">
        <v>447</v>
      </c>
    </row>
    <row r="1888" spans="1:8" x14ac:dyDescent="0.25">
      <c r="A1888" t="s">
        <v>1678</v>
      </c>
      <c r="B1888">
        <v>1</v>
      </c>
      <c r="C1888">
        <v>1</v>
      </c>
      <c r="D1888">
        <v>1</v>
      </c>
      <c r="E1888" t="s">
        <v>6544</v>
      </c>
      <c r="F1888" t="s">
        <v>6545</v>
      </c>
      <c r="G1888" t="s">
        <v>6545</v>
      </c>
      <c r="H1888">
        <v>165</v>
      </c>
    </row>
    <row r="1889" spans="1:8" x14ac:dyDescent="0.25">
      <c r="A1889" t="s">
        <v>1427</v>
      </c>
      <c r="B1889">
        <v>2</v>
      </c>
      <c r="C1889">
        <v>2</v>
      </c>
      <c r="D1889">
        <v>2</v>
      </c>
      <c r="E1889" t="s">
        <v>6546</v>
      </c>
      <c r="F1889" t="s">
        <v>6546</v>
      </c>
      <c r="G1889" t="s">
        <v>4256</v>
      </c>
      <c r="H1889">
        <v>99</v>
      </c>
    </row>
    <row r="1890" spans="1:8" x14ac:dyDescent="0.25">
      <c r="A1890" t="s">
        <v>1311</v>
      </c>
      <c r="B1890">
        <v>2</v>
      </c>
      <c r="C1890">
        <v>2</v>
      </c>
      <c r="D1890">
        <v>2</v>
      </c>
      <c r="E1890" t="s">
        <v>6547</v>
      </c>
      <c r="F1890" t="s">
        <v>6548</v>
      </c>
      <c r="G1890" t="s">
        <v>4256</v>
      </c>
      <c r="H1890">
        <v>156</v>
      </c>
    </row>
    <row r="1891" spans="1:8" x14ac:dyDescent="0.25">
      <c r="A1891" t="s">
        <v>3475</v>
      </c>
      <c r="B1891">
        <v>1</v>
      </c>
      <c r="C1891">
        <v>1</v>
      </c>
      <c r="D1891">
        <v>1</v>
      </c>
      <c r="E1891" t="s">
        <v>6549</v>
      </c>
      <c r="F1891" t="s">
        <v>6549</v>
      </c>
      <c r="G1891" t="s">
        <v>6549</v>
      </c>
      <c r="H1891">
        <v>5</v>
      </c>
    </row>
    <row r="1892" spans="1:8" x14ac:dyDescent="0.25">
      <c r="A1892" t="s">
        <v>331</v>
      </c>
      <c r="B1892">
        <v>1</v>
      </c>
      <c r="C1892">
        <v>1</v>
      </c>
      <c r="D1892">
        <v>1</v>
      </c>
      <c r="E1892" t="s">
        <v>6550</v>
      </c>
      <c r="F1892" t="s">
        <v>6551</v>
      </c>
      <c r="G1892" t="s">
        <v>6551</v>
      </c>
      <c r="H1892">
        <v>443</v>
      </c>
    </row>
    <row r="1893" spans="1:8" x14ac:dyDescent="0.25">
      <c r="A1893" t="s">
        <v>391</v>
      </c>
      <c r="B1893">
        <v>1</v>
      </c>
      <c r="C1893">
        <v>1</v>
      </c>
      <c r="D1893">
        <v>1</v>
      </c>
      <c r="E1893" t="s">
        <v>6552</v>
      </c>
      <c r="F1893" t="s">
        <v>6552</v>
      </c>
      <c r="G1893" t="s">
        <v>6552</v>
      </c>
      <c r="H1893">
        <v>383</v>
      </c>
    </row>
    <row r="1894" spans="1:8" x14ac:dyDescent="0.25">
      <c r="A1894" t="s">
        <v>928</v>
      </c>
      <c r="B1894">
        <v>1</v>
      </c>
      <c r="C1894">
        <v>1</v>
      </c>
      <c r="D1894">
        <v>1</v>
      </c>
      <c r="E1894" t="s">
        <v>6553</v>
      </c>
      <c r="F1894" t="s">
        <v>6553</v>
      </c>
      <c r="G1894" t="s">
        <v>6553</v>
      </c>
      <c r="H1894">
        <v>179</v>
      </c>
    </row>
    <row r="1895" spans="1:8" x14ac:dyDescent="0.25">
      <c r="A1895" t="s">
        <v>444</v>
      </c>
      <c r="B1895">
        <v>1</v>
      </c>
      <c r="C1895">
        <v>1</v>
      </c>
      <c r="D1895">
        <v>1</v>
      </c>
      <c r="E1895" t="s">
        <v>6554</v>
      </c>
      <c r="F1895" t="s">
        <v>6554</v>
      </c>
      <c r="G1895" t="s">
        <v>6554</v>
      </c>
      <c r="H1895">
        <v>287</v>
      </c>
    </row>
    <row r="1896" spans="1:8" x14ac:dyDescent="0.25">
      <c r="A1896" t="s">
        <v>342</v>
      </c>
      <c r="B1896">
        <v>1</v>
      </c>
      <c r="C1896">
        <v>1</v>
      </c>
      <c r="D1896">
        <v>1</v>
      </c>
      <c r="E1896" t="s">
        <v>6555</v>
      </c>
      <c r="F1896" t="s">
        <v>6556</v>
      </c>
      <c r="G1896" t="s">
        <v>6556</v>
      </c>
      <c r="H1896">
        <v>367</v>
      </c>
    </row>
    <row r="1897" spans="1:8" x14ac:dyDescent="0.25">
      <c r="A1897" t="s">
        <v>246</v>
      </c>
      <c r="B1897">
        <v>1</v>
      </c>
      <c r="C1897">
        <v>1</v>
      </c>
      <c r="D1897">
        <v>1</v>
      </c>
      <c r="E1897" t="s">
        <v>6557</v>
      </c>
      <c r="F1897" t="s">
        <v>6557</v>
      </c>
      <c r="G1897" t="s">
        <v>6557</v>
      </c>
      <c r="H1897">
        <v>1111</v>
      </c>
    </row>
    <row r="1898" spans="1:8" x14ac:dyDescent="0.25">
      <c r="A1898" t="s">
        <v>1797</v>
      </c>
      <c r="B1898">
        <v>1</v>
      </c>
      <c r="C1898">
        <v>1</v>
      </c>
      <c r="D1898">
        <v>1</v>
      </c>
      <c r="E1898" t="s">
        <v>6558</v>
      </c>
      <c r="F1898" t="s">
        <v>6558</v>
      </c>
      <c r="G1898" t="s">
        <v>6558</v>
      </c>
      <c r="H1898">
        <v>227</v>
      </c>
    </row>
    <row r="1899" spans="1:8" x14ac:dyDescent="0.25">
      <c r="A1899" t="s">
        <v>1708</v>
      </c>
      <c r="B1899">
        <v>1</v>
      </c>
      <c r="C1899">
        <v>1</v>
      </c>
      <c r="D1899">
        <v>1</v>
      </c>
      <c r="E1899" t="s">
        <v>6559</v>
      </c>
      <c r="F1899" t="s">
        <v>6559</v>
      </c>
      <c r="G1899" t="s">
        <v>6559</v>
      </c>
      <c r="H1899">
        <v>273</v>
      </c>
    </row>
    <row r="1900" spans="1:8" x14ac:dyDescent="0.25">
      <c r="A1900" t="s">
        <v>1156</v>
      </c>
      <c r="B1900">
        <v>1</v>
      </c>
      <c r="C1900">
        <v>1</v>
      </c>
      <c r="D1900">
        <v>1</v>
      </c>
      <c r="E1900" t="s">
        <v>6560</v>
      </c>
      <c r="F1900" t="s">
        <v>6560</v>
      </c>
      <c r="G1900" t="s">
        <v>6560</v>
      </c>
      <c r="H1900">
        <v>422</v>
      </c>
    </row>
    <row r="1901" spans="1:8" x14ac:dyDescent="0.25">
      <c r="A1901" t="s">
        <v>1668</v>
      </c>
      <c r="B1901">
        <v>1</v>
      </c>
      <c r="C1901">
        <v>1</v>
      </c>
      <c r="D1901">
        <v>1</v>
      </c>
      <c r="E1901" t="s">
        <v>6561</v>
      </c>
      <c r="F1901" t="s">
        <v>6561</v>
      </c>
      <c r="G1901" t="s">
        <v>6561</v>
      </c>
      <c r="H1901">
        <v>235</v>
      </c>
    </row>
    <row r="1902" spans="1:8" x14ac:dyDescent="0.25">
      <c r="A1902" t="s">
        <v>600</v>
      </c>
      <c r="B1902">
        <v>1</v>
      </c>
      <c r="C1902">
        <v>1</v>
      </c>
      <c r="D1902">
        <v>1</v>
      </c>
      <c r="E1902" t="s">
        <v>6562</v>
      </c>
      <c r="F1902" t="s">
        <v>6562</v>
      </c>
      <c r="G1902" t="s">
        <v>6562</v>
      </c>
      <c r="H1902">
        <v>557</v>
      </c>
    </row>
    <row r="1903" spans="1:8" x14ac:dyDescent="0.25">
      <c r="A1903" t="s">
        <v>1557</v>
      </c>
      <c r="B1903">
        <v>2</v>
      </c>
      <c r="C1903">
        <v>2</v>
      </c>
      <c r="D1903">
        <v>2</v>
      </c>
      <c r="E1903" t="s">
        <v>6563</v>
      </c>
      <c r="F1903" t="s">
        <v>6563</v>
      </c>
      <c r="G1903" t="s">
        <v>4256</v>
      </c>
      <c r="H1903">
        <v>232</v>
      </c>
    </row>
    <row r="1904" spans="1:8" x14ac:dyDescent="0.25">
      <c r="A1904" t="s">
        <v>1506</v>
      </c>
      <c r="B1904">
        <v>1</v>
      </c>
      <c r="C1904">
        <v>1</v>
      </c>
      <c r="D1904">
        <v>1</v>
      </c>
      <c r="E1904" t="s">
        <v>6564</v>
      </c>
      <c r="F1904" t="s">
        <v>6564</v>
      </c>
      <c r="G1904" t="s">
        <v>6564</v>
      </c>
      <c r="H1904">
        <v>285</v>
      </c>
    </row>
    <row r="1905" spans="1:8" x14ac:dyDescent="0.25">
      <c r="A1905" t="s">
        <v>6565</v>
      </c>
      <c r="B1905">
        <v>1</v>
      </c>
      <c r="C1905">
        <v>1</v>
      </c>
      <c r="D1905">
        <v>1</v>
      </c>
      <c r="E1905" t="s">
        <v>6566</v>
      </c>
      <c r="F1905" t="s">
        <v>6566</v>
      </c>
      <c r="G1905" t="s">
        <v>6566</v>
      </c>
      <c r="H1905">
        <v>1</v>
      </c>
    </row>
    <row r="1906" spans="1:8" x14ac:dyDescent="0.25">
      <c r="A1906" t="s">
        <v>1825</v>
      </c>
      <c r="B1906">
        <v>1</v>
      </c>
      <c r="C1906">
        <v>1</v>
      </c>
      <c r="D1906">
        <v>1</v>
      </c>
      <c r="E1906" t="s">
        <v>6567</v>
      </c>
      <c r="F1906" t="s">
        <v>6567</v>
      </c>
      <c r="G1906" t="s">
        <v>6567</v>
      </c>
      <c r="H1906">
        <v>205</v>
      </c>
    </row>
    <row r="1907" spans="1:8" x14ac:dyDescent="0.25">
      <c r="A1907" t="s">
        <v>2794</v>
      </c>
      <c r="B1907">
        <v>2</v>
      </c>
      <c r="C1907">
        <v>2</v>
      </c>
      <c r="D1907">
        <v>2</v>
      </c>
      <c r="E1907" t="s">
        <v>6568</v>
      </c>
      <c r="F1907" t="s">
        <v>6569</v>
      </c>
      <c r="G1907" t="s">
        <v>4256</v>
      </c>
      <c r="H1907">
        <v>55</v>
      </c>
    </row>
    <row r="1908" spans="1:8" x14ac:dyDescent="0.25">
      <c r="A1908" t="s">
        <v>1838</v>
      </c>
      <c r="B1908">
        <v>1</v>
      </c>
      <c r="C1908">
        <v>1</v>
      </c>
      <c r="D1908">
        <v>1</v>
      </c>
      <c r="E1908" t="s">
        <v>6570</v>
      </c>
      <c r="F1908" t="s">
        <v>6570</v>
      </c>
      <c r="G1908" t="s">
        <v>6570</v>
      </c>
      <c r="H1908">
        <v>231</v>
      </c>
    </row>
    <row r="1909" spans="1:8" x14ac:dyDescent="0.25">
      <c r="A1909" t="s">
        <v>1136</v>
      </c>
      <c r="B1909">
        <v>2</v>
      </c>
      <c r="C1909">
        <v>2</v>
      </c>
      <c r="D1909">
        <v>2</v>
      </c>
      <c r="E1909" t="s">
        <v>6571</v>
      </c>
      <c r="F1909" t="s">
        <v>6571</v>
      </c>
      <c r="G1909" t="s">
        <v>4256</v>
      </c>
      <c r="H1909">
        <v>251</v>
      </c>
    </row>
    <row r="1910" spans="1:8" x14ac:dyDescent="0.25">
      <c r="A1910" t="s">
        <v>1979</v>
      </c>
      <c r="B1910">
        <v>1</v>
      </c>
      <c r="C1910">
        <v>1</v>
      </c>
      <c r="D1910">
        <v>1</v>
      </c>
      <c r="E1910" t="s">
        <v>6572</v>
      </c>
      <c r="F1910" t="s">
        <v>6572</v>
      </c>
      <c r="G1910" t="s">
        <v>6572</v>
      </c>
      <c r="H1910">
        <v>179</v>
      </c>
    </row>
    <row r="1911" spans="1:8" x14ac:dyDescent="0.25">
      <c r="A1911" t="s">
        <v>435</v>
      </c>
      <c r="B1911">
        <v>1</v>
      </c>
      <c r="C1911">
        <v>1</v>
      </c>
      <c r="D1911">
        <v>1</v>
      </c>
      <c r="E1911" t="s">
        <v>6573</v>
      </c>
      <c r="F1911" t="s">
        <v>6574</v>
      </c>
      <c r="G1911" t="s">
        <v>6574</v>
      </c>
      <c r="H1911">
        <v>188</v>
      </c>
    </row>
    <row r="1912" spans="1:8" x14ac:dyDescent="0.25">
      <c r="A1912" t="s">
        <v>502</v>
      </c>
      <c r="B1912">
        <v>1</v>
      </c>
      <c r="C1912">
        <v>1</v>
      </c>
      <c r="D1912">
        <v>1</v>
      </c>
      <c r="E1912" t="s">
        <v>6575</v>
      </c>
      <c r="F1912" t="s">
        <v>6575</v>
      </c>
      <c r="G1912" t="s">
        <v>6575</v>
      </c>
      <c r="H1912">
        <v>139</v>
      </c>
    </row>
    <row r="1913" spans="1:8" x14ac:dyDescent="0.25">
      <c r="A1913" t="s">
        <v>735</v>
      </c>
      <c r="B1913">
        <v>1</v>
      </c>
      <c r="C1913">
        <v>1</v>
      </c>
      <c r="D1913">
        <v>1</v>
      </c>
      <c r="E1913" t="s">
        <v>6576</v>
      </c>
      <c r="F1913" t="s">
        <v>6576</v>
      </c>
      <c r="G1913" t="s">
        <v>6576</v>
      </c>
      <c r="H1913">
        <v>103</v>
      </c>
    </row>
    <row r="1914" spans="1:8" x14ac:dyDescent="0.25">
      <c r="A1914" t="s">
        <v>645</v>
      </c>
      <c r="B1914">
        <v>1</v>
      </c>
      <c r="C1914">
        <v>1</v>
      </c>
      <c r="D1914">
        <v>1</v>
      </c>
      <c r="E1914" t="s">
        <v>6577</v>
      </c>
      <c r="F1914" t="s">
        <v>6577</v>
      </c>
      <c r="G1914" t="s">
        <v>6577</v>
      </c>
      <c r="H1914">
        <v>114</v>
      </c>
    </row>
    <row r="1915" spans="1:8" x14ac:dyDescent="0.25">
      <c r="A1915" t="s">
        <v>720</v>
      </c>
      <c r="B1915">
        <v>1</v>
      </c>
      <c r="C1915">
        <v>1</v>
      </c>
      <c r="D1915">
        <v>1</v>
      </c>
      <c r="E1915" t="s">
        <v>6578</v>
      </c>
      <c r="F1915" t="s">
        <v>6578</v>
      </c>
      <c r="G1915" t="s">
        <v>6578</v>
      </c>
      <c r="H1915">
        <v>256</v>
      </c>
    </row>
    <row r="1916" spans="1:8" x14ac:dyDescent="0.25">
      <c r="A1916" t="s">
        <v>798</v>
      </c>
      <c r="B1916">
        <v>1</v>
      </c>
      <c r="C1916">
        <v>1</v>
      </c>
      <c r="D1916">
        <v>1</v>
      </c>
      <c r="E1916" t="s">
        <v>6579</v>
      </c>
      <c r="F1916" t="s">
        <v>6579</v>
      </c>
      <c r="G1916" t="s">
        <v>6579</v>
      </c>
      <c r="H1916">
        <v>228</v>
      </c>
    </row>
    <row r="1917" spans="1:8" x14ac:dyDescent="0.25">
      <c r="A1917" t="s">
        <v>850</v>
      </c>
      <c r="B1917">
        <v>1</v>
      </c>
      <c r="C1917">
        <v>1</v>
      </c>
      <c r="D1917">
        <v>1</v>
      </c>
      <c r="E1917" t="s">
        <v>6580</v>
      </c>
      <c r="F1917" t="s">
        <v>6580</v>
      </c>
      <c r="G1917" t="s">
        <v>6580</v>
      </c>
      <c r="H1917">
        <v>216</v>
      </c>
    </row>
    <row r="1918" spans="1:8" x14ac:dyDescent="0.25">
      <c r="A1918" t="s">
        <v>2571</v>
      </c>
      <c r="B1918">
        <v>2</v>
      </c>
      <c r="C1918">
        <v>2</v>
      </c>
      <c r="D1918">
        <v>2</v>
      </c>
      <c r="E1918" t="s">
        <v>6581</v>
      </c>
      <c r="F1918" t="s">
        <v>6581</v>
      </c>
      <c r="G1918" t="s">
        <v>4256</v>
      </c>
      <c r="H1918">
        <v>23</v>
      </c>
    </row>
    <row r="1919" spans="1:8" x14ac:dyDescent="0.25">
      <c r="A1919" t="s">
        <v>2228</v>
      </c>
      <c r="B1919">
        <v>1</v>
      </c>
      <c r="C1919">
        <v>1</v>
      </c>
      <c r="D1919">
        <v>1</v>
      </c>
      <c r="E1919" t="s">
        <v>6582</v>
      </c>
      <c r="F1919" t="s">
        <v>6582</v>
      </c>
      <c r="G1919" t="s">
        <v>6582</v>
      </c>
      <c r="H1919">
        <v>25</v>
      </c>
    </row>
    <row r="1920" spans="1:8" x14ac:dyDescent="0.25">
      <c r="A1920" t="s">
        <v>1915</v>
      </c>
      <c r="B1920">
        <v>1</v>
      </c>
      <c r="C1920">
        <v>1</v>
      </c>
      <c r="D1920">
        <v>1</v>
      </c>
      <c r="E1920" t="s">
        <v>6583</v>
      </c>
      <c r="F1920" t="s">
        <v>6583</v>
      </c>
      <c r="G1920" t="s">
        <v>6583</v>
      </c>
      <c r="H1920">
        <v>23</v>
      </c>
    </row>
    <row r="1921" spans="1:8" x14ac:dyDescent="0.25">
      <c r="A1921" t="s">
        <v>2176</v>
      </c>
      <c r="B1921">
        <v>1</v>
      </c>
      <c r="C1921">
        <v>1</v>
      </c>
      <c r="D1921">
        <v>1</v>
      </c>
      <c r="E1921" t="s">
        <v>6584</v>
      </c>
      <c r="F1921" t="s">
        <v>6585</v>
      </c>
      <c r="G1921" t="s">
        <v>6585</v>
      </c>
      <c r="H1921">
        <v>21</v>
      </c>
    </row>
    <row r="1922" spans="1:8" x14ac:dyDescent="0.25">
      <c r="A1922" t="s">
        <v>2153</v>
      </c>
      <c r="B1922">
        <v>1</v>
      </c>
      <c r="C1922">
        <v>1</v>
      </c>
      <c r="D1922">
        <v>1</v>
      </c>
      <c r="E1922" t="s">
        <v>6586</v>
      </c>
      <c r="F1922" t="s">
        <v>6587</v>
      </c>
      <c r="G1922" t="s">
        <v>6587</v>
      </c>
      <c r="H1922">
        <v>28</v>
      </c>
    </row>
    <row r="1923" spans="1:8" x14ac:dyDescent="0.25">
      <c r="A1923" t="s">
        <v>1117</v>
      </c>
      <c r="B1923">
        <v>3</v>
      </c>
      <c r="C1923">
        <v>3</v>
      </c>
      <c r="D1923">
        <v>2</v>
      </c>
      <c r="E1923" t="s">
        <v>6588</v>
      </c>
      <c r="F1923" t="s">
        <v>6588</v>
      </c>
      <c r="G1923" t="s">
        <v>4256</v>
      </c>
      <c r="H1923">
        <v>83</v>
      </c>
    </row>
    <row r="1924" spans="1:8" x14ac:dyDescent="0.25">
      <c r="A1924" t="s">
        <v>2330</v>
      </c>
      <c r="B1924">
        <v>1</v>
      </c>
      <c r="C1924">
        <v>1</v>
      </c>
      <c r="D1924">
        <v>1</v>
      </c>
      <c r="E1924" t="s">
        <v>6589</v>
      </c>
      <c r="F1924" t="s">
        <v>6589</v>
      </c>
      <c r="G1924" t="s">
        <v>6589</v>
      </c>
      <c r="H1924">
        <v>28</v>
      </c>
    </row>
    <row r="1925" spans="1:8" x14ac:dyDescent="0.25">
      <c r="A1925" t="s">
        <v>1928</v>
      </c>
      <c r="B1925">
        <v>1</v>
      </c>
      <c r="C1925">
        <v>1</v>
      </c>
      <c r="D1925">
        <v>1</v>
      </c>
      <c r="E1925" t="s">
        <v>6590</v>
      </c>
      <c r="F1925" t="s">
        <v>6590</v>
      </c>
      <c r="G1925" t="s">
        <v>6590</v>
      </c>
      <c r="H1925">
        <v>26</v>
      </c>
    </row>
    <row r="1926" spans="1:8" x14ac:dyDescent="0.25">
      <c r="A1926" t="s">
        <v>2396</v>
      </c>
      <c r="B1926">
        <v>1</v>
      </c>
      <c r="C1926">
        <v>1</v>
      </c>
      <c r="D1926">
        <v>1</v>
      </c>
      <c r="E1926" t="s">
        <v>6591</v>
      </c>
      <c r="F1926" t="s">
        <v>6591</v>
      </c>
      <c r="G1926" t="s">
        <v>6591</v>
      </c>
      <c r="H1926">
        <v>28</v>
      </c>
    </row>
    <row r="1927" spans="1:8" x14ac:dyDescent="0.25">
      <c r="A1927" t="s">
        <v>2106</v>
      </c>
      <c r="B1927">
        <v>1</v>
      </c>
      <c r="C1927">
        <v>1</v>
      </c>
      <c r="D1927">
        <v>1</v>
      </c>
      <c r="E1927" t="s">
        <v>6592</v>
      </c>
      <c r="F1927" t="s">
        <v>6592</v>
      </c>
      <c r="G1927" t="s">
        <v>6592</v>
      </c>
      <c r="H1927">
        <v>12</v>
      </c>
    </row>
    <row r="1928" spans="1:8" x14ac:dyDescent="0.25">
      <c r="A1928" t="s">
        <v>1985</v>
      </c>
      <c r="B1928">
        <v>1</v>
      </c>
      <c r="C1928">
        <v>1</v>
      </c>
      <c r="D1928">
        <v>1</v>
      </c>
      <c r="E1928" t="s">
        <v>6593</v>
      </c>
      <c r="F1928" t="s">
        <v>6593</v>
      </c>
      <c r="G1928" t="s">
        <v>6593</v>
      </c>
      <c r="H1928">
        <v>55</v>
      </c>
    </row>
    <row r="1929" spans="1:8" x14ac:dyDescent="0.25">
      <c r="A1929" t="s">
        <v>1598</v>
      </c>
      <c r="B1929">
        <v>1</v>
      </c>
      <c r="C1929">
        <v>1</v>
      </c>
      <c r="D1929">
        <v>1</v>
      </c>
      <c r="E1929" t="s">
        <v>6594</v>
      </c>
      <c r="F1929" t="s">
        <v>6594</v>
      </c>
      <c r="G1929" t="s">
        <v>6594</v>
      </c>
      <c r="H1929">
        <v>67</v>
      </c>
    </row>
    <row r="1930" spans="1:8" x14ac:dyDescent="0.25">
      <c r="A1930" t="s">
        <v>2155</v>
      </c>
      <c r="B1930">
        <v>1</v>
      </c>
      <c r="C1930">
        <v>1</v>
      </c>
      <c r="D1930">
        <v>1</v>
      </c>
      <c r="E1930" t="s">
        <v>6595</v>
      </c>
      <c r="F1930" t="s">
        <v>6595</v>
      </c>
      <c r="G1930" t="s">
        <v>6595</v>
      </c>
      <c r="H1930">
        <v>30</v>
      </c>
    </row>
    <row r="1931" spans="1:8" x14ac:dyDescent="0.25">
      <c r="A1931" t="s">
        <v>1057</v>
      </c>
      <c r="B1931">
        <v>2</v>
      </c>
      <c r="C1931">
        <v>2</v>
      </c>
      <c r="D1931">
        <v>2</v>
      </c>
      <c r="E1931" t="s">
        <v>6596</v>
      </c>
      <c r="F1931" t="s">
        <v>6596</v>
      </c>
      <c r="G1931" t="s">
        <v>4256</v>
      </c>
      <c r="H1931">
        <v>143</v>
      </c>
    </row>
    <row r="1932" spans="1:8" x14ac:dyDescent="0.25">
      <c r="A1932" t="s">
        <v>1084</v>
      </c>
      <c r="B1932">
        <v>3</v>
      </c>
      <c r="C1932">
        <v>3</v>
      </c>
      <c r="D1932">
        <v>3</v>
      </c>
      <c r="E1932" t="s">
        <v>6597</v>
      </c>
      <c r="F1932" t="s">
        <v>6597</v>
      </c>
      <c r="G1932" t="s">
        <v>4256</v>
      </c>
      <c r="H1932">
        <v>165</v>
      </c>
    </row>
    <row r="1933" spans="1:8" x14ac:dyDescent="0.25">
      <c r="A1933" t="s">
        <v>1120</v>
      </c>
      <c r="B1933">
        <v>2</v>
      </c>
      <c r="C1933">
        <v>2</v>
      </c>
      <c r="D1933">
        <v>2</v>
      </c>
      <c r="E1933" t="s">
        <v>6598</v>
      </c>
      <c r="F1933" t="s">
        <v>6598</v>
      </c>
      <c r="G1933" t="s">
        <v>4256</v>
      </c>
      <c r="H1933">
        <v>166</v>
      </c>
    </row>
    <row r="1934" spans="1:8" x14ac:dyDescent="0.25">
      <c r="A1934" t="s">
        <v>767</v>
      </c>
      <c r="B1934">
        <v>3</v>
      </c>
      <c r="C1934">
        <v>3</v>
      </c>
      <c r="D1934">
        <v>3</v>
      </c>
      <c r="E1934" t="s">
        <v>6599</v>
      </c>
      <c r="F1934" t="s">
        <v>6599</v>
      </c>
      <c r="G1934" t="s">
        <v>4256</v>
      </c>
      <c r="H1934">
        <v>219</v>
      </c>
    </row>
    <row r="1935" spans="1:8" x14ac:dyDescent="0.25">
      <c r="A1935" t="s">
        <v>1703</v>
      </c>
      <c r="B1935">
        <v>1</v>
      </c>
      <c r="C1935">
        <v>1</v>
      </c>
      <c r="D1935">
        <v>1</v>
      </c>
      <c r="E1935" t="s">
        <v>6600</v>
      </c>
      <c r="F1935" t="s">
        <v>6600</v>
      </c>
      <c r="G1935" t="s">
        <v>6600</v>
      </c>
      <c r="H1935">
        <v>75</v>
      </c>
    </row>
    <row r="1936" spans="1:8" x14ac:dyDescent="0.25">
      <c r="A1936" t="s">
        <v>1446</v>
      </c>
      <c r="B1936">
        <v>1</v>
      </c>
      <c r="C1936">
        <v>1</v>
      </c>
      <c r="D1936">
        <v>1</v>
      </c>
      <c r="E1936" t="s">
        <v>6601</v>
      </c>
      <c r="F1936" t="s">
        <v>6601</v>
      </c>
      <c r="G1936" t="s">
        <v>6601</v>
      </c>
      <c r="H1936">
        <v>93</v>
      </c>
    </row>
    <row r="1937" spans="1:8" x14ac:dyDescent="0.25">
      <c r="A1937" t="s">
        <v>881</v>
      </c>
      <c r="B1937">
        <v>3</v>
      </c>
      <c r="C1937">
        <v>3</v>
      </c>
      <c r="D1937">
        <v>3</v>
      </c>
      <c r="E1937" t="s">
        <v>6602</v>
      </c>
      <c r="F1937" t="s">
        <v>6602</v>
      </c>
      <c r="G1937" t="s">
        <v>4256</v>
      </c>
      <c r="H1937">
        <v>198</v>
      </c>
    </row>
    <row r="1938" spans="1:8" x14ac:dyDescent="0.25">
      <c r="A1938" t="s">
        <v>2776</v>
      </c>
      <c r="B1938">
        <v>1</v>
      </c>
      <c r="C1938">
        <v>1</v>
      </c>
      <c r="D1938">
        <v>1</v>
      </c>
      <c r="E1938" t="s">
        <v>6603</v>
      </c>
      <c r="F1938" t="s">
        <v>6604</v>
      </c>
      <c r="G1938" t="s">
        <v>6604</v>
      </c>
      <c r="H1938">
        <v>17</v>
      </c>
    </row>
    <row r="1939" spans="1:8" x14ac:dyDescent="0.25">
      <c r="A1939" t="s">
        <v>2597</v>
      </c>
      <c r="B1939">
        <v>1</v>
      </c>
      <c r="C1939">
        <v>1</v>
      </c>
      <c r="D1939">
        <v>1</v>
      </c>
      <c r="E1939" t="s">
        <v>6605</v>
      </c>
      <c r="F1939" t="s">
        <v>6605</v>
      </c>
      <c r="G1939" t="s">
        <v>6605</v>
      </c>
      <c r="H1939">
        <v>20</v>
      </c>
    </row>
    <row r="1940" spans="1:8" x14ac:dyDescent="0.25">
      <c r="A1940" t="s">
        <v>3473</v>
      </c>
      <c r="B1940">
        <v>1</v>
      </c>
      <c r="C1940">
        <v>1</v>
      </c>
      <c r="D1940">
        <v>1</v>
      </c>
      <c r="E1940" t="s">
        <v>6606</v>
      </c>
      <c r="F1940" t="s">
        <v>6606</v>
      </c>
      <c r="G1940" t="s">
        <v>6606</v>
      </c>
      <c r="H1940">
        <v>8</v>
      </c>
    </row>
    <row r="1941" spans="1:8" x14ac:dyDescent="0.25">
      <c r="A1941" t="s">
        <v>2486</v>
      </c>
      <c r="B1941">
        <v>1</v>
      </c>
      <c r="C1941">
        <v>1</v>
      </c>
      <c r="D1941">
        <v>1</v>
      </c>
      <c r="E1941" t="s">
        <v>6607</v>
      </c>
      <c r="F1941" t="s">
        <v>6607</v>
      </c>
      <c r="G1941" t="s">
        <v>6607</v>
      </c>
      <c r="H1941">
        <v>30</v>
      </c>
    </row>
    <row r="1942" spans="1:8" x14ac:dyDescent="0.25">
      <c r="A1942" t="s">
        <v>1487</v>
      </c>
      <c r="B1942">
        <v>2</v>
      </c>
      <c r="C1942">
        <v>1</v>
      </c>
      <c r="D1942">
        <v>1</v>
      </c>
      <c r="E1942" t="s">
        <v>6608</v>
      </c>
      <c r="F1942" t="s">
        <v>6609</v>
      </c>
      <c r="G1942" t="s">
        <v>6609</v>
      </c>
      <c r="H1942">
        <v>43</v>
      </c>
    </row>
    <row r="1943" spans="1:8" x14ac:dyDescent="0.25">
      <c r="A1943" t="s">
        <v>1607</v>
      </c>
      <c r="B1943">
        <v>2</v>
      </c>
      <c r="C1943">
        <v>2</v>
      </c>
      <c r="D1943">
        <v>2</v>
      </c>
      <c r="E1943" t="s">
        <v>6610</v>
      </c>
      <c r="F1943" t="s">
        <v>6610</v>
      </c>
      <c r="G1943" t="s">
        <v>4256</v>
      </c>
      <c r="H1943">
        <v>55</v>
      </c>
    </row>
    <row r="1944" spans="1:8" x14ac:dyDescent="0.25">
      <c r="A1944" t="s">
        <v>2048</v>
      </c>
      <c r="B1944">
        <v>1</v>
      </c>
      <c r="C1944">
        <v>1</v>
      </c>
      <c r="D1944">
        <v>1</v>
      </c>
      <c r="E1944" t="s">
        <v>6611</v>
      </c>
      <c r="F1944" t="s">
        <v>6611</v>
      </c>
      <c r="G1944" t="s">
        <v>6611</v>
      </c>
      <c r="H1944">
        <v>29</v>
      </c>
    </row>
    <row r="1945" spans="1:8" x14ac:dyDescent="0.25">
      <c r="A1945" t="s">
        <v>2284</v>
      </c>
      <c r="B1945">
        <v>2</v>
      </c>
      <c r="C1945">
        <v>2</v>
      </c>
      <c r="D1945">
        <v>2</v>
      </c>
      <c r="E1945" t="s">
        <v>6612</v>
      </c>
      <c r="F1945" t="s">
        <v>6612</v>
      </c>
      <c r="G1945" t="s">
        <v>4256</v>
      </c>
      <c r="H1945">
        <v>23</v>
      </c>
    </row>
    <row r="1946" spans="1:8" x14ac:dyDescent="0.25">
      <c r="A1946" t="s">
        <v>2433</v>
      </c>
      <c r="B1946">
        <v>2</v>
      </c>
      <c r="C1946">
        <v>2</v>
      </c>
      <c r="D1946">
        <v>2</v>
      </c>
      <c r="E1946" t="s">
        <v>6613</v>
      </c>
      <c r="F1946" t="s">
        <v>6613</v>
      </c>
      <c r="G1946" t="s">
        <v>4256</v>
      </c>
      <c r="H1946">
        <v>28</v>
      </c>
    </row>
    <row r="1947" spans="1:8" x14ac:dyDescent="0.25">
      <c r="A1947" t="s">
        <v>2347</v>
      </c>
      <c r="B1947">
        <v>2</v>
      </c>
      <c r="C1947">
        <v>2</v>
      </c>
      <c r="D1947">
        <v>2</v>
      </c>
      <c r="E1947" t="s">
        <v>6614</v>
      </c>
      <c r="F1947" t="s">
        <v>6615</v>
      </c>
      <c r="G1947" t="s">
        <v>4256</v>
      </c>
      <c r="H1947">
        <v>26</v>
      </c>
    </row>
    <row r="1948" spans="1:8" x14ac:dyDescent="0.25">
      <c r="A1948" t="s">
        <v>1151</v>
      </c>
      <c r="B1948">
        <v>1</v>
      </c>
      <c r="C1948">
        <v>1</v>
      </c>
      <c r="D1948">
        <v>1</v>
      </c>
      <c r="E1948" t="s">
        <v>6616</v>
      </c>
      <c r="F1948" t="s">
        <v>6616</v>
      </c>
      <c r="G1948" t="s">
        <v>6616</v>
      </c>
      <c r="H1948">
        <v>36</v>
      </c>
    </row>
    <row r="1949" spans="1:8" x14ac:dyDescent="0.25">
      <c r="A1949" t="s">
        <v>2587</v>
      </c>
      <c r="B1949">
        <v>2</v>
      </c>
      <c r="C1949">
        <v>2</v>
      </c>
      <c r="D1949">
        <v>2</v>
      </c>
      <c r="E1949" t="s">
        <v>6617</v>
      </c>
      <c r="F1949" t="s">
        <v>6617</v>
      </c>
      <c r="G1949" t="s">
        <v>4256</v>
      </c>
      <c r="H1949">
        <v>26</v>
      </c>
    </row>
    <row r="1950" spans="1:8" x14ac:dyDescent="0.25">
      <c r="A1950" t="s">
        <v>1059</v>
      </c>
      <c r="B1950">
        <v>1</v>
      </c>
      <c r="C1950">
        <v>1</v>
      </c>
      <c r="D1950">
        <v>1</v>
      </c>
      <c r="E1950" t="s">
        <v>6618</v>
      </c>
      <c r="F1950" t="s">
        <v>6618</v>
      </c>
      <c r="G1950" t="s">
        <v>6618</v>
      </c>
      <c r="H1950">
        <v>111</v>
      </c>
    </row>
    <row r="1951" spans="1:8" x14ac:dyDescent="0.25">
      <c r="A1951" t="s">
        <v>761</v>
      </c>
      <c r="B1951">
        <v>1</v>
      </c>
      <c r="C1951">
        <v>1</v>
      </c>
      <c r="D1951">
        <v>1</v>
      </c>
      <c r="E1951" t="s">
        <v>6619</v>
      </c>
      <c r="F1951" t="s">
        <v>6619</v>
      </c>
      <c r="G1951" t="s">
        <v>6619</v>
      </c>
      <c r="H1951">
        <v>188</v>
      </c>
    </row>
    <row r="1952" spans="1:8" x14ac:dyDescent="0.25">
      <c r="A1952" t="s">
        <v>711</v>
      </c>
      <c r="B1952">
        <v>1</v>
      </c>
      <c r="C1952">
        <v>1</v>
      </c>
      <c r="D1952">
        <v>1</v>
      </c>
      <c r="E1952" t="s">
        <v>6620</v>
      </c>
      <c r="F1952" t="s">
        <v>6620</v>
      </c>
      <c r="G1952" t="s">
        <v>6620</v>
      </c>
      <c r="H1952">
        <v>206</v>
      </c>
    </row>
    <row r="1953" spans="1:8" x14ac:dyDescent="0.25">
      <c r="A1953" t="s">
        <v>882</v>
      </c>
      <c r="B1953">
        <v>1</v>
      </c>
      <c r="C1953">
        <v>1</v>
      </c>
      <c r="D1953">
        <v>1</v>
      </c>
      <c r="E1953" t="s">
        <v>6621</v>
      </c>
      <c r="F1953" t="s">
        <v>6621</v>
      </c>
      <c r="G1953" t="s">
        <v>6621</v>
      </c>
      <c r="H1953">
        <v>164</v>
      </c>
    </row>
    <row r="1954" spans="1:8" x14ac:dyDescent="0.25">
      <c r="A1954" t="s">
        <v>557</v>
      </c>
      <c r="B1954">
        <v>1</v>
      </c>
      <c r="C1954">
        <v>1</v>
      </c>
      <c r="D1954">
        <v>1</v>
      </c>
      <c r="E1954" t="s">
        <v>6622</v>
      </c>
      <c r="F1954" t="s">
        <v>6622</v>
      </c>
      <c r="G1954" t="s">
        <v>6622</v>
      </c>
      <c r="H1954">
        <v>279</v>
      </c>
    </row>
    <row r="1955" spans="1:8" x14ac:dyDescent="0.25">
      <c r="A1955" t="s">
        <v>875</v>
      </c>
      <c r="B1955">
        <v>1</v>
      </c>
      <c r="C1955">
        <v>1</v>
      </c>
      <c r="D1955">
        <v>1</v>
      </c>
      <c r="E1955" t="s">
        <v>6623</v>
      </c>
      <c r="F1955" t="s">
        <v>6623</v>
      </c>
      <c r="G1955" t="s">
        <v>6623</v>
      </c>
      <c r="H1955">
        <v>166</v>
      </c>
    </row>
    <row r="1956" spans="1:8" x14ac:dyDescent="0.25">
      <c r="A1956" t="s">
        <v>1004</v>
      </c>
      <c r="B1956">
        <v>1</v>
      </c>
      <c r="C1956">
        <v>1</v>
      </c>
      <c r="D1956">
        <v>1</v>
      </c>
      <c r="E1956" t="s">
        <v>6624</v>
      </c>
      <c r="F1956" t="s">
        <v>6624</v>
      </c>
      <c r="G1956" t="s">
        <v>6624</v>
      </c>
      <c r="H1956">
        <v>132</v>
      </c>
    </row>
    <row r="1957" spans="1:8" x14ac:dyDescent="0.25">
      <c r="A1957" t="s">
        <v>1483</v>
      </c>
      <c r="B1957">
        <v>2</v>
      </c>
      <c r="C1957">
        <v>2</v>
      </c>
      <c r="D1957">
        <v>2</v>
      </c>
      <c r="E1957" t="s">
        <v>6625</v>
      </c>
      <c r="F1957" t="s">
        <v>6625</v>
      </c>
      <c r="G1957" t="s">
        <v>4256</v>
      </c>
      <c r="H1957">
        <v>47</v>
      </c>
    </row>
    <row r="1958" spans="1:8" x14ac:dyDescent="0.25">
      <c r="A1958" t="s">
        <v>932</v>
      </c>
      <c r="B1958">
        <v>3</v>
      </c>
      <c r="C1958">
        <v>3</v>
      </c>
      <c r="D1958">
        <v>3</v>
      </c>
      <c r="E1958" t="s">
        <v>6626</v>
      </c>
      <c r="F1958" t="s">
        <v>6626</v>
      </c>
      <c r="G1958" t="s">
        <v>4256</v>
      </c>
      <c r="H1958">
        <v>51</v>
      </c>
    </row>
    <row r="1959" spans="1:8" x14ac:dyDescent="0.25">
      <c r="A1959" t="s">
        <v>1279</v>
      </c>
      <c r="B1959">
        <v>3</v>
      </c>
      <c r="C1959">
        <v>3</v>
      </c>
      <c r="D1959">
        <v>3</v>
      </c>
      <c r="E1959" t="s">
        <v>6627</v>
      </c>
      <c r="F1959" t="s">
        <v>6627</v>
      </c>
      <c r="G1959" t="s">
        <v>4256</v>
      </c>
      <c r="H1959">
        <v>55</v>
      </c>
    </row>
    <row r="1960" spans="1:8" x14ac:dyDescent="0.25">
      <c r="A1960" t="s">
        <v>2439</v>
      </c>
      <c r="B1960">
        <v>1</v>
      </c>
      <c r="C1960">
        <v>1</v>
      </c>
      <c r="D1960">
        <v>1</v>
      </c>
      <c r="E1960" t="s">
        <v>6628</v>
      </c>
      <c r="F1960" t="s">
        <v>6628</v>
      </c>
      <c r="G1960" t="s">
        <v>6628</v>
      </c>
      <c r="H1960">
        <v>48</v>
      </c>
    </row>
    <row r="1961" spans="1:8" x14ac:dyDescent="0.25">
      <c r="A1961" t="s">
        <v>6629</v>
      </c>
      <c r="B1961">
        <v>1</v>
      </c>
      <c r="C1961">
        <v>1</v>
      </c>
      <c r="D1961">
        <v>1</v>
      </c>
      <c r="E1961" t="s">
        <v>6630</v>
      </c>
      <c r="F1961" t="s">
        <v>6630</v>
      </c>
      <c r="G1961" t="s">
        <v>6630</v>
      </c>
      <c r="H1961">
        <v>1</v>
      </c>
    </row>
    <row r="1962" spans="1:8" x14ac:dyDescent="0.25">
      <c r="A1962" t="s">
        <v>2303</v>
      </c>
      <c r="B1962">
        <v>1</v>
      </c>
      <c r="C1962">
        <v>1</v>
      </c>
      <c r="D1962">
        <v>1</v>
      </c>
      <c r="E1962" t="s">
        <v>6631</v>
      </c>
      <c r="F1962" t="s">
        <v>6631</v>
      </c>
      <c r="G1962" t="s">
        <v>6631</v>
      </c>
      <c r="H1962">
        <v>44</v>
      </c>
    </row>
    <row r="1963" spans="1:8" x14ac:dyDescent="0.25">
      <c r="A1963" t="s">
        <v>1514</v>
      </c>
      <c r="B1963">
        <v>2</v>
      </c>
      <c r="C1963">
        <v>2</v>
      </c>
      <c r="D1963">
        <v>2</v>
      </c>
      <c r="E1963" t="s">
        <v>6632</v>
      </c>
      <c r="F1963" t="s">
        <v>6632</v>
      </c>
      <c r="G1963" t="s">
        <v>4256</v>
      </c>
      <c r="H1963">
        <v>121</v>
      </c>
    </row>
    <row r="1964" spans="1:8" x14ac:dyDescent="0.25">
      <c r="A1964" t="s">
        <v>792</v>
      </c>
      <c r="B1964">
        <v>2</v>
      </c>
      <c r="C1964">
        <v>2</v>
      </c>
      <c r="D1964">
        <v>2</v>
      </c>
      <c r="E1964" t="s">
        <v>6633</v>
      </c>
      <c r="F1964" t="s">
        <v>6634</v>
      </c>
      <c r="G1964" t="s">
        <v>4256</v>
      </c>
      <c r="H1964">
        <v>34</v>
      </c>
    </row>
    <row r="1965" spans="1:8" x14ac:dyDescent="0.25">
      <c r="A1965" t="s">
        <v>846</v>
      </c>
      <c r="B1965">
        <v>2</v>
      </c>
      <c r="C1965">
        <v>2</v>
      </c>
      <c r="D1965">
        <v>2</v>
      </c>
      <c r="E1965" t="s">
        <v>6635</v>
      </c>
      <c r="F1965" t="s">
        <v>6635</v>
      </c>
      <c r="G1965" t="s">
        <v>4256</v>
      </c>
      <c r="H1965">
        <v>102</v>
      </c>
    </row>
    <row r="1966" spans="1:8" x14ac:dyDescent="0.25">
      <c r="A1966" t="s">
        <v>1140</v>
      </c>
      <c r="B1966">
        <v>2</v>
      </c>
      <c r="C1966">
        <v>2</v>
      </c>
      <c r="D1966">
        <v>2</v>
      </c>
      <c r="E1966" t="s">
        <v>6636</v>
      </c>
      <c r="F1966" t="s">
        <v>6636</v>
      </c>
      <c r="G1966" t="s">
        <v>4256</v>
      </c>
      <c r="H1966">
        <v>87</v>
      </c>
    </row>
    <row r="1967" spans="1:8" x14ac:dyDescent="0.25">
      <c r="A1967" t="s">
        <v>1571</v>
      </c>
      <c r="B1967">
        <v>1</v>
      </c>
      <c r="C1967">
        <v>1</v>
      </c>
      <c r="D1967">
        <v>1</v>
      </c>
      <c r="E1967" t="s">
        <v>6637</v>
      </c>
      <c r="F1967" t="s">
        <v>6637</v>
      </c>
      <c r="G1967" t="s">
        <v>6637</v>
      </c>
      <c r="H1967">
        <v>85</v>
      </c>
    </row>
    <row r="1968" spans="1:8" x14ac:dyDescent="0.25">
      <c r="A1968" t="s">
        <v>1210</v>
      </c>
      <c r="B1968">
        <v>2</v>
      </c>
      <c r="C1968">
        <v>2</v>
      </c>
      <c r="D1968">
        <v>2</v>
      </c>
      <c r="E1968" t="s">
        <v>6638</v>
      </c>
      <c r="F1968" t="s">
        <v>6638</v>
      </c>
      <c r="G1968" t="s">
        <v>4256</v>
      </c>
      <c r="H1968">
        <v>139</v>
      </c>
    </row>
    <row r="1969" spans="1:8" x14ac:dyDescent="0.25">
      <c r="A1969" t="s">
        <v>2238</v>
      </c>
      <c r="B1969">
        <v>1</v>
      </c>
      <c r="C1969">
        <v>1</v>
      </c>
      <c r="D1969">
        <v>1</v>
      </c>
      <c r="E1969" t="s">
        <v>6639</v>
      </c>
      <c r="F1969" t="s">
        <v>6639</v>
      </c>
      <c r="G1969" t="s">
        <v>6639</v>
      </c>
      <c r="H1969">
        <v>33</v>
      </c>
    </row>
    <row r="1970" spans="1:8" x14ac:dyDescent="0.25">
      <c r="A1970" t="s">
        <v>2052</v>
      </c>
      <c r="B1970">
        <v>1</v>
      </c>
      <c r="C1970">
        <v>1</v>
      </c>
      <c r="D1970">
        <v>1</v>
      </c>
      <c r="E1970" t="s">
        <v>6640</v>
      </c>
      <c r="F1970" t="s">
        <v>6640</v>
      </c>
      <c r="G1970" t="s">
        <v>6640</v>
      </c>
      <c r="H1970">
        <v>44</v>
      </c>
    </row>
    <row r="1971" spans="1:8" x14ac:dyDescent="0.25">
      <c r="A1971" t="s">
        <v>1569</v>
      </c>
      <c r="B1971">
        <v>3</v>
      </c>
      <c r="C1971">
        <v>3</v>
      </c>
      <c r="D1971">
        <v>3</v>
      </c>
      <c r="E1971" t="s">
        <v>6641</v>
      </c>
      <c r="F1971" t="s">
        <v>6641</v>
      </c>
      <c r="G1971" t="s">
        <v>4256</v>
      </c>
      <c r="H1971">
        <v>29</v>
      </c>
    </row>
    <row r="1972" spans="1:8" x14ac:dyDescent="0.25">
      <c r="A1972" t="s">
        <v>1561</v>
      </c>
      <c r="B1972">
        <v>2</v>
      </c>
      <c r="C1972">
        <v>2</v>
      </c>
      <c r="D1972">
        <v>2</v>
      </c>
      <c r="E1972" t="s">
        <v>6642</v>
      </c>
      <c r="F1972" t="s">
        <v>6642</v>
      </c>
      <c r="G1972" t="s">
        <v>4256</v>
      </c>
      <c r="H1972">
        <v>33</v>
      </c>
    </row>
    <row r="1973" spans="1:8" x14ac:dyDescent="0.25">
      <c r="A1973" t="s">
        <v>1308</v>
      </c>
      <c r="B1973">
        <v>1</v>
      </c>
      <c r="C1973">
        <v>1</v>
      </c>
      <c r="D1973">
        <v>1</v>
      </c>
      <c r="E1973" t="s">
        <v>6643</v>
      </c>
      <c r="F1973" t="s">
        <v>6643</v>
      </c>
      <c r="G1973" t="s">
        <v>6643</v>
      </c>
      <c r="H1973">
        <v>63</v>
      </c>
    </row>
    <row r="1974" spans="1:8" x14ac:dyDescent="0.25">
      <c r="A1974" t="s">
        <v>2262</v>
      </c>
      <c r="B1974">
        <v>1</v>
      </c>
      <c r="C1974">
        <v>1</v>
      </c>
      <c r="D1974">
        <v>1</v>
      </c>
      <c r="E1974" t="s">
        <v>6644</v>
      </c>
      <c r="F1974" t="s">
        <v>6644</v>
      </c>
      <c r="G1974" t="s">
        <v>6644</v>
      </c>
      <c r="H1974">
        <v>50</v>
      </c>
    </row>
    <row r="1975" spans="1:8" x14ac:dyDescent="0.25">
      <c r="A1975" t="s">
        <v>1206</v>
      </c>
      <c r="B1975">
        <v>2</v>
      </c>
      <c r="C1975">
        <v>2</v>
      </c>
      <c r="D1975">
        <v>2</v>
      </c>
      <c r="E1975" t="s">
        <v>6645</v>
      </c>
      <c r="F1975" t="s">
        <v>6645</v>
      </c>
      <c r="G1975" t="s">
        <v>4256</v>
      </c>
      <c r="H1975">
        <v>89</v>
      </c>
    </row>
    <row r="1976" spans="1:8" x14ac:dyDescent="0.25">
      <c r="A1976" t="s">
        <v>356</v>
      </c>
      <c r="B1976">
        <v>1</v>
      </c>
      <c r="C1976">
        <v>1</v>
      </c>
      <c r="D1976">
        <v>1</v>
      </c>
      <c r="E1976" t="s">
        <v>6646</v>
      </c>
      <c r="F1976" t="s">
        <v>6646</v>
      </c>
      <c r="G1976" t="s">
        <v>6646</v>
      </c>
      <c r="H1976">
        <v>280</v>
      </c>
    </row>
    <row r="1977" spans="1:8" x14ac:dyDescent="0.25">
      <c r="A1977" t="s">
        <v>277</v>
      </c>
      <c r="B1977">
        <v>1</v>
      </c>
      <c r="C1977">
        <v>1</v>
      </c>
      <c r="D1977">
        <v>1</v>
      </c>
      <c r="E1977" t="s">
        <v>6647</v>
      </c>
      <c r="F1977" t="s">
        <v>6648</v>
      </c>
      <c r="G1977" t="s">
        <v>6648</v>
      </c>
      <c r="H1977">
        <v>348</v>
      </c>
    </row>
    <row r="1978" spans="1:8" x14ac:dyDescent="0.25">
      <c r="A1978" t="s">
        <v>405</v>
      </c>
      <c r="B1978">
        <v>1</v>
      </c>
      <c r="C1978">
        <v>1</v>
      </c>
      <c r="D1978">
        <v>1</v>
      </c>
      <c r="E1978" t="s">
        <v>6649</v>
      </c>
      <c r="F1978" t="s">
        <v>6650</v>
      </c>
      <c r="G1978" t="s">
        <v>6650</v>
      </c>
      <c r="H1978">
        <v>259</v>
      </c>
    </row>
    <row r="1979" spans="1:8" x14ac:dyDescent="0.25">
      <c r="A1979" t="s">
        <v>1100</v>
      </c>
      <c r="B1979">
        <v>2</v>
      </c>
      <c r="C1979">
        <v>1</v>
      </c>
      <c r="D1979">
        <v>1</v>
      </c>
      <c r="E1979" t="s">
        <v>6651</v>
      </c>
      <c r="F1979" t="s">
        <v>6652</v>
      </c>
      <c r="G1979" t="s">
        <v>6652</v>
      </c>
      <c r="H1979">
        <v>116</v>
      </c>
    </row>
    <row r="1980" spans="1:8" x14ac:dyDescent="0.25">
      <c r="A1980" t="s">
        <v>386</v>
      </c>
      <c r="B1980">
        <v>1</v>
      </c>
      <c r="C1980">
        <v>1</v>
      </c>
      <c r="D1980">
        <v>1</v>
      </c>
      <c r="E1980" t="s">
        <v>6653</v>
      </c>
      <c r="F1980" t="s">
        <v>6653</v>
      </c>
      <c r="G1980" t="s">
        <v>6653</v>
      </c>
      <c r="H1980">
        <v>271</v>
      </c>
    </row>
    <row r="1981" spans="1:8" x14ac:dyDescent="0.25">
      <c r="A1981" t="s">
        <v>741</v>
      </c>
      <c r="B1981">
        <v>2</v>
      </c>
      <c r="C1981">
        <v>2</v>
      </c>
      <c r="D1981">
        <v>2</v>
      </c>
      <c r="E1981" t="s">
        <v>6654</v>
      </c>
      <c r="F1981" t="s">
        <v>6654</v>
      </c>
      <c r="G1981" t="s">
        <v>4256</v>
      </c>
      <c r="H1981">
        <v>143</v>
      </c>
    </row>
    <row r="1982" spans="1:8" x14ac:dyDescent="0.25">
      <c r="A1982" t="s">
        <v>404</v>
      </c>
      <c r="B1982">
        <v>1</v>
      </c>
      <c r="C1982">
        <v>1</v>
      </c>
      <c r="D1982">
        <v>1</v>
      </c>
      <c r="E1982" t="s">
        <v>6655</v>
      </c>
      <c r="F1982" t="s">
        <v>6656</v>
      </c>
      <c r="G1982" t="s">
        <v>6656</v>
      </c>
      <c r="H1982">
        <v>313</v>
      </c>
    </row>
    <row r="1983" spans="1:8" x14ac:dyDescent="0.25">
      <c r="A1983" t="s">
        <v>456</v>
      </c>
      <c r="B1983">
        <v>1</v>
      </c>
      <c r="C1983">
        <v>1</v>
      </c>
      <c r="D1983">
        <v>1</v>
      </c>
      <c r="E1983" t="s">
        <v>6657</v>
      </c>
      <c r="F1983" t="s">
        <v>6658</v>
      </c>
      <c r="G1983" t="s">
        <v>6658</v>
      </c>
      <c r="H1983">
        <v>253</v>
      </c>
    </row>
    <row r="1984" spans="1:8" x14ac:dyDescent="0.25">
      <c r="A1984" t="s">
        <v>134</v>
      </c>
      <c r="B1984">
        <v>7</v>
      </c>
      <c r="C1984">
        <v>7</v>
      </c>
      <c r="D1984">
        <v>7</v>
      </c>
      <c r="E1984" t="s">
        <v>6659</v>
      </c>
      <c r="F1984" t="s">
        <v>6659</v>
      </c>
      <c r="G1984" t="s">
        <v>4256</v>
      </c>
      <c r="H1984">
        <v>1067</v>
      </c>
    </row>
    <row r="1985" spans="1:8" x14ac:dyDescent="0.25">
      <c r="A1985" t="s">
        <v>804</v>
      </c>
      <c r="B1985">
        <v>1</v>
      </c>
      <c r="C1985">
        <v>1</v>
      </c>
      <c r="D1985">
        <v>1</v>
      </c>
      <c r="E1985" t="s">
        <v>6660</v>
      </c>
      <c r="F1985" t="s">
        <v>6661</v>
      </c>
      <c r="G1985" t="s">
        <v>6661</v>
      </c>
      <c r="H1985">
        <v>92</v>
      </c>
    </row>
    <row r="1986" spans="1:8" x14ac:dyDescent="0.25">
      <c r="A1986" t="s">
        <v>1455</v>
      </c>
      <c r="B1986">
        <v>2</v>
      </c>
      <c r="C1986">
        <v>2</v>
      </c>
      <c r="D1986">
        <v>1</v>
      </c>
      <c r="E1986" t="s">
        <v>6662</v>
      </c>
      <c r="F1986" t="s">
        <v>6663</v>
      </c>
      <c r="G1986" t="s">
        <v>4256</v>
      </c>
      <c r="H1986">
        <v>49</v>
      </c>
    </row>
    <row r="1987" spans="1:8" x14ac:dyDescent="0.25">
      <c r="A1987" t="s">
        <v>1686</v>
      </c>
      <c r="B1987">
        <v>1</v>
      </c>
      <c r="C1987">
        <v>1</v>
      </c>
      <c r="D1987">
        <v>1</v>
      </c>
      <c r="E1987" t="s">
        <v>6664</v>
      </c>
      <c r="F1987" t="s">
        <v>6664</v>
      </c>
      <c r="G1987" t="s">
        <v>6664</v>
      </c>
      <c r="H1987">
        <v>70</v>
      </c>
    </row>
    <row r="1988" spans="1:8" x14ac:dyDescent="0.25">
      <c r="A1988" t="s">
        <v>1730</v>
      </c>
      <c r="B1988">
        <v>1</v>
      </c>
      <c r="C1988">
        <v>1</v>
      </c>
      <c r="D1988">
        <v>1</v>
      </c>
      <c r="E1988" t="s">
        <v>6665</v>
      </c>
      <c r="F1988" t="s">
        <v>6665</v>
      </c>
      <c r="G1988" t="s">
        <v>6665</v>
      </c>
      <c r="H1988">
        <v>79</v>
      </c>
    </row>
    <row r="1989" spans="1:8" x14ac:dyDescent="0.25">
      <c r="A1989" t="s">
        <v>718</v>
      </c>
      <c r="B1989">
        <v>1</v>
      </c>
      <c r="C1989">
        <v>1</v>
      </c>
      <c r="D1989">
        <v>1</v>
      </c>
      <c r="E1989" t="s">
        <v>6666</v>
      </c>
      <c r="F1989" t="s">
        <v>6666</v>
      </c>
      <c r="G1989" t="s">
        <v>6666</v>
      </c>
      <c r="H1989">
        <v>236</v>
      </c>
    </row>
    <row r="1990" spans="1:8" x14ac:dyDescent="0.25">
      <c r="A1990" t="s">
        <v>1247</v>
      </c>
      <c r="B1990">
        <v>2</v>
      </c>
      <c r="C1990">
        <v>2</v>
      </c>
      <c r="D1990">
        <v>2</v>
      </c>
      <c r="E1990" t="s">
        <v>6667</v>
      </c>
      <c r="F1990" t="s">
        <v>6667</v>
      </c>
      <c r="G1990" t="s">
        <v>4256</v>
      </c>
      <c r="H1990">
        <v>155</v>
      </c>
    </row>
    <row r="1991" spans="1:8" x14ac:dyDescent="0.25">
      <c r="A1991" t="s">
        <v>788</v>
      </c>
      <c r="B1991">
        <v>3</v>
      </c>
      <c r="C1991">
        <v>3</v>
      </c>
      <c r="D1991">
        <v>3</v>
      </c>
      <c r="E1991" t="s">
        <v>6668</v>
      </c>
      <c r="F1991" t="s">
        <v>6668</v>
      </c>
      <c r="G1991" t="s">
        <v>4256</v>
      </c>
      <c r="H1991">
        <v>223</v>
      </c>
    </row>
    <row r="1992" spans="1:8" x14ac:dyDescent="0.25">
      <c r="A1992" t="s">
        <v>783</v>
      </c>
      <c r="B1992">
        <v>1</v>
      </c>
      <c r="C1992">
        <v>1</v>
      </c>
      <c r="D1992">
        <v>1</v>
      </c>
      <c r="E1992" t="s">
        <v>6669</v>
      </c>
      <c r="F1992" t="s">
        <v>6669</v>
      </c>
      <c r="G1992" t="s">
        <v>6669</v>
      </c>
      <c r="H1992">
        <v>145</v>
      </c>
    </row>
    <row r="1993" spans="1:8" x14ac:dyDescent="0.25">
      <c r="A1993" t="s">
        <v>1099</v>
      </c>
      <c r="B1993">
        <v>1</v>
      </c>
      <c r="C1993">
        <v>1</v>
      </c>
      <c r="D1993">
        <v>1</v>
      </c>
      <c r="E1993" t="s">
        <v>6670</v>
      </c>
      <c r="F1993" t="s">
        <v>6671</v>
      </c>
      <c r="G1993" t="s">
        <v>6671</v>
      </c>
      <c r="H1993">
        <v>146</v>
      </c>
    </row>
    <row r="1994" spans="1:8" x14ac:dyDescent="0.25">
      <c r="A1994" t="s">
        <v>1227</v>
      </c>
      <c r="B1994">
        <v>1</v>
      </c>
      <c r="C1994">
        <v>1</v>
      </c>
      <c r="D1994">
        <v>1</v>
      </c>
      <c r="E1994" t="s">
        <v>6672</v>
      </c>
      <c r="F1994" t="s">
        <v>6672</v>
      </c>
      <c r="G1994" t="s">
        <v>6672</v>
      </c>
      <c r="H1994">
        <v>81</v>
      </c>
    </row>
    <row r="1995" spans="1:8" x14ac:dyDescent="0.25">
      <c r="A1995" t="s">
        <v>1290</v>
      </c>
      <c r="B1995">
        <v>1</v>
      </c>
      <c r="C1995">
        <v>1</v>
      </c>
      <c r="D1995">
        <v>1</v>
      </c>
      <c r="E1995" t="s">
        <v>6673</v>
      </c>
      <c r="F1995" t="s">
        <v>6673</v>
      </c>
      <c r="G1995" t="s">
        <v>6673</v>
      </c>
      <c r="H1995">
        <v>148</v>
      </c>
    </row>
    <row r="1996" spans="1:8" x14ac:dyDescent="0.25">
      <c r="A1996" t="s">
        <v>1824</v>
      </c>
      <c r="B1996">
        <v>1</v>
      </c>
      <c r="C1996">
        <v>1</v>
      </c>
      <c r="D1996">
        <v>1</v>
      </c>
      <c r="E1996" t="s">
        <v>6674</v>
      </c>
      <c r="F1996" t="s">
        <v>6674</v>
      </c>
      <c r="G1996" t="s">
        <v>6674</v>
      </c>
      <c r="H1996">
        <v>63</v>
      </c>
    </row>
    <row r="1997" spans="1:8" x14ac:dyDescent="0.25">
      <c r="A1997" t="s">
        <v>972</v>
      </c>
      <c r="B1997">
        <v>1</v>
      </c>
      <c r="C1997">
        <v>1</v>
      </c>
      <c r="D1997">
        <v>1</v>
      </c>
      <c r="E1997" t="s">
        <v>6675</v>
      </c>
      <c r="F1997" t="s">
        <v>6675</v>
      </c>
      <c r="G1997" t="s">
        <v>6675</v>
      </c>
      <c r="H1997">
        <v>267</v>
      </c>
    </row>
    <row r="1998" spans="1:8" x14ac:dyDescent="0.25">
      <c r="A1998" t="s">
        <v>1297</v>
      </c>
      <c r="B1998">
        <v>1</v>
      </c>
      <c r="C1998">
        <v>1</v>
      </c>
      <c r="D1998">
        <v>1</v>
      </c>
      <c r="E1998" t="s">
        <v>6676</v>
      </c>
      <c r="F1998" t="s">
        <v>6676</v>
      </c>
      <c r="G1998" t="s">
        <v>6676</v>
      </c>
      <c r="H1998">
        <v>219</v>
      </c>
    </row>
    <row r="1999" spans="1:8" x14ac:dyDescent="0.25">
      <c r="A1999" t="s">
        <v>1690</v>
      </c>
      <c r="B1999">
        <v>1</v>
      </c>
      <c r="C1999">
        <v>1</v>
      </c>
      <c r="D1999">
        <v>1</v>
      </c>
      <c r="E1999" t="s">
        <v>6677</v>
      </c>
      <c r="F1999" t="s">
        <v>6677</v>
      </c>
      <c r="G1999" t="s">
        <v>6677</v>
      </c>
      <c r="H1999">
        <v>162</v>
      </c>
    </row>
    <row r="2000" spans="1:8" x14ac:dyDescent="0.25">
      <c r="A2000" t="s">
        <v>495</v>
      </c>
      <c r="B2000">
        <v>2</v>
      </c>
      <c r="C2000">
        <v>2</v>
      </c>
      <c r="D2000">
        <v>2</v>
      </c>
      <c r="E2000" t="s">
        <v>6678</v>
      </c>
      <c r="F2000" t="s">
        <v>6678</v>
      </c>
      <c r="G2000" t="s">
        <v>4256</v>
      </c>
      <c r="H2000">
        <v>386</v>
      </c>
    </row>
    <row r="2001" spans="1:8" x14ac:dyDescent="0.25">
      <c r="A2001" t="s">
        <v>1481</v>
      </c>
      <c r="B2001">
        <v>2</v>
      </c>
      <c r="C2001">
        <v>2</v>
      </c>
      <c r="D2001">
        <v>2</v>
      </c>
      <c r="E2001" t="s">
        <v>6679</v>
      </c>
      <c r="F2001" t="s">
        <v>6680</v>
      </c>
      <c r="G2001" t="s">
        <v>4256</v>
      </c>
      <c r="H2001">
        <v>46</v>
      </c>
    </row>
    <row r="2002" spans="1:8" x14ac:dyDescent="0.25">
      <c r="A2002" t="s">
        <v>1924</v>
      </c>
      <c r="B2002">
        <v>2</v>
      </c>
      <c r="C2002">
        <v>2</v>
      </c>
      <c r="D2002">
        <v>2</v>
      </c>
      <c r="E2002" t="s">
        <v>6681</v>
      </c>
      <c r="F2002" t="s">
        <v>6681</v>
      </c>
      <c r="G2002" t="s">
        <v>4256</v>
      </c>
      <c r="H2002">
        <v>54</v>
      </c>
    </row>
    <row r="2003" spans="1:8" x14ac:dyDescent="0.25">
      <c r="A2003" t="s">
        <v>1752</v>
      </c>
      <c r="B2003">
        <v>2</v>
      </c>
      <c r="C2003">
        <v>2</v>
      </c>
      <c r="D2003">
        <v>2</v>
      </c>
      <c r="E2003" t="s">
        <v>6682</v>
      </c>
      <c r="F2003" t="s">
        <v>6682</v>
      </c>
      <c r="G2003" t="s">
        <v>4256</v>
      </c>
      <c r="H2003">
        <v>73</v>
      </c>
    </row>
    <row r="2004" spans="1:8" x14ac:dyDescent="0.25">
      <c r="A2004" t="s">
        <v>284</v>
      </c>
      <c r="B2004">
        <v>1</v>
      </c>
      <c r="C2004">
        <v>1</v>
      </c>
      <c r="D2004">
        <v>1</v>
      </c>
      <c r="E2004" t="s">
        <v>6683</v>
      </c>
      <c r="F2004" t="s">
        <v>6683</v>
      </c>
      <c r="G2004" t="s">
        <v>6683</v>
      </c>
      <c r="H2004">
        <v>393</v>
      </c>
    </row>
    <row r="2005" spans="1:8" x14ac:dyDescent="0.25">
      <c r="A2005" t="s">
        <v>493</v>
      </c>
      <c r="B2005">
        <v>2</v>
      </c>
      <c r="C2005">
        <v>2</v>
      </c>
      <c r="D2005">
        <v>2</v>
      </c>
      <c r="E2005" t="s">
        <v>6684</v>
      </c>
      <c r="F2005" t="s">
        <v>6684</v>
      </c>
      <c r="G2005" t="s">
        <v>4256</v>
      </c>
      <c r="H2005">
        <v>278</v>
      </c>
    </row>
    <row r="2006" spans="1:8" x14ac:dyDescent="0.25">
      <c r="A2006" t="s">
        <v>724</v>
      </c>
      <c r="B2006">
        <v>1</v>
      </c>
      <c r="C2006">
        <v>1</v>
      </c>
      <c r="D2006">
        <v>1</v>
      </c>
      <c r="E2006" t="s">
        <v>6685</v>
      </c>
      <c r="F2006" t="s">
        <v>6686</v>
      </c>
      <c r="G2006" t="s">
        <v>6686</v>
      </c>
      <c r="H2006">
        <v>285</v>
      </c>
    </row>
    <row r="2007" spans="1:8" x14ac:dyDescent="0.25">
      <c r="A2007" t="s">
        <v>773</v>
      </c>
      <c r="B2007">
        <v>1</v>
      </c>
      <c r="C2007">
        <v>1</v>
      </c>
      <c r="D2007">
        <v>1</v>
      </c>
      <c r="E2007" t="s">
        <v>6687</v>
      </c>
      <c r="F2007" t="s">
        <v>6687</v>
      </c>
      <c r="G2007" t="s">
        <v>6687</v>
      </c>
      <c r="H2007">
        <v>155</v>
      </c>
    </row>
    <row r="2008" spans="1:8" x14ac:dyDescent="0.25">
      <c r="A2008" t="s">
        <v>691</v>
      </c>
      <c r="B2008">
        <v>1</v>
      </c>
      <c r="C2008">
        <v>1</v>
      </c>
      <c r="D2008">
        <v>1</v>
      </c>
      <c r="E2008" t="s">
        <v>6688</v>
      </c>
      <c r="F2008" t="s">
        <v>6688</v>
      </c>
      <c r="G2008" t="s">
        <v>6688</v>
      </c>
      <c r="H2008">
        <v>261</v>
      </c>
    </row>
    <row r="2009" spans="1:8" x14ac:dyDescent="0.25">
      <c r="A2009" t="s">
        <v>560</v>
      </c>
      <c r="B2009">
        <v>2</v>
      </c>
      <c r="C2009">
        <v>2</v>
      </c>
      <c r="D2009">
        <v>2</v>
      </c>
      <c r="E2009" t="s">
        <v>6689</v>
      </c>
      <c r="F2009" t="s">
        <v>6689</v>
      </c>
      <c r="G2009" t="s">
        <v>4256</v>
      </c>
      <c r="H2009">
        <v>64</v>
      </c>
    </row>
    <row r="2010" spans="1:8" x14ac:dyDescent="0.25">
      <c r="A2010" t="s">
        <v>2018</v>
      </c>
      <c r="B2010">
        <v>2</v>
      </c>
      <c r="C2010">
        <v>2</v>
      </c>
      <c r="D2010">
        <v>2</v>
      </c>
      <c r="E2010" t="s">
        <v>6690</v>
      </c>
      <c r="F2010" t="s">
        <v>6691</v>
      </c>
      <c r="G2010" t="s">
        <v>4256</v>
      </c>
      <c r="H2010">
        <v>48</v>
      </c>
    </row>
    <row r="2011" spans="1:8" x14ac:dyDescent="0.25">
      <c r="A2011" t="s">
        <v>1951</v>
      </c>
      <c r="B2011">
        <v>2</v>
      </c>
      <c r="C2011">
        <v>2</v>
      </c>
      <c r="D2011">
        <v>2</v>
      </c>
      <c r="E2011" t="s">
        <v>6692</v>
      </c>
      <c r="F2011" t="s">
        <v>6693</v>
      </c>
      <c r="G2011" t="s">
        <v>4256</v>
      </c>
      <c r="H2011">
        <v>48</v>
      </c>
    </row>
    <row r="2012" spans="1:8" x14ac:dyDescent="0.25">
      <c r="A2012" t="s">
        <v>2499</v>
      </c>
      <c r="B2012">
        <v>2</v>
      </c>
      <c r="C2012">
        <v>2</v>
      </c>
      <c r="D2012">
        <v>2</v>
      </c>
      <c r="E2012" t="s">
        <v>6694</v>
      </c>
      <c r="F2012" t="s">
        <v>6694</v>
      </c>
      <c r="G2012" t="s">
        <v>4256</v>
      </c>
      <c r="H2012">
        <v>24</v>
      </c>
    </row>
    <row r="2013" spans="1:8" x14ac:dyDescent="0.25">
      <c r="A2013" t="s">
        <v>2341</v>
      </c>
      <c r="B2013">
        <v>2</v>
      </c>
      <c r="C2013">
        <v>2</v>
      </c>
      <c r="D2013">
        <v>2</v>
      </c>
      <c r="E2013" t="s">
        <v>6695</v>
      </c>
      <c r="F2013" t="s">
        <v>6695</v>
      </c>
      <c r="G2013" t="s">
        <v>4256</v>
      </c>
      <c r="H2013">
        <v>47</v>
      </c>
    </row>
    <row r="2014" spans="1:8" x14ac:dyDescent="0.25">
      <c r="A2014" t="s">
        <v>541</v>
      </c>
      <c r="B2014">
        <v>4</v>
      </c>
      <c r="C2014">
        <v>4</v>
      </c>
      <c r="D2014">
        <v>4</v>
      </c>
      <c r="E2014" t="s">
        <v>6696</v>
      </c>
      <c r="F2014" t="s">
        <v>6697</v>
      </c>
      <c r="G2014" t="s">
        <v>4256</v>
      </c>
      <c r="H2014">
        <v>278</v>
      </c>
    </row>
    <row r="2015" spans="1:8" x14ac:dyDescent="0.25">
      <c r="A2015" t="s">
        <v>1482</v>
      </c>
      <c r="B2015">
        <v>1</v>
      </c>
      <c r="C2015">
        <v>1</v>
      </c>
      <c r="D2015">
        <v>1</v>
      </c>
      <c r="E2015" t="s">
        <v>6698</v>
      </c>
      <c r="F2015" t="s">
        <v>6699</v>
      </c>
      <c r="G2015" t="s">
        <v>6699</v>
      </c>
      <c r="H2015">
        <v>154</v>
      </c>
    </row>
    <row r="2016" spans="1:8" x14ac:dyDescent="0.25">
      <c r="A2016" t="s">
        <v>2067</v>
      </c>
      <c r="B2016">
        <v>1</v>
      </c>
      <c r="C2016">
        <v>1</v>
      </c>
      <c r="D2016">
        <v>1</v>
      </c>
      <c r="E2016" t="s">
        <v>6700</v>
      </c>
      <c r="F2016" t="s">
        <v>6700</v>
      </c>
      <c r="G2016" t="s">
        <v>6700</v>
      </c>
      <c r="H2016">
        <v>115</v>
      </c>
    </row>
    <row r="2017" spans="1:8" x14ac:dyDescent="0.25">
      <c r="A2017" t="s">
        <v>1759</v>
      </c>
      <c r="B2017">
        <v>1</v>
      </c>
      <c r="C2017">
        <v>1</v>
      </c>
      <c r="D2017">
        <v>1</v>
      </c>
      <c r="E2017" t="s">
        <v>6701</v>
      </c>
      <c r="F2017" t="s">
        <v>6701</v>
      </c>
      <c r="G2017" t="s">
        <v>6701</v>
      </c>
      <c r="H2017">
        <v>120</v>
      </c>
    </row>
    <row r="2018" spans="1:8" x14ac:dyDescent="0.25">
      <c r="A2018" t="s">
        <v>1302</v>
      </c>
      <c r="B2018">
        <v>1</v>
      </c>
      <c r="C2018">
        <v>1</v>
      </c>
      <c r="D2018">
        <v>1</v>
      </c>
      <c r="E2018" t="s">
        <v>6702</v>
      </c>
      <c r="F2018" t="s">
        <v>6702</v>
      </c>
      <c r="G2018" t="s">
        <v>6702</v>
      </c>
      <c r="H2018">
        <v>140</v>
      </c>
    </row>
    <row r="2019" spans="1:8" x14ac:dyDescent="0.25">
      <c r="A2019" t="s">
        <v>1987</v>
      </c>
      <c r="B2019">
        <v>1</v>
      </c>
      <c r="C2019">
        <v>1</v>
      </c>
      <c r="D2019">
        <v>1</v>
      </c>
      <c r="E2019" t="s">
        <v>6703</v>
      </c>
      <c r="F2019" t="s">
        <v>6703</v>
      </c>
      <c r="G2019" t="s">
        <v>6703</v>
      </c>
      <c r="H2019">
        <v>98</v>
      </c>
    </row>
    <row r="2020" spans="1:8" x14ac:dyDescent="0.25">
      <c r="A2020" t="s">
        <v>2003</v>
      </c>
      <c r="B2020">
        <v>1</v>
      </c>
      <c r="C2020">
        <v>1</v>
      </c>
      <c r="D2020">
        <v>1</v>
      </c>
      <c r="E2020" t="s">
        <v>6704</v>
      </c>
      <c r="F2020" t="s">
        <v>6704</v>
      </c>
      <c r="G2020" t="s">
        <v>6704</v>
      </c>
      <c r="H2020">
        <v>43</v>
      </c>
    </row>
    <row r="2021" spans="1:8" x14ac:dyDescent="0.25">
      <c r="A2021" t="s">
        <v>2229</v>
      </c>
      <c r="B2021">
        <v>1</v>
      </c>
      <c r="C2021">
        <v>1</v>
      </c>
      <c r="D2021">
        <v>1</v>
      </c>
      <c r="E2021" t="s">
        <v>6705</v>
      </c>
      <c r="F2021" t="s">
        <v>6705</v>
      </c>
      <c r="G2021" t="s">
        <v>6705</v>
      </c>
      <c r="H2021">
        <v>38</v>
      </c>
    </row>
    <row r="2022" spans="1:8" x14ac:dyDescent="0.25">
      <c r="A2022" t="s">
        <v>584</v>
      </c>
      <c r="B2022">
        <v>3</v>
      </c>
      <c r="C2022">
        <v>3</v>
      </c>
      <c r="D2022">
        <v>3</v>
      </c>
      <c r="E2022" t="s">
        <v>6706</v>
      </c>
      <c r="F2022" t="s">
        <v>6706</v>
      </c>
      <c r="G2022" t="s">
        <v>4256</v>
      </c>
      <c r="H2022">
        <v>304</v>
      </c>
    </row>
    <row r="2023" spans="1:8" x14ac:dyDescent="0.25">
      <c r="A2023" t="s">
        <v>785</v>
      </c>
      <c r="B2023">
        <v>2</v>
      </c>
      <c r="C2023">
        <v>2</v>
      </c>
      <c r="D2023">
        <v>2</v>
      </c>
      <c r="E2023" t="s">
        <v>6707</v>
      </c>
      <c r="F2023" t="s">
        <v>6707</v>
      </c>
      <c r="G2023" t="s">
        <v>4256</v>
      </c>
      <c r="H2023">
        <v>200</v>
      </c>
    </row>
    <row r="2024" spans="1:8" x14ac:dyDescent="0.25">
      <c r="A2024" t="s">
        <v>1090</v>
      </c>
      <c r="B2024">
        <v>2</v>
      </c>
      <c r="C2024">
        <v>2</v>
      </c>
      <c r="D2024">
        <v>2</v>
      </c>
      <c r="E2024" t="s">
        <v>6708</v>
      </c>
      <c r="F2024" t="s">
        <v>6709</v>
      </c>
      <c r="G2024" t="s">
        <v>4256</v>
      </c>
      <c r="H2024">
        <v>144</v>
      </c>
    </row>
    <row r="2025" spans="1:8" x14ac:dyDescent="0.25">
      <c r="A2025" t="s">
        <v>748</v>
      </c>
      <c r="B2025">
        <v>1</v>
      </c>
      <c r="C2025">
        <v>1</v>
      </c>
      <c r="D2025">
        <v>1</v>
      </c>
      <c r="E2025" t="s">
        <v>6710</v>
      </c>
      <c r="F2025" t="s">
        <v>6710</v>
      </c>
      <c r="G2025" t="s">
        <v>6710</v>
      </c>
      <c r="H2025">
        <v>173</v>
      </c>
    </row>
    <row r="2026" spans="1:8" x14ac:dyDescent="0.25">
      <c r="A2026" t="s">
        <v>751</v>
      </c>
      <c r="B2026">
        <v>2</v>
      </c>
      <c r="C2026">
        <v>2</v>
      </c>
      <c r="D2026">
        <v>2</v>
      </c>
      <c r="E2026" t="s">
        <v>6711</v>
      </c>
      <c r="F2026" t="s">
        <v>6712</v>
      </c>
      <c r="G2026" t="s">
        <v>4256</v>
      </c>
      <c r="H2026">
        <v>186</v>
      </c>
    </row>
    <row r="2027" spans="1:8" x14ac:dyDescent="0.25">
      <c r="A2027" t="s">
        <v>772</v>
      </c>
      <c r="B2027">
        <v>5</v>
      </c>
      <c r="C2027">
        <v>5</v>
      </c>
      <c r="D2027">
        <v>5</v>
      </c>
      <c r="E2027" t="s">
        <v>6713</v>
      </c>
      <c r="F2027" t="s">
        <v>6713</v>
      </c>
      <c r="G2027" t="s">
        <v>4256</v>
      </c>
      <c r="H2027">
        <v>122</v>
      </c>
    </row>
    <row r="2028" spans="1:8" x14ac:dyDescent="0.25">
      <c r="A2028" t="s">
        <v>605</v>
      </c>
      <c r="B2028">
        <v>1</v>
      </c>
      <c r="C2028">
        <v>1</v>
      </c>
      <c r="D2028">
        <v>1</v>
      </c>
      <c r="E2028" t="s">
        <v>6714</v>
      </c>
      <c r="F2028" t="s">
        <v>6714</v>
      </c>
      <c r="G2028" t="s">
        <v>6714</v>
      </c>
      <c r="H2028">
        <v>158</v>
      </c>
    </row>
    <row r="2029" spans="1:8" x14ac:dyDescent="0.25">
      <c r="A2029" t="s">
        <v>587</v>
      </c>
      <c r="B2029">
        <v>1</v>
      </c>
      <c r="C2029">
        <v>1</v>
      </c>
      <c r="D2029">
        <v>1</v>
      </c>
      <c r="E2029" t="s">
        <v>6715</v>
      </c>
      <c r="F2029" t="s">
        <v>6715</v>
      </c>
      <c r="G2029" t="s">
        <v>6715</v>
      </c>
      <c r="H2029">
        <v>156</v>
      </c>
    </row>
    <row r="2030" spans="1:8" x14ac:dyDescent="0.25">
      <c r="A2030" t="s">
        <v>524</v>
      </c>
      <c r="B2030">
        <v>1</v>
      </c>
      <c r="C2030">
        <v>1</v>
      </c>
      <c r="D2030">
        <v>1</v>
      </c>
      <c r="E2030" t="s">
        <v>6716</v>
      </c>
      <c r="F2030" t="s">
        <v>6716</v>
      </c>
      <c r="G2030" t="s">
        <v>6716</v>
      </c>
      <c r="H2030">
        <v>40</v>
      </c>
    </row>
    <row r="2031" spans="1:8" x14ac:dyDescent="0.25">
      <c r="A2031" t="s">
        <v>594</v>
      </c>
      <c r="B2031">
        <v>2</v>
      </c>
      <c r="C2031">
        <v>2</v>
      </c>
      <c r="D2031">
        <v>2</v>
      </c>
      <c r="E2031" t="s">
        <v>6717</v>
      </c>
      <c r="F2031" t="s">
        <v>6717</v>
      </c>
      <c r="G2031" t="s">
        <v>4256</v>
      </c>
      <c r="H2031">
        <v>48</v>
      </c>
    </row>
    <row r="2032" spans="1:8" x14ac:dyDescent="0.25">
      <c r="A2032" t="s">
        <v>2320</v>
      </c>
      <c r="B2032">
        <v>1</v>
      </c>
      <c r="C2032">
        <v>1</v>
      </c>
      <c r="D2032">
        <v>1</v>
      </c>
      <c r="E2032" t="s">
        <v>6718</v>
      </c>
      <c r="F2032" t="s">
        <v>6718</v>
      </c>
      <c r="G2032" t="s">
        <v>6718</v>
      </c>
      <c r="H2032">
        <v>49</v>
      </c>
    </row>
    <row r="2033" spans="1:8" x14ac:dyDescent="0.25">
      <c r="A2033" t="s">
        <v>2686</v>
      </c>
      <c r="B2033">
        <v>1</v>
      </c>
      <c r="C2033">
        <v>1</v>
      </c>
      <c r="D2033">
        <v>1</v>
      </c>
      <c r="E2033" t="s">
        <v>6719</v>
      </c>
      <c r="F2033" t="s">
        <v>6719</v>
      </c>
      <c r="G2033" t="s">
        <v>6719</v>
      </c>
      <c r="H2033">
        <v>23</v>
      </c>
    </row>
    <row r="2034" spans="1:8" x14ac:dyDescent="0.25">
      <c r="A2034" t="s">
        <v>1577</v>
      </c>
      <c r="B2034">
        <v>1</v>
      </c>
      <c r="C2034">
        <v>1</v>
      </c>
      <c r="D2034">
        <v>1</v>
      </c>
      <c r="E2034" t="s">
        <v>6720</v>
      </c>
      <c r="F2034" t="s">
        <v>6720</v>
      </c>
      <c r="G2034" t="s">
        <v>6720</v>
      </c>
      <c r="H2034">
        <v>88</v>
      </c>
    </row>
    <row r="2035" spans="1:8" x14ac:dyDescent="0.25">
      <c r="A2035" t="s">
        <v>2299</v>
      </c>
      <c r="B2035">
        <v>1</v>
      </c>
      <c r="C2035">
        <v>1</v>
      </c>
      <c r="D2035">
        <v>1</v>
      </c>
      <c r="E2035" t="s">
        <v>6721</v>
      </c>
      <c r="F2035" t="s">
        <v>6721</v>
      </c>
      <c r="G2035" t="s">
        <v>6721</v>
      </c>
      <c r="H2035">
        <v>30</v>
      </c>
    </row>
    <row r="2036" spans="1:8" x14ac:dyDescent="0.25">
      <c r="A2036" t="s">
        <v>1977</v>
      </c>
      <c r="B2036">
        <v>1</v>
      </c>
      <c r="C2036">
        <v>1</v>
      </c>
      <c r="D2036">
        <v>1</v>
      </c>
      <c r="E2036" t="s">
        <v>6722</v>
      </c>
      <c r="F2036" t="s">
        <v>6722</v>
      </c>
      <c r="G2036" t="s">
        <v>6722</v>
      </c>
      <c r="H2036">
        <v>53</v>
      </c>
    </row>
    <row r="2037" spans="1:8" x14ac:dyDescent="0.25">
      <c r="A2037" t="s">
        <v>2692</v>
      </c>
      <c r="B2037">
        <v>1</v>
      </c>
      <c r="C2037">
        <v>1</v>
      </c>
      <c r="D2037">
        <v>1</v>
      </c>
      <c r="E2037" t="s">
        <v>6723</v>
      </c>
      <c r="F2037" t="s">
        <v>6723</v>
      </c>
      <c r="G2037" t="s">
        <v>6723</v>
      </c>
      <c r="H2037">
        <v>25</v>
      </c>
    </row>
    <row r="2038" spans="1:8" x14ac:dyDescent="0.25">
      <c r="A2038" t="s">
        <v>1587</v>
      </c>
      <c r="B2038">
        <v>1</v>
      </c>
      <c r="C2038">
        <v>1</v>
      </c>
      <c r="D2038">
        <v>1</v>
      </c>
      <c r="E2038" t="s">
        <v>6724</v>
      </c>
      <c r="F2038" t="s">
        <v>6724</v>
      </c>
      <c r="G2038" t="s">
        <v>6724</v>
      </c>
      <c r="H2038">
        <v>42</v>
      </c>
    </row>
    <row r="2039" spans="1:8" x14ac:dyDescent="0.25">
      <c r="A2039" t="s">
        <v>2766</v>
      </c>
      <c r="B2039">
        <v>1</v>
      </c>
      <c r="C2039">
        <v>1</v>
      </c>
      <c r="D2039">
        <v>1</v>
      </c>
      <c r="E2039" t="s">
        <v>6725</v>
      </c>
      <c r="F2039" t="s">
        <v>6725</v>
      </c>
      <c r="G2039" t="s">
        <v>6725</v>
      </c>
      <c r="H2039">
        <v>16</v>
      </c>
    </row>
    <row r="2040" spans="1:8" x14ac:dyDescent="0.25">
      <c r="A2040" t="s">
        <v>721</v>
      </c>
      <c r="B2040">
        <v>1</v>
      </c>
      <c r="C2040">
        <v>1</v>
      </c>
      <c r="D2040">
        <v>1</v>
      </c>
      <c r="E2040" t="s">
        <v>6726</v>
      </c>
      <c r="F2040" t="s">
        <v>6726</v>
      </c>
      <c r="G2040" t="s">
        <v>6726</v>
      </c>
      <c r="H2040">
        <v>278</v>
      </c>
    </row>
    <row r="2041" spans="1:8" x14ac:dyDescent="0.25">
      <c r="A2041" t="s">
        <v>1209</v>
      </c>
      <c r="B2041">
        <v>2</v>
      </c>
      <c r="C2041">
        <v>2</v>
      </c>
      <c r="D2041">
        <v>2</v>
      </c>
      <c r="E2041" t="s">
        <v>6727</v>
      </c>
      <c r="F2041" t="s">
        <v>6727</v>
      </c>
      <c r="G2041" t="s">
        <v>4256</v>
      </c>
      <c r="H2041">
        <v>172</v>
      </c>
    </row>
    <row r="2042" spans="1:8" x14ac:dyDescent="0.25">
      <c r="A2042" t="s">
        <v>998</v>
      </c>
      <c r="B2042">
        <v>1</v>
      </c>
      <c r="C2042">
        <v>1</v>
      </c>
      <c r="D2042">
        <v>1</v>
      </c>
      <c r="E2042" t="s">
        <v>6728</v>
      </c>
      <c r="F2042" t="s">
        <v>6728</v>
      </c>
      <c r="G2042" t="s">
        <v>6728</v>
      </c>
      <c r="H2042">
        <v>256</v>
      </c>
    </row>
    <row r="2043" spans="1:8" x14ac:dyDescent="0.25">
      <c r="A2043" t="s">
        <v>967</v>
      </c>
      <c r="B2043">
        <v>1</v>
      </c>
      <c r="C2043">
        <v>1</v>
      </c>
      <c r="D2043">
        <v>1</v>
      </c>
      <c r="E2043" t="s">
        <v>6729</v>
      </c>
      <c r="F2043" t="s">
        <v>6729</v>
      </c>
      <c r="G2043" t="s">
        <v>6729</v>
      </c>
      <c r="H2043">
        <v>272</v>
      </c>
    </row>
    <row r="2044" spans="1:8" x14ac:dyDescent="0.25">
      <c r="A2044" t="s">
        <v>1269</v>
      </c>
      <c r="B2044">
        <v>2</v>
      </c>
      <c r="C2044">
        <v>2</v>
      </c>
      <c r="D2044">
        <v>2</v>
      </c>
      <c r="E2044" t="s">
        <v>6730</v>
      </c>
      <c r="F2044" t="s">
        <v>6730</v>
      </c>
      <c r="G2044" t="s">
        <v>4256</v>
      </c>
      <c r="H2044">
        <v>264</v>
      </c>
    </row>
    <row r="2045" spans="1:8" x14ac:dyDescent="0.25">
      <c r="A2045" t="s">
        <v>2743</v>
      </c>
      <c r="B2045">
        <v>1</v>
      </c>
      <c r="C2045">
        <v>1</v>
      </c>
      <c r="D2045">
        <v>1</v>
      </c>
      <c r="E2045" t="s">
        <v>6731</v>
      </c>
      <c r="F2045" t="s">
        <v>6731</v>
      </c>
      <c r="G2045" t="s">
        <v>6731</v>
      </c>
      <c r="H2045">
        <v>23</v>
      </c>
    </row>
    <row r="2046" spans="1:8" x14ac:dyDescent="0.25">
      <c r="A2046" t="s">
        <v>2501</v>
      </c>
      <c r="B2046">
        <v>1</v>
      </c>
      <c r="C2046">
        <v>1</v>
      </c>
      <c r="D2046">
        <v>1</v>
      </c>
      <c r="E2046" t="s">
        <v>6732</v>
      </c>
      <c r="F2046" t="s">
        <v>6732</v>
      </c>
      <c r="G2046" t="s">
        <v>6732</v>
      </c>
      <c r="H2046">
        <v>50</v>
      </c>
    </row>
    <row r="2047" spans="1:8" x14ac:dyDescent="0.25">
      <c r="A2047" t="s">
        <v>3104</v>
      </c>
      <c r="B2047">
        <v>1</v>
      </c>
      <c r="C2047">
        <v>1</v>
      </c>
      <c r="D2047">
        <v>1</v>
      </c>
      <c r="E2047" t="s">
        <v>6733</v>
      </c>
      <c r="F2047" t="s">
        <v>6733</v>
      </c>
      <c r="G2047" t="s">
        <v>6733</v>
      </c>
      <c r="H2047">
        <v>22</v>
      </c>
    </row>
    <row r="2048" spans="1:8" x14ac:dyDescent="0.25">
      <c r="A2048" t="s">
        <v>1157</v>
      </c>
      <c r="B2048">
        <v>1</v>
      </c>
      <c r="C2048">
        <v>1</v>
      </c>
      <c r="D2048">
        <v>1</v>
      </c>
      <c r="E2048" t="s">
        <v>6734</v>
      </c>
      <c r="F2048" t="s">
        <v>6735</v>
      </c>
      <c r="G2048" t="s">
        <v>6735</v>
      </c>
      <c r="H2048">
        <v>166</v>
      </c>
    </row>
    <row r="2049" spans="1:8" x14ac:dyDescent="0.25">
      <c r="A2049" t="s">
        <v>1745</v>
      </c>
      <c r="B2049">
        <v>1</v>
      </c>
      <c r="C2049">
        <v>1</v>
      </c>
      <c r="D2049">
        <v>1</v>
      </c>
      <c r="E2049" t="s">
        <v>6736</v>
      </c>
      <c r="F2049" t="s">
        <v>6736</v>
      </c>
      <c r="G2049" t="s">
        <v>6736</v>
      </c>
      <c r="H2049">
        <v>91</v>
      </c>
    </row>
    <row r="2050" spans="1:8" x14ac:dyDescent="0.25">
      <c r="A2050" t="s">
        <v>559</v>
      </c>
      <c r="B2050">
        <v>1</v>
      </c>
      <c r="C2050">
        <v>1</v>
      </c>
      <c r="D2050">
        <v>1</v>
      </c>
      <c r="E2050" t="s">
        <v>6737</v>
      </c>
      <c r="F2050" t="s">
        <v>6737</v>
      </c>
      <c r="G2050" t="s">
        <v>6737</v>
      </c>
      <c r="H2050">
        <v>252</v>
      </c>
    </row>
    <row r="2051" spans="1:8" x14ac:dyDescent="0.25">
      <c r="A2051" t="s">
        <v>1229</v>
      </c>
      <c r="B2051">
        <v>2</v>
      </c>
      <c r="C2051">
        <v>2</v>
      </c>
      <c r="D2051">
        <v>2</v>
      </c>
      <c r="E2051" t="s">
        <v>6738</v>
      </c>
      <c r="F2051" t="s">
        <v>6739</v>
      </c>
      <c r="G2051" t="s">
        <v>4256</v>
      </c>
      <c r="H2051">
        <v>152</v>
      </c>
    </row>
    <row r="2052" spans="1:8" x14ac:dyDescent="0.25">
      <c r="A2052" t="s">
        <v>847</v>
      </c>
      <c r="B2052">
        <v>1</v>
      </c>
      <c r="C2052">
        <v>1</v>
      </c>
      <c r="D2052">
        <v>1</v>
      </c>
      <c r="E2052" t="s">
        <v>6740</v>
      </c>
      <c r="F2052" t="s">
        <v>6740</v>
      </c>
      <c r="G2052" t="s">
        <v>6740</v>
      </c>
      <c r="H2052">
        <v>214</v>
      </c>
    </row>
    <row r="2053" spans="1:8" x14ac:dyDescent="0.25">
      <c r="A2053" t="s">
        <v>613</v>
      </c>
      <c r="B2053">
        <v>2</v>
      </c>
      <c r="C2053">
        <v>2</v>
      </c>
      <c r="D2053">
        <v>2</v>
      </c>
      <c r="E2053" t="s">
        <v>6741</v>
      </c>
      <c r="F2053" t="s">
        <v>6742</v>
      </c>
      <c r="G2053" t="s">
        <v>4256</v>
      </c>
      <c r="H2053">
        <v>174</v>
      </c>
    </row>
    <row r="2054" spans="1:8" x14ac:dyDescent="0.25">
      <c r="A2054" t="s">
        <v>589</v>
      </c>
      <c r="B2054">
        <v>1</v>
      </c>
      <c r="C2054">
        <v>1</v>
      </c>
      <c r="D2054">
        <v>1</v>
      </c>
      <c r="E2054" t="s">
        <v>6743</v>
      </c>
      <c r="F2054" t="s">
        <v>6744</v>
      </c>
      <c r="G2054" t="s">
        <v>6744</v>
      </c>
      <c r="H2054">
        <v>260</v>
      </c>
    </row>
    <row r="2055" spans="1:8" x14ac:dyDescent="0.25">
      <c r="A2055" t="s">
        <v>657</v>
      </c>
      <c r="B2055">
        <v>1</v>
      </c>
      <c r="C2055">
        <v>1</v>
      </c>
      <c r="D2055">
        <v>1</v>
      </c>
      <c r="E2055" t="s">
        <v>6745</v>
      </c>
      <c r="F2055" t="s">
        <v>6745</v>
      </c>
      <c r="G2055" t="s">
        <v>6745</v>
      </c>
      <c r="H2055">
        <v>234</v>
      </c>
    </row>
    <row r="2056" spans="1:8" x14ac:dyDescent="0.25">
      <c r="A2056" t="s">
        <v>1271</v>
      </c>
      <c r="B2056">
        <v>1</v>
      </c>
      <c r="C2056">
        <v>1</v>
      </c>
      <c r="D2056">
        <v>1</v>
      </c>
      <c r="E2056" t="s">
        <v>6746</v>
      </c>
      <c r="F2056" t="s">
        <v>6746</v>
      </c>
      <c r="G2056" t="s">
        <v>6746</v>
      </c>
      <c r="H2056">
        <v>79</v>
      </c>
    </row>
    <row r="2057" spans="1:8" x14ac:dyDescent="0.25">
      <c r="A2057" t="s">
        <v>1138</v>
      </c>
      <c r="B2057">
        <v>1</v>
      </c>
      <c r="C2057">
        <v>1</v>
      </c>
      <c r="D2057">
        <v>1</v>
      </c>
      <c r="E2057" t="s">
        <v>6747</v>
      </c>
      <c r="F2057" t="s">
        <v>6747</v>
      </c>
      <c r="G2057" t="s">
        <v>6747</v>
      </c>
      <c r="H2057">
        <v>99</v>
      </c>
    </row>
    <row r="2058" spans="1:8" x14ac:dyDescent="0.25">
      <c r="A2058" t="s">
        <v>617</v>
      </c>
      <c r="B2058">
        <v>1</v>
      </c>
      <c r="C2058">
        <v>1</v>
      </c>
      <c r="D2058">
        <v>1</v>
      </c>
      <c r="E2058" t="s">
        <v>6748</v>
      </c>
      <c r="F2058" t="s">
        <v>6748</v>
      </c>
      <c r="G2058" t="s">
        <v>6748</v>
      </c>
      <c r="H2058">
        <v>176</v>
      </c>
    </row>
    <row r="2059" spans="1:8" x14ac:dyDescent="0.25">
      <c r="A2059" t="s">
        <v>690</v>
      </c>
      <c r="B2059">
        <v>1</v>
      </c>
      <c r="C2059">
        <v>1</v>
      </c>
      <c r="D2059">
        <v>1</v>
      </c>
      <c r="E2059" t="s">
        <v>6749</v>
      </c>
      <c r="F2059" t="s">
        <v>6749</v>
      </c>
      <c r="G2059" t="s">
        <v>6749</v>
      </c>
      <c r="H2059">
        <v>211</v>
      </c>
    </row>
    <row r="2060" spans="1:8" x14ac:dyDescent="0.25">
      <c r="A2060" t="s">
        <v>978</v>
      </c>
      <c r="B2060">
        <v>1</v>
      </c>
      <c r="C2060">
        <v>1</v>
      </c>
      <c r="D2060">
        <v>1</v>
      </c>
      <c r="E2060" t="s">
        <v>6750</v>
      </c>
      <c r="F2060" t="s">
        <v>6750</v>
      </c>
      <c r="G2060" t="s">
        <v>6750</v>
      </c>
      <c r="H2060">
        <v>93</v>
      </c>
    </row>
    <row r="2061" spans="1:8" x14ac:dyDescent="0.25">
      <c r="A2061" t="s">
        <v>616</v>
      </c>
      <c r="B2061">
        <v>1</v>
      </c>
      <c r="C2061">
        <v>1</v>
      </c>
      <c r="D2061">
        <v>1</v>
      </c>
      <c r="E2061" t="s">
        <v>6751</v>
      </c>
      <c r="F2061" t="s">
        <v>6751</v>
      </c>
      <c r="G2061" t="s">
        <v>6751</v>
      </c>
      <c r="H2061">
        <v>304</v>
      </c>
    </row>
    <row r="2062" spans="1:8" x14ac:dyDescent="0.25">
      <c r="A2062" t="s">
        <v>133</v>
      </c>
      <c r="B2062">
        <v>1</v>
      </c>
      <c r="C2062">
        <v>1</v>
      </c>
      <c r="D2062">
        <v>1</v>
      </c>
      <c r="E2062" t="s">
        <v>6752</v>
      </c>
      <c r="F2062" t="s">
        <v>6752</v>
      </c>
      <c r="G2062" t="s">
        <v>6752</v>
      </c>
      <c r="H2062">
        <v>260</v>
      </c>
    </row>
    <row r="2063" spans="1:8" x14ac:dyDescent="0.25">
      <c r="A2063" t="s">
        <v>694</v>
      </c>
      <c r="B2063">
        <v>1</v>
      </c>
      <c r="C2063">
        <v>1</v>
      </c>
      <c r="D2063">
        <v>1</v>
      </c>
      <c r="E2063" t="s">
        <v>6753</v>
      </c>
      <c r="F2063" t="s">
        <v>6754</v>
      </c>
      <c r="G2063" t="s">
        <v>6754</v>
      </c>
      <c r="H2063">
        <v>247</v>
      </c>
    </row>
    <row r="2064" spans="1:8" x14ac:dyDescent="0.25">
      <c r="A2064" t="s">
        <v>685</v>
      </c>
      <c r="B2064">
        <v>2</v>
      </c>
      <c r="C2064">
        <v>2</v>
      </c>
      <c r="D2064">
        <v>2</v>
      </c>
      <c r="E2064" t="s">
        <v>6755</v>
      </c>
      <c r="F2064" t="s">
        <v>6755</v>
      </c>
      <c r="G2064" t="s">
        <v>4256</v>
      </c>
      <c r="H2064">
        <v>361</v>
      </c>
    </row>
    <row r="2065" spans="1:8" x14ac:dyDescent="0.25">
      <c r="A2065" t="s">
        <v>511</v>
      </c>
      <c r="B2065">
        <v>3</v>
      </c>
      <c r="C2065">
        <v>3</v>
      </c>
      <c r="D2065">
        <v>3</v>
      </c>
      <c r="E2065" t="s">
        <v>6756</v>
      </c>
      <c r="F2065" t="s">
        <v>6756</v>
      </c>
      <c r="G2065" t="s">
        <v>4256</v>
      </c>
      <c r="H2065">
        <v>353</v>
      </c>
    </row>
    <row r="2066" spans="1:8" x14ac:dyDescent="0.25">
      <c r="A2066" t="s">
        <v>326</v>
      </c>
      <c r="B2066">
        <v>1</v>
      </c>
      <c r="C2066">
        <v>1</v>
      </c>
      <c r="D2066">
        <v>1</v>
      </c>
      <c r="E2066" t="s">
        <v>6757</v>
      </c>
      <c r="F2066" t="s">
        <v>6758</v>
      </c>
      <c r="G2066" t="s">
        <v>6758</v>
      </c>
      <c r="H2066">
        <v>458</v>
      </c>
    </row>
    <row r="2067" spans="1:8" x14ac:dyDescent="0.25">
      <c r="A2067" t="s">
        <v>353</v>
      </c>
      <c r="B2067">
        <v>1</v>
      </c>
      <c r="C2067">
        <v>1</v>
      </c>
      <c r="D2067">
        <v>1</v>
      </c>
      <c r="E2067" t="s">
        <v>6759</v>
      </c>
      <c r="F2067" t="s">
        <v>6760</v>
      </c>
      <c r="G2067" t="s">
        <v>6760</v>
      </c>
      <c r="H2067">
        <v>388</v>
      </c>
    </row>
    <row r="2068" spans="1:8" x14ac:dyDescent="0.25">
      <c r="A2068" t="s">
        <v>530</v>
      </c>
      <c r="B2068">
        <v>1</v>
      </c>
      <c r="C2068">
        <v>1</v>
      </c>
      <c r="D2068">
        <v>1</v>
      </c>
      <c r="E2068" t="s">
        <v>6761</v>
      </c>
      <c r="F2068" t="s">
        <v>6761</v>
      </c>
      <c r="G2068" t="s">
        <v>6761</v>
      </c>
      <c r="H2068">
        <v>315</v>
      </c>
    </row>
    <row r="2069" spans="1:8" x14ac:dyDescent="0.25">
      <c r="A2069" t="s">
        <v>178</v>
      </c>
      <c r="B2069">
        <v>1</v>
      </c>
      <c r="C2069">
        <v>1</v>
      </c>
      <c r="D2069">
        <v>1</v>
      </c>
      <c r="E2069" t="s">
        <v>6762</v>
      </c>
      <c r="F2069" t="s">
        <v>6763</v>
      </c>
      <c r="G2069" t="s">
        <v>6763</v>
      </c>
      <c r="H2069">
        <v>438</v>
      </c>
    </row>
    <row r="2070" spans="1:8" x14ac:dyDescent="0.25">
      <c r="A2070" t="s">
        <v>301</v>
      </c>
      <c r="B2070">
        <v>1</v>
      </c>
      <c r="C2070">
        <v>1</v>
      </c>
      <c r="D2070">
        <v>1</v>
      </c>
      <c r="E2070" t="s">
        <v>6764</v>
      </c>
      <c r="F2070" t="s">
        <v>6764</v>
      </c>
      <c r="G2070" t="s">
        <v>6764</v>
      </c>
      <c r="H2070">
        <v>342</v>
      </c>
    </row>
    <row r="2071" spans="1:8" x14ac:dyDescent="0.25">
      <c r="A2071" t="s">
        <v>371</v>
      </c>
      <c r="B2071">
        <v>1</v>
      </c>
      <c r="C2071">
        <v>1</v>
      </c>
      <c r="D2071">
        <v>1</v>
      </c>
      <c r="E2071" t="s">
        <v>6765</v>
      </c>
      <c r="F2071" t="s">
        <v>6766</v>
      </c>
      <c r="G2071" t="s">
        <v>6766</v>
      </c>
      <c r="H2071">
        <v>345</v>
      </c>
    </row>
    <row r="2072" spans="1:8" x14ac:dyDescent="0.25">
      <c r="A2072" t="s">
        <v>670</v>
      </c>
      <c r="B2072">
        <v>1</v>
      </c>
      <c r="C2072">
        <v>1</v>
      </c>
      <c r="D2072">
        <v>1</v>
      </c>
      <c r="E2072" t="s">
        <v>6767</v>
      </c>
      <c r="F2072" t="s">
        <v>6768</v>
      </c>
      <c r="G2072" t="s">
        <v>6768</v>
      </c>
      <c r="H2072">
        <v>239</v>
      </c>
    </row>
    <row r="2073" spans="1:8" x14ac:dyDescent="0.25">
      <c r="A2073" t="s">
        <v>586</v>
      </c>
      <c r="B2073">
        <v>1</v>
      </c>
      <c r="C2073">
        <v>1</v>
      </c>
      <c r="D2073">
        <v>1</v>
      </c>
      <c r="E2073" t="s">
        <v>6769</v>
      </c>
      <c r="F2073" t="s">
        <v>6769</v>
      </c>
      <c r="G2073" t="s">
        <v>6769</v>
      </c>
      <c r="H2073">
        <v>278</v>
      </c>
    </row>
    <row r="2074" spans="1:8" x14ac:dyDescent="0.25">
      <c r="A2074" t="s">
        <v>1810</v>
      </c>
      <c r="B2074">
        <v>1</v>
      </c>
      <c r="C2074">
        <v>1</v>
      </c>
      <c r="D2074">
        <v>1</v>
      </c>
      <c r="E2074" t="s">
        <v>6770</v>
      </c>
      <c r="F2074" t="s">
        <v>6770</v>
      </c>
      <c r="G2074" t="s">
        <v>6770</v>
      </c>
      <c r="H2074">
        <v>73</v>
      </c>
    </row>
    <row r="2075" spans="1:8" x14ac:dyDescent="0.25">
      <c r="A2075" t="s">
        <v>1819</v>
      </c>
      <c r="B2075">
        <v>1</v>
      </c>
      <c r="C2075">
        <v>1</v>
      </c>
      <c r="D2075">
        <v>1</v>
      </c>
      <c r="E2075" t="s">
        <v>6771</v>
      </c>
      <c r="F2075" t="s">
        <v>6771</v>
      </c>
      <c r="G2075" t="s">
        <v>6771</v>
      </c>
      <c r="H2075">
        <v>53</v>
      </c>
    </row>
    <row r="2076" spans="1:8" x14ac:dyDescent="0.25">
      <c r="A2076" t="s">
        <v>2170</v>
      </c>
      <c r="B2076">
        <v>1</v>
      </c>
      <c r="C2076">
        <v>1</v>
      </c>
      <c r="D2076">
        <v>1</v>
      </c>
      <c r="E2076" t="s">
        <v>6772</v>
      </c>
      <c r="F2076" t="s">
        <v>6772</v>
      </c>
      <c r="G2076" t="s">
        <v>6772</v>
      </c>
      <c r="H2076">
        <v>50</v>
      </c>
    </row>
    <row r="2077" spans="1:8" x14ac:dyDescent="0.25">
      <c r="A2077" t="s">
        <v>1300</v>
      </c>
      <c r="B2077">
        <v>1</v>
      </c>
      <c r="C2077">
        <v>1</v>
      </c>
      <c r="D2077">
        <v>1</v>
      </c>
      <c r="E2077" t="s">
        <v>6773</v>
      </c>
      <c r="F2077" t="s">
        <v>6773</v>
      </c>
      <c r="G2077" t="s">
        <v>6773</v>
      </c>
      <c r="H2077">
        <v>86</v>
      </c>
    </row>
    <row r="2078" spans="1:8" x14ac:dyDescent="0.25">
      <c r="A2078" t="s">
        <v>791</v>
      </c>
      <c r="B2078">
        <v>1</v>
      </c>
      <c r="C2078">
        <v>1</v>
      </c>
      <c r="D2078">
        <v>1</v>
      </c>
      <c r="E2078" t="s">
        <v>6774</v>
      </c>
      <c r="F2078" t="s">
        <v>6774</v>
      </c>
      <c r="G2078" t="s">
        <v>6774</v>
      </c>
      <c r="H2078">
        <v>452</v>
      </c>
    </row>
    <row r="2079" spans="1:8" x14ac:dyDescent="0.25">
      <c r="A2079" t="s">
        <v>1789</v>
      </c>
      <c r="B2079">
        <v>1</v>
      </c>
      <c r="C2079">
        <v>1</v>
      </c>
      <c r="D2079">
        <v>1</v>
      </c>
      <c r="E2079" t="s">
        <v>6775</v>
      </c>
      <c r="F2079" t="s">
        <v>6776</v>
      </c>
      <c r="G2079" t="s">
        <v>6776</v>
      </c>
      <c r="H2079">
        <v>88</v>
      </c>
    </row>
    <row r="2080" spans="1:8" x14ac:dyDescent="0.25">
      <c r="A2080" t="s">
        <v>658</v>
      </c>
      <c r="B2080">
        <v>1</v>
      </c>
      <c r="C2080">
        <v>1</v>
      </c>
      <c r="D2080">
        <v>1</v>
      </c>
      <c r="E2080" t="s">
        <v>6777</v>
      </c>
      <c r="F2080" t="s">
        <v>6777</v>
      </c>
      <c r="G2080" t="s">
        <v>6777</v>
      </c>
      <c r="H2080">
        <v>270</v>
      </c>
    </row>
    <row r="2081" spans="1:8" x14ac:dyDescent="0.25">
      <c r="A2081" t="s">
        <v>3105</v>
      </c>
      <c r="B2081">
        <v>1</v>
      </c>
      <c r="C2081">
        <v>1</v>
      </c>
      <c r="D2081">
        <v>1</v>
      </c>
      <c r="E2081" t="s">
        <v>6778</v>
      </c>
      <c r="F2081" t="s">
        <v>6778</v>
      </c>
      <c r="G2081" t="s">
        <v>6778</v>
      </c>
      <c r="H2081">
        <v>33</v>
      </c>
    </row>
    <row r="2082" spans="1:8" x14ac:dyDescent="0.25">
      <c r="A2082" t="s">
        <v>1922</v>
      </c>
      <c r="B2082">
        <v>1</v>
      </c>
      <c r="C2082">
        <v>1</v>
      </c>
      <c r="D2082">
        <v>1</v>
      </c>
      <c r="E2082" t="s">
        <v>6779</v>
      </c>
      <c r="F2082" t="s">
        <v>6780</v>
      </c>
      <c r="G2082" t="s">
        <v>6780</v>
      </c>
      <c r="H2082">
        <v>73</v>
      </c>
    </row>
    <row r="2083" spans="1:8" x14ac:dyDescent="0.25">
      <c r="A2083" t="s">
        <v>2069</v>
      </c>
      <c r="B2083">
        <v>2</v>
      </c>
      <c r="C2083">
        <v>2</v>
      </c>
      <c r="D2083">
        <v>2</v>
      </c>
      <c r="E2083" t="s">
        <v>6781</v>
      </c>
      <c r="F2083" t="s">
        <v>6781</v>
      </c>
      <c r="G2083" t="s">
        <v>4256</v>
      </c>
      <c r="H2083">
        <v>80</v>
      </c>
    </row>
    <row r="2084" spans="1:8" x14ac:dyDescent="0.25">
      <c r="A2084" t="s">
        <v>521</v>
      </c>
      <c r="B2084">
        <v>2</v>
      </c>
      <c r="C2084">
        <v>2</v>
      </c>
      <c r="D2084">
        <v>2</v>
      </c>
      <c r="E2084" t="s">
        <v>6782</v>
      </c>
      <c r="F2084" t="s">
        <v>6782</v>
      </c>
      <c r="G2084" t="s">
        <v>4256</v>
      </c>
      <c r="H2084">
        <v>342</v>
      </c>
    </row>
    <row r="2085" spans="1:8" x14ac:dyDescent="0.25">
      <c r="A2085" t="s">
        <v>827</v>
      </c>
      <c r="B2085">
        <v>1</v>
      </c>
      <c r="C2085">
        <v>1</v>
      </c>
      <c r="D2085">
        <v>1</v>
      </c>
      <c r="E2085" t="s">
        <v>6783</v>
      </c>
      <c r="F2085" t="s">
        <v>6783</v>
      </c>
      <c r="G2085" t="s">
        <v>6783</v>
      </c>
      <c r="H2085">
        <v>143</v>
      </c>
    </row>
    <row r="2086" spans="1:8" x14ac:dyDescent="0.25">
      <c r="A2086" t="s">
        <v>964</v>
      </c>
      <c r="B2086">
        <v>1</v>
      </c>
      <c r="C2086">
        <v>1</v>
      </c>
      <c r="D2086">
        <v>1</v>
      </c>
      <c r="E2086" t="s">
        <v>6784</v>
      </c>
      <c r="F2086" t="s">
        <v>6785</v>
      </c>
      <c r="G2086" t="s">
        <v>6785</v>
      </c>
      <c r="H2086">
        <v>205</v>
      </c>
    </row>
    <row r="2087" spans="1:8" x14ac:dyDescent="0.25">
      <c r="A2087" t="s">
        <v>802</v>
      </c>
      <c r="B2087">
        <v>2</v>
      </c>
      <c r="C2087">
        <v>2</v>
      </c>
      <c r="D2087">
        <v>2</v>
      </c>
      <c r="E2087" t="s">
        <v>6786</v>
      </c>
      <c r="F2087" t="s">
        <v>6786</v>
      </c>
      <c r="G2087" t="s">
        <v>4256</v>
      </c>
      <c r="H2087">
        <v>295</v>
      </c>
    </row>
    <row r="2088" spans="1:8" x14ac:dyDescent="0.25">
      <c r="A2088" t="s">
        <v>538</v>
      </c>
      <c r="B2088">
        <v>1</v>
      </c>
      <c r="C2088">
        <v>1</v>
      </c>
      <c r="D2088">
        <v>1</v>
      </c>
      <c r="E2088" t="s">
        <v>6787</v>
      </c>
      <c r="F2088" t="s">
        <v>6787</v>
      </c>
      <c r="G2088" t="s">
        <v>6787</v>
      </c>
      <c r="H2088">
        <v>359</v>
      </c>
    </row>
    <row r="2089" spans="1:8" x14ac:dyDescent="0.25">
      <c r="A2089" t="s">
        <v>733</v>
      </c>
      <c r="B2089">
        <v>1</v>
      </c>
      <c r="C2089">
        <v>1</v>
      </c>
      <c r="D2089">
        <v>1</v>
      </c>
      <c r="E2089" t="s">
        <v>6788</v>
      </c>
      <c r="F2089" t="s">
        <v>6788</v>
      </c>
      <c r="G2089" t="s">
        <v>6788</v>
      </c>
      <c r="H2089">
        <v>187</v>
      </c>
    </row>
    <row r="2090" spans="1:8" x14ac:dyDescent="0.25">
      <c r="A2090" t="s">
        <v>734</v>
      </c>
      <c r="B2090">
        <v>2</v>
      </c>
      <c r="C2090">
        <v>2</v>
      </c>
      <c r="D2090">
        <v>2</v>
      </c>
      <c r="E2090" t="s">
        <v>6789</v>
      </c>
      <c r="F2090" t="s">
        <v>6789</v>
      </c>
      <c r="G2090" t="s">
        <v>4256</v>
      </c>
      <c r="H2090">
        <v>229</v>
      </c>
    </row>
    <row r="2091" spans="1:8" x14ac:dyDescent="0.25">
      <c r="A2091" t="s">
        <v>949</v>
      </c>
      <c r="B2091">
        <v>4</v>
      </c>
      <c r="C2091">
        <v>4</v>
      </c>
      <c r="D2091">
        <v>4</v>
      </c>
      <c r="E2091" t="s">
        <v>6790</v>
      </c>
      <c r="F2091" t="s">
        <v>6790</v>
      </c>
      <c r="G2091" t="s">
        <v>4256</v>
      </c>
      <c r="H2091">
        <v>312</v>
      </c>
    </row>
    <row r="2092" spans="1:8" x14ac:dyDescent="0.25">
      <c r="A2092" t="s">
        <v>1077</v>
      </c>
      <c r="B2092">
        <v>2</v>
      </c>
      <c r="C2092">
        <v>2</v>
      </c>
      <c r="D2092">
        <v>2</v>
      </c>
      <c r="E2092" t="s">
        <v>6791</v>
      </c>
      <c r="F2092" t="s">
        <v>6791</v>
      </c>
      <c r="G2092" t="s">
        <v>4256</v>
      </c>
      <c r="H2092">
        <v>259</v>
      </c>
    </row>
    <row r="2093" spans="1:8" x14ac:dyDescent="0.25">
      <c r="A2093" t="s">
        <v>626</v>
      </c>
      <c r="B2093">
        <v>1</v>
      </c>
      <c r="C2093">
        <v>1</v>
      </c>
      <c r="D2093">
        <v>1</v>
      </c>
      <c r="E2093" t="s">
        <v>6792</v>
      </c>
      <c r="F2093" t="s">
        <v>6792</v>
      </c>
      <c r="G2093" t="s">
        <v>6792</v>
      </c>
      <c r="H2093">
        <v>503</v>
      </c>
    </row>
    <row r="2094" spans="1:8" x14ac:dyDescent="0.25">
      <c r="A2094" t="s">
        <v>158</v>
      </c>
      <c r="B2094">
        <v>1</v>
      </c>
      <c r="C2094">
        <v>1</v>
      </c>
      <c r="D2094">
        <v>1</v>
      </c>
      <c r="E2094" t="s">
        <v>6793</v>
      </c>
      <c r="F2094" t="s">
        <v>6793</v>
      </c>
      <c r="G2094" t="s">
        <v>6793</v>
      </c>
      <c r="H2094">
        <v>1009</v>
      </c>
    </row>
    <row r="2095" spans="1:8" x14ac:dyDescent="0.25">
      <c r="A2095" t="s">
        <v>265</v>
      </c>
      <c r="B2095">
        <v>2</v>
      </c>
      <c r="C2095">
        <v>2</v>
      </c>
      <c r="D2095">
        <v>2</v>
      </c>
      <c r="E2095" t="s">
        <v>6794</v>
      </c>
      <c r="F2095" t="s">
        <v>6795</v>
      </c>
      <c r="G2095" t="s">
        <v>4256</v>
      </c>
      <c r="H2095">
        <v>609</v>
      </c>
    </row>
    <row r="2096" spans="1:8" x14ac:dyDescent="0.25">
      <c r="A2096" t="s">
        <v>167</v>
      </c>
      <c r="B2096">
        <v>1</v>
      </c>
      <c r="C2096">
        <v>1</v>
      </c>
      <c r="D2096">
        <v>1</v>
      </c>
      <c r="E2096" t="s">
        <v>6796</v>
      </c>
      <c r="F2096" t="s">
        <v>6796</v>
      </c>
      <c r="G2096" t="s">
        <v>6796</v>
      </c>
      <c r="H2096">
        <v>930</v>
      </c>
    </row>
    <row r="2097" spans="1:8" x14ac:dyDescent="0.25">
      <c r="A2097" t="s">
        <v>205</v>
      </c>
      <c r="B2097">
        <v>2</v>
      </c>
      <c r="C2097">
        <v>2</v>
      </c>
      <c r="D2097">
        <v>2</v>
      </c>
      <c r="E2097" t="s">
        <v>6797</v>
      </c>
      <c r="F2097" t="s">
        <v>6797</v>
      </c>
      <c r="G2097" t="s">
        <v>4256</v>
      </c>
      <c r="H2097">
        <v>896</v>
      </c>
    </row>
    <row r="2098" spans="1:8" x14ac:dyDescent="0.25">
      <c r="A2098" t="s">
        <v>142</v>
      </c>
      <c r="B2098">
        <v>4</v>
      </c>
      <c r="C2098">
        <v>4</v>
      </c>
      <c r="D2098">
        <v>4</v>
      </c>
      <c r="E2098" t="s">
        <v>6798</v>
      </c>
      <c r="F2098" t="s">
        <v>6799</v>
      </c>
      <c r="G2098" t="s">
        <v>4256</v>
      </c>
      <c r="H2098">
        <v>1267</v>
      </c>
    </row>
    <row r="2099" spans="1:8" x14ac:dyDescent="0.25">
      <c r="A2099" t="s">
        <v>437</v>
      </c>
      <c r="B2099">
        <v>1</v>
      </c>
      <c r="C2099">
        <v>1</v>
      </c>
      <c r="D2099">
        <v>1</v>
      </c>
      <c r="E2099" t="s">
        <v>6800</v>
      </c>
      <c r="F2099" t="s">
        <v>6800</v>
      </c>
      <c r="G2099" t="s">
        <v>6800</v>
      </c>
      <c r="H2099">
        <v>594</v>
      </c>
    </row>
    <row r="2100" spans="1:8" x14ac:dyDescent="0.25">
      <c r="A2100" t="s">
        <v>571</v>
      </c>
      <c r="B2100">
        <v>2</v>
      </c>
      <c r="C2100">
        <v>2</v>
      </c>
      <c r="D2100">
        <v>2</v>
      </c>
      <c r="E2100" t="s">
        <v>6801</v>
      </c>
      <c r="F2100" t="s">
        <v>6802</v>
      </c>
      <c r="G2100" t="s">
        <v>4256</v>
      </c>
      <c r="H2100">
        <v>480</v>
      </c>
    </row>
    <row r="2101" spans="1:8" x14ac:dyDescent="0.25">
      <c r="A2101" t="s">
        <v>215</v>
      </c>
      <c r="B2101">
        <v>1</v>
      </c>
      <c r="C2101">
        <v>1</v>
      </c>
      <c r="D2101">
        <v>1</v>
      </c>
      <c r="E2101" t="s">
        <v>6803</v>
      </c>
      <c r="F2101" t="s">
        <v>6803</v>
      </c>
      <c r="G2101" t="s">
        <v>6803</v>
      </c>
      <c r="H2101">
        <v>1084</v>
      </c>
    </row>
    <row r="2102" spans="1:8" x14ac:dyDescent="0.25">
      <c r="A2102" t="s">
        <v>281</v>
      </c>
      <c r="B2102">
        <v>1</v>
      </c>
      <c r="C2102">
        <v>1</v>
      </c>
      <c r="D2102">
        <v>1</v>
      </c>
      <c r="E2102" t="s">
        <v>6804</v>
      </c>
      <c r="F2102" t="s">
        <v>6804</v>
      </c>
      <c r="G2102" t="s">
        <v>6804</v>
      </c>
      <c r="H2102">
        <v>780</v>
      </c>
    </row>
    <row r="2103" spans="1:8" x14ac:dyDescent="0.25">
      <c r="A2103" t="s">
        <v>341</v>
      </c>
      <c r="B2103">
        <v>1</v>
      </c>
      <c r="C2103">
        <v>1</v>
      </c>
      <c r="D2103">
        <v>1</v>
      </c>
      <c r="E2103" t="s">
        <v>6805</v>
      </c>
      <c r="F2103" t="s">
        <v>6805</v>
      </c>
      <c r="G2103" t="s">
        <v>6805</v>
      </c>
      <c r="H2103">
        <v>692</v>
      </c>
    </row>
    <row r="2104" spans="1:8" x14ac:dyDescent="0.25">
      <c r="A2104" t="s">
        <v>210</v>
      </c>
      <c r="B2104">
        <v>4</v>
      </c>
      <c r="C2104">
        <v>4</v>
      </c>
      <c r="D2104">
        <v>4</v>
      </c>
      <c r="E2104" t="s">
        <v>6806</v>
      </c>
      <c r="F2104" t="s">
        <v>6807</v>
      </c>
      <c r="G2104" t="s">
        <v>4256</v>
      </c>
      <c r="H2104">
        <v>1135</v>
      </c>
    </row>
    <row r="2105" spans="1:8" x14ac:dyDescent="0.25">
      <c r="A2105" t="s">
        <v>808</v>
      </c>
      <c r="B2105">
        <v>1</v>
      </c>
      <c r="C2105">
        <v>1</v>
      </c>
      <c r="D2105">
        <v>1</v>
      </c>
      <c r="E2105" t="s">
        <v>6808</v>
      </c>
      <c r="F2105" t="s">
        <v>6808</v>
      </c>
      <c r="G2105" t="s">
        <v>6808</v>
      </c>
      <c r="H2105">
        <v>211</v>
      </c>
    </row>
    <row r="2106" spans="1:8" x14ac:dyDescent="0.25">
      <c r="A2106" t="s">
        <v>930</v>
      </c>
      <c r="B2106">
        <v>1</v>
      </c>
      <c r="C2106">
        <v>1</v>
      </c>
      <c r="D2106">
        <v>1</v>
      </c>
      <c r="E2106" t="s">
        <v>6809</v>
      </c>
      <c r="F2106" t="s">
        <v>6809</v>
      </c>
      <c r="G2106" t="s">
        <v>6809</v>
      </c>
      <c r="H2106">
        <v>165</v>
      </c>
    </row>
    <row r="2107" spans="1:8" x14ac:dyDescent="0.25">
      <c r="A2107" t="s">
        <v>943</v>
      </c>
      <c r="B2107">
        <v>2</v>
      </c>
      <c r="C2107">
        <v>2</v>
      </c>
      <c r="D2107">
        <v>2</v>
      </c>
      <c r="E2107" t="s">
        <v>6810</v>
      </c>
      <c r="F2107" t="s">
        <v>6810</v>
      </c>
      <c r="G2107" t="s">
        <v>4256</v>
      </c>
      <c r="H2107">
        <v>198</v>
      </c>
    </row>
    <row r="2108" spans="1:8" x14ac:dyDescent="0.25">
      <c r="A2108" t="s">
        <v>1139</v>
      </c>
      <c r="B2108">
        <v>1</v>
      </c>
      <c r="C2108">
        <v>1</v>
      </c>
      <c r="D2108">
        <v>1</v>
      </c>
      <c r="E2108" t="s">
        <v>6811</v>
      </c>
      <c r="F2108" t="s">
        <v>6811</v>
      </c>
      <c r="G2108" t="s">
        <v>6811</v>
      </c>
      <c r="H2108">
        <v>157</v>
      </c>
    </row>
    <row r="2109" spans="1:8" x14ac:dyDescent="0.25">
      <c r="A2109" t="s">
        <v>1315</v>
      </c>
      <c r="B2109">
        <v>2</v>
      </c>
      <c r="C2109">
        <v>2</v>
      </c>
      <c r="D2109">
        <v>2</v>
      </c>
      <c r="E2109" t="s">
        <v>6812</v>
      </c>
      <c r="F2109" t="s">
        <v>6812</v>
      </c>
      <c r="G2109" t="s">
        <v>4256</v>
      </c>
      <c r="H2109">
        <v>109</v>
      </c>
    </row>
    <row r="2110" spans="1:8" x14ac:dyDescent="0.25">
      <c r="A2110" t="s">
        <v>477</v>
      </c>
      <c r="B2110">
        <v>1</v>
      </c>
      <c r="C2110">
        <v>1</v>
      </c>
      <c r="D2110">
        <v>1</v>
      </c>
      <c r="E2110" t="s">
        <v>6813</v>
      </c>
      <c r="F2110" t="s">
        <v>6813</v>
      </c>
      <c r="G2110" t="s">
        <v>6813</v>
      </c>
      <c r="H2110">
        <v>217</v>
      </c>
    </row>
    <row r="2111" spans="1:8" x14ac:dyDescent="0.25">
      <c r="A2111" t="s">
        <v>2149</v>
      </c>
      <c r="B2111">
        <v>1</v>
      </c>
      <c r="C2111">
        <v>1</v>
      </c>
      <c r="D2111">
        <v>1</v>
      </c>
      <c r="E2111" t="s">
        <v>6814</v>
      </c>
      <c r="F2111" t="s">
        <v>6814</v>
      </c>
      <c r="G2111" t="s">
        <v>6814</v>
      </c>
      <c r="H2111">
        <v>45</v>
      </c>
    </row>
    <row r="2112" spans="1:8" x14ac:dyDescent="0.25">
      <c r="A2112" t="s">
        <v>1362</v>
      </c>
      <c r="B2112">
        <v>1</v>
      </c>
      <c r="C2112">
        <v>1</v>
      </c>
      <c r="D2112">
        <v>1</v>
      </c>
      <c r="E2112" t="s">
        <v>6815</v>
      </c>
      <c r="F2112" t="s">
        <v>6815</v>
      </c>
      <c r="G2112" t="s">
        <v>6815</v>
      </c>
      <c r="H2112">
        <v>99</v>
      </c>
    </row>
    <row r="2113" spans="1:8" x14ac:dyDescent="0.25">
      <c r="A2113" t="s">
        <v>2363</v>
      </c>
      <c r="B2113">
        <v>1</v>
      </c>
      <c r="C2113">
        <v>1</v>
      </c>
      <c r="D2113">
        <v>1</v>
      </c>
      <c r="E2113" t="s">
        <v>6816</v>
      </c>
      <c r="F2113" t="s">
        <v>6816</v>
      </c>
      <c r="G2113" t="s">
        <v>6816</v>
      </c>
      <c r="H2113">
        <v>40</v>
      </c>
    </row>
    <row r="2114" spans="1:8" x14ac:dyDescent="0.25">
      <c r="A2114" t="s">
        <v>2240</v>
      </c>
      <c r="B2114">
        <v>1</v>
      </c>
      <c r="C2114">
        <v>1</v>
      </c>
      <c r="D2114">
        <v>1</v>
      </c>
      <c r="E2114" t="s">
        <v>6817</v>
      </c>
      <c r="F2114" t="s">
        <v>6818</v>
      </c>
      <c r="G2114" t="s">
        <v>6818</v>
      </c>
      <c r="H2114">
        <v>64</v>
      </c>
    </row>
    <row r="2115" spans="1:8" x14ac:dyDescent="0.25">
      <c r="A2115" t="s">
        <v>1880</v>
      </c>
      <c r="B2115">
        <v>1</v>
      </c>
      <c r="C2115">
        <v>1</v>
      </c>
      <c r="D2115">
        <v>1</v>
      </c>
      <c r="E2115" t="s">
        <v>6819</v>
      </c>
      <c r="F2115" t="s">
        <v>6819</v>
      </c>
      <c r="G2115" t="s">
        <v>6819</v>
      </c>
      <c r="H2115">
        <v>106</v>
      </c>
    </row>
    <row r="2116" spans="1:8" x14ac:dyDescent="0.25">
      <c r="A2116" t="s">
        <v>1510</v>
      </c>
      <c r="B2116">
        <v>1</v>
      </c>
      <c r="C2116">
        <v>1</v>
      </c>
      <c r="D2116">
        <v>1</v>
      </c>
      <c r="E2116" t="s">
        <v>6820</v>
      </c>
      <c r="F2116" t="s">
        <v>6820</v>
      </c>
      <c r="G2116" t="s">
        <v>6820</v>
      </c>
      <c r="H2116">
        <v>154</v>
      </c>
    </row>
    <row r="2117" spans="1:8" x14ac:dyDescent="0.25">
      <c r="A2117" t="s">
        <v>2042</v>
      </c>
      <c r="B2117">
        <v>1</v>
      </c>
      <c r="C2117">
        <v>1</v>
      </c>
      <c r="D2117">
        <v>1</v>
      </c>
      <c r="E2117" t="s">
        <v>6821</v>
      </c>
      <c r="F2117" t="s">
        <v>6821</v>
      </c>
      <c r="G2117" t="s">
        <v>6821</v>
      </c>
      <c r="H2117">
        <v>79</v>
      </c>
    </row>
    <row r="2118" spans="1:8" x14ac:dyDescent="0.25">
      <c r="A2118" t="s">
        <v>2000</v>
      </c>
      <c r="B2118">
        <v>1</v>
      </c>
      <c r="C2118">
        <v>1</v>
      </c>
      <c r="D2118">
        <v>1</v>
      </c>
      <c r="E2118" t="s">
        <v>6822</v>
      </c>
      <c r="F2118" t="s">
        <v>6823</v>
      </c>
      <c r="G2118" t="s">
        <v>6823</v>
      </c>
      <c r="H2118">
        <v>92</v>
      </c>
    </row>
    <row r="2119" spans="1:8" x14ac:dyDescent="0.25">
      <c r="A2119" t="s">
        <v>2122</v>
      </c>
      <c r="B2119">
        <v>1</v>
      </c>
      <c r="C2119">
        <v>1</v>
      </c>
      <c r="D2119">
        <v>1</v>
      </c>
      <c r="E2119" t="s">
        <v>6824</v>
      </c>
      <c r="F2119" t="s">
        <v>6824</v>
      </c>
      <c r="G2119" t="s">
        <v>6824</v>
      </c>
      <c r="H2119">
        <v>73</v>
      </c>
    </row>
    <row r="2120" spans="1:8" x14ac:dyDescent="0.25">
      <c r="A2120" t="s">
        <v>1608</v>
      </c>
      <c r="B2120">
        <v>1</v>
      </c>
      <c r="C2120">
        <v>1</v>
      </c>
      <c r="D2120">
        <v>1</v>
      </c>
      <c r="E2120" t="s">
        <v>6825</v>
      </c>
      <c r="F2120" t="s">
        <v>6826</v>
      </c>
      <c r="G2120" t="s">
        <v>6826</v>
      </c>
      <c r="H2120">
        <v>93</v>
      </c>
    </row>
    <row r="2121" spans="1:8" x14ac:dyDescent="0.25">
      <c r="A2121" t="s">
        <v>1375</v>
      </c>
      <c r="B2121">
        <v>1</v>
      </c>
      <c r="C2121">
        <v>1</v>
      </c>
      <c r="D2121">
        <v>1</v>
      </c>
      <c r="E2121" t="s">
        <v>6827</v>
      </c>
      <c r="F2121" t="s">
        <v>6827</v>
      </c>
      <c r="G2121" t="s">
        <v>6827</v>
      </c>
      <c r="H2121">
        <v>100</v>
      </c>
    </row>
    <row r="2122" spans="1:8" x14ac:dyDescent="0.25">
      <c r="A2122" t="s">
        <v>1169</v>
      </c>
      <c r="B2122">
        <v>1</v>
      </c>
      <c r="C2122">
        <v>1</v>
      </c>
      <c r="D2122">
        <v>1</v>
      </c>
      <c r="E2122" t="s">
        <v>6828</v>
      </c>
      <c r="F2122" t="s">
        <v>6829</v>
      </c>
      <c r="G2122" t="s">
        <v>6829</v>
      </c>
      <c r="H2122">
        <v>119</v>
      </c>
    </row>
    <row r="2123" spans="1:8" x14ac:dyDescent="0.25">
      <c r="A2123" t="s">
        <v>1217</v>
      </c>
      <c r="B2123">
        <v>1</v>
      </c>
      <c r="C2123">
        <v>1</v>
      </c>
      <c r="D2123">
        <v>1</v>
      </c>
      <c r="E2123" t="s">
        <v>6830</v>
      </c>
      <c r="F2123" t="s">
        <v>6831</v>
      </c>
      <c r="G2123" t="s">
        <v>6831</v>
      </c>
      <c r="H2123">
        <v>127</v>
      </c>
    </row>
    <row r="2124" spans="1:8" x14ac:dyDescent="0.25">
      <c r="A2124" t="s">
        <v>503</v>
      </c>
      <c r="B2124">
        <v>2</v>
      </c>
      <c r="C2124">
        <v>2</v>
      </c>
      <c r="D2124">
        <v>2</v>
      </c>
      <c r="E2124" t="s">
        <v>6832</v>
      </c>
      <c r="F2124" t="s">
        <v>6833</v>
      </c>
      <c r="G2124" t="s">
        <v>4256</v>
      </c>
      <c r="H2124">
        <v>261</v>
      </c>
    </row>
    <row r="2125" spans="1:8" x14ac:dyDescent="0.25">
      <c r="A2125" t="s">
        <v>880</v>
      </c>
      <c r="B2125">
        <v>1</v>
      </c>
      <c r="C2125">
        <v>1</v>
      </c>
      <c r="D2125">
        <v>1</v>
      </c>
      <c r="E2125" t="s">
        <v>6834</v>
      </c>
      <c r="F2125" t="s">
        <v>6834</v>
      </c>
      <c r="G2125" t="s">
        <v>6834</v>
      </c>
      <c r="H2125">
        <v>239</v>
      </c>
    </row>
    <row r="2126" spans="1:8" x14ac:dyDescent="0.25">
      <c r="A2126" t="s">
        <v>915</v>
      </c>
      <c r="B2126">
        <v>3</v>
      </c>
      <c r="C2126">
        <v>3</v>
      </c>
      <c r="D2126">
        <v>3</v>
      </c>
      <c r="E2126" t="s">
        <v>6835</v>
      </c>
      <c r="F2126" t="s">
        <v>6836</v>
      </c>
      <c r="G2126" t="s">
        <v>4256</v>
      </c>
      <c r="H2126">
        <v>260</v>
      </c>
    </row>
    <row r="2127" spans="1:8" x14ac:dyDescent="0.25">
      <c r="A2127" t="s">
        <v>832</v>
      </c>
      <c r="B2127">
        <v>2</v>
      </c>
      <c r="C2127">
        <v>2</v>
      </c>
      <c r="D2127">
        <v>2</v>
      </c>
      <c r="E2127" t="s">
        <v>6837</v>
      </c>
      <c r="F2127" t="s">
        <v>6837</v>
      </c>
      <c r="G2127" t="s">
        <v>4256</v>
      </c>
      <c r="H2127">
        <v>246</v>
      </c>
    </row>
    <row r="2128" spans="1:8" x14ac:dyDescent="0.25">
      <c r="A2128" t="s">
        <v>1154</v>
      </c>
      <c r="B2128">
        <v>1</v>
      </c>
      <c r="C2128">
        <v>1</v>
      </c>
      <c r="D2128">
        <v>1</v>
      </c>
      <c r="E2128" t="s">
        <v>6838</v>
      </c>
      <c r="F2128" t="s">
        <v>6838</v>
      </c>
      <c r="G2128" t="s">
        <v>6838</v>
      </c>
      <c r="H2128">
        <v>160</v>
      </c>
    </row>
    <row r="2129" spans="1:8" x14ac:dyDescent="0.25">
      <c r="A2129" t="s">
        <v>624</v>
      </c>
      <c r="B2129">
        <v>1</v>
      </c>
      <c r="C2129">
        <v>1</v>
      </c>
      <c r="D2129">
        <v>1</v>
      </c>
      <c r="E2129" t="s">
        <v>6839</v>
      </c>
      <c r="F2129" t="s">
        <v>6839</v>
      </c>
      <c r="G2129" t="s">
        <v>6839</v>
      </c>
      <c r="H2129">
        <v>286</v>
      </c>
    </row>
    <row r="2130" spans="1:8" x14ac:dyDescent="0.25">
      <c r="A2130" t="s">
        <v>1218</v>
      </c>
      <c r="B2130">
        <v>2</v>
      </c>
      <c r="C2130">
        <v>2</v>
      </c>
      <c r="D2130">
        <v>2</v>
      </c>
      <c r="E2130" t="s">
        <v>6840</v>
      </c>
      <c r="F2130" t="s">
        <v>6840</v>
      </c>
      <c r="G2130" t="s">
        <v>4256</v>
      </c>
      <c r="H2130">
        <v>115</v>
      </c>
    </row>
    <row r="2131" spans="1:8" x14ac:dyDescent="0.25">
      <c r="A2131" t="s">
        <v>470</v>
      </c>
      <c r="B2131">
        <v>4</v>
      </c>
      <c r="C2131">
        <v>4</v>
      </c>
      <c r="D2131">
        <v>4</v>
      </c>
      <c r="E2131" t="s">
        <v>6841</v>
      </c>
      <c r="F2131" t="s">
        <v>6842</v>
      </c>
      <c r="G2131" t="s">
        <v>4256</v>
      </c>
      <c r="H2131">
        <v>356</v>
      </c>
    </row>
    <row r="2132" spans="1:8" x14ac:dyDescent="0.25">
      <c r="A2132" t="s">
        <v>713</v>
      </c>
      <c r="B2132">
        <v>2</v>
      </c>
      <c r="C2132">
        <v>2</v>
      </c>
      <c r="D2132">
        <v>2</v>
      </c>
      <c r="E2132" t="s">
        <v>6843</v>
      </c>
      <c r="F2132" t="s">
        <v>6844</v>
      </c>
      <c r="G2132" t="s">
        <v>4256</v>
      </c>
      <c r="H2132">
        <v>188</v>
      </c>
    </row>
    <row r="2133" spans="1:8" x14ac:dyDescent="0.25">
      <c r="A2133" t="s">
        <v>432</v>
      </c>
      <c r="B2133">
        <v>1</v>
      </c>
      <c r="C2133">
        <v>1</v>
      </c>
      <c r="D2133">
        <v>1</v>
      </c>
      <c r="E2133" t="s">
        <v>6845</v>
      </c>
      <c r="F2133" t="s">
        <v>6846</v>
      </c>
      <c r="G2133" t="s">
        <v>6846</v>
      </c>
      <c r="H2133">
        <v>293</v>
      </c>
    </row>
    <row r="2134" spans="1:8" x14ac:dyDescent="0.25">
      <c r="A2134" t="s">
        <v>854</v>
      </c>
      <c r="B2134">
        <v>1</v>
      </c>
      <c r="C2134">
        <v>1</v>
      </c>
      <c r="D2134">
        <v>1</v>
      </c>
      <c r="E2134" t="s">
        <v>6847</v>
      </c>
      <c r="F2134" t="s">
        <v>6847</v>
      </c>
      <c r="G2134" t="s">
        <v>6847</v>
      </c>
      <c r="H2134">
        <v>195</v>
      </c>
    </row>
    <row r="2135" spans="1:8" x14ac:dyDescent="0.25">
      <c r="A2135" t="s">
        <v>242</v>
      </c>
      <c r="B2135">
        <v>3</v>
      </c>
      <c r="C2135">
        <v>3</v>
      </c>
      <c r="D2135">
        <v>2</v>
      </c>
      <c r="E2135" t="s">
        <v>6848</v>
      </c>
      <c r="F2135" t="s">
        <v>6849</v>
      </c>
      <c r="G2135" t="s">
        <v>4256</v>
      </c>
      <c r="H2135">
        <v>567</v>
      </c>
    </row>
    <row r="2136" spans="1:8" x14ac:dyDescent="0.25">
      <c r="A2136" t="s">
        <v>669</v>
      </c>
      <c r="B2136">
        <v>1</v>
      </c>
      <c r="C2136">
        <v>1</v>
      </c>
      <c r="D2136">
        <v>1</v>
      </c>
      <c r="E2136" t="s">
        <v>6850</v>
      </c>
      <c r="F2136" t="s">
        <v>6850</v>
      </c>
      <c r="G2136" t="s">
        <v>6850</v>
      </c>
      <c r="H2136">
        <v>379</v>
      </c>
    </row>
    <row r="2137" spans="1:8" x14ac:dyDescent="0.25">
      <c r="A2137" t="s">
        <v>908</v>
      </c>
      <c r="B2137">
        <v>1</v>
      </c>
      <c r="C2137">
        <v>1</v>
      </c>
      <c r="D2137">
        <v>1</v>
      </c>
      <c r="E2137" t="s">
        <v>6851</v>
      </c>
      <c r="F2137" t="s">
        <v>6852</v>
      </c>
      <c r="G2137" t="s">
        <v>6852</v>
      </c>
      <c r="H2137">
        <v>226</v>
      </c>
    </row>
    <row r="2138" spans="1:8" x14ac:dyDescent="0.25">
      <c r="A2138" t="s">
        <v>188</v>
      </c>
      <c r="B2138">
        <v>1</v>
      </c>
      <c r="C2138">
        <v>1</v>
      </c>
      <c r="D2138">
        <v>1</v>
      </c>
      <c r="E2138" t="s">
        <v>6853</v>
      </c>
      <c r="F2138" t="s">
        <v>6853</v>
      </c>
      <c r="G2138" t="s">
        <v>6853</v>
      </c>
      <c r="H2138">
        <v>509</v>
      </c>
    </row>
    <row r="2139" spans="1:8" x14ac:dyDescent="0.25">
      <c r="A2139" t="s">
        <v>1299</v>
      </c>
      <c r="B2139">
        <v>3</v>
      </c>
      <c r="C2139">
        <v>3</v>
      </c>
      <c r="D2139">
        <v>3</v>
      </c>
      <c r="E2139" t="s">
        <v>6854</v>
      </c>
      <c r="F2139" t="s">
        <v>6854</v>
      </c>
      <c r="G2139" t="s">
        <v>4256</v>
      </c>
      <c r="H2139">
        <v>117</v>
      </c>
    </row>
    <row r="2140" spans="1:8" x14ac:dyDescent="0.25">
      <c r="A2140" t="s">
        <v>155</v>
      </c>
      <c r="B2140">
        <v>1</v>
      </c>
      <c r="C2140">
        <v>1</v>
      </c>
      <c r="D2140">
        <v>1</v>
      </c>
      <c r="E2140" t="s">
        <v>6855</v>
      </c>
      <c r="F2140" t="s">
        <v>6855</v>
      </c>
      <c r="G2140" t="s">
        <v>6855</v>
      </c>
      <c r="H2140">
        <v>919</v>
      </c>
    </row>
    <row r="2141" spans="1:8" x14ac:dyDescent="0.25">
      <c r="A2141" t="s">
        <v>505</v>
      </c>
      <c r="B2141">
        <v>1</v>
      </c>
      <c r="C2141">
        <v>1</v>
      </c>
      <c r="D2141">
        <v>1</v>
      </c>
      <c r="E2141" t="s">
        <v>6856</v>
      </c>
      <c r="F2141" t="s">
        <v>6856</v>
      </c>
      <c r="G2141" t="s">
        <v>6856</v>
      </c>
      <c r="H2141">
        <v>320</v>
      </c>
    </row>
    <row r="2142" spans="1:8" x14ac:dyDescent="0.25">
      <c r="A2142" t="s">
        <v>1459</v>
      </c>
      <c r="B2142">
        <v>2</v>
      </c>
      <c r="C2142">
        <v>2</v>
      </c>
      <c r="D2142">
        <v>2</v>
      </c>
      <c r="E2142" t="s">
        <v>6857</v>
      </c>
      <c r="F2142" t="s">
        <v>6857</v>
      </c>
      <c r="G2142" t="s">
        <v>4256</v>
      </c>
      <c r="H2142">
        <v>89</v>
      </c>
    </row>
    <row r="2143" spans="1:8" x14ac:dyDescent="0.25">
      <c r="A2143" t="s">
        <v>1414</v>
      </c>
      <c r="B2143">
        <v>2</v>
      </c>
      <c r="C2143">
        <v>2</v>
      </c>
      <c r="D2143">
        <v>2</v>
      </c>
      <c r="E2143" t="s">
        <v>6858</v>
      </c>
      <c r="F2143" t="s">
        <v>6859</v>
      </c>
      <c r="G2143" t="s">
        <v>4256</v>
      </c>
      <c r="H2143">
        <v>118</v>
      </c>
    </row>
    <row r="2144" spans="1:8" x14ac:dyDescent="0.25">
      <c r="A2144" t="s">
        <v>1153</v>
      </c>
      <c r="B2144">
        <v>2</v>
      </c>
      <c r="C2144">
        <v>2</v>
      </c>
      <c r="D2144">
        <v>2</v>
      </c>
      <c r="E2144" t="s">
        <v>6860</v>
      </c>
      <c r="F2144" t="s">
        <v>6861</v>
      </c>
      <c r="G2144" t="s">
        <v>4256</v>
      </c>
      <c r="H2144">
        <v>126</v>
      </c>
    </row>
    <row r="2145" spans="1:8" x14ac:dyDescent="0.25">
      <c r="A2145" t="s">
        <v>1093</v>
      </c>
      <c r="B2145">
        <v>2</v>
      </c>
      <c r="C2145">
        <v>2</v>
      </c>
      <c r="D2145">
        <v>2</v>
      </c>
      <c r="E2145" t="s">
        <v>6862</v>
      </c>
      <c r="F2145" t="s">
        <v>6863</v>
      </c>
      <c r="G2145" t="s">
        <v>4256</v>
      </c>
      <c r="H2145">
        <v>148</v>
      </c>
    </row>
    <row r="2146" spans="1:8" x14ac:dyDescent="0.25">
      <c r="A2146" t="s">
        <v>769</v>
      </c>
      <c r="B2146">
        <v>2</v>
      </c>
      <c r="C2146">
        <v>2</v>
      </c>
      <c r="D2146">
        <v>2</v>
      </c>
      <c r="E2146" t="s">
        <v>6864</v>
      </c>
      <c r="F2146" t="s">
        <v>6864</v>
      </c>
      <c r="G2146" t="s">
        <v>4256</v>
      </c>
      <c r="H2146">
        <v>72</v>
      </c>
    </row>
    <row r="2147" spans="1:8" x14ac:dyDescent="0.25">
      <c r="A2147" t="s">
        <v>487</v>
      </c>
      <c r="B2147">
        <v>2</v>
      </c>
      <c r="C2147">
        <v>2</v>
      </c>
      <c r="D2147">
        <v>2</v>
      </c>
      <c r="E2147" t="s">
        <v>6865</v>
      </c>
      <c r="F2147" t="s">
        <v>6866</v>
      </c>
      <c r="G2147" t="s">
        <v>4256</v>
      </c>
      <c r="H2147">
        <v>315</v>
      </c>
    </row>
    <row r="2148" spans="1:8" x14ac:dyDescent="0.25">
      <c r="A2148" t="s">
        <v>732</v>
      </c>
      <c r="B2148">
        <v>1</v>
      </c>
      <c r="C2148">
        <v>1</v>
      </c>
      <c r="D2148">
        <v>1</v>
      </c>
      <c r="E2148" t="s">
        <v>6867</v>
      </c>
      <c r="F2148" t="s">
        <v>6867</v>
      </c>
      <c r="G2148" t="s">
        <v>6867</v>
      </c>
      <c r="H2148">
        <v>162</v>
      </c>
    </row>
    <row r="2149" spans="1:8" x14ac:dyDescent="0.25">
      <c r="A2149" t="s">
        <v>399</v>
      </c>
      <c r="B2149">
        <v>2</v>
      </c>
      <c r="C2149">
        <v>2</v>
      </c>
      <c r="D2149">
        <v>2</v>
      </c>
      <c r="E2149" t="s">
        <v>6868</v>
      </c>
      <c r="F2149" t="s">
        <v>6869</v>
      </c>
      <c r="G2149" t="s">
        <v>4256</v>
      </c>
      <c r="H2149">
        <v>382</v>
      </c>
    </row>
    <row r="2150" spans="1:8" x14ac:dyDescent="0.25">
      <c r="A2150" t="s">
        <v>609</v>
      </c>
      <c r="B2150">
        <v>1</v>
      </c>
      <c r="C2150">
        <v>1</v>
      </c>
      <c r="D2150">
        <v>1</v>
      </c>
      <c r="E2150" t="s">
        <v>6870</v>
      </c>
      <c r="F2150" t="s">
        <v>6870</v>
      </c>
      <c r="G2150" t="s">
        <v>6870</v>
      </c>
      <c r="H2150">
        <v>492</v>
      </c>
    </row>
    <row r="2151" spans="1:8" x14ac:dyDescent="0.25">
      <c r="A2151" t="s">
        <v>986</v>
      </c>
      <c r="B2151">
        <v>1</v>
      </c>
      <c r="C2151">
        <v>1</v>
      </c>
      <c r="D2151">
        <v>1</v>
      </c>
      <c r="E2151" t="s">
        <v>6871</v>
      </c>
      <c r="F2151" t="s">
        <v>6871</v>
      </c>
      <c r="G2151" t="s">
        <v>6871</v>
      </c>
      <c r="H2151">
        <v>318</v>
      </c>
    </row>
    <row r="2152" spans="1:8" x14ac:dyDescent="0.25">
      <c r="A2152" t="s">
        <v>1045</v>
      </c>
      <c r="B2152">
        <v>1</v>
      </c>
      <c r="C2152">
        <v>1</v>
      </c>
      <c r="D2152">
        <v>1</v>
      </c>
      <c r="E2152" t="s">
        <v>6872</v>
      </c>
      <c r="F2152" t="s">
        <v>6872</v>
      </c>
      <c r="G2152" t="s">
        <v>6872</v>
      </c>
      <c r="H2152">
        <v>319</v>
      </c>
    </row>
    <row r="2153" spans="1:8" x14ac:dyDescent="0.25">
      <c r="A2153" t="s">
        <v>966</v>
      </c>
      <c r="B2153">
        <v>1</v>
      </c>
      <c r="C2153">
        <v>1</v>
      </c>
      <c r="D2153">
        <v>1</v>
      </c>
      <c r="E2153" t="s">
        <v>6873</v>
      </c>
      <c r="F2153" t="s">
        <v>6873</v>
      </c>
      <c r="G2153" t="s">
        <v>6873</v>
      </c>
      <c r="H2153">
        <v>343</v>
      </c>
    </row>
    <row r="2154" spans="1:8" x14ac:dyDescent="0.25">
      <c r="A2154" t="s">
        <v>1412</v>
      </c>
      <c r="B2154">
        <v>1</v>
      </c>
      <c r="C2154">
        <v>1</v>
      </c>
      <c r="D2154">
        <v>1</v>
      </c>
      <c r="E2154" t="s">
        <v>6874</v>
      </c>
      <c r="F2154" t="s">
        <v>6874</v>
      </c>
      <c r="G2154" t="s">
        <v>6874</v>
      </c>
      <c r="H2154">
        <v>112</v>
      </c>
    </row>
    <row r="2155" spans="1:8" x14ac:dyDescent="0.25">
      <c r="A2155" t="s">
        <v>1185</v>
      </c>
      <c r="B2155">
        <v>3</v>
      </c>
      <c r="C2155">
        <v>3</v>
      </c>
      <c r="D2155">
        <v>3</v>
      </c>
      <c r="E2155" t="s">
        <v>6875</v>
      </c>
      <c r="F2155" t="s">
        <v>6875</v>
      </c>
      <c r="G2155" t="s">
        <v>4256</v>
      </c>
      <c r="H2155">
        <v>97</v>
      </c>
    </row>
    <row r="2156" spans="1:8" x14ac:dyDescent="0.25">
      <c r="A2156" t="s">
        <v>1622</v>
      </c>
      <c r="B2156">
        <v>2</v>
      </c>
      <c r="C2156">
        <v>2</v>
      </c>
      <c r="D2156">
        <v>2</v>
      </c>
      <c r="E2156" t="s">
        <v>6876</v>
      </c>
      <c r="F2156" t="s">
        <v>6876</v>
      </c>
      <c r="G2156" t="s">
        <v>4256</v>
      </c>
      <c r="H2156">
        <v>98</v>
      </c>
    </row>
    <row r="2157" spans="1:8" x14ac:dyDescent="0.25">
      <c r="A2157" t="s">
        <v>1336</v>
      </c>
      <c r="B2157">
        <v>2</v>
      </c>
      <c r="C2157">
        <v>2</v>
      </c>
      <c r="D2157">
        <v>2</v>
      </c>
      <c r="E2157" t="s">
        <v>6877</v>
      </c>
      <c r="F2157" t="s">
        <v>6878</v>
      </c>
      <c r="G2157" t="s">
        <v>4256</v>
      </c>
      <c r="H2157">
        <v>135</v>
      </c>
    </row>
    <row r="2158" spans="1:8" x14ac:dyDescent="0.25">
      <c r="A2158" t="s">
        <v>1428</v>
      </c>
      <c r="B2158">
        <v>2</v>
      </c>
      <c r="C2158">
        <v>2</v>
      </c>
      <c r="D2158">
        <v>2</v>
      </c>
      <c r="E2158" t="s">
        <v>6879</v>
      </c>
      <c r="F2158" t="s">
        <v>6879</v>
      </c>
      <c r="G2158" t="s">
        <v>4256</v>
      </c>
      <c r="H2158">
        <v>107</v>
      </c>
    </row>
    <row r="2159" spans="1:8" x14ac:dyDescent="0.25">
      <c r="A2159" t="s">
        <v>2247</v>
      </c>
      <c r="B2159">
        <v>1</v>
      </c>
      <c r="C2159">
        <v>1</v>
      </c>
      <c r="D2159">
        <v>1</v>
      </c>
      <c r="E2159" t="s">
        <v>6880</v>
      </c>
      <c r="F2159" t="s">
        <v>6880</v>
      </c>
      <c r="G2159" t="s">
        <v>6880</v>
      </c>
      <c r="H2159">
        <v>44</v>
      </c>
    </row>
    <row r="2160" spans="1:8" x14ac:dyDescent="0.25">
      <c r="A2160" t="s">
        <v>1343</v>
      </c>
      <c r="B2160">
        <v>1</v>
      </c>
      <c r="C2160">
        <v>1</v>
      </c>
      <c r="D2160">
        <v>1</v>
      </c>
      <c r="E2160" t="s">
        <v>6881</v>
      </c>
      <c r="F2160" t="s">
        <v>6881</v>
      </c>
      <c r="G2160" t="s">
        <v>6881</v>
      </c>
      <c r="H2160">
        <v>117</v>
      </c>
    </row>
    <row r="2161" spans="1:8" x14ac:dyDescent="0.25">
      <c r="A2161" t="s">
        <v>1196</v>
      </c>
      <c r="B2161">
        <v>1</v>
      </c>
      <c r="C2161">
        <v>1</v>
      </c>
      <c r="D2161">
        <v>1</v>
      </c>
      <c r="E2161" t="s">
        <v>6882</v>
      </c>
      <c r="F2161" t="s">
        <v>6882</v>
      </c>
      <c r="G2161" t="s">
        <v>6882</v>
      </c>
      <c r="H2161">
        <v>126</v>
      </c>
    </row>
    <row r="2162" spans="1:8" x14ac:dyDescent="0.25">
      <c r="A2162" t="s">
        <v>686</v>
      </c>
      <c r="B2162">
        <v>1</v>
      </c>
      <c r="C2162">
        <v>1</v>
      </c>
      <c r="D2162">
        <v>1</v>
      </c>
      <c r="E2162" t="s">
        <v>6883</v>
      </c>
      <c r="F2162" t="s">
        <v>6883</v>
      </c>
      <c r="G2162" t="s">
        <v>6883</v>
      </c>
      <c r="H2162">
        <v>345</v>
      </c>
    </row>
    <row r="2163" spans="1:8" x14ac:dyDescent="0.25">
      <c r="A2163" t="s">
        <v>1360</v>
      </c>
      <c r="B2163">
        <v>2</v>
      </c>
      <c r="C2163">
        <v>2</v>
      </c>
      <c r="D2163">
        <v>2</v>
      </c>
      <c r="E2163" t="s">
        <v>6884</v>
      </c>
      <c r="F2163" t="s">
        <v>6885</v>
      </c>
      <c r="G2163" t="s">
        <v>4256</v>
      </c>
      <c r="H2163">
        <v>160</v>
      </c>
    </row>
    <row r="2164" spans="1:8" x14ac:dyDescent="0.25">
      <c r="A2164" t="s">
        <v>1761</v>
      </c>
      <c r="B2164">
        <v>2</v>
      </c>
      <c r="C2164">
        <v>2</v>
      </c>
      <c r="D2164">
        <v>2</v>
      </c>
      <c r="E2164" t="s">
        <v>6886</v>
      </c>
      <c r="F2164" t="s">
        <v>6887</v>
      </c>
      <c r="G2164" t="s">
        <v>4256</v>
      </c>
      <c r="H2164">
        <v>104</v>
      </c>
    </row>
    <row r="2165" spans="1:8" x14ac:dyDescent="0.25">
      <c r="A2165" t="s">
        <v>1994</v>
      </c>
      <c r="B2165">
        <v>2</v>
      </c>
      <c r="C2165">
        <v>2</v>
      </c>
      <c r="D2165">
        <v>2</v>
      </c>
      <c r="E2165" t="s">
        <v>6888</v>
      </c>
      <c r="F2165" t="s">
        <v>6889</v>
      </c>
      <c r="G2165" t="s">
        <v>4256</v>
      </c>
      <c r="H2165">
        <v>137</v>
      </c>
    </row>
    <row r="2166" spans="1:8" x14ac:dyDescent="0.25">
      <c r="A2166" t="s">
        <v>480</v>
      </c>
      <c r="B2166">
        <v>2</v>
      </c>
      <c r="C2166">
        <v>2</v>
      </c>
      <c r="D2166">
        <v>2</v>
      </c>
      <c r="E2166" t="s">
        <v>6890</v>
      </c>
      <c r="F2166" t="s">
        <v>6891</v>
      </c>
      <c r="G2166" t="s">
        <v>4256</v>
      </c>
      <c r="H2166">
        <v>236</v>
      </c>
    </row>
    <row r="2167" spans="1:8" x14ac:dyDescent="0.25">
      <c r="A2167" t="s">
        <v>144</v>
      </c>
      <c r="B2167">
        <v>1</v>
      </c>
      <c r="C2167">
        <v>1</v>
      </c>
      <c r="D2167">
        <v>1</v>
      </c>
      <c r="E2167" t="s">
        <v>6892</v>
      </c>
      <c r="F2167" t="s">
        <v>6892</v>
      </c>
      <c r="G2167" t="s">
        <v>6892</v>
      </c>
      <c r="H2167">
        <v>746</v>
      </c>
    </row>
    <row r="2168" spans="1:8" x14ac:dyDescent="0.25">
      <c r="A2168" t="s">
        <v>682</v>
      </c>
      <c r="B2168">
        <v>1</v>
      </c>
      <c r="C2168">
        <v>1</v>
      </c>
      <c r="D2168">
        <v>1</v>
      </c>
      <c r="E2168" t="s">
        <v>6893</v>
      </c>
      <c r="F2168" t="s">
        <v>6893</v>
      </c>
      <c r="G2168" t="s">
        <v>6893</v>
      </c>
      <c r="H2168">
        <v>193</v>
      </c>
    </row>
    <row r="2169" spans="1:8" x14ac:dyDescent="0.25">
      <c r="A2169" t="s">
        <v>664</v>
      </c>
      <c r="B2169">
        <v>1</v>
      </c>
      <c r="C2169">
        <v>1</v>
      </c>
      <c r="D2169">
        <v>1</v>
      </c>
      <c r="E2169" t="s">
        <v>6894</v>
      </c>
      <c r="F2169" t="s">
        <v>6894</v>
      </c>
      <c r="G2169" t="s">
        <v>6894</v>
      </c>
      <c r="H2169">
        <v>225</v>
      </c>
    </row>
    <row r="2170" spans="1:8" x14ac:dyDescent="0.25">
      <c r="A2170" t="s">
        <v>1363</v>
      </c>
      <c r="B2170">
        <v>1</v>
      </c>
      <c r="C2170">
        <v>1</v>
      </c>
      <c r="D2170">
        <v>1</v>
      </c>
      <c r="E2170" t="s">
        <v>6895</v>
      </c>
      <c r="F2170" t="s">
        <v>6895</v>
      </c>
      <c r="G2170" t="s">
        <v>6895</v>
      </c>
      <c r="H2170">
        <v>204</v>
      </c>
    </row>
    <row r="2171" spans="1:8" x14ac:dyDescent="0.25">
      <c r="A2171" t="s">
        <v>700</v>
      </c>
      <c r="B2171">
        <v>2</v>
      </c>
      <c r="C2171">
        <v>2</v>
      </c>
      <c r="D2171">
        <v>2</v>
      </c>
      <c r="E2171" t="s">
        <v>6896</v>
      </c>
      <c r="F2171" t="s">
        <v>6896</v>
      </c>
      <c r="G2171" t="s">
        <v>4256</v>
      </c>
      <c r="H2171">
        <v>191</v>
      </c>
    </row>
    <row r="2172" spans="1:8" x14ac:dyDescent="0.25">
      <c r="A2172" t="s">
        <v>1189</v>
      </c>
      <c r="B2172">
        <v>1</v>
      </c>
      <c r="C2172">
        <v>1</v>
      </c>
      <c r="D2172">
        <v>1</v>
      </c>
      <c r="E2172" t="s">
        <v>6897</v>
      </c>
      <c r="F2172" t="s">
        <v>6897</v>
      </c>
      <c r="G2172" t="s">
        <v>6897</v>
      </c>
      <c r="H2172">
        <v>196</v>
      </c>
    </row>
    <row r="2173" spans="1:8" x14ac:dyDescent="0.25">
      <c r="A2173" t="s">
        <v>937</v>
      </c>
      <c r="B2173">
        <v>1</v>
      </c>
      <c r="C2173">
        <v>1</v>
      </c>
      <c r="D2173">
        <v>1</v>
      </c>
      <c r="E2173" t="s">
        <v>6898</v>
      </c>
      <c r="F2173" t="s">
        <v>6898</v>
      </c>
      <c r="G2173" t="s">
        <v>6898</v>
      </c>
      <c r="H2173">
        <v>217</v>
      </c>
    </row>
    <row r="2174" spans="1:8" x14ac:dyDescent="0.25">
      <c r="A2174" t="s">
        <v>1171</v>
      </c>
      <c r="B2174">
        <v>1</v>
      </c>
      <c r="C2174">
        <v>1</v>
      </c>
      <c r="D2174">
        <v>1</v>
      </c>
      <c r="E2174" t="s">
        <v>6899</v>
      </c>
      <c r="F2174" t="s">
        <v>6899</v>
      </c>
      <c r="G2174" t="s">
        <v>6899</v>
      </c>
      <c r="H2174">
        <v>200</v>
      </c>
    </row>
    <row r="2175" spans="1:8" x14ac:dyDescent="0.25">
      <c r="A2175" t="s">
        <v>984</v>
      </c>
      <c r="B2175">
        <v>2</v>
      </c>
      <c r="C2175">
        <v>2</v>
      </c>
      <c r="D2175">
        <v>2</v>
      </c>
      <c r="E2175" t="s">
        <v>6900</v>
      </c>
      <c r="F2175" t="s">
        <v>6900</v>
      </c>
      <c r="G2175" t="s">
        <v>4256</v>
      </c>
      <c r="H2175">
        <v>230</v>
      </c>
    </row>
    <row r="2176" spans="1:8" x14ac:dyDescent="0.25">
      <c r="A2176" t="s">
        <v>481</v>
      </c>
      <c r="B2176">
        <v>1</v>
      </c>
      <c r="C2176">
        <v>1</v>
      </c>
      <c r="D2176">
        <v>1</v>
      </c>
      <c r="E2176" t="s">
        <v>6901</v>
      </c>
      <c r="F2176" t="s">
        <v>6901</v>
      </c>
      <c r="G2176" t="s">
        <v>6901</v>
      </c>
      <c r="H2176">
        <v>567</v>
      </c>
    </row>
    <row r="2177" spans="1:8" x14ac:dyDescent="0.25">
      <c r="A2177" t="s">
        <v>806</v>
      </c>
      <c r="B2177">
        <v>1</v>
      </c>
      <c r="C2177">
        <v>1</v>
      </c>
      <c r="D2177">
        <v>1</v>
      </c>
      <c r="E2177" t="s">
        <v>6902</v>
      </c>
      <c r="F2177" t="s">
        <v>6902</v>
      </c>
      <c r="G2177" t="s">
        <v>6902</v>
      </c>
      <c r="H2177">
        <v>369</v>
      </c>
    </row>
    <row r="2178" spans="1:8" x14ac:dyDescent="0.25">
      <c r="A2178" t="s">
        <v>625</v>
      </c>
      <c r="B2178">
        <v>1</v>
      </c>
      <c r="C2178">
        <v>1</v>
      </c>
      <c r="D2178">
        <v>1</v>
      </c>
      <c r="E2178" t="s">
        <v>6903</v>
      </c>
      <c r="F2178" t="s">
        <v>6903</v>
      </c>
      <c r="G2178" t="s">
        <v>6903</v>
      </c>
      <c r="H2178">
        <v>460</v>
      </c>
    </row>
    <row r="2179" spans="1:8" x14ac:dyDescent="0.25">
      <c r="A2179" t="s">
        <v>553</v>
      </c>
      <c r="B2179">
        <v>1</v>
      </c>
      <c r="C2179">
        <v>1</v>
      </c>
      <c r="D2179">
        <v>1</v>
      </c>
      <c r="E2179" t="s">
        <v>6904</v>
      </c>
      <c r="F2179" t="s">
        <v>6904</v>
      </c>
      <c r="G2179" t="s">
        <v>6904</v>
      </c>
      <c r="H2179">
        <v>389</v>
      </c>
    </row>
    <row r="2180" spans="1:8" x14ac:dyDescent="0.25">
      <c r="A2180" t="s">
        <v>499</v>
      </c>
      <c r="B2180">
        <v>1</v>
      </c>
      <c r="C2180">
        <v>1</v>
      </c>
      <c r="D2180">
        <v>1</v>
      </c>
      <c r="E2180" t="s">
        <v>6905</v>
      </c>
      <c r="F2180" t="s">
        <v>6905</v>
      </c>
      <c r="G2180" t="s">
        <v>6905</v>
      </c>
      <c r="H2180">
        <v>167</v>
      </c>
    </row>
    <row r="2181" spans="1:8" x14ac:dyDescent="0.25">
      <c r="A2181" t="s">
        <v>140</v>
      </c>
      <c r="B2181">
        <v>2</v>
      </c>
      <c r="C2181">
        <v>2</v>
      </c>
      <c r="D2181">
        <v>2</v>
      </c>
      <c r="E2181" t="s">
        <v>6906</v>
      </c>
      <c r="F2181" t="s">
        <v>6907</v>
      </c>
      <c r="G2181" t="s">
        <v>4256</v>
      </c>
      <c r="H2181">
        <v>1179</v>
      </c>
    </row>
    <row r="2182" spans="1:8" x14ac:dyDescent="0.25">
      <c r="A2182" t="s">
        <v>782</v>
      </c>
      <c r="B2182">
        <v>2</v>
      </c>
      <c r="C2182">
        <v>2</v>
      </c>
      <c r="D2182">
        <v>2</v>
      </c>
      <c r="E2182" t="s">
        <v>6908</v>
      </c>
      <c r="F2182" t="s">
        <v>6909</v>
      </c>
      <c r="G2182" t="s">
        <v>4256</v>
      </c>
      <c r="H2182">
        <v>150</v>
      </c>
    </row>
    <row r="2183" spans="1:8" x14ac:dyDescent="0.25">
      <c r="A2183" t="s">
        <v>311</v>
      </c>
      <c r="B2183">
        <v>1</v>
      </c>
      <c r="C2183">
        <v>1</v>
      </c>
      <c r="D2183">
        <v>1</v>
      </c>
      <c r="E2183" t="s">
        <v>6910</v>
      </c>
      <c r="F2183" t="s">
        <v>6911</v>
      </c>
      <c r="G2183" t="s">
        <v>6911</v>
      </c>
      <c r="H2183">
        <v>780</v>
      </c>
    </row>
    <row r="2184" spans="1:8" x14ac:dyDescent="0.25">
      <c r="A2184" t="s">
        <v>249</v>
      </c>
      <c r="B2184">
        <v>1</v>
      </c>
      <c r="C2184">
        <v>1</v>
      </c>
      <c r="D2184">
        <v>1</v>
      </c>
      <c r="E2184" t="s">
        <v>6912</v>
      </c>
      <c r="F2184" t="s">
        <v>6913</v>
      </c>
      <c r="G2184" t="s">
        <v>6913</v>
      </c>
      <c r="H2184">
        <v>937</v>
      </c>
    </row>
    <row r="2185" spans="1:8" x14ac:dyDescent="0.25">
      <c r="A2185" t="s">
        <v>1116</v>
      </c>
      <c r="B2185">
        <v>1</v>
      </c>
      <c r="C2185">
        <v>1</v>
      </c>
      <c r="D2185">
        <v>1</v>
      </c>
      <c r="E2185" t="s">
        <v>6914</v>
      </c>
      <c r="F2185" t="s">
        <v>6914</v>
      </c>
      <c r="G2185" t="s">
        <v>6914</v>
      </c>
      <c r="H2185">
        <v>241</v>
      </c>
    </row>
    <row r="2186" spans="1:8" x14ac:dyDescent="0.25">
      <c r="A2186" t="s">
        <v>3068</v>
      </c>
      <c r="B2186">
        <v>1</v>
      </c>
      <c r="C2186">
        <v>1</v>
      </c>
      <c r="D2186">
        <v>1</v>
      </c>
      <c r="E2186" t="s">
        <v>6915</v>
      </c>
      <c r="F2186" t="s">
        <v>6915</v>
      </c>
      <c r="G2186" t="s">
        <v>6915</v>
      </c>
      <c r="H2186">
        <v>6</v>
      </c>
    </row>
    <row r="2187" spans="1:8" x14ac:dyDescent="0.25">
      <c r="A2187" t="s">
        <v>3029</v>
      </c>
      <c r="B2187">
        <v>1</v>
      </c>
      <c r="C2187">
        <v>1</v>
      </c>
      <c r="D2187">
        <v>1</v>
      </c>
      <c r="E2187" t="s">
        <v>6916</v>
      </c>
      <c r="F2187" t="s">
        <v>6917</v>
      </c>
      <c r="G2187" t="s">
        <v>6917</v>
      </c>
      <c r="H2187">
        <v>9</v>
      </c>
    </row>
    <row r="2188" spans="1:8" x14ac:dyDescent="0.25">
      <c r="A2188" t="s">
        <v>2957</v>
      </c>
      <c r="B2188">
        <v>1</v>
      </c>
      <c r="C2188">
        <v>1</v>
      </c>
      <c r="D2188">
        <v>1</v>
      </c>
      <c r="E2188" t="s">
        <v>6918</v>
      </c>
      <c r="F2188" t="s">
        <v>6918</v>
      </c>
      <c r="G2188" t="s">
        <v>6918</v>
      </c>
      <c r="H2188">
        <v>9</v>
      </c>
    </row>
    <row r="2189" spans="1:8" x14ac:dyDescent="0.25">
      <c r="A2189" t="s">
        <v>730</v>
      </c>
      <c r="B2189">
        <v>2</v>
      </c>
      <c r="C2189">
        <v>2</v>
      </c>
      <c r="D2189">
        <v>2</v>
      </c>
      <c r="E2189" t="s">
        <v>6919</v>
      </c>
      <c r="F2189" t="s">
        <v>6919</v>
      </c>
      <c r="G2189" t="s">
        <v>4256</v>
      </c>
      <c r="H2189">
        <v>285</v>
      </c>
    </row>
    <row r="2190" spans="1:8" x14ac:dyDescent="0.25">
      <c r="A2190" t="s">
        <v>529</v>
      </c>
      <c r="B2190">
        <v>1</v>
      </c>
      <c r="C2190">
        <v>1</v>
      </c>
      <c r="D2190">
        <v>1</v>
      </c>
      <c r="E2190" t="s">
        <v>6920</v>
      </c>
      <c r="F2190" t="s">
        <v>6921</v>
      </c>
      <c r="G2190" t="s">
        <v>6921</v>
      </c>
      <c r="H2190">
        <v>659</v>
      </c>
    </row>
    <row r="2191" spans="1:8" x14ac:dyDescent="0.25">
      <c r="A2191" t="s">
        <v>872</v>
      </c>
      <c r="B2191">
        <v>1</v>
      </c>
      <c r="C2191">
        <v>1</v>
      </c>
      <c r="D2191">
        <v>1</v>
      </c>
      <c r="E2191" t="s">
        <v>6922</v>
      </c>
      <c r="F2191" t="s">
        <v>6923</v>
      </c>
      <c r="G2191" t="s">
        <v>6923</v>
      </c>
      <c r="H2191">
        <v>394</v>
      </c>
    </row>
    <row r="2192" spans="1:8" x14ac:dyDescent="0.25">
      <c r="A2192" t="s">
        <v>689</v>
      </c>
      <c r="B2192">
        <v>1</v>
      </c>
      <c r="C2192">
        <v>1</v>
      </c>
      <c r="D2192">
        <v>1</v>
      </c>
      <c r="E2192" t="s">
        <v>6924</v>
      </c>
      <c r="F2192" t="s">
        <v>6925</v>
      </c>
      <c r="G2192" t="s">
        <v>6925</v>
      </c>
      <c r="H2192">
        <v>435</v>
      </c>
    </row>
    <row r="2193" spans="1:8" x14ac:dyDescent="0.25">
      <c r="A2193" t="s">
        <v>636</v>
      </c>
      <c r="B2193">
        <v>1</v>
      </c>
      <c r="C2193">
        <v>1</v>
      </c>
      <c r="D2193">
        <v>1</v>
      </c>
      <c r="E2193" t="s">
        <v>6926</v>
      </c>
      <c r="F2193" t="s">
        <v>6926</v>
      </c>
      <c r="G2193" t="s">
        <v>6926</v>
      </c>
      <c r="H2193">
        <v>246</v>
      </c>
    </row>
    <row r="2194" spans="1:8" x14ac:dyDescent="0.25">
      <c r="A2194" t="s">
        <v>517</v>
      </c>
      <c r="B2194">
        <v>1</v>
      </c>
      <c r="C2194">
        <v>1</v>
      </c>
      <c r="D2194">
        <v>1</v>
      </c>
      <c r="E2194" t="s">
        <v>6927</v>
      </c>
      <c r="F2194" t="s">
        <v>6928</v>
      </c>
      <c r="G2194" t="s">
        <v>6928</v>
      </c>
      <c r="H2194">
        <v>351</v>
      </c>
    </row>
    <row r="2195" spans="1:8" x14ac:dyDescent="0.25">
      <c r="A2195" t="s">
        <v>554</v>
      </c>
      <c r="B2195">
        <v>1</v>
      </c>
      <c r="C2195">
        <v>1</v>
      </c>
      <c r="D2195">
        <v>1</v>
      </c>
      <c r="E2195" t="s">
        <v>6929</v>
      </c>
      <c r="F2195" t="s">
        <v>6929</v>
      </c>
      <c r="G2195" t="s">
        <v>6929</v>
      </c>
      <c r="H2195">
        <v>220</v>
      </c>
    </row>
    <row r="2196" spans="1:8" x14ac:dyDescent="0.25">
      <c r="A2196" t="s">
        <v>254</v>
      </c>
      <c r="B2196">
        <v>1</v>
      </c>
      <c r="C2196">
        <v>1</v>
      </c>
      <c r="D2196">
        <v>1</v>
      </c>
      <c r="E2196" t="s">
        <v>6930</v>
      </c>
      <c r="F2196" t="s">
        <v>6930</v>
      </c>
      <c r="G2196" t="s">
        <v>6930</v>
      </c>
      <c r="H2196">
        <v>415</v>
      </c>
    </row>
    <row r="2197" spans="1:8" x14ac:dyDescent="0.25">
      <c r="A2197" t="s">
        <v>629</v>
      </c>
      <c r="B2197">
        <v>1</v>
      </c>
      <c r="C2197">
        <v>1</v>
      </c>
      <c r="D2197">
        <v>1</v>
      </c>
      <c r="E2197" t="s">
        <v>6931</v>
      </c>
      <c r="F2197" t="s">
        <v>6931</v>
      </c>
      <c r="G2197" t="s">
        <v>6931</v>
      </c>
      <c r="H2197">
        <v>121</v>
      </c>
    </row>
    <row r="2198" spans="1:8" x14ac:dyDescent="0.25">
      <c r="A2198" t="s">
        <v>1160</v>
      </c>
      <c r="B2198">
        <v>1</v>
      </c>
      <c r="C2198">
        <v>1</v>
      </c>
      <c r="D2198">
        <v>1</v>
      </c>
      <c r="E2198" t="s">
        <v>6932</v>
      </c>
      <c r="F2198" t="s">
        <v>6932</v>
      </c>
      <c r="G2198" t="s">
        <v>6932</v>
      </c>
      <c r="H2198">
        <v>87</v>
      </c>
    </row>
    <row r="2199" spans="1:8" x14ac:dyDescent="0.25">
      <c r="A2199" t="s">
        <v>1030</v>
      </c>
      <c r="B2199">
        <v>1</v>
      </c>
      <c r="C2199">
        <v>1</v>
      </c>
      <c r="D2199">
        <v>1</v>
      </c>
      <c r="E2199" t="s">
        <v>6933</v>
      </c>
      <c r="F2199" t="s">
        <v>6934</v>
      </c>
      <c r="G2199" t="s">
        <v>6934</v>
      </c>
      <c r="H2199">
        <v>112</v>
      </c>
    </row>
    <row r="2200" spans="1:8" x14ac:dyDescent="0.25">
      <c r="A2200" t="s">
        <v>1278</v>
      </c>
      <c r="B2200">
        <v>1</v>
      </c>
      <c r="C2200">
        <v>1</v>
      </c>
      <c r="D2200">
        <v>1</v>
      </c>
      <c r="E2200" t="s">
        <v>6935</v>
      </c>
      <c r="F2200" t="s">
        <v>6936</v>
      </c>
      <c r="G2200" t="s">
        <v>6936</v>
      </c>
      <c r="H2200">
        <v>83</v>
      </c>
    </row>
    <row r="2201" spans="1:8" x14ac:dyDescent="0.25">
      <c r="A2201" t="s">
        <v>384</v>
      </c>
      <c r="B2201">
        <v>1</v>
      </c>
      <c r="C2201">
        <v>1</v>
      </c>
      <c r="D2201">
        <v>1</v>
      </c>
      <c r="E2201" t="s">
        <v>6937</v>
      </c>
      <c r="F2201" t="s">
        <v>6937</v>
      </c>
      <c r="G2201" t="s">
        <v>6937</v>
      </c>
      <c r="H2201">
        <v>391</v>
      </c>
    </row>
    <row r="2202" spans="1:8" x14ac:dyDescent="0.25">
      <c r="A2202" t="s">
        <v>380</v>
      </c>
      <c r="B2202">
        <v>1</v>
      </c>
      <c r="C2202">
        <v>1</v>
      </c>
      <c r="D2202">
        <v>1</v>
      </c>
      <c r="E2202" t="s">
        <v>6938</v>
      </c>
      <c r="F2202" t="s">
        <v>6938</v>
      </c>
      <c r="G2202" t="s">
        <v>6938</v>
      </c>
      <c r="H2202">
        <v>425</v>
      </c>
    </row>
    <row r="2203" spans="1:8" x14ac:dyDescent="0.25">
      <c r="A2203" t="s">
        <v>472</v>
      </c>
      <c r="B2203">
        <v>1</v>
      </c>
      <c r="C2203">
        <v>1</v>
      </c>
      <c r="D2203">
        <v>1</v>
      </c>
      <c r="E2203" t="s">
        <v>6939</v>
      </c>
      <c r="F2203" t="s">
        <v>6939</v>
      </c>
      <c r="G2203" t="s">
        <v>6939</v>
      </c>
      <c r="H2203">
        <v>346</v>
      </c>
    </row>
    <row r="2204" spans="1:8" x14ac:dyDescent="0.25">
      <c r="A2204" t="s">
        <v>410</v>
      </c>
      <c r="B2204">
        <v>1</v>
      </c>
      <c r="C2204">
        <v>1</v>
      </c>
      <c r="D2204">
        <v>1</v>
      </c>
      <c r="E2204" t="s">
        <v>6940</v>
      </c>
      <c r="F2204" t="s">
        <v>6940</v>
      </c>
      <c r="G2204" t="s">
        <v>6940</v>
      </c>
      <c r="H2204">
        <v>657</v>
      </c>
    </row>
    <row r="2205" spans="1:8" x14ac:dyDescent="0.25">
      <c r="A2205" t="s">
        <v>394</v>
      </c>
      <c r="B2205">
        <v>2</v>
      </c>
      <c r="C2205">
        <v>2</v>
      </c>
      <c r="D2205">
        <v>2</v>
      </c>
      <c r="E2205" t="s">
        <v>6941</v>
      </c>
      <c r="F2205" t="s">
        <v>6941</v>
      </c>
      <c r="G2205" t="s">
        <v>4256</v>
      </c>
      <c r="H2205">
        <v>594</v>
      </c>
    </row>
    <row r="2206" spans="1:8" x14ac:dyDescent="0.25">
      <c r="A2206" t="s">
        <v>889</v>
      </c>
      <c r="B2206">
        <v>1</v>
      </c>
      <c r="C2206">
        <v>1</v>
      </c>
      <c r="D2206">
        <v>1</v>
      </c>
      <c r="E2206" t="s">
        <v>6942</v>
      </c>
      <c r="F2206" t="s">
        <v>6943</v>
      </c>
      <c r="G2206" t="s">
        <v>6943</v>
      </c>
      <c r="H2206">
        <v>309</v>
      </c>
    </row>
    <row r="2207" spans="1:8" x14ac:dyDescent="0.25">
      <c r="A2207" t="s">
        <v>1923</v>
      </c>
      <c r="B2207">
        <v>2</v>
      </c>
      <c r="C2207">
        <v>2</v>
      </c>
      <c r="D2207">
        <v>2</v>
      </c>
      <c r="E2207" t="s">
        <v>6944</v>
      </c>
      <c r="F2207" t="s">
        <v>6945</v>
      </c>
      <c r="G2207" t="s">
        <v>4256</v>
      </c>
      <c r="H2207">
        <v>46</v>
      </c>
    </row>
    <row r="2208" spans="1:8" x14ac:dyDescent="0.25">
      <c r="A2208" t="s">
        <v>2015</v>
      </c>
      <c r="B2208">
        <v>2</v>
      </c>
      <c r="C2208">
        <v>2</v>
      </c>
      <c r="D2208">
        <v>2</v>
      </c>
      <c r="E2208" t="s">
        <v>6946</v>
      </c>
      <c r="F2208" t="s">
        <v>6946</v>
      </c>
      <c r="G2208" t="s">
        <v>4256</v>
      </c>
      <c r="H2208">
        <v>38</v>
      </c>
    </row>
    <row r="2209" spans="1:8" x14ac:dyDescent="0.25">
      <c r="A2209" t="s">
        <v>1101</v>
      </c>
      <c r="B2209">
        <v>1</v>
      </c>
      <c r="C2209">
        <v>1</v>
      </c>
      <c r="D2209">
        <v>1</v>
      </c>
      <c r="E2209" t="s">
        <v>6947</v>
      </c>
      <c r="F2209" t="s">
        <v>6947</v>
      </c>
      <c r="G2209" t="s">
        <v>6947</v>
      </c>
      <c r="H2209">
        <v>77</v>
      </c>
    </row>
    <row r="2210" spans="1:8" x14ac:dyDescent="0.25">
      <c r="A2210" t="s">
        <v>1718</v>
      </c>
      <c r="B2210">
        <v>1</v>
      </c>
      <c r="C2210">
        <v>1</v>
      </c>
      <c r="D2210">
        <v>1</v>
      </c>
      <c r="E2210" t="s">
        <v>6948</v>
      </c>
      <c r="F2210" t="s">
        <v>6948</v>
      </c>
      <c r="G2210" t="s">
        <v>6948</v>
      </c>
      <c r="H2210">
        <v>44</v>
      </c>
    </row>
    <row r="2211" spans="1:8" x14ac:dyDescent="0.25">
      <c r="A2211" t="s">
        <v>285</v>
      </c>
      <c r="B2211">
        <v>1</v>
      </c>
      <c r="C2211">
        <v>1</v>
      </c>
      <c r="D2211">
        <v>1</v>
      </c>
      <c r="E2211" t="s">
        <v>6949</v>
      </c>
      <c r="F2211" t="s">
        <v>6949</v>
      </c>
      <c r="G2211" t="s">
        <v>6949</v>
      </c>
      <c r="H2211">
        <v>418</v>
      </c>
    </row>
    <row r="2212" spans="1:8" x14ac:dyDescent="0.25">
      <c r="A2212" t="s">
        <v>903</v>
      </c>
      <c r="B2212">
        <v>1</v>
      </c>
      <c r="C2212">
        <v>1</v>
      </c>
      <c r="D2212">
        <v>1</v>
      </c>
      <c r="E2212" t="s">
        <v>6950</v>
      </c>
      <c r="F2212" t="s">
        <v>6950</v>
      </c>
      <c r="G2212" t="s">
        <v>6950</v>
      </c>
      <c r="H2212">
        <v>262</v>
      </c>
    </row>
    <row r="2213" spans="1:8" x14ac:dyDescent="0.25">
      <c r="A2213" t="s">
        <v>1086</v>
      </c>
      <c r="B2213">
        <v>1</v>
      </c>
      <c r="C2213">
        <v>1</v>
      </c>
      <c r="D2213">
        <v>1</v>
      </c>
      <c r="E2213" t="s">
        <v>6951</v>
      </c>
      <c r="F2213" t="s">
        <v>6951</v>
      </c>
      <c r="G2213" t="s">
        <v>6951</v>
      </c>
      <c r="H2213">
        <v>232</v>
      </c>
    </row>
    <row r="2214" spans="1:8" x14ac:dyDescent="0.25">
      <c r="A2214" t="s">
        <v>1707</v>
      </c>
      <c r="B2214">
        <v>1</v>
      </c>
      <c r="C2214">
        <v>1</v>
      </c>
      <c r="D2214">
        <v>1</v>
      </c>
      <c r="E2214" t="s">
        <v>6952</v>
      </c>
      <c r="F2214" t="s">
        <v>6952</v>
      </c>
      <c r="G2214" t="s">
        <v>6952</v>
      </c>
      <c r="H2214">
        <v>114</v>
      </c>
    </row>
    <row r="2215" spans="1:8" x14ac:dyDescent="0.25">
      <c r="A2215" t="s">
        <v>816</v>
      </c>
      <c r="B2215">
        <v>1</v>
      </c>
      <c r="C2215">
        <v>1</v>
      </c>
      <c r="D2215">
        <v>1</v>
      </c>
      <c r="E2215" t="s">
        <v>6953</v>
      </c>
      <c r="F2215" t="s">
        <v>6953</v>
      </c>
      <c r="G2215" t="s">
        <v>6953</v>
      </c>
      <c r="H2215">
        <v>302</v>
      </c>
    </row>
    <row r="2216" spans="1:8" x14ac:dyDescent="0.25">
      <c r="A2216" t="s">
        <v>977</v>
      </c>
      <c r="B2216">
        <v>1</v>
      </c>
      <c r="C2216">
        <v>1</v>
      </c>
      <c r="D2216">
        <v>1</v>
      </c>
      <c r="E2216" t="s">
        <v>6954</v>
      </c>
      <c r="F2216" t="s">
        <v>6954</v>
      </c>
      <c r="G2216" t="s">
        <v>6954</v>
      </c>
      <c r="H2216">
        <v>250</v>
      </c>
    </row>
    <row r="2217" spans="1:8" x14ac:dyDescent="0.25">
      <c r="A2217" t="s">
        <v>1432</v>
      </c>
      <c r="B2217">
        <v>1</v>
      </c>
      <c r="C2217">
        <v>1</v>
      </c>
      <c r="D2217">
        <v>1</v>
      </c>
      <c r="E2217" t="s">
        <v>6955</v>
      </c>
      <c r="F2217" t="s">
        <v>6955</v>
      </c>
      <c r="G2217" t="s">
        <v>6955</v>
      </c>
      <c r="H2217">
        <v>136</v>
      </c>
    </row>
    <row r="2218" spans="1:8" x14ac:dyDescent="0.25">
      <c r="A2218" t="s">
        <v>1944</v>
      </c>
      <c r="B2218">
        <v>1</v>
      </c>
      <c r="C2218">
        <v>1</v>
      </c>
      <c r="D2218">
        <v>1</v>
      </c>
      <c r="E2218" t="s">
        <v>6956</v>
      </c>
      <c r="F2218" t="s">
        <v>6957</v>
      </c>
      <c r="G2218" t="s">
        <v>6957</v>
      </c>
      <c r="H2218">
        <v>100</v>
      </c>
    </row>
    <row r="2219" spans="1:8" x14ac:dyDescent="0.25">
      <c r="A2219" t="s">
        <v>2312</v>
      </c>
      <c r="B2219">
        <v>1</v>
      </c>
      <c r="C2219">
        <v>1</v>
      </c>
      <c r="D2219">
        <v>1</v>
      </c>
      <c r="E2219" t="s">
        <v>6958</v>
      </c>
      <c r="F2219" t="s">
        <v>6959</v>
      </c>
      <c r="G2219" t="s">
        <v>6959</v>
      </c>
      <c r="H2219">
        <v>87</v>
      </c>
    </row>
    <row r="2220" spans="1:8" x14ac:dyDescent="0.25">
      <c r="A2220" t="s">
        <v>2504</v>
      </c>
      <c r="B2220">
        <v>1</v>
      </c>
      <c r="C2220">
        <v>1</v>
      </c>
      <c r="D2220">
        <v>1</v>
      </c>
      <c r="E2220" t="s">
        <v>6960</v>
      </c>
      <c r="F2220" t="s">
        <v>6961</v>
      </c>
      <c r="G2220" t="s">
        <v>6961</v>
      </c>
      <c r="H2220">
        <v>69</v>
      </c>
    </row>
    <row r="2221" spans="1:8" x14ac:dyDescent="0.25">
      <c r="A2221" t="s">
        <v>1833</v>
      </c>
      <c r="B2221">
        <v>1</v>
      </c>
      <c r="C2221">
        <v>1</v>
      </c>
      <c r="D2221">
        <v>1</v>
      </c>
      <c r="E2221" t="s">
        <v>6962</v>
      </c>
      <c r="F2221" t="s">
        <v>6963</v>
      </c>
      <c r="G2221" t="s">
        <v>6963</v>
      </c>
      <c r="H2221">
        <v>110</v>
      </c>
    </row>
    <row r="2222" spans="1:8" x14ac:dyDescent="0.25">
      <c r="A2222" t="s">
        <v>2482</v>
      </c>
      <c r="B2222">
        <v>1</v>
      </c>
      <c r="C2222">
        <v>1</v>
      </c>
      <c r="D2222">
        <v>1</v>
      </c>
      <c r="E2222" t="s">
        <v>6964</v>
      </c>
      <c r="F2222" t="s">
        <v>6965</v>
      </c>
      <c r="G2222" t="s">
        <v>6965</v>
      </c>
      <c r="H2222">
        <v>77</v>
      </c>
    </row>
    <row r="2223" spans="1:8" x14ac:dyDescent="0.25">
      <c r="A2223" t="s">
        <v>739</v>
      </c>
      <c r="B2223">
        <v>1</v>
      </c>
      <c r="C2223">
        <v>1</v>
      </c>
      <c r="D2223">
        <v>1</v>
      </c>
      <c r="E2223" t="s">
        <v>6966</v>
      </c>
      <c r="F2223" t="s">
        <v>6966</v>
      </c>
      <c r="G2223" t="s">
        <v>6966</v>
      </c>
      <c r="H2223">
        <v>153</v>
      </c>
    </row>
    <row r="2224" spans="1:8" x14ac:dyDescent="0.25">
      <c r="A2224" t="s">
        <v>969</v>
      </c>
      <c r="B2224">
        <v>1</v>
      </c>
      <c r="C2224">
        <v>1</v>
      </c>
      <c r="D2224">
        <v>1</v>
      </c>
      <c r="E2224" t="s">
        <v>6967</v>
      </c>
      <c r="F2224" t="s">
        <v>6967</v>
      </c>
      <c r="G2224" t="s">
        <v>6967</v>
      </c>
      <c r="H2224">
        <v>122</v>
      </c>
    </row>
    <row r="2225" spans="1:8" x14ac:dyDescent="0.25">
      <c r="A2225" t="s">
        <v>887</v>
      </c>
      <c r="B2225">
        <v>2</v>
      </c>
      <c r="C2225">
        <v>2</v>
      </c>
      <c r="D2225">
        <v>2</v>
      </c>
      <c r="E2225" t="s">
        <v>6968</v>
      </c>
      <c r="F2225" t="s">
        <v>6968</v>
      </c>
      <c r="G2225" t="s">
        <v>4256</v>
      </c>
      <c r="H2225">
        <v>166</v>
      </c>
    </row>
    <row r="2226" spans="1:8" x14ac:dyDescent="0.25">
      <c r="A2226" t="s">
        <v>271</v>
      </c>
      <c r="B2226">
        <v>4</v>
      </c>
      <c r="C2226">
        <v>4</v>
      </c>
      <c r="D2226">
        <v>4</v>
      </c>
      <c r="E2226" t="s">
        <v>6969</v>
      </c>
      <c r="F2226" t="s">
        <v>6970</v>
      </c>
      <c r="G2226" t="s">
        <v>4256</v>
      </c>
      <c r="H2226">
        <v>501</v>
      </c>
    </row>
    <row r="2227" spans="1:8" x14ac:dyDescent="0.25">
      <c r="A2227" t="s">
        <v>187</v>
      </c>
      <c r="B2227">
        <v>1</v>
      </c>
      <c r="C2227">
        <v>1</v>
      </c>
      <c r="D2227">
        <v>1</v>
      </c>
      <c r="E2227" t="s">
        <v>6971</v>
      </c>
      <c r="F2227" t="s">
        <v>6972</v>
      </c>
      <c r="G2227" t="s">
        <v>6972</v>
      </c>
      <c r="H2227">
        <v>739</v>
      </c>
    </row>
    <row r="2228" spans="1:8" x14ac:dyDescent="0.25">
      <c r="A2228" t="s">
        <v>938</v>
      </c>
      <c r="B2228">
        <v>1</v>
      </c>
      <c r="C2228">
        <v>1</v>
      </c>
      <c r="D2228">
        <v>1</v>
      </c>
      <c r="E2228" t="s">
        <v>6973</v>
      </c>
      <c r="F2228" t="s">
        <v>6974</v>
      </c>
      <c r="G2228" t="s">
        <v>6974</v>
      </c>
      <c r="H2228">
        <v>181</v>
      </c>
    </row>
    <row r="2229" spans="1:8" x14ac:dyDescent="0.25">
      <c r="A2229" t="s">
        <v>896</v>
      </c>
      <c r="B2229">
        <v>1</v>
      </c>
      <c r="C2229">
        <v>1</v>
      </c>
      <c r="D2229">
        <v>1</v>
      </c>
      <c r="E2229" t="s">
        <v>6975</v>
      </c>
      <c r="F2229" t="s">
        <v>6975</v>
      </c>
      <c r="G2229" t="s">
        <v>6975</v>
      </c>
      <c r="H2229">
        <v>189</v>
      </c>
    </row>
    <row r="2230" spans="1:8" x14ac:dyDescent="0.25">
      <c r="A2230" t="s">
        <v>1696</v>
      </c>
      <c r="B2230">
        <v>1</v>
      </c>
      <c r="C2230">
        <v>1</v>
      </c>
      <c r="D2230">
        <v>1</v>
      </c>
      <c r="E2230" t="s">
        <v>6976</v>
      </c>
      <c r="F2230" t="s">
        <v>6976</v>
      </c>
      <c r="G2230" t="s">
        <v>6976</v>
      </c>
      <c r="H2230">
        <v>101</v>
      </c>
    </row>
    <row r="2231" spans="1:8" x14ac:dyDescent="0.25">
      <c r="A2231" t="s">
        <v>1345</v>
      </c>
      <c r="B2231">
        <v>3</v>
      </c>
      <c r="C2231">
        <v>3</v>
      </c>
      <c r="D2231">
        <v>3</v>
      </c>
      <c r="E2231" t="s">
        <v>6977</v>
      </c>
      <c r="F2231" t="s">
        <v>6977</v>
      </c>
      <c r="G2231" t="s">
        <v>4256</v>
      </c>
      <c r="H2231">
        <v>188</v>
      </c>
    </row>
    <row r="2232" spans="1:8" x14ac:dyDescent="0.25">
      <c r="A2232" t="s">
        <v>704</v>
      </c>
      <c r="B2232">
        <v>1</v>
      </c>
      <c r="C2232">
        <v>1</v>
      </c>
      <c r="D2232">
        <v>1</v>
      </c>
      <c r="E2232" t="s">
        <v>6978</v>
      </c>
      <c r="F2232" t="s">
        <v>6978</v>
      </c>
      <c r="G2232" t="s">
        <v>6978</v>
      </c>
      <c r="H2232">
        <v>350</v>
      </c>
    </row>
    <row r="2233" spans="1:8" x14ac:dyDescent="0.25">
      <c r="A2233" t="s">
        <v>836</v>
      </c>
      <c r="B2233">
        <v>1</v>
      </c>
      <c r="C2233">
        <v>1</v>
      </c>
      <c r="D2233">
        <v>1</v>
      </c>
      <c r="E2233" t="s">
        <v>6979</v>
      </c>
      <c r="F2233" t="s">
        <v>6980</v>
      </c>
      <c r="G2233" t="s">
        <v>6980</v>
      </c>
      <c r="H2233">
        <v>316</v>
      </c>
    </row>
    <row r="2234" spans="1:8" x14ac:dyDescent="0.25">
      <c r="A2234" t="s">
        <v>646</v>
      </c>
      <c r="B2234">
        <v>1</v>
      </c>
      <c r="C2234">
        <v>1</v>
      </c>
      <c r="D2234">
        <v>1</v>
      </c>
      <c r="E2234" t="s">
        <v>6981</v>
      </c>
      <c r="F2234" t="s">
        <v>6981</v>
      </c>
      <c r="G2234" t="s">
        <v>6981</v>
      </c>
      <c r="H2234">
        <v>364</v>
      </c>
    </row>
    <row r="2235" spans="1:8" x14ac:dyDescent="0.25">
      <c r="A2235" t="s">
        <v>1037</v>
      </c>
      <c r="B2235">
        <v>1</v>
      </c>
      <c r="C2235">
        <v>1</v>
      </c>
      <c r="D2235">
        <v>1</v>
      </c>
      <c r="E2235" t="s">
        <v>6982</v>
      </c>
      <c r="F2235" t="s">
        <v>6983</v>
      </c>
      <c r="G2235" t="s">
        <v>6983</v>
      </c>
      <c r="H2235">
        <v>216</v>
      </c>
    </row>
    <row r="2236" spans="1:8" x14ac:dyDescent="0.25">
      <c r="A2236" t="s">
        <v>826</v>
      </c>
      <c r="B2236">
        <v>1</v>
      </c>
      <c r="C2236">
        <v>1</v>
      </c>
      <c r="D2236">
        <v>1</v>
      </c>
      <c r="E2236" t="s">
        <v>6984</v>
      </c>
      <c r="F2236" t="s">
        <v>6985</v>
      </c>
      <c r="G2236" t="s">
        <v>6985</v>
      </c>
      <c r="H2236">
        <v>337</v>
      </c>
    </row>
    <row r="2237" spans="1:8" x14ac:dyDescent="0.25">
      <c r="A2237" t="s">
        <v>848</v>
      </c>
      <c r="B2237">
        <v>1</v>
      </c>
      <c r="C2237">
        <v>1</v>
      </c>
      <c r="D2237">
        <v>1</v>
      </c>
      <c r="E2237" t="s">
        <v>6986</v>
      </c>
      <c r="F2237" t="s">
        <v>6987</v>
      </c>
      <c r="G2237" t="s">
        <v>6987</v>
      </c>
      <c r="H2237">
        <v>335</v>
      </c>
    </row>
    <row r="2238" spans="1:8" x14ac:dyDescent="0.25">
      <c r="A2238" t="s">
        <v>162</v>
      </c>
      <c r="B2238">
        <v>1</v>
      </c>
      <c r="C2238">
        <v>1</v>
      </c>
      <c r="D2238">
        <v>1</v>
      </c>
      <c r="E2238" t="s">
        <v>6988</v>
      </c>
      <c r="F2238" t="s">
        <v>6988</v>
      </c>
      <c r="G2238" t="s">
        <v>6988</v>
      </c>
      <c r="H2238">
        <v>813</v>
      </c>
    </row>
    <row r="2239" spans="1:8" x14ac:dyDescent="0.25">
      <c r="A2239" t="s">
        <v>280</v>
      </c>
      <c r="B2239">
        <v>1</v>
      </c>
      <c r="C2239">
        <v>1</v>
      </c>
      <c r="D2239">
        <v>1</v>
      </c>
      <c r="E2239" t="s">
        <v>6989</v>
      </c>
      <c r="F2239" t="s">
        <v>6989</v>
      </c>
      <c r="G2239" t="s">
        <v>6989</v>
      </c>
      <c r="H2239">
        <v>502</v>
      </c>
    </row>
    <row r="2240" spans="1:8" x14ac:dyDescent="0.25">
      <c r="A2240" t="s">
        <v>1202</v>
      </c>
      <c r="B2240">
        <v>1</v>
      </c>
      <c r="C2240">
        <v>1</v>
      </c>
      <c r="D2240">
        <v>1</v>
      </c>
      <c r="E2240" t="s">
        <v>6990</v>
      </c>
      <c r="F2240" t="s">
        <v>6990</v>
      </c>
      <c r="G2240" t="s">
        <v>6990</v>
      </c>
      <c r="H2240">
        <v>105</v>
      </c>
    </row>
    <row r="2241" spans="1:8" x14ac:dyDescent="0.25">
      <c r="A2241" t="s">
        <v>1192</v>
      </c>
      <c r="B2241">
        <v>1</v>
      </c>
      <c r="C2241">
        <v>1</v>
      </c>
      <c r="D2241">
        <v>1</v>
      </c>
      <c r="E2241" t="s">
        <v>6991</v>
      </c>
      <c r="F2241" t="s">
        <v>6991</v>
      </c>
      <c r="G2241" t="s">
        <v>6991</v>
      </c>
      <c r="H2241">
        <v>92</v>
      </c>
    </row>
    <row r="2242" spans="1:8" x14ac:dyDescent="0.25">
      <c r="A2242" t="s">
        <v>1244</v>
      </c>
      <c r="B2242">
        <v>2</v>
      </c>
      <c r="C2242">
        <v>2</v>
      </c>
      <c r="D2242">
        <v>2</v>
      </c>
      <c r="E2242" t="s">
        <v>6992</v>
      </c>
      <c r="F2242" t="s">
        <v>6992</v>
      </c>
      <c r="G2242" t="s">
        <v>4256</v>
      </c>
      <c r="H2242">
        <v>80</v>
      </c>
    </row>
    <row r="2243" spans="1:8" x14ac:dyDescent="0.25">
      <c r="A2243" t="s">
        <v>1087</v>
      </c>
      <c r="B2243">
        <v>2</v>
      </c>
      <c r="C2243">
        <v>2</v>
      </c>
      <c r="D2243">
        <v>2</v>
      </c>
      <c r="E2243" t="s">
        <v>6993</v>
      </c>
      <c r="F2243" t="s">
        <v>6993</v>
      </c>
      <c r="G2243" t="s">
        <v>4256</v>
      </c>
      <c r="H2243">
        <v>119</v>
      </c>
    </row>
    <row r="2244" spans="1:8" x14ac:dyDescent="0.25">
      <c r="A2244" t="s">
        <v>1447</v>
      </c>
      <c r="B2244">
        <v>1</v>
      </c>
      <c r="C2244">
        <v>1</v>
      </c>
      <c r="D2244">
        <v>1</v>
      </c>
      <c r="E2244" t="s">
        <v>6994</v>
      </c>
      <c r="F2244" t="s">
        <v>6994</v>
      </c>
      <c r="G2244" t="s">
        <v>6994</v>
      </c>
      <c r="H2244">
        <v>175</v>
      </c>
    </row>
    <row r="2245" spans="1:8" x14ac:dyDescent="0.25">
      <c r="A2245" t="s">
        <v>1329</v>
      </c>
      <c r="B2245">
        <v>3</v>
      </c>
      <c r="C2245">
        <v>3</v>
      </c>
      <c r="D2245">
        <v>3</v>
      </c>
      <c r="E2245" t="s">
        <v>6995</v>
      </c>
      <c r="F2245" t="s">
        <v>6995</v>
      </c>
      <c r="G2245" t="s">
        <v>4256</v>
      </c>
      <c r="H2245">
        <v>199</v>
      </c>
    </row>
    <row r="2246" spans="1:8" x14ac:dyDescent="0.25">
      <c r="A2246" t="s">
        <v>1034</v>
      </c>
      <c r="B2246">
        <v>1</v>
      </c>
      <c r="C2246">
        <v>1</v>
      </c>
      <c r="D2246">
        <v>1</v>
      </c>
      <c r="E2246" t="s">
        <v>6996</v>
      </c>
      <c r="F2246" t="s">
        <v>6997</v>
      </c>
      <c r="G2246" t="s">
        <v>6997</v>
      </c>
      <c r="H2246">
        <v>290</v>
      </c>
    </row>
    <row r="2247" spans="1:8" x14ac:dyDescent="0.25">
      <c r="A2247" t="s">
        <v>1324</v>
      </c>
      <c r="B2247">
        <v>1</v>
      </c>
      <c r="C2247">
        <v>1</v>
      </c>
      <c r="D2247">
        <v>1</v>
      </c>
      <c r="E2247" t="s">
        <v>6998</v>
      </c>
      <c r="F2247" t="s">
        <v>6999</v>
      </c>
      <c r="G2247" t="s">
        <v>6999</v>
      </c>
      <c r="H2247">
        <v>241</v>
      </c>
    </row>
    <row r="2248" spans="1:8" x14ac:dyDescent="0.25">
      <c r="A2248" t="s">
        <v>1382</v>
      </c>
      <c r="B2248">
        <v>1</v>
      </c>
      <c r="C2248">
        <v>1</v>
      </c>
      <c r="D2248">
        <v>1</v>
      </c>
      <c r="E2248" t="s">
        <v>7000</v>
      </c>
      <c r="F2248" t="s">
        <v>7000</v>
      </c>
      <c r="G2248" t="s">
        <v>7000</v>
      </c>
      <c r="H2248">
        <v>129</v>
      </c>
    </row>
    <row r="2249" spans="1:8" x14ac:dyDescent="0.25">
      <c r="A2249" t="s">
        <v>1132</v>
      </c>
      <c r="B2249">
        <v>3</v>
      </c>
      <c r="C2249">
        <v>3</v>
      </c>
      <c r="D2249">
        <v>3</v>
      </c>
      <c r="E2249" t="s">
        <v>7001</v>
      </c>
      <c r="F2249" t="s">
        <v>7001</v>
      </c>
      <c r="G2249" t="s">
        <v>4256</v>
      </c>
      <c r="H2249">
        <v>159</v>
      </c>
    </row>
    <row r="2250" spans="1:8" x14ac:dyDescent="0.25">
      <c r="A2250" t="s">
        <v>1081</v>
      </c>
      <c r="B2250">
        <v>1</v>
      </c>
      <c r="C2250">
        <v>1</v>
      </c>
      <c r="D2250">
        <v>1</v>
      </c>
      <c r="E2250" t="s">
        <v>7002</v>
      </c>
      <c r="F2250" t="s">
        <v>7003</v>
      </c>
      <c r="G2250" t="s">
        <v>7003</v>
      </c>
      <c r="H2250">
        <v>192</v>
      </c>
    </row>
    <row r="2251" spans="1:8" x14ac:dyDescent="0.25">
      <c r="A2251" t="s">
        <v>1293</v>
      </c>
      <c r="B2251">
        <v>1</v>
      </c>
      <c r="C2251">
        <v>1</v>
      </c>
      <c r="D2251">
        <v>1</v>
      </c>
      <c r="E2251" t="s">
        <v>7004</v>
      </c>
      <c r="F2251" t="s">
        <v>7004</v>
      </c>
      <c r="G2251" t="s">
        <v>7004</v>
      </c>
      <c r="H2251">
        <v>154</v>
      </c>
    </row>
    <row r="2252" spans="1:8" x14ac:dyDescent="0.25">
      <c r="A2252" t="s">
        <v>1538</v>
      </c>
      <c r="B2252">
        <v>1</v>
      </c>
      <c r="C2252">
        <v>1</v>
      </c>
      <c r="D2252">
        <v>1</v>
      </c>
      <c r="E2252" t="s">
        <v>7005</v>
      </c>
      <c r="F2252" t="s">
        <v>7005</v>
      </c>
      <c r="G2252" t="s">
        <v>7005</v>
      </c>
      <c r="H2252">
        <v>100</v>
      </c>
    </row>
    <row r="2253" spans="1:8" x14ac:dyDescent="0.25">
      <c r="A2253" t="s">
        <v>1214</v>
      </c>
      <c r="B2253">
        <v>1</v>
      </c>
      <c r="C2253">
        <v>1</v>
      </c>
      <c r="D2253">
        <v>1</v>
      </c>
      <c r="E2253" t="s">
        <v>7006</v>
      </c>
      <c r="F2253" t="s">
        <v>7006</v>
      </c>
      <c r="G2253" t="s">
        <v>7006</v>
      </c>
      <c r="H2253">
        <v>134</v>
      </c>
    </row>
    <row r="2254" spans="1:8" x14ac:dyDescent="0.25">
      <c r="A2254" t="s">
        <v>1673</v>
      </c>
      <c r="B2254">
        <v>1</v>
      </c>
      <c r="C2254">
        <v>1</v>
      </c>
      <c r="D2254">
        <v>1</v>
      </c>
      <c r="E2254" t="s">
        <v>7007</v>
      </c>
      <c r="F2254" t="s">
        <v>7007</v>
      </c>
      <c r="G2254" t="s">
        <v>7007</v>
      </c>
      <c r="H2254">
        <v>105</v>
      </c>
    </row>
    <row r="2255" spans="1:8" x14ac:dyDescent="0.25">
      <c r="A2255" t="s">
        <v>1491</v>
      </c>
      <c r="B2255">
        <v>1</v>
      </c>
      <c r="C2255">
        <v>1</v>
      </c>
      <c r="D2255">
        <v>1</v>
      </c>
      <c r="E2255" t="s">
        <v>7008</v>
      </c>
      <c r="F2255" t="s">
        <v>7008</v>
      </c>
      <c r="G2255" t="s">
        <v>7008</v>
      </c>
      <c r="H2255">
        <v>161</v>
      </c>
    </row>
    <row r="2256" spans="1:8" x14ac:dyDescent="0.25">
      <c r="A2256" t="s">
        <v>2202</v>
      </c>
      <c r="B2256">
        <v>1</v>
      </c>
      <c r="C2256">
        <v>1</v>
      </c>
      <c r="D2256">
        <v>1</v>
      </c>
      <c r="E2256" t="s">
        <v>7009</v>
      </c>
      <c r="F2256" t="s">
        <v>7009</v>
      </c>
      <c r="G2256" t="s">
        <v>7009</v>
      </c>
      <c r="H2256">
        <v>138</v>
      </c>
    </row>
    <row r="2257" spans="1:8" x14ac:dyDescent="0.25">
      <c r="A2257" t="s">
        <v>1258</v>
      </c>
      <c r="B2257">
        <v>1</v>
      </c>
      <c r="C2257">
        <v>1</v>
      </c>
      <c r="D2257">
        <v>1</v>
      </c>
      <c r="E2257" t="s">
        <v>7010</v>
      </c>
      <c r="F2257" t="s">
        <v>7010</v>
      </c>
      <c r="G2257" t="s">
        <v>7010</v>
      </c>
      <c r="H2257">
        <v>188</v>
      </c>
    </row>
    <row r="2258" spans="1:8" x14ac:dyDescent="0.25">
      <c r="A2258" t="s">
        <v>2387</v>
      </c>
      <c r="B2258">
        <v>1</v>
      </c>
      <c r="C2258">
        <v>1</v>
      </c>
      <c r="D2258">
        <v>1</v>
      </c>
      <c r="E2258" t="s">
        <v>7011</v>
      </c>
      <c r="F2258" t="s">
        <v>7011</v>
      </c>
      <c r="G2258" t="s">
        <v>7011</v>
      </c>
      <c r="H2258">
        <v>77</v>
      </c>
    </row>
    <row r="2259" spans="1:8" x14ac:dyDescent="0.25">
      <c r="A2259" t="s">
        <v>1775</v>
      </c>
      <c r="B2259">
        <v>2</v>
      </c>
      <c r="C2259">
        <v>2</v>
      </c>
      <c r="D2259">
        <v>2</v>
      </c>
      <c r="E2259" t="s">
        <v>7012</v>
      </c>
      <c r="F2259" t="s">
        <v>7012</v>
      </c>
      <c r="G2259" t="s">
        <v>4256</v>
      </c>
      <c r="H2259">
        <v>125</v>
      </c>
    </row>
    <row r="2260" spans="1:8" x14ac:dyDescent="0.25">
      <c r="A2260" t="s">
        <v>2242</v>
      </c>
      <c r="B2260">
        <v>1</v>
      </c>
      <c r="C2260">
        <v>1</v>
      </c>
      <c r="D2260">
        <v>1</v>
      </c>
      <c r="E2260" t="s">
        <v>7013</v>
      </c>
      <c r="F2260" t="s">
        <v>7014</v>
      </c>
      <c r="G2260" t="s">
        <v>7014</v>
      </c>
      <c r="H2260">
        <v>83</v>
      </c>
    </row>
    <row r="2261" spans="1:8" x14ac:dyDescent="0.25">
      <c r="A2261" t="s">
        <v>454</v>
      </c>
      <c r="B2261">
        <v>1</v>
      </c>
      <c r="C2261">
        <v>1</v>
      </c>
      <c r="D2261">
        <v>1</v>
      </c>
      <c r="E2261" t="s">
        <v>7015</v>
      </c>
      <c r="F2261" t="s">
        <v>7015</v>
      </c>
      <c r="G2261" t="s">
        <v>7015</v>
      </c>
      <c r="H2261">
        <v>224</v>
      </c>
    </row>
    <row r="2262" spans="1:8" x14ac:dyDescent="0.25">
      <c r="A2262" t="s">
        <v>840</v>
      </c>
      <c r="B2262">
        <v>2</v>
      </c>
      <c r="C2262">
        <v>2</v>
      </c>
      <c r="D2262">
        <v>2</v>
      </c>
      <c r="E2262" t="s">
        <v>7016</v>
      </c>
      <c r="F2262" t="s">
        <v>7017</v>
      </c>
      <c r="G2262" t="s">
        <v>4256</v>
      </c>
      <c r="H2262">
        <v>157</v>
      </c>
    </row>
    <row r="2263" spans="1:8" x14ac:dyDescent="0.25">
      <c r="A2263" t="s">
        <v>656</v>
      </c>
      <c r="B2263">
        <v>2</v>
      </c>
      <c r="C2263">
        <v>2</v>
      </c>
      <c r="D2263">
        <v>2</v>
      </c>
      <c r="E2263" t="s">
        <v>7018</v>
      </c>
      <c r="F2263" t="s">
        <v>7018</v>
      </c>
      <c r="G2263" t="s">
        <v>4256</v>
      </c>
      <c r="H2263">
        <v>245</v>
      </c>
    </row>
    <row r="2264" spans="1:8" x14ac:dyDescent="0.25">
      <c r="A2264" t="s">
        <v>907</v>
      </c>
      <c r="B2264">
        <v>2</v>
      </c>
      <c r="C2264">
        <v>2</v>
      </c>
      <c r="D2264">
        <v>2</v>
      </c>
      <c r="E2264" t="s">
        <v>7019</v>
      </c>
      <c r="F2264" t="s">
        <v>7019</v>
      </c>
      <c r="G2264" t="s">
        <v>4256</v>
      </c>
      <c r="H2264">
        <v>171</v>
      </c>
    </row>
    <row r="2265" spans="1:8" x14ac:dyDescent="0.25">
      <c r="A2265" t="s">
        <v>1353</v>
      </c>
      <c r="B2265">
        <v>2</v>
      </c>
      <c r="C2265">
        <v>2</v>
      </c>
      <c r="D2265">
        <v>2</v>
      </c>
      <c r="E2265" t="s">
        <v>7020</v>
      </c>
      <c r="F2265" t="s">
        <v>7021</v>
      </c>
      <c r="G2265" t="s">
        <v>4256</v>
      </c>
      <c r="H2265">
        <v>89</v>
      </c>
    </row>
    <row r="2266" spans="1:8" x14ac:dyDescent="0.25">
      <c r="A2266" t="s">
        <v>1437</v>
      </c>
      <c r="B2266">
        <v>1</v>
      </c>
      <c r="C2266">
        <v>1</v>
      </c>
      <c r="D2266">
        <v>1</v>
      </c>
      <c r="E2266" t="s">
        <v>7022</v>
      </c>
      <c r="F2266" t="s">
        <v>7022</v>
      </c>
      <c r="G2266" t="s">
        <v>7022</v>
      </c>
      <c r="H2266">
        <v>119</v>
      </c>
    </row>
    <row r="2267" spans="1:8" x14ac:dyDescent="0.25">
      <c r="A2267" t="s">
        <v>879</v>
      </c>
      <c r="B2267">
        <v>1</v>
      </c>
      <c r="C2267">
        <v>1</v>
      </c>
      <c r="D2267">
        <v>1</v>
      </c>
      <c r="E2267" t="s">
        <v>7023</v>
      </c>
      <c r="F2267" t="s">
        <v>7024</v>
      </c>
      <c r="G2267" t="s">
        <v>7024</v>
      </c>
      <c r="H2267">
        <v>242</v>
      </c>
    </row>
    <row r="2268" spans="1:8" x14ac:dyDescent="0.25">
      <c r="A2268" t="s">
        <v>1239</v>
      </c>
      <c r="B2268">
        <v>1</v>
      </c>
      <c r="C2268">
        <v>1</v>
      </c>
      <c r="D2268">
        <v>1</v>
      </c>
      <c r="E2268" t="s">
        <v>7025</v>
      </c>
      <c r="F2268" t="s">
        <v>7025</v>
      </c>
      <c r="G2268" t="s">
        <v>7025</v>
      </c>
      <c r="H2268">
        <v>155</v>
      </c>
    </row>
    <row r="2269" spans="1:8" x14ac:dyDescent="0.25">
      <c r="A2269" t="s">
        <v>866</v>
      </c>
      <c r="B2269">
        <v>2</v>
      </c>
      <c r="C2269">
        <v>2</v>
      </c>
      <c r="D2269">
        <v>2</v>
      </c>
      <c r="E2269" t="s">
        <v>7026</v>
      </c>
      <c r="F2269" t="s">
        <v>7026</v>
      </c>
      <c r="G2269" t="s">
        <v>4256</v>
      </c>
      <c r="H2269">
        <v>226</v>
      </c>
    </row>
    <row r="2270" spans="1:8" x14ac:dyDescent="0.25">
      <c r="A2270" t="s">
        <v>959</v>
      </c>
      <c r="B2270">
        <v>3</v>
      </c>
      <c r="C2270">
        <v>3</v>
      </c>
      <c r="D2270">
        <v>3</v>
      </c>
      <c r="E2270" t="s">
        <v>7027</v>
      </c>
      <c r="F2270" t="s">
        <v>7027</v>
      </c>
      <c r="G2270" t="s">
        <v>4256</v>
      </c>
      <c r="H2270">
        <v>209</v>
      </c>
    </row>
    <row r="2271" spans="1:8" x14ac:dyDescent="0.25">
      <c r="A2271" t="s">
        <v>620</v>
      </c>
      <c r="B2271">
        <v>2</v>
      </c>
      <c r="C2271">
        <v>2</v>
      </c>
      <c r="D2271">
        <v>2</v>
      </c>
      <c r="E2271" t="s">
        <v>7028</v>
      </c>
      <c r="F2271" t="s">
        <v>7029</v>
      </c>
      <c r="G2271" t="s">
        <v>4256</v>
      </c>
      <c r="H2271">
        <v>223</v>
      </c>
    </row>
    <row r="2272" spans="1:8" x14ac:dyDescent="0.25">
      <c r="A2272" t="s">
        <v>2285</v>
      </c>
      <c r="B2272">
        <v>1</v>
      </c>
      <c r="C2272">
        <v>1</v>
      </c>
      <c r="D2272">
        <v>1</v>
      </c>
      <c r="E2272" t="s">
        <v>7030</v>
      </c>
      <c r="F2272" t="s">
        <v>7030</v>
      </c>
      <c r="G2272" t="s">
        <v>7030</v>
      </c>
      <c r="H2272">
        <v>79</v>
      </c>
    </row>
    <row r="2273" spans="1:8" x14ac:dyDescent="0.25">
      <c r="A2273" t="s">
        <v>1294</v>
      </c>
      <c r="B2273">
        <v>1</v>
      </c>
      <c r="C2273">
        <v>1</v>
      </c>
      <c r="D2273">
        <v>1</v>
      </c>
      <c r="E2273" t="s">
        <v>7031</v>
      </c>
      <c r="F2273" t="s">
        <v>7031</v>
      </c>
      <c r="G2273" t="s">
        <v>7031</v>
      </c>
      <c r="H2273">
        <v>240</v>
      </c>
    </row>
    <row r="2274" spans="1:8" x14ac:dyDescent="0.25">
      <c r="A2274" t="s">
        <v>1050</v>
      </c>
      <c r="B2274">
        <v>2</v>
      </c>
      <c r="C2274">
        <v>2</v>
      </c>
      <c r="D2274">
        <v>2</v>
      </c>
      <c r="E2274" t="s">
        <v>7032</v>
      </c>
      <c r="F2274" t="s">
        <v>7032</v>
      </c>
      <c r="G2274" t="s">
        <v>4256</v>
      </c>
      <c r="H2274">
        <v>111</v>
      </c>
    </row>
    <row r="2275" spans="1:8" x14ac:dyDescent="0.25">
      <c r="A2275" t="s">
        <v>1070</v>
      </c>
      <c r="B2275">
        <v>1</v>
      </c>
      <c r="C2275">
        <v>1</v>
      </c>
      <c r="D2275">
        <v>1</v>
      </c>
      <c r="E2275" t="s">
        <v>7033</v>
      </c>
      <c r="F2275" t="s">
        <v>7033</v>
      </c>
      <c r="G2275" t="s">
        <v>7033</v>
      </c>
      <c r="H2275">
        <v>86</v>
      </c>
    </row>
    <row r="2276" spans="1:8" x14ac:dyDescent="0.25">
      <c r="A2276" t="s">
        <v>1634</v>
      </c>
      <c r="B2276">
        <v>2</v>
      </c>
      <c r="C2276">
        <v>2</v>
      </c>
      <c r="D2276">
        <v>2</v>
      </c>
      <c r="E2276" t="s">
        <v>7034</v>
      </c>
      <c r="F2276" t="s">
        <v>7035</v>
      </c>
      <c r="G2276" t="s">
        <v>4256</v>
      </c>
      <c r="H2276">
        <v>69</v>
      </c>
    </row>
    <row r="2277" spans="1:8" x14ac:dyDescent="0.25">
      <c r="A2277" t="s">
        <v>1111</v>
      </c>
      <c r="B2277">
        <v>1</v>
      </c>
      <c r="C2277">
        <v>1</v>
      </c>
      <c r="D2277">
        <v>1</v>
      </c>
      <c r="E2277" t="s">
        <v>7036</v>
      </c>
      <c r="F2277" t="s">
        <v>7036</v>
      </c>
      <c r="G2277" t="s">
        <v>7036</v>
      </c>
      <c r="H2277">
        <v>139</v>
      </c>
    </row>
    <row r="2278" spans="1:8" x14ac:dyDescent="0.25">
      <c r="A2278" t="s">
        <v>684</v>
      </c>
      <c r="B2278">
        <v>2</v>
      </c>
      <c r="C2278">
        <v>2</v>
      </c>
      <c r="D2278">
        <v>2</v>
      </c>
      <c r="E2278" t="s">
        <v>7037</v>
      </c>
      <c r="F2278" t="s">
        <v>7037</v>
      </c>
      <c r="G2278" t="s">
        <v>4256</v>
      </c>
      <c r="H2278">
        <v>184</v>
      </c>
    </row>
    <row r="2279" spans="1:8" x14ac:dyDescent="0.25">
      <c r="A2279" t="s">
        <v>1535</v>
      </c>
      <c r="B2279">
        <v>1</v>
      </c>
      <c r="C2279">
        <v>1</v>
      </c>
      <c r="D2279">
        <v>1</v>
      </c>
      <c r="E2279" t="s">
        <v>7038</v>
      </c>
      <c r="F2279" t="s">
        <v>7038</v>
      </c>
      <c r="G2279" t="s">
        <v>7038</v>
      </c>
      <c r="H2279">
        <v>74</v>
      </c>
    </row>
    <row r="2280" spans="1:8" x14ac:dyDescent="0.25">
      <c r="A2280" t="s">
        <v>1042</v>
      </c>
      <c r="B2280">
        <v>2</v>
      </c>
      <c r="C2280">
        <v>2</v>
      </c>
      <c r="D2280">
        <v>2</v>
      </c>
      <c r="E2280" t="s">
        <v>7039</v>
      </c>
      <c r="F2280" t="s">
        <v>7039</v>
      </c>
      <c r="G2280" t="s">
        <v>4256</v>
      </c>
      <c r="H2280">
        <v>116</v>
      </c>
    </row>
    <row r="2281" spans="1:8" x14ac:dyDescent="0.25">
      <c r="A2281" t="s">
        <v>975</v>
      </c>
      <c r="B2281">
        <v>1</v>
      </c>
      <c r="C2281">
        <v>1</v>
      </c>
      <c r="D2281">
        <v>1</v>
      </c>
      <c r="E2281" t="s">
        <v>7040</v>
      </c>
      <c r="F2281" t="s">
        <v>7040</v>
      </c>
      <c r="G2281" t="s">
        <v>7040</v>
      </c>
      <c r="H2281">
        <v>139</v>
      </c>
    </row>
    <row r="2282" spans="1:8" x14ac:dyDescent="0.25">
      <c r="A2282" t="s">
        <v>2130</v>
      </c>
      <c r="B2282">
        <v>1</v>
      </c>
      <c r="C2282">
        <v>1</v>
      </c>
      <c r="D2282">
        <v>1</v>
      </c>
      <c r="E2282" t="s">
        <v>7041</v>
      </c>
      <c r="F2282" t="s">
        <v>7041</v>
      </c>
      <c r="G2282" t="s">
        <v>7041</v>
      </c>
      <c r="H2282">
        <v>62</v>
      </c>
    </row>
    <row r="2283" spans="1:8" x14ac:dyDescent="0.25">
      <c r="A2283" t="s">
        <v>1934</v>
      </c>
      <c r="B2283">
        <v>1</v>
      </c>
      <c r="C2283">
        <v>1</v>
      </c>
      <c r="D2283">
        <v>1</v>
      </c>
      <c r="E2283" t="s">
        <v>7042</v>
      </c>
      <c r="F2283" t="s">
        <v>7042</v>
      </c>
      <c r="G2283" t="s">
        <v>7042</v>
      </c>
      <c r="H2283">
        <v>45</v>
      </c>
    </row>
    <row r="2284" spans="1:8" x14ac:dyDescent="0.25">
      <c r="A2284" t="s">
        <v>2661</v>
      </c>
      <c r="B2284">
        <v>1</v>
      </c>
      <c r="C2284">
        <v>1</v>
      </c>
      <c r="D2284">
        <v>1</v>
      </c>
      <c r="E2284" t="s">
        <v>7043</v>
      </c>
      <c r="F2284" t="s">
        <v>7044</v>
      </c>
      <c r="G2284" t="s">
        <v>7044</v>
      </c>
      <c r="H2284">
        <v>19</v>
      </c>
    </row>
    <row r="2285" spans="1:8" x14ac:dyDescent="0.25">
      <c r="A2285" t="s">
        <v>1665</v>
      </c>
      <c r="B2285">
        <v>1</v>
      </c>
      <c r="C2285">
        <v>1</v>
      </c>
      <c r="D2285">
        <v>1</v>
      </c>
      <c r="E2285" t="s">
        <v>7045</v>
      </c>
      <c r="F2285" t="s">
        <v>7046</v>
      </c>
      <c r="G2285" t="s">
        <v>7046</v>
      </c>
      <c r="H2285">
        <v>58</v>
      </c>
    </row>
    <row r="2286" spans="1:8" x14ac:dyDescent="0.25">
      <c r="A2286" t="s">
        <v>1071</v>
      </c>
      <c r="B2286">
        <v>2</v>
      </c>
      <c r="C2286">
        <v>2</v>
      </c>
      <c r="D2286">
        <v>2</v>
      </c>
      <c r="E2286" t="s">
        <v>7047</v>
      </c>
      <c r="F2286" t="s">
        <v>7047</v>
      </c>
      <c r="G2286" t="s">
        <v>4256</v>
      </c>
      <c r="H2286">
        <v>81</v>
      </c>
    </row>
    <row r="2287" spans="1:8" x14ac:dyDescent="0.25">
      <c r="A2287" t="s">
        <v>1820</v>
      </c>
      <c r="B2287">
        <v>3</v>
      </c>
      <c r="C2287">
        <v>3</v>
      </c>
      <c r="D2287">
        <v>3</v>
      </c>
      <c r="E2287" t="s">
        <v>7048</v>
      </c>
      <c r="F2287" t="s">
        <v>7048</v>
      </c>
      <c r="G2287" t="s">
        <v>4256</v>
      </c>
      <c r="H2287">
        <v>61</v>
      </c>
    </row>
    <row r="2288" spans="1:8" x14ac:dyDescent="0.25">
      <c r="A2288" t="s">
        <v>1504</v>
      </c>
      <c r="B2288">
        <v>1</v>
      </c>
      <c r="C2288">
        <v>1</v>
      </c>
      <c r="D2288">
        <v>1</v>
      </c>
      <c r="E2288" t="s">
        <v>7049</v>
      </c>
      <c r="F2288" t="s">
        <v>7049</v>
      </c>
      <c r="G2288" t="s">
        <v>7049</v>
      </c>
      <c r="H2288">
        <v>65</v>
      </c>
    </row>
    <row r="2289" spans="1:8" x14ac:dyDescent="0.25">
      <c r="A2289" t="s">
        <v>2473</v>
      </c>
      <c r="B2289">
        <v>1</v>
      </c>
      <c r="C2289">
        <v>1</v>
      </c>
      <c r="D2289">
        <v>1</v>
      </c>
      <c r="E2289" t="s">
        <v>7050</v>
      </c>
      <c r="F2289" t="s">
        <v>7050</v>
      </c>
      <c r="G2289" t="s">
        <v>7050</v>
      </c>
      <c r="H2289">
        <v>48</v>
      </c>
    </row>
    <row r="2290" spans="1:8" x14ac:dyDescent="0.25">
      <c r="A2290" t="s">
        <v>2891</v>
      </c>
      <c r="B2290">
        <v>1</v>
      </c>
      <c r="C2290">
        <v>1</v>
      </c>
      <c r="D2290">
        <v>1</v>
      </c>
      <c r="E2290" t="s">
        <v>7051</v>
      </c>
      <c r="F2290" t="s">
        <v>7051</v>
      </c>
      <c r="G2290" t="s">
        <v>7051</v>
      </c>
      <c r="H2290">
        <v>25</v>
      </c>
    </row>
    <row r="2291" spans="1:8" x14ac:dyDescent="0.25">
      <c r="A2291" t="s">
        <v>2963</v>
      </c>
      <c r="B2291">
        <v>1</v>
      </c>
      <c r="C2291">
        <v>1</v>
      </c>
      <c r="D2291">
        <v>1</v>
      </c>
      <c r="E2291" t="s">
        <v>7052</v>
      </c>
      <c r="F2291" t="s">
        <v>7052</v>
      </c>
      <c r="G2291" t="s">
        <v>7052</v>
      </c>
      <c r="H2291">
        <v>28</v>
      </c>
    </row>
    <row r="2292" spans="1:8" x14ac:dyDescent="0.25">
      <c r="A2292" t="s">
        <v>1618</v>
      </c>
      <c r="B2292">
        <v>1</v>
      </c>
      <c r="C2292">
        <v>1</v>
      </c>
      <c r="D2292">
        <v>1</v>
      </c>
      <c r="E2292" t="s">
        <v>7053</v>
      </c>
      <c r="F2292" t="s">
        <v>7053</v>
      </c>
      <c r="G2292" t="s">
        <v>7053</v>
      </c>
      <c r="H2292">
        <v>80</v>
      </c>
    </row>
    <row r="2293" spans="1:8" x14ac:dyDescent="0.25">
      <c r="A2293" t="s">
        <v>1722</v>
      </c>
      <c r="B2293">
        <v>1</v>
      </c>
      <c r="C2293">
        <v>1</v>
      </c>
      <c r="D2293">
        <v>1</v>
      </c>
      <c r="E2293" t="s">
        <v>7054</v>
      </c>
      <c r="F2293" t="s">
        <v>7055</v>
      </c>
      <c r="G2293" t="s">
        <v>7055</v>
      </c>
      <c r="H2293">
        <v>88</v>
      </c>
    </row>
    <row r="2294" spans="1:8" x14ac:dyDescent="0.25">
      <c r="A2294" t="s">
        <v>2560</v>
      </c>
      <c r="B2294">
        <v>1</v>
      </c>
      <c r="C2294">
        <v>1</v>
      </c>
      <c r="D2294">
        <v>1</v>
      </c>
      <c r="E2294" t="s">
        <v>7056</v>
      </c>
      <c r="F2294" t="s">
        <v>7057</v>
      </c>
      <c r="G2294" t="s">
        <v>7057</v>
      </c>
      <c r="H2294">
        <v>33</v>
      </c>
    </row>
    <row r="2295" spans="1:8" x14ac:dyDescent="0.25">
      <c r="A2295" t="s">
        <v>2561</v>
      </c>
      <c r="B2295">
        <v>1</v>
      </c>
      <c r="C2295">
        <v>1</v>
      </c>
      <c r="D2295">
        <v>1</v>
      </c>
      <c r="E2295" t="s">
        <v>7058</v>
      </c>
      <c r="F2295" t="s">
        <v>7058</v>
      </c>
      <c r="G2295" t="s">
        <v>7058</v>
      </c>
      <c r="H2295">
        <v>34</v>
      </c>
    </row>
    <row r="2296" spans="1:8" x14ac:dyDescent="0.25">
      <c r="A2296" t="s">
        <v>2373</v>
      </c>
      <c r="B2296">
        <v>1</v>
      </c>
      <c r="C2296">
        <v>1</v>
      </c>
      <c r="D2296">
        <v>1</v>
      </c>
      <c r="E2296" t="s">
        <v>7059</v>
      </c>
      <c r="F2296" t="s">
        <v>7060</v>
      </c>
      <c r="G2296" t="s">
        <v>7060</v>
      </c>
      <c r="H2296">
        <v>47</v>
      </c>
    </row>
    <row r="2297" spans="1:8" x14ac:dyDescent="0.25">
      <c r="A2297" t="s">
        <v>1873</v>
      </c>
      <c r="B2297">
        <v>1</v>
      </c>
      <c r="C2297">
        <v>1</v>
      </c>
      <c r="D2297">
        <v>1</v>
      </c>
      <c r="E2297" t="s">
        <v>7061</v>
      </c>
      <c r="F2297" t="s">
        <v>7061</v>
      </c>
      <c r="G2297" t="s">
        <v>7061</v>
      </c>
      <c r="H2297">
        <v>69</v>
      </c>
    </row>
    <row r="2298" spans="1:8" x14ac:dyDescent="0.25">
      <c r="A2298" t="s">
        <v>1024</v>
      </c>
      <c r="B2298">
        <v>1</v>
      </c>
      <c r="C2298">
        <v>1</v>
      </c>
      <c r="D2298">
        <v>1</v>
      </c>
      <c r="E2298" t="s">
        <v>7062</v>
      </c>
      <c r="F2298" t="s">
        <v>7062</v>
      </c>
      <c r="G2298" t="s">
        <v>7062</v>
      </c>
      <c r="H2298">
        <v>137</v>
      </c>
    </row>
    <row r="2299" spans="1:8" x14ac:dyDescent="0.25">
      <c r="A2299" t="s">
        <v>2168</v>
      </c>
      <c r="B2299">
        <v>1</v>
      </c>
      <c r="C2299">
        <v>1</v>
      </c>
      <c r="D2299">
        <v>1</v>
      </c>
      <c r="E2299" t="s">
        <v>7063</v>
      </c>
      <c r="F2299" t="s">
        <v>7063</v>
      </c>
      <c r="G2299" t="s">
        <v>7063</v>
      </c>
      <c r="H2299">
        <v>59</v>
      </c>
    </row>
    <row r="2300" spans="1:8" x14ac:dyDescent="0.25">
      <c r="A2300" t="s">
        <v>838</v>
      </c>
      <c r="B2300">
        <v>1</v>
      </c>
      <c r="C2300">
        <v>1</v>
      </c>
      <c r="D2300">
        <v>1</v>
      </c>
      <c r="E2300" t="s">
        <v>7064</v>
      </c>
      <c r="F2300" t="s">
        <v>7064</v>
      </c>
      <c r="G2300" t="s">
        <v>7064</v>
      </c>
      <c r="H2300">
        <v>211</v>
      </c>
    </row>
    <row r="2301" spans="1:8" x14ac:dyDescent="0.25">
      <c r="A2301" t="s">
        <v>942</v>
      </c>
      <c r="B2301">
        <v>2</v>
      </c>
      <c r="C2301">
        <v>2</v>
      </c>
      <c r="D2301">
        <v>2</v>
      </c>
      <c r="E2301" t="s">
        <v>7065</v>
      </c>
      <c r="F2301" t="s">
        <v>7066</v>
      </c>
      <c r="G2301" t="s">
        <v>4256</v>
      </c>
      <c r="H2301">
        <v>119</v>
      </c>
    </row>
    <row r="2302" spans="1:8" x14ac:dyDescent="0.25">
      <c r="A2302" t="s">
        <v>2094</v>
      </c>
      <c r="B2302">
        <v>1</v>
      </c>
      <c r="C2302">
        <v>1</v>
      </c>
      <c r="D2302">
        <v>1</v>
      </c>
      <c r="E2302" t="s">
        <v>7067</v>
      </c>
      <c r="F2302" t="s">
        <v>7067</v>
      </c>
      <c r="G2302" t="s">
        <v>7067</v>
      </c>
      <c r="H2302">
        <v>34</v>
      </c>
    </row>
    <row r="2303" spans="1:8" x14ac:dyDescent="0.25">
      <c r="A2303" t="s">
        <v>2485</v>
      </c>
      <c r="B2303">
        <v>1</v>
      </c>
      <c r="C2303">
        <v>1</v>
      </c>
      <c r="D2303">
        <v>1</v>
      </c>
      <c r="E2303" t="s">
        <v>7068</v>
      </c>
      <c r="F2303" t="s">
        <v>7068</v>
      </c>
      <c r="G2303" t="s">
        <v>7068</v>
      </c>
      <c r="H2303">
        <v>23</v>
      </c>
    </row>
    <row r="2304" spans="1:8" x14ac:dyDescent="0.25">
      <c r="A2304" t="s">
        <v>2643</v>
      </c>
      <c r="B2304">
        <v>1</v>
      </c>
      <c r="C2304">
        <v>1</v>
      </c>
      <c r="D2304">
        <v>1</v>
      </c>
      <c r="E2304" t="s">
        <v>7069</v>
      </c>
      <c r="F2304" t="s">
        <v>7069</v>
      </c>
      <c r="G2304" t="s">
        <v>7069</v>
      </c>
      <c r="H2304">
        <v>18</v>
      </c>
    </row>
    <row r="2305" spans="1:8" x14ac:dyDescent="0.25">
      <c r="A2305" t="s">
        <v>1610</v>
      </c>
      <c r="B2305">
        <v>1</v>
      </c>
      <c r="C2305">
        <v>1</v>
      </c>
      <c r="D2305">
        <v>1</v>
      </c>
      <c r="E2305" t="s">
        <v>7070</v>
      </c>
      <c r="F2305" t="s">
        <v>7071</v>
      </c>
      <c r="G2305" t="s">
        <v>7071</v>
      </c>
      <c r="H2305">
        <v>80</v>
      </c>
    </row>
    <row r="2306" spans="1:8" x14ac:dyDescent="0.25">
      <c r="A2306" t="s">
        <v>1687</v>
      </c>
      <c r="B2306">
        <v>1</v>
      </c>
      <c r="C2306">
        <v>1</v>
      </c>
      <c r="D2306">
        <v>1</v>
      </c>
      <c r="E2306" t="s">
        <v>7072</v>
      </c>
      <c r="F2306" t="s">
        <v>7072</v>
      </c>
      <c r="G2306" t="s">
        <v>7072</v>
      </c>
      <c r="H2306">
        <v>76</v>
      </c>
    </row>
    <row r="2307" spans="1:8" x14ac:dyDescent="0.25">
      <c r="A2307" t="s">
        <v>1674</v>
      </c>
      <c r="B2307">
        <v>1</v>
      </c>
      <c r="C2307">
        <v>1</v>
      </c>
      <c r="D2307">
        <v>1</v>
      </c>
      <c r="E2307" t="s">
        <v>7073</v>
      </c>
      <c r="F2307" t="s">
        <v>7073</v>
      </c>
      <c r="G2307" t="s">
        <v>7073</v>
      </c>
      <c r="H2307">
        <v>92</v>
      </c>
    </row>
    <row r="2308" spans="1:8" x14ac:dyDescent="0.25">
      <c r="A2308" t="s">
        <v>1237</v>
      </c>
      <c r="B2308">
        <v>1</v>
      </c>
      <c r="C2308">
        <v>1</v>
      </c>
      <c r="D2308">
        <v>1</v>
      </c>
      <c r="E2308" t="s">
        <v>7074</v>
      </c>
      <c r="F2308" t="s">
        <v>7075</v>
      </c>
      <c r="G2308" t="s">
        <v>7075</v>
      </c>
      <c r="H2308">
        <v>202</v>
      </c>
    </row>
    <row r="2309" spans="1:8" x14ac:dyDescent="0.25">
      <c r="A2309" t="s">
        <v>2022</v>
      </c>
      <c r="B2309">
        <v>1</v>
      </c>
      <c r="C2309">
        <v>1</v>
      </c>
      <c r="D2309">
        <v>1</v>
      </c>
      <c r="E2309" t="s">
        <v>7076</v>
      </c>
      <c r="F2309" t="s">
        <v>7076</v>
      </c>
      <c r="G2309" t="s">
        <v>7076</v>
      </c>
      <c r="H2309">
        <v>100</v>
      </c>
    </row>
    <row r="2310" spans="1:8" x14ac:dyDescent="0.25">
      <c r="A2310" t="s">
        <v>1066</v>
      </c>
      <c r="B2310">
        <v>2</v>
      </c>
      <c r="C2310">
        <v>2</v>
      </c>
      <c r="D2310">
        <v>2</v>
      </c>
      <c r="E2310" t="s">
        <v>7077</v>
      </c>
      <c r="F2310" t="s">
        <v>7078</v>
      </c>
      <c r="G2310" t="s">
        <v>4256</v>
      </c>
      <c r="H2310">
        <v>116</v>
      </c>
    </row>
    <row r="2311" spans="1:8" x14ac:dyDescent="0.25">
      <c r="A2311" t="s">
        <v>1065</v>
      </c>
      <c r="B2311">
        <v>2</v>
      </c>
      <c r="C2311">
        <v>2</v>
      </c>
      <c r="D2311">
        <v>2</v>
      </c>
      <c r="E2311" t="s">
        <v>7079</v>
      </c>
      <c r="F2311" t="s">
        <v>7080</v>
      </c>
      <c r="G2311" t="s">
        <v>4256</v>
      </c>
      <c r="H2311">
        <v>132</v>
      </c>
    </row>
    <row r="2312" spans="1:8" x14ac:dyDescent="0.25">
      <c r="A2312" t="s">
        <v>1104</v>
      </c>
      <c r="B2312">
        <v>2</v>
      </c>
      <c r="C2312">
        <v>2</v>
      </c>
      <c r="D2312">
        <v>2</v>
      </c>
      <c r="E2312" t="s">
        <v>7081</v>
      </c>
      <c r="F2312" t="s">
        <v>7082</v>
      </c>
      <c r="G2312" t="s">
        <v>4256</v>
      </c>
      <c r="H2312">
        <v>111</v>
      </c>
    </row>
    <row r="2313" spans="1:8" x14ac:dyDescent="0.25">
      <c r="A2313" t="s">
        <v>393</v>
      </c>
      <c r="B2313">
        <v>1</v>
      </c>
      <c r="C2313">
        <v>1</v>
      </c>
      <c r="D2313">
        <v>1</v>
      </c>
      <c r="E2313" t="s">
        <v>7083</v>
      </c>
      <c r="F2313" t="s">
        <v>7083</v>
      </c>
      <c r="G2313" t="s">
        <v>7083</v>
      </c>
      <c r="H2313">
        <v>425</v>
      </c>
    </row>
    <row r="2314" spans="1:8" x14ac:dyDescent="0.25">
      <c r="A2314" t="s">
        <v>2648</v>
      </c>
      <c r="B2314">
        <v>1</v>
      </c>
      <c r="C2314">
        <v>1</v>
      </c>
      <c r="D2314">
        <v>1</v>
      </c>
      <c r="E2314" t="s">
        <v>7084</v>
      </c>
      <c r="F2314" t="s">
        <v>7084</v>
      </c>
      <c r="G2314" t="s">
        <v>7084</v>
      </c>
      <c r="H2314">
        <v>5</v>
      </c>
    </row>
    <row r="2315" spans="1:8" x14ac:dyDescent="0.25">
      <c r="A2315" t="s">
        <v>3851</v>
      </c>
      <c r="B2315">
        <v>1</v>
      </c>
      <c r="C2315">
        <v>1</v>
      </c>
      <c r="D2315">
        <v>1</v>
      </c>
      <c r="E2315" t="s">
        <v>7085</v>
      </c>
      <c r="F2315" t="s">
        <v>7085</v>
      </c>
      <c r="G2315" t="s">
        <v>7085</v>
      </c>
      <c r="H2315">
        <v>3</v>
      </c>
    </row>
    <row r="2316" spans="1:8" x14ac:dyDescent="0.25">
      <c r="A2316" t="s">
        <v>3217</v>
      </c>
      <c r="B2316">
        <v>1</v>
      </c>
      <c r="C2316">
        <v>1</v>
      </c>
      <c r="D2316">
        <v>1</v>
      </c>
      <c r="E2316" t="s">
        <v>7086</v>
      </c>
      <c r="F2316" t="s">
        <v>7086</v>
      </c>
      <c r="G2316" t="s">
        <v>7086</v>
      </c>
      <c r="H2316">
        <v>10</v>
      </c>
    </row>
    <row r="2317" spans="1:8" x14ac:dyDescent="0.25">
      <c r="A2317" t="s">
        <v>1599</v>
      </c>
      <c r="B2317">
        <v>1</v>
      </c>
      <c r="C2317">
        <v>1</v>
      </c>
      <c r="D2317">
        <v>1</v>
      </c>
      <c r="E2317" t="s">
        <v>7087</v>
      </c>
      <c r="F2317" t="s">
        <v>7087</v>
      </c>
      <c r="G2317" t="s">
        <v>7087</v>
      </c>
      <c r="H2317">
        <v>81</v>
      </c>
    </row>
    <row r="2318" spans="1:8" x14ac:dyDescent="0.25">
      <c r="A2318" t="s">
        <v>1122</v>
      </c>
      <c r="B2318">
        <v>1</v>
      </c>
      <c r="C2318">
        <v>1</v>
      </c>
      <c r="D2318">
        <v>1</v>
      </c>
      <c r="E2318" t="s">
        <v>7088</v>
      </c>
      <c r="F2318" t="s">
        <v>7088</v>
      </c>
      <c r="G2318" t="s">
        <v>7088</v>
      </c>
      <c r="H2318">
        <v>104</v>
      </c>
    </row>
    <row r="2319" spans="1:8" x14ac:dyDescent="0.25">
      <c r="A2319" t="s">
        <v>2787</v>
      </c>
      <c r="B2319">
        <v>1</v>
      </c>
      <c r="C2319">
        <v>1</v>
      </c>
      <c r="D2319">
        <v>1</v>
      </c>
      <c r="E2319" t="s">
        <v>7089</v>
      </c>
      <c r="F2319" t="s">
        <v>7089</v>
      </c>
      <c r="G2319" t="s">
        <v>7089</v>
      </c>
      <c r="H2319">
        <v>3</v>
      </c>
    </row>
    <row r="2320" spans="1:8" x14ac:dyDescent="0.25">
      <c r="A2320" t="s">
        <v>2781</v>
      </c>
      <c r="B2320">
        <v>1</v>
      </c>
      <c r="C2320">
        <v>1</v>
      </c>
      <c r="D2320">
        <v>1</v>
      </c>
      <c r="E2320" t="s">
        <v>7090</v>
      </c>
      <c r="F2320" t="s">
        <v>7090</v>
      </c>
      <c r="G2320" t="s">
        <v>7090</v>
      </c>
      <c r="H2320">
        <v>4</v>
      </c>
    </row>
    <row r="2321" spans="1:8" x14ac:dyDescent="0.25">
      <c r="A2321" t="s">
        <v>3492</v>
      </c>
      <c r="B2321">
        <v>1</v>
      </c>
      <c r="C2321">
        <v>1</v>
      </c>
      <c r="D2321">
        <v>1</v>
      </c>
      <c r="E2321" t="s">
        <v>7091</v>
      </c>
      <c r="F2321" t="s">
        <v>7091</v>
      </c>
      <c r="G2321" t="s">
        <v>7091</v>
      </c>
      <c r="H2321">
        <v>3</v>
      </c>
    </row>
    <row r="2322" spans="1:8" x14ac:dyDescent="0.25">
      <c r="A2322" t="s">
        <v>3762</v>
      </c>
      <c r="B2322">
        <v>1</v>
      </c>
      <c r="C2322">
        <v>1</v>
      </c>
      <c r="D2322">
        <v>1</v>
      </c>
      <c r="E2322" t="s">
        <v>7092</v>
      </c>
      <c r="F2322" t="s">
        <v>7092</v>
      </c>
      <c r="G2322" t="s">
        <v>7092</v>
      </c>
      <c r="H2322">
        <v>1</v>
      </c>
    </row>
    <row r="2323" spans="1:8" x14ac:dyDescent="0.25">
      <c r="A2323" t="s">
        <v>2257</v>
      </c>
      <c r="B2323">
        <v>1</v>
      </c>
      <c r="C2323">
        <v>1</v>
      </c>
      <c r="D2323">
        <v>1</v>
      </c>
      <c r="E2323" t="s">
        <v>7093</v>
      </c>
      <c r="F2323" t="s">
        <v>7093</v>
      </c>
      <c r="G2323" t="s">
        <v>7093</v>
      </c>
      <c r="H2323">
        <v>54</v>
      </c>
    </row>
    <row r="2324" spans="1:8" x14ac:dyDescent="0.25">
      <c r="A2324" t="s">
        <v>1744</v>
      </c>
      <c r="B2324">
        <v>1</v>
      </c>
      <c r="C2324">
        <v>1</v>
      </c>
      <c r="D2324">
        <v>1</v>
      </c>
      <c r="E2324" t="s">
        <v>7094</v>
      </c>
      <c r="F2324" t="s">
        <v>7094</v>
      </c>
      <c r="G2324" t="s">
        <v>7094</v>
      </c>
      <c r="H2324">
        <v>88</v>
      </c>
    </row>
    <row r="2325" spans="1:8" x14ac:dyDescent="0.25">
      <c r="A2325" t="s">
        <v>2148</v>
      </c>
      <c r="B2325">
        <v>1</v>
      </c>
      <c r="C2325">
        <v>1</v>
      </c>
      <c r="D2325">
        <v>1</v>
      </c>
      <c r="E2325" t="s">
        <v>7095</v>
      </c>
      <c r="F2325" t="s">
        <v>7095</v>
      </c>
      <c r="G2325" t="s">
        <v>7095</v>
      </c>
      <c r="H2325">
        <v>51</v>
      </c>
    </row>
    <row r="2326" spans="1:8" x14ac:dyDescent="0.25">
      <c r="A2326" t="s">
        <v>1999</v>
      </c>
      <c r="B2326">
        <v>2</v>
      </c>
      <c r="C2326">
        <v>2</v>
      </c>
      <c r="D2326">
        <v>2</v>
      </c>
      <c r="E2326" t="s">
        <v>7096</v>
      </c>
      <c r="F2326" t="s">
        <v>7096</v>
      </c>
      <c r="G2326" t="s">
        <v>4256</v>
      </c>
      <c r="H2326">
        <v>60</v>
      </c>
    </row>
    <row r="2327" spans="1:8" x14ac:dyDescent="0.25">
      <c r="A2327" t="s">
        <v>2235</v>
      </c>
      <c r="B2327">
        <v>2</v>
      </c>
      <c r="C2327">
        <v>2</v>
      </c>
      <c r="D2327">
        <v>2</v>
      </c>
      <c r="E2327" t="s">
        <v>7097</v>
      </c>
      <c r="F2327" t="s">
        <v>7097</v>
      </c>
      <c r="G2327" t="s">
        <v>4256</v>
      </c>
      <c r="H2327">
        <v>36</v>
      </c>
    </row>
    <row r="2328" spans="1:8" x14ac:dyDescent="0.25">
      <c r="A2328" t="s">
        <v>2144</v>
      </c>
      <c r="B2328">
        <v>2</v>
      </c>
      <c r="C2328">
        <v>2</v>
      </c>
      <c r="D2328">
        <v>2</v>
      </c>
      <c r="E2328" t="s">
        <v>7098</v>
      </c>
      <c r="F2328" t="s">
        <v>7099</v>
      </c>
      <c r="G2328" t="s">
        <v>4256</v>
      </c>
      <c r="H2328">
        <v>37</v>
      </c>
    </row>
    <row r="2329" spans="1:8" x14ac:dyDescent="0.25">
      <c r="A2329" t="s">
        <v>2263</v>
      </c>
      <c r="B2329">
        <v>2</v>
      </c>
      <c r="C2329">
        <v>2</v>
      </c>
      <c r="D2329">
        <v>2</v>
      </c>
      <c r="E2329" t="s">
        <v>7100</v>
      </c>
      <c r="F2329" t="s">
        <v>7100</v>
      </c>
      <c r="G2329" t="s">
        <v>4256</v>
      </c>
      <c r="H2329">
        <v>32</v>
      </c>
    </row>
    <row r="2330" spans="1:8" x14ac:dyDescent="0.25">
      <c r="A2330" t="s">
        <v>1983</v>
      </c>
      <c r="B2330">
        <v>1</v>
      </c>
      <c r="C2330">
        <v>1</v>
      </c>
      <c r="D2330">
        <v>1</v>
      </c>
      <c r="E2330" t="s">
        <v>7101</v>
      </c>
      <c r="F2330" t="s">
        <v>7102</v>
      </c>
      <c r="G2330" t="s">
        <v>7102</v>
      </c>
      <c r="H2330">
        <v>34</v>
      </c>
    </row>
    <row r="2331" spans="1:8" x14ac:dyDescent="0.25">
      <c r="A2331" t="s">
        <v>2471</v>
      </c>
      <c r="B2331">
        <v>1</v>
      </c>
      <c r="C2331">
        <v>1</v>
      </c>
      <c r="D2331">
        <v>1</v>
      </c>
      <c r="E2331" t="s">
        <v>7103</v>
      </c>
      <c r="F2331" t="s">
        <v>7104</v>
      </c>
      <c r="G2331" t="s">
        <v>7104</v>
      </c>
      <c r="H2331">
        <v>21</v>
      </c>
    </row>
    <row r="2332" spans="1:8" x14ac:dyDescent="0.25">
      <c r="A2332" t="s">
        <v>1755</v>
      </c>
      <c r="B2332">
        <v>1</v>
      </c>
      <c r="C2332">
        <v>1</v>
      </c>
      <c r="D2332">
        <v>1</v>
      </c>
      <c r="E2332" t="s">
        <v>7105</v>
      </c>
      <c r="F2332" t="s">
        <v>7106</v>
      </c>
      <c r="G2332" t="s">
        <v>7106</v>
      </c>
      <c r="H2332">
        <v>47</v>
      </c>
    </row>
    <row r="2333" spans="1:8" x14ac:dyDescent="0.25">
      <c r="A2333" t="s">
        <v>899</v>
      </c>
      <c r="B2333">
        <v>1</v>
      </c>
      <c r="C2333">
        <v>1</v>
      </c>
      <c r="D2333">
        <v>1</v>
      </c>
      <c r="E2333" t="s">
        <v>7107</v>
      </c>
      <c r="F2333" t="s">
        <v>7107</v>
      </c>
      <c r="G2333" t="s">
        <v>7107</v>
      </c>
      <c r="H2333">
        <v>108</v>
      </c>
    </row>
    <row r="2334" spans="1:8" x14ac:dyDescent="0.25">
      <c r="A2334" t="s">
        <v>1369</v>
      </c>
      <c r="B2334">
        <v>3</v>
      </c>
      <c r="C2334">
        <v>3</v>
      </c>
      <c r="D2334">
        <v>3</v>
      </c>
      <c r="E2334" t="s">
        <v>7108</v>
      </c>
      <c r="F2334" t="s">
        <v>7108</v>
      </c>
      <c r="G2334" t="s">
        <v>4256</v>
      </c>
      <c r="H2334">
        <v>59</v>
      </c>
    </row>
    <row r="2335" spans="1:8" x14ac:dyDescent="0.25">
      <c r="A2335" t="s">
        <v>3025</v>
      </c>
      <c r="B2335">
        <v>1</v>
      </c>
      <c r="C2335">
        <v>1</v>
      </c>
      <c r="D2335">
        <v>1</v>
      </c>
      <c r="E2335" t="s">
        <v>7109</v>
      </c>
      <c r="F2335" t="s">
        <v>7109</v>
      </c>
      <c r="G2335" t="s">
        <v>7109</v>
      </c>
      <c r="H2335">
        <v>8</v>
      </c>
    </row>
    <row r="2336" spans="1:8" x14ac:dyDescent="0.25">
      <c r="A2336" t="s">
        <v>3168</v>
      </c>
      <c r="B2336">
        <v>1</v>
      </c>
      <c r="C2336">
        <v>1</v>
      </c>
      <c r="D2336">
        <v>1</v>
      </c>
      <c r="E2336" t="s">
        <v>7110</v>
      </c>
      <c r="F2336" t="s">
        <v>7110</v>
      </c>
      <c r="G2336" t="s">
        <v>7110</v>
      </c>
      <c r="H2336">
        <v>8</v>
      </c>
    </row>
    <row r="2337" spans="1:8" x14ac:dyDescent="0.25">
      <c r="A2337" t="s">
        <v>2749</v>
      </c>
      <c r="B2337">
        <v>2</v>
      </c>
      <c r="C2337">
        <v>2</v>
      </c>
      <c r="D2337">
        <v>2</v>
      </c>
      <c r="E2337" t="s">
        <v>7111</v>
      </c>
      <c r="F2337" t="s">
        <v>7111</v>
      </c>
      <c r="G2337" t="s">
        <v>4256</v>
      </c>
      <c r="H2337">
        <v>16</v>
      </c>
    </row>
    <row r="2338" spans="1:8" x14ac:dyDescent="0.25">
      <c r="A2338" t="s">
        <v>2346</v>
      </c>
      <c r="B2338">
        <v>2</v>
      </c>
      <c r="C2338">
        <v>2</v>
      </c>
      <c r="D2338">
        <v>2</v>
      </c>
      <c r="E2338" t="s">
        <v>7112</v>
      </c>
      <c r="F2338" t="s">
        <v>7112</v>
      </c>
      <c r="G2338" t="s">
        <v>4256</v>
      </c>
      <c r="H2338">
        <v>28</v>
      </c>
    </row>
    <row r="2339" spans="1:8" x14ac:dyDescent="0.25">
      <c r="A2339" t="s">
        <v>3087</v>
      </c>
      <c r="B2339">
        <v>1</v>
      </c>
      <c r="C2339">
        <v>1</v>
      </c>
      <c r="D2339">
        <v>1</v>
      </c>
      <c r="E2339" t="s">
        <v>7113</v>
      </c>
      <c r="F2339" t="s">
        <v>7114</v>
      </c>
      <c r="G2339" t="s">
        <v>7114</v>
      </c>
      <c r="H2339">
        <v>11</v>
      </c>
    </row>
    <row r="2340" spans="1:8" x14ac:dyDescent="0.25">
      <c r="A2340" t="s">
        <v>2968</v>
      </c>
      <c r="B2340">
        <v>1</v>
      </c>
      <c r="C2340">
        <v>1</v>
      </c>
      <c r="D2340">
        <v>1</v>
      </c>
      <c r="E2340" t="s">
        <v>7115</v>
      </c>
      <c r="F2340" t="s">
        <v>7116</v>
      </c>
      <c r="G2340" t="s">
        <v>7116</v>
      </c>
      <c r="H2340">
        <v>11</v>
      </c>
    </row>
    <row r="2341" spans="1:8" x14ac:dyDescent="0.25">
      <c r="A2341" t="s">
        <v>1513</v>
      </c>
      <c r="B2341">
        <v>1</v>
      </c>
      <c r="C2341">
        <v>1</v>
      </c>
      <c r="D2341">
        <v>1</v>
      </c>
      <c r="E2341" t="s">
        <v>7117</v>
      </c>
      <c r="F2341" t="s">
        <v>7117</v>
      </c>
      <c r="G2341" t="s">
        <v>7117</v>
      </c>
      <c r="H2341">
        <v>74</v>
      </c>
    </row>
    <row r="2342" spans="1:8" x14ac:dyDescent="0.25">
      <c r="A2342" t="s">
        <v>1451</v>
      </c>
      <c r="B2342">
        <v>1</v>
      </c>
      <c r="C2342">
        <v>1</v>
      </c>
      <c r="D2342">
        <v>1</v>
      </c>
      <c r="E2342" t="s">
        <v>7118</v>
      </c>
      <c r="F2342" t="s">
        <v>7119</v>
      </c>
      <c r="G2342" t="s">
        <v>7119</v>
      </c>
      <c r="H2342">
        <v>92</v>
      </c>
    </row>
    <row r="2343" spans="1:8" x14ac:dyDescent="0.25">
      <c r="A2343" t="s">
        <v>2156</v>
      </c>
      <c r="B2343">
        <v>1</v>
      </c>
      <c r="C2343">
        <v>1</v>
      </c>
      <c r="D2343">
        <v>1</v>
      </c>
      <c r="E2343" t="s">
        <v>7120</v>
      </c>
      <c r="F2343" t="s">
        <v>7120</v>
      </c>
      <c r="G2343" t="s">
        <v>7120</v>
      </c>
      <c r="H2343">
        <v>28</v>
      </c>
    </row>
    <row r="2344" spans="1:8" x14ac:dyDescent="0.25">
      <c r="A2344" t="s">
        <v>1836</v>
      </c>
      <c r="B2344">
        <v>1</v>
      </c>
      <c r="C2344">
        <v>1</v>
      </c>
      <c r="D2344">
        <v>1</v>
      </c>
      <c r="E2344" t="s">
        <v>7121</v>
      </c>
      <c r="F2344" t="s">
        <v>7122</v>
      </c>
      <c r="G2344" t="s">
        <v>7122</v>
      </c>
      <c r="H2344">
        <v>34</v>
      </c>
    </row>
    <row r="2345" spans="1:8" x14ac:dyDescent="0.25">
      <c r="A2345" t="s">
        <v>2268</v>
      </c>
      <c r="B2345">
        <v>1</v>
      </c>
      <c r="C2345">
        <v>1</v>
      </c>
      <c r="D2345">
        <v>1</v>
      </c>
      <c r="E2345" t="s">
        <v>7123</v>
      </c>
      <c r="F2345" t="s">
        <v>7123</v>
      </c>
      <c r="G2345" t="s">
        <v>7123</v>
      </c>
      <c r="H2345">
        <v>52</v>
      </c>
    </row>
    <row r="2346" spans="1:8" x14ac:dyDescent="0.25">
      <c r="A2346" t="s">
        <v>2698</v>
      </c>
      <c r="B2346">
        <v>1</v>
      </c>
      <c r="C2346">
        <v>1</v>
      </c>
      <c r="D2346">
        <v>1</v>
      </c>
      <c r="E2346" t="s">
        <v>7124</v>
      </c>
      <c r="F2346" t="s">
        <v>7124</v>
      </c>
      <c r="G2346" t="s">
        <v>7124</v>
      </c>
      <c r="H2346">
        <v>38</v>
      </c>
    </row>
    <row r="2347" spans="1:8" x14ac:dyDescent="0.25">
      <c r="A2347" t="s">
        <v>2763</v>
      </c>
      <c r="B2347">
        <v>1</v>
      </c>
      <c r="C2347">
        <v>1</v>
      </c>
      <c r="D2347">
        <v>1</v>
      </c>
      <c r="E2347" t="s">
        <v>7125</v>
      </c>
      <c r="F2347" t="s">
        <v>7125</v>
      </c>
      <c r="G2347" t="s">
        <v>7125</v>
      </c>
      <c r="H2347">
        <v>31</v>
      </c>
    </row>
    <row r="2348" spans="1:8" x14ac:dyDescent="0.25">
      <c r="A2348" t="s">
        <v>2717</v>
      </c>
      <c r="B2348">
        <v>1</v>
      </c>
      <c r="C2348">
        <v>1</v>
      </c>
      <c r="D2348">
        <v>1</v>
      </c>
      <c r="E2348" t="s">
        <v>7126</v>
      </c>
      <c r="F2348" t="s">
        <v>7126</v>
      </c>
      <c r="G2348" t="s">
        <v>7126</v>
      </c>
      <c r="H2348">
        <v>22</v>
      </c>
    </row>
    <row r="2349" spans="1:8" x14ac:dyDescent="0.25">
      <c r="A2349" t="s">
        <v>3076</v>
      </c>
      <c r="B2349">
        <v>1</v>
      </c>
      <c r="C2349">
        <v>1</v>
      </c>
      <c r="D2349">
        <v>1</v>
      </c>
      <c r="E2349" t="s">
        <v>7127</v>
      </c>
      <c r="F2349" t="s">
        <v>7127</v>
      </c>
      <c r="G2349" t="s">
        <v>7127</v>
      </c>
      <c r="H2349">
        <v>13</v>
      </c>
    </row>
    <row r="2350" spans="1:8" x14ac:dyDescent="0.25">
      <c r="A2350" t="s">
        <v>2598</v>
      </c>
      <c r="B2350">
        <v>1</v>
      </c>
      <c r="C2350">
        <v>1</v>
      </c>
      <c r="D2350">
        <v>1</v>
      </c>
      <c r="E2350" t="s">
        <v>7128</v>
      </c>
      <c r="F2350" t="s">
        <v>7128</v>
      </c>
      <c r="G2350" t="s">
        <v>7128</v>
      </c>
      <c r="H2350">
        <v>13</v>
      </c>
    </row>
    <row r="2351" spans="1:8" x14ac:dyDescent="0.25">
      <c r="A2351" t="s">
        <v>1869</v>
      </c>
      <c r="B2351">
        <v>1</v>
      </c>
      <c r="C2351">
        <v>1</v>
      </c>
      <c r="D2351">
        <v>1</v>
      </c>
      <c r="E2351" t="s">
        <v>7129</v>
      </c>
      <c r="F2351" t="s">
        <v>7130</v>
      </c>
      <c r="G2351" t="s">
        <v>7130</v>
      </c>
      <c r="H2351">
        <v>45</v>
      </c>
    </row>
    <row r="2352" spans="1:8" x14ac:dyDescent="0.25">
      <c r="A2352" t="s">
        <v>504</v>
      </c>
      <c r="B2352">
        <v>1</v>
      </c>
      <c r="C2352">
        <v>1</v>
      </c>
      <c r="D2352">
        <v>1</v>
      </c>
      <c r="E2352" t="s">
        <v>7131</v>
      </c>
      <c r="F2352" t="s">
        <v>7131</v>
      </c>
      <c r="G2352" t="s">
        <v>7131</v>
      </c>
      <c r="H2352">
        <v>223</v>
      </c>
    </row>
    <row r="2353" spans="1:8" x14ac:dyDescent="0.25">
      <c r="A2353" t="s">
        <v>2677</v>
      </c>
      <c r="B2353">
        <v>1</v>
      </c>
      <c r="C2353">
        <v>1</v>
      </c>
      <c r="D2353">
        <v>1</v>
      </c>
      <c r="E2353" t="s">
        <v>7132</v>
      </c>
      <c r="F2353" t="s">
        <v>7133</v>
      </c>
      <c r="G2353" t="s">
        <v>7133</v>
      </c>
      <c r="H2353">
        <v>32</v>
      </c>
    </row>
    <row r="2354" spans="1:8" x14ac:dyDescent="0.25">
      <c r="A2354" t="s">
        <v>2113</v>
      </c>
      <c r="B2354">
        <v>1</v>
      </c>
      <c r="C2354">
        <v>1</v>
      </c>
      <c r="D2354">
        <v>1</v>
      </c>
      <c r="E2354" t="s">
        <v>7134</v>
      </c>
      <c r="F2354" t="s">
        <v>7135</v>
      </c>
      <c r="G2354" t="s">
        <v>7135</v>
      </c>
      <c r="H2354">
        <v>39</v>
      </c>
    </row>
    <row r="2355" spans="1:8" x14ac:dyDescent="0.25">
      <c r="A2355" t="s">
        <v>1341</v>
      </c>
      <c r="B2355">
        <v>1</v>
      </c>
      <c r="C2355">
        <v>1</v>
      </c>
      <c r="D2355">
        <v>1</v>
      </c>
      <c r="E2355" t="s">
        <v>7136</v>
      </c>
      <c r="F2355" t="s">
        <v>7136</v>
      </c>
      <c r="G2355" t="s">
        <v>7136</v>
      </c>
      <c r="H2355">
        <v>80</v>
      </c>
    </row>
    <row r="2356" spans="1:8" x14ac:dyDescent="0.25">
      <c r="A2356" t="s">
        <v>2278</v>
      </c>
      <c r="B2356">
        <v>2</v>
      </c>
      <c r="C2356">
        <v>2</v>
      </c>
      <c r="D2356">
        <v>2</v>
      </c>
      <c r="E2356" t="s">
        <v>7137</v>
      </c>
      <c r="F2356" t="s">
        <v>7137</v>
      </c>
      <c r="G2356" t="s">
        <v>4256</v>
      </c>
      <c r="H2356">
        <v>36</v>
      </c>
    </row>
    <row r="2357" spans="1:8" x14ac:dyDescent="0.25">
      <c r="A2357" t="s">
        <v>562</v>
      </c>
      <c r="B2357">
        <v>1</v>
      </c>
      <c r="C2357">
        <v>1</v>
      </c>
      <c r="D2357">
        <v>1</v>
      </c>
      <c r="E2357" t="s">
        <v>7138</v>
      </c>
      <c r="F2357" t="s">
        <v>7139</v>
      </c>
      <c r="G2357" t="s">
        <v>7139</v>
      </c>
      <c r="H2357">
        <v>96</v>
      </c>
    </row>
    <row r="2358" spans="1:8" x14ac:dyDescent="0.25">
      <c r="A2358" t="s">
        <v>728</v>
      </c>
      <c r="B2358">
        <v>1</v>
      </c>
      <c r="C2358">
        <v>1</v>
      </c>
      <c r="D2358">
        <v>1</v>
      </c>
      <c r="E2358" t="s">
        <v>7140</v>
      </c>
      <c r="F2358" t="s">
        <v>7140</v>
      </c>
      <c r="G2358" t="s">
        <v>7140</v>
      </c>
      <c r="H2358">
        <v>80</v>
      </c>
    </row>
    <row r="2359" spans="1:8" x14ac:dyDescent="0.25">
      <c r="A2359" t="s">
        <v>1938</v>
      </c>
      <c r="B2359">
        <v>1</v>
      </c>
      <c r="C2359">
        <v>1</v>
      </c>
      <c r="D2359">
        <v>1</v>
      </c>
      <c r="E2359" t="s">
        <v>7141</v>
      </c>
      <c r="F2359" t="s">
        <v>7141</v>
      </c>
      <c r="G2359" t="s">
        <v>7141</v>
      </c>
      <c r="H2359">
        <v>50</v>
      </c>
    </row>
    <row r="2360" spans="1:8" x14ac:dyDescent="0.25">
      <c r="A2360" t="s">
        <v>981</v>
      </c>
      <c r="B2360">
        <v>2</v>
      </c>
      <c r="C2360">
        <v>2</v>
      </c>
      <c r="D2360">
        <v>2</v>
      </c>
      <c r="E2360" t="s">
        <v>7142</v>
      </c>
      <c r="F2360" t="s">
        <v>7142</v>
      </c>
      <c r="G2360" t="s">
        <v>4256</v>
      </c>
      <c r="H2360">
        <v>165</v>
      </c>
    </row>
    <row r="2361" spans="1:8" x14ac:dyDescent="0.25">
      <c r="A2361" t="s">
        <v>1172</v>
      </c>
      <c r="B2361">
        <v>1</v>
      </c>
      <c r="C2361">
        <v>1</v>
      </c>
      <c r="D2361">
        <v>1</v>
      </c>
      <c r="E2361" t="s">
        <v>7143</v>
      </c>
      <c r="F2361" t="s">
        <v>7143</v>
      </c>
      <c r="G2361" t="s">
        <v>7143</v>
      </c>
      <c r="H2361">
        <v>103</v>
      </c>
    </row>
    <row r="2362" spans="1:8" x14ac:dyDescent="0.25">
      <c r="A2362" t="s">
        <v>1234</v>
      </c>
      <c r="B2362">
        <v>1</v>
      </c>
      <c r="C2362">
        <v>1</v>
      </c>
      <c r="D2362">
        <v>1</v>
      </c>
      <c r="E2362" t="s">
        <v>7144</v>
      </c>
      <c r="F2362" t="s">
        <v>7144</v>
      </c>
      <c r="G2362" t="s">
        <v>7144</v>
      </c>
      <c r="H2362">
        <v>80</v>
      </c>
    </row>
    <row r="2363" spans="1:8" x14ac:dyDescent="0.25">
      <c r="A2363" t="s">
        <v>2141</v>
      </c>
      <c r="B2363">
        <v>1</v>
      </c>
      <c r="C2363">
        <v>1</v>
      </c>
      <c r="D2363">
        <v>1</v>
      </c>
      <c r="E2363" t="s">
        <v>7145</v>
      </c>
      <c r="F2363" t="s">
        <v>7145</v>
      </c>
      <c r="G2363" t="s">
        <v>7145</v>
      </c>
      <c r="H2363">
        <v>28</v>
      </c>
    </row>
    <row r="2364" spans="1:8" x14ac:dyDescent="0.25">
      <c r="A2364" t="s">
        <v>409</v>
      </c>
      <c r="B2364">
        <v>1</v>
      </c>
      <c r="C2364">
        <v>1</v>
      </c>
      <c r="D2364">
        <v>1</v>
      </c>
      <c r="E2364" t="s">
        <v>7146</v>
      </c>
      <c r="F2364" t="s">
        <v>7146</v>
      </c>
      <c r="G2364" t="s">
        <v>7146</v>
      </c>
      <c r="H2364">
        <v>433</v>
      </c>
    </row>
    <row r="2365" spans="1:8" x14ac:dyDescent="0.25">
      <c r="A2365" t="s">
        <v>598</v>
      </c>
      <c r="B2365">
        <v>1</v>
      </c>
      <c r="C2365">
        <v>1</v>
      </c>
      <c r="D2365">
        <v>1</v>
      </c>
      <c r="E2365" t="s">
        <v>7147</v>
      </c>
      <c r="F2365" t="s">
        <v>7148</v>
      </c>
      <c r="G2365" t="s">
        <v>7148</v>
      </c>
      <c r="H2365">
        <v>219</v>
      </c>
    </row>
    <row r="2366" spans="1:8" x14ac:dyDescent="0.25">
      <c r="A2366" t="s">
        <v>2638</v>
      </c>
      <c r="B2366">
        <v>1</v>
      </c>
      <c r="C2366">
        <v>1</v>
      </c>
      <c r="D2366">
        <v>1</v>
      </c>
      <c r="E2366" t="s">
        <v>7149</v>
      </c>
      <c r="F2366" t="s">
        <v>7149</v>
      </c>
      <c r="G2366" t="s">
        <v>7149</v>
      </c>
      <c r="H2366">
        <v>41</v>
      </c>
    </row>
    <row r="2367" spans="1:8" x14ac:dyDescent="0.25">
      <c r="A2367" t="s">
        <v>2974</v>
      </c>
      <c r="B2367">
        <v>1</v>
      </c>
      <c r="C2367">
        <v>1</v>
      </c>
      <c r="D2367">
        <v>1</v>
      </c>
      <c r="E2367" t="s">
        <v>7150</v>
      </c>
      <c r="F2367" t="s">
        <v>7151</v>
      </c>
      <c r="G2367" t="s">
        <v>7151</v>
      </c>
      <c r="H2367">
        <v>31</v>
      </c>
    </row>
    <row r="2368" spans="1:8" x14ac:dyDescent="0.25">
      <c r="A2368" t="s">
        <v>801</v>
      </c>
      <c r="B2368">
        <v>2</v>
      </c>
      <c r="C2368">
        <v>2</v>
      </c>
      <c r="D2368">
        <v>2</v>
      </c>
      <c r="E2368" t="s">
        <v>7152</v>
      </c>
      <c r="F2368" t="s">
        <v>7153</v>
      </c>
      <c r="G2368" t="s">
        <v>4256</v>
      </c>
      <c r="H2368">
        <v>203</v>
      </c>
    </row>
    <row r="2369" spans="1:8" x14ac:dyDescent="0.25">
      <c r="A2369" t="s">
        <v>1062</v>
      </c>
      <c r="B2369">
        <v>1</v>
      </c>
      <c r="C2369">
        <v>1</v>
      </c>
      <c r="D2369">
        <v>1</v>
      </c>
      <c r="E2369" t="s">
        <v>7154</v>
      </c>
      <c r="F2369" t="s">
        <v>7155</v>
      </c>
      <c r="G2369" t="s">
        <v>7155</v>
      </c>
      <c r="H2369">
        <v>106</v>
      </c>
    </row>
    <row r="2370" spans="1:8" x14ac:dyDescent="0.25">
      <c r="A2370" t="s">
        <v>2208</v>
      </c>
      <c r="B2370">
        <v>1</v>
      </c>
      <c r="C2370">
        <v>1</v>
      </c>
      <c r="D2370">
        <v>1</v>
      </c>
      <c r="E2370" t="s">
        <v>7156</v>
      </c>
      <c r="F2370" t="s">
        <v>7157</v>
      </c>
      <c r="G2370" t="s">
        <v>7157</v>
      </c>
      <c r="H2370">
        <v>115</v>
      </c>
    </row>
    <row r="2371" spans="1:8" x14ac:dyDescent="0.25">
      <c r="A2371" t="s">
        <v>1175</v>
      </c>
      <c r="B2371">
        <v>1</v>
      </c>
      <c r="C2371">
        <v>1</v>
      </c>
      <c r="D2371">
        <v>1</v>
      </c>
      <c r="E2371" t="s">
        <v>7158</v>
      </c>
      <c r="F2371" t="s">
        <v>7159</v>
      </c>
      <c r="G2371" t="s">
        <v>7159</v>
      </c>
      <c r="H2371">
        <v>107</v>
      </c>
    </row>
    <row r="2372" spans="1:8" x14ac:dyDescent="0.25">
      <c r="A2372" t="s">
        <v>1106</v>
      </c>
      <c r="B2372">
        <v>1</v>
      </c>
      <c r="C2372">
        <v>1</v>
      </c>
      <c r="D2372">
        <v>1</v>
      </c>
      <c r="E2372" t="s">
        <v>7160</v>
      </c>
      <c r="F2372" t="s">
        <v>7160</v>
      </c>
      <c r="G2372" t="s">
        <v>7160</v>
      </c>
      <c r="H2372">
        <v>116</v>
      </c>
    </row>
    <row r="2373" spans="1:8" x14ac:dyDescent="0.25">
      <c r="A2373" t="s">
        <v>1850</v>
      </c>
      <c r="B2373">
        <v>2</v>
      </c>
      <c r="C2373">
        <v>2</v>
      </c>
      <c r="D2373">
        <v>2</v>
      </c>
      <c r="E2373" t="s">
        <v>7161</v>
      </c>
      <c r="F2373" t="s">
        <v>7162</v>
      </c>
      <c r="G2373" t="s">
        <v>4256</v>
      </c>
      <c r="H2373">
        <v>95</v>
      </c>
    </row>
    <row r="2374" spans="1:8" x14ac:dyDescent="0.25">
      <c r="A2374" t="s">
        <v>648</v>
      </c>
      <c r="B2374">
        <v>1</v>
      </c>
      <c r="C2374">
        <v>1</v>
      </c>
      <c r="D2374">
        <v>1</v>
      </c>
      <c r="E2374" t="s">
        <v>7163</v>
      </c>
      <c r="F2374" t="s">
        <v>7163</v>
      </c>
      <c r="G2374" t="s">
        <v>7163</v>
      </c>
      <c r="H2374">
        <v>347</v>
      </c>
    </row>
    <row r="2375" spans="1:8" x14ac:dyDescent="0.25">
      <c r="A2375" t="s">
        <v>946</v>
      </c>
      <c r="B2375">
        <v>1</v>
      </c>
      <c r="C2375">
        <v>1</v>
      </c>
      <c r="D2375">
        <v>1</v>
      </c>
      <c r="E2375" t="s">
        <v>7164</v>
      </c>
      <c r="F2375" t="s">
        <v>7164</v>
      </c>
      <c r="G2375" t="s">
        <v>7164</v>
      </c>
      <c r="H2375">
        <v>221</v>
      </c>
    </row>
    <row r="2376" spans="1:8" x14ac:dyDescent="0.25">
      <c r="A2376" t="s">
        <v>1335</v>
      </c>
      <c r="B2376">
        <v>1</v>
      </c>
      <c r="C2376">
        <v>1</v>
      </c>
      <c r="D2376">
        <v>1</v>
      </c>
      <c r="E2376" t="s">
        <v>7165</v>
      </c>
      <c r="F2376" t="s">
        <v>7166</v>
      </c>
      <c r="G2376" t="s">
        <v>7166</v>
      </c>
      <c r="H2376">
        <v>122</v>
      </c>
    </row>
    <row r="2377" spans="1:8" x14ac:dyDescent="0.25">
      <c r="A2377" t="s">
        <v>1645</v>
      </c>
      <c r="B2377">
        <v>1</v>
      </c>
      <c r="C2377">
        <v>1</v>
      </c>
      <c r="D2377">
        <v>1</v>
      </c>
      <c r="E2377" t="s">
        <v>7167</v>
      </c>
      <c r="F2377" t="s">
        <v>7168</v>
      </c>
      <c r="G2377" t="s">
        <v>7168</v>
      </c>
      <c r="H2377">
        <v>156</v>
      </c>
    </row>
    <row r="2378" spans="1:8" x14ac:dyDescent="0.25">
      <c r="A2378" t="s">
        <v>1628</v>
      </c>
      <c r="B2378">
        <v>1</v>
      </c>
      <c r="C2378">
        <v>1</v>
      </c>
      <c r="D2378">
        <v>1</v>
      </c>
      <c r="E2378" t="s">
        <v>7169</v>
      </c>
      <c r="F2378" t="s">
        <v>7170</v>
      </c>
      <c r="G2378" t="s">
        <v>7170</v>
      </c>
      <c r="H2378">
        <v>129</v>
      </c>
    </row>
    <row r="2379" spans="1:8" x14ac:dyDescent="0.25">
      <c r="A2379" t="s">
        <v>1620</v>
      </c>
      <c r="B2379">
        <v>1</v>
      </c>
      <c r="C2379">
        <v>1</v>
      </c>
      <c r="D2379">
        <v>1</v>
      </c>
      <c r="E2379" t="s">
        <v>7171</v>
      </c>
      <c r="F2379" t="s">
        <v>7172</v>
      </c>
      <c r="G2379" t="s">
        <v>7172</v>
      </c>
      <c r="H2379">
        <v>133</v>
      </c>
    </row>
    <row r="2380" spans="1:8" x14ac:dyDescent="0.25">
      <c r="A2380" t="s">
        <v>2405</v>
      </c>
      <c r="B2380">
        <v>1</v>
      </c>
      <c r="C2380">
        <v>1</v>
      </c>
      <c r="D2380">
        <v>1</v>
      </c>
      <c r="E2380" t="s">
        <v>7173</v>
      </c>
      <c r="F2380" t="s">
        <v>7174</v>
      </c>
      <c r="G2380" t="s">
        <v>7174</v>
      </c>
      <c r="H2380">
        <v>68</v>
      </c>
    </row>
    <row r="2381" spans="1:8" x14ac:dyDescent="0.25">
      <c r="A2381" t="s">
        <v>1663</v>
      </c>
      <c r="B2381">
        <v>1</v>
      </c>
      <c r="C2381">
        <v>1</v>
      </c>
      <c r="D2381">
        <v>1</v>
      </c>
      <c r="E2381" t="s">
        <v>7175</v>
      </c>
      <c r="F2381" t="s">
        <v>7175</v>
      </c>
      <c r="G2381" t="s">
        <v>7175</v>
      </c>
      <c r="H2381">
        <v>126</v>
      </c>
    </row>
    <row r="2382" spans="1:8" x14ac:dyDescent="0.25">
      <c r="A2382" t="s">
        <v>1567</v>
      </c>
      <c r="B2382">
        <v>1</v>
      </c>
      <c r="C2382">
        <v>1</v>
      </c>
      <c r="D2382">
        <v>1</v>
      </c>
      <c r="E2382" t="s">
        <v>7176</v>
      </c>
      <c r="F2382" t="s">
        <v>7177</v>
      </c>
      <c r="G2382" t="s">
        <v>7177</v>
      </c>
      <c r="H2382">
        <v>102</v>
      </c>
    </row>
    <row r="2383" spans="1:8" x14ac:dyDescent="0.25">
      <c r="A2383" t="s">
        <v>1781</v>
      </c>
      <c r="B2383">
        <v>1</v>
      </c>
      <c r="C2383">
        <v>1</v>
      </c>
      <c r="D2383">
        <v>1</v>
      </c>
      <c r="E2383" t="s">
        <v>7178</v>
      </c>
      <c r="F2383" t="s">
        <v>7178</v>
      </c>
      <c r="G2383" t="s">
        <v>7178</v>
      </c>
      <c r="H2383">
        <v>58</v>
      </c>
    </row>
    <row r="2384" spans="1:8" x14ac:dyDescent="0.25">
      <c r="A2384" t="s">
        <v>1670</v>
      </c>
      <c r="B2384">
        <v>1</v>
      </c>
      <c r="C2384">
        <v>1</v>
      </c>
      <c r="D2384">
        <v>1</v>
      </c>
      <c r="E2384" t="s">
        <v>7179</v>
      </c>
      <c r="F2384" t="s">
        <v>7180</v>
      </c>
      <c r="G2384" t="s">
        <v>7180</v>
      </c>
      <c r="H2384">
        <v>71</v>
      </c>
    </row>
    <row r="2385" spans="1:8" x14ac:dyDescent="0.25">
      <c r="A2385" t="s">
        <v>1780</v>
      </c>
      <c r="B2385">
        <v>1</v>
      </c>
      <c r="C2385">
        <v>1</v>
      </c>
      <c r="D2385">
        <v>1</v>
      </c>
      <c r="E2385" t="s">
        <v>7181</v>
      </c>
      <c r="F2385" t="s">
        <v>7182</v>
      </c>
      <c r="G2385" t="s">
        <v>7182</v>
      </c>
      <c r="H2385">
        <v>75</v>
      </c>
    </row>
    <row r="2386" spans="1:8" x14ac:dyDescent="0.25">
      <c r="A2386" t="s">
        <v>1621</v>
      </c>
      <c r="B2386">
        <v>1</v>
      </c>
      <c r="C2386">
        <v>1</v>
      </c>
      <c r="D2386">
        <v>1</v>
      </c>
      <c r="E2386" t="s">
        <v>7183</v>
      </c>
      <c r="F2386" t="s">
        <v>7184</v>
      </c>
      <c r="G2386" t="s">
        <v>7184</v>
      </c>
      <c r="H2386">
        <v>72</v>
      </c>
    </row>
    <row r="2387" spans="1:8" x14ac:dyDescent="0.25">
      <c r="A2387" t="s">
        <v>1706</v>
      </c>
      <c r="B2387">
        <v>1</v>
      </c>
      <c r="C2387">
        <v>1</v>
      </c>
      <c r="D2387">
        <v>1</v>
      </c>
      <c r="E2387" t="s">
        <v>7185</v>
      </c>
      <c r="F2387" t="s">
        <v>7186</v>
      </c>
      <c r="G2387" t="s">
        <v>7186</v>
      </c>
      <c r="H2387">
        <v>45</v>
      </c>
    </row>
    <row r="2388" spans="1:8" x14ac:dyDescent="0.25">
      <c r="A2388" t="s">
        <v>1766</v>
      </c>
      <c r="B2388">
        <v>1</v>
      </c>
      <c r="C2388">
        <v>1</v>
      </c>
      <c r="D2388">
        <v>1</v>
      </c>
      <c r="E2388" t="s">
        <v>7187</v>
      </c>
      <c r="F2388" t="s">
        <v>7188</v>
      </c>
      <c r="G2388" t="s">
        <v>7188</v>
      </c>
      <c r="H2388">
        <v>63</v>
      </c>
    </row>
    <row r="2389" spans="1:8" x14ac:dyDescent="0.25">
      <c r="A2389" t="s">
        <v>1776</v>
      </c>
      <c r="B2389">
        <v>1</v>
      </c>
      <c r="C2389">
        <v>1</v>
      </c>
      <c r="D2389">
        <v>1</v>
      </c>
      <c r="E2389" t="s">
        <v>7189</v>
      </c>
      <c r="F2389" t="s">
        <v>7190</v>
      </c>
      <c r="G2389" t="s">
        <v>7190</v>
      </c>
      <c r="H2389">
        <v>46</v>
      </c>
    </row>
    <row r="2390" spans="1:8" x14ac:dyDescent="0.25">
      <c r="A2390" t="s">
        <v>1945</v>
      </c>
      <c r="B2390">
        <v>1</v>
      </c>
      <c r="C2390">
        <v>1</v>
      </c>
      <c r="D2390">
        <v>1</v>
      </c>
      <c r="E2390" t="s">
        <v>7191</v>
      </c>
      <c r="F2390" t="s">
        <v>7191</v>
      </c>
      <c r="G2390" t="s">
        <v>7191</v>
      </c>
      <c r="H2390">
        <v>24</v>
      </c>
    </row>
    <row r="2391" spans="1:8" x14ac:dyDescent="0.25">
      <c r="A2391" t="s">
        <v>2191</v>
      </c>
      <c r="B2391">
        <v>1</v>
      </c>
      <c r="C2391">
        <v>1</v>
      </c>
      <c r="D2391">
        <v>1</v>
      </c>
      <c r="E2391" t="s">
        <v>7192</v>
      </c>
      <c r="F2391" t="s">
        <v>7193</v>
      </c>
      <c r="G2391" t="s">
        <v>7193</v>
      </c>
      <c r="H2391">
        <v>33</v>
      </c>
    </row>
    <row r="2392" spans="1:8" x14ac:dyDescent="0.25">
      <c r="A2392" t="s">
        <v>1943</v>
      </c>
      <c r="B2392">
        <v>2</v>
      </c>
      <c r="C2392">
        <v>2</v>
      </c>
      <c r="D2392">
        <v>2</v>
      </c>
      <c r="E2392" t="s">
        <v>7194</v>
      </c>
      <c r="F2392" t="s">
        <v>7195</v>
      </c>
      <c r="G2392" t="s">
        <v>4256</v>
      </c>
      <c r="H2392">
        <v>44</v>
      </c>
    </row>
    <row r="2393" spans="1:8" x14ac:dyDescent="0.25">
      <c r="A2393" t="s">
        <v>2033</v>
      </c>
      <c r="B2393">
        <v>2</v>
      </c>
      <c r="C2393">
        <v>2</v>
      </c>
      <c r="D2393">
        <v>2</v>
      </c>
      <c r="E2393" t="s">
        <v>7196</v>
      </c>
      <c r="F2393" t="s">
        <v>7197</v>
      </c>
      <c r="G2393" t="s">
        <v>4256</v>
      </c>
      <c r="H2393">
        <v>32</v>
      </c>
    </row>
    <row r="2394" spans="1:8" x14ac:dyDescent="0.25">
      <c r="A2394" t="s">
        <v>1613</v>
      </c>
      <c r="B2394">
        <v>2</v>
      </c>
      <c r="C2394">
        <v>2</v>
      </c>
      <c r="D2394">
        <v>2</v>
      </c>
      <c r="E2394" t="s">
        <v>7198</v>
      </c>
      <c r="F2394" t="s">
        <v>7199</v>
      </c>
      <c r="G2394" t="s">
        <v>4256</v>
      </c>
      <c r="H2394">
        <v>42</v>
      </c>
    </row>
    <row r="2395" spans="1:8" x14ac:dyDescent="0.25">
      <c r="A2395" t="s">
        <v>1400</v>
      </c>
      <c r="B2395">
        <v>2</v>
      </c>
      <c r="C2395">
        <v>2</v>
      </c>
      <c r="D2395">
        <v>2</v>
      </c>
      <c r="E2395" t="s">
        <v>7200</v>
      </c>
      <c r="F2395" t="s">
        <v>7201</v>
      </c>
      <c r="G2395" t="s">
        <v>4256</v>
      </c>
      <c r="H2395">
        <v>64</v>
      </c>
    </row>
    <row r="2396" spans="1:8" x14ac:dyDescent="0.25">
      <c r="A2396" t="s">
        <v>1248</v>
      </c>
      <c r="B2396">
        <v>2</v>
      </c>
      <c r="C2396">
        <v>2</v>
      </c>
      <c r="D2396">
        <v>2</v>
      </c>
      <c r="E2396" t="s">
        <v>7202</v>
      </c>
      <c r="F2396" t="s">
        <v>7203</v>
      </c>
      <c r="G2396" t="s">
        <v>4256</v>
      </c>
      <c r="H2396">
        <v>55</v>
      </c>
    </row>
    <row r="2397" spans="1:8" x14ac:dyDescent="0.25">
      <c r="A2397" t="s">
        <v>549</v>
      </c>
      <c r="B2397">
        <v>2</v>
      </c>
      <c r="C2397">
        <v>2</v>
      </c>
      <c r="D2397">
        <v>2</v>
      </c>
      <c r="E2397" t="s">
        <v>7204</v>
      </c>
      <c r="F2397" t="s">
        <v>7205</v>
      </c>
      <c r="G2397" t="s">
        <v>4256</v>
      </c>
      <c r="H2397">
        <v>146</v>
      </c>
    </row>
    <row r="2398" spans="1:8" x14ac:dyDescent="0.25">
      <c r="A2398" t="s">
        <v>1463</v>
      </c>
      <c r="B2398">
        <v>2</v>
      </c>
      <c r="C2398">
        <v>2</v>
      </c>
      <c r="D2398">
        <v>2</v>
      </c>
      <c r="E2398" t="s">
        <v>7206</v>
      </c>
      <c r="F2398" t="s">
        <v>7207</v>
      </c>
      <c r="G2398" t="s">
        <v>4256</v>
      </c>
      <c r="H2398">
        <v>51</v>
      </c>
    </row>
    <row r="2399" spans="1:8" x14ac:dyDescent="0.25">
      <c r="A2399" t="s">
        <v>1426</v>
      </c>
      <c r="B2399">
        <v>2</v>
      </c>
      <c r="C2399">
        <v>2</v>
      </c>
      <c r="D2399">
        <v>2</v>
      </c>
      <c r="E2399" t="s">
        <v>7208</v>
      </c>
      <c r="F2399" t="s">
        <v>7208</v>
      </c>
      <c r="G2399" t="s">
        <v>4256</v>
      </c>
      <c r="H2399">
        <v>50</v>
      </c>
    </row>
    <row r="2400" spans="1:8" x14ac:dyDescent="0.25">
      <c r="A2400" t="s">
        <v>1193</v>
      </c>
      <c r="B2400">
        <v>2</v>
      </c>
      <c r="C2400">
        <v>2</v>
      </c>
      <c r="D2400">
        <v>2</v>
      </c>
      <c r="E2400" t="s">
        <v>7209</v>
      </c>
      <c r="F2400" t="s">
        <v>7210</v>
      </c>
      <c r="G2400" t="s">
        <v>4256</v>
      </c>
      <c r="H2400">
        <v>37</v>
      </c>
    </row>
    <row r="2401" spans="1:8" x14ac:dyDescent="0.25">
      <c r="A2401" t="s">
        <v>698</v>
      </c>
      <c r="B2401">
        <v>2</v>
      </c>
      <c r="C2401">
        <v>2</v>
      </c>
      <c r="D2401">
        <v>2</v>
      </c>
      <c r="E2401" t="s">
        <v>7211</v>
      </c>
      <c r="F2401" t="s">
        <v>7212</v>
      </c>
      <c r="G2401" t="s">
        <v>4256</v>
      </c>
      <c r="H2401">
        <v>88</v>
      </c>
    </row>
    <row r="2402" spans="1:8" x14ac:dyDescent="0.25">
      <c r="A2402" t="s">
        <v>583</v>
      </c>
      <c r="B2402">
        <v>1</v>
      </c>
      <c r="C2402">
        <v>1</v>
      </c>
      <c r="D2402">
        <v>1</v>
      </c>
      <c r="E2402" t="s">
        <v>7213</v>
      </c>
      <c r="F2402" t="s">
        <v>7214</v>
      </c>
      <c r="G2402" t="s">
        <v>7214</v>
      </c>
      <c r="H2402">
        <v>114</v>
      </c>
    </row>
    <row r="2403" spans="1:8" x14ac:dyDescent="0.25">
      <c r="A2403" t="s">
        <v>1843</v>
      </c>
      <c r="B2403">
        <v>1</v>
      </c>
      <c r="C2403">
        <v>1</v>
      </c>
      <c r="D2403">
        <v>1</v>
      </c>
      <c r="E2403" t="s">
        <v>7215</v>
      </c>
      <c r="F2403" t="s">
        <v>7216</v>
      </c>
      <c r="G2403" t="s">
        <v>7216</v>
      </c>
      <c r="H2403">
        <v>31</v>
      </c>
    </row>
    <row r="2404" spans="1:8" x14ac:dyDescent="0.25">
      <c r="A2404" t="s">
        <v>1763</v>
      </c>
      <c r="B2404">
        <v>1</v>
      </c>
      <c r="C2404">
        <v>1</v>
      </c>
      <c r="D2404">
        <v>1</v>
      </c>
      <c r="E2404" t="s">
        <v>7217</v>
      </c>
      <c r="F2404" t="s">
        <v>7218</v>
      </c>
      <c r="G2404" t="s">
        <v>7218</v>
      </c>
      <c r="H2404">
        <v>36</v>
      </c>
    </row>
    <row r="2405" spans="1:8" x14ac:dyDescent="0.25">
      <c r="A2405" t="s">
        <v>402</v>
      </c>
      <c r="B2405">
        <v>2</v>
      </c>
      <c r="C2405">
        <v>2</v>
      </c>
      <c r="D2405">
        <v>2</v>
      </c>
      <c r="E2405" t="s">
        <v>7219</v>
      </c>
      <c r="F2405" t="s">
        <v>7220</v>
      </c>
      <c r="G2405" t="s">
        <v>4256</v>
      </c>
      <c r="H2405">
        <v>264</v>
      </c>
    </row>
    <row r="2406" spans="1:8" x14ac:dyDescent="0.25">
      <c r="A2406" t="s">
        <v>411</v>
      </c>
      <c r="B2406">
        <v>3</v>
      </c>
      <c r="C2406">
        <v>3</v>
      </c>
      <c r="D2406">
        <v>3</v>
      </c>
      <c r="E2406" t="s">
        <v>7221</v>
      </c>
      <c r="F2406" t="s">
        <v>7222</v>
      </c>
      <c r="G2406" t="s">
        <v>4256</v>
      </c>
      <c r="H2406">
        <v>221</v>
      </c>
    </row>
    <row r="2407" spans="1:8" x14ac:dyDescent="0.25">
      <c r="A2407" t="s">
        <v>845</v>
      </c>
      <c r="B2407">
        <v>2</v>
      </c>
      <c r="C2407">
        <v>2</v>
      </c>
      <c r="D2407">
        <v>2</v>
      </c>
      <c r="E2407" t="s">
        <v>7223</v>
      </c>
      <c r="F2407" t="s">
        <v>7224</v>
      </c>
      <c r="G2407" t="s">
        <v>4256</v>
      </c>
      <c r="H2407">
        <v>86</v>
      </c>
    </row>
    <row r="2408" spans="1:8" x14ac:dyDescent="0.25">
      <c r="A2408" t="s">
        <v>2220</v>
      </c>
      <c r="B2408">
        <v>2</v>
      </c>
      <c r="C2408">
        <v>2</v>
      </c>
      <c r="D2408">
        <v>2</v>
      </c>
      <c r="E2408" t="s">
        <v>7225</v>
      </c>
      <c r="F2408" t="s">
        <v>7226</v>
      </c>
      <c r="G2408" t="s">
        <v>4256</v>
      </c>
      <c r="H2408">
        <v>34</v>
      </c>
    </row>
    <row r="2409" spans="1:8" x14ac:dyDescent="0.25">
      <c r="A2409" t="s">
        <v>1528</v>
      </c>
      <c r="B2409">
        <v>1</v>
      </c>
      <c r="C2409">
        <v>1</v>
      </c>
      <c r="D2409">
        <v>1</v>
      </c>
      <c r="E2409" t="s">
        <v>7227</v>
      </c>
      <c r="F2409" t="s">
        <v>7227</v>
      </c>
      <c r="G2409" t="s">
        <v>7227</v>
      </c>
      <c r="H2409">
        <v>33</v>
      </c>
    </row>
    <row r="2410" spans="1:8" x14ac:dyDescent="0.25">
      <c r="A2410" t="s">
        <v>1582</v>
      </c>
      <c r="B2410">
        <v>2</v>
      </c>
      <c r="C2410">
        <v>2</v>
      </c>
      <c r="D2410">
        <v>2</v>
      </c>
      <c r="E2410" t="s">
        <v>7228</v>
      </c>
      <c r="F2410" t="s">
        <v>7229</v>
      </c>
      <c r="G2410" t="s">
        <v>4256</v>
      </c>
      <c r="H2410">
        <v>42</v>
      </c>
    </row>
    <row r="2411" spans="1:8" x14ac:dyDescent="0.25">
      <c r="A2411" t="s">
        <v>1805</v>
      </c>
      <c r="B2411">
        <v>2</v>
      </c>
      <c r="C2411">
        <v>2</v>
      </c>
      <c r="D2411">
        <v>2</v>
      </c>
      <c r="E2411" t="s">
        <v>7230</v>
      </c>
      <c r="F2411" t="s">
        <v>7231</v>
      </c>
      <c r="G2411" t="s">
        <v>4256</v>
      </c>
      <c r="H2411">
        <v>14</v>
      </c>
    </row>
    <row r="2412" spans="1:8" x14ac:dyDescent="0.25">
      <c r="A2412" t="s">
        <v>497</v>
      </c>
      <c r="B2412">
        <v>2</v>
      </c>
      <c r="C2412">
        <v>2</v>
      </c>
      <c r="D2412">
        <v>2</v>
      </c>
      <c r="E2412" t="s">
        <v>7232</v>
      </c>
      <c r="F2412" t="s">
        <v>7233</v>
      </c>
      <c r="G2412" t="s">
        <v>4256</v>
      </c>
      <c r="H2412">
        <v>154</v>
      </c>
    </row>
    <row r="2413" spans="1:8" x14ac:dyDescent="0.25">
      <c r="A2413" t="s">
        <v>779</v>
      </c>
      <c r="B2413">
        <v>2</v>
      </c>
      <c r="C2413">
        <v>2</v>
      </c>
      <c r="D2413">
        <v>2</v>
      </c>
      <c r="E2413" t="s">
        <v>7234</v>
      </c>
      <c r="F2413" t="s">
        <v>7235</v>
      </c>
      <c r="G2413" t="s">
        <v>4256</v>
      </c>
      <c r="H2413">
        <v>92</v>
      </c>
    </row>
    <row r="2414" spans="1:8" x14ac:dyDescent="0.25">
      <c r="A2414" t="s">
        <v>478</v>
      </c>
      <c r="B2414">
        <v>2</v>
      </c>
      <c r="C2414">
        <v>2</v>
      </c>
      <c r="D2414">
        <v>2</v>
      </c>
      <c r="E2414" t="s">
        <v>7236</v>
      </c>
      <c r="F2414" t="s">
        <v>7237</v>
      </c>
      <c r="G2414" t="s">
        <v>4256</v>
      </c>
      <c r="H2414">
        <v>106</v>
      </c>
    </row>
    <row r="2415" spans="1:8" x14ac:dyDescent="0.25">
      <c r="A2415" t="s">
        <v>1748</v>
      </c>
      <c r="B2415">
        <v>1</v>
      </c>
      <c r="C2415">
        <v>1</v>
      </c>
      <c r="D2415">
        <v>1</v>
      </c>
      <c r="E2415" t="s">
        <v>7238</v>
      </c>
      <c r="F2415" t="s">
        <v>7239</v>
      </c>
      <c r="G2415" t="s">
        <v>7239</v>
      </c>
      <c r="H2415">
        <v>21</v>
      </c>
    </row>
    <row r="2416" spans="1:8" x14ac:dyDescent="0.25">
      <c r="A2416" t="s">
        <v>1739</v>
      </c>
      <c r="B2416">
        <v>2</v>
      </c>
      <c r="C2416">
        <v>2</v>
      </c>
      <c r="D2416">
        <v>2</v>
      </c>
      <c r="E2416" t="s">
        <v>7240</v>
      </c>
      <c r="F2416" t="s">
        <v>7240</v>
      </c>
      <c r="G2416" t="s">
        <v>4256</v>
      </c>
      <c r="H2416">
        <v>85</v>
      </c>
    </row>
    <row r="2417" spans="1:8" x14ac:dyDescent="0.25">
      <c r="A2417" t="s">
        <v>1505</v>
      </c>
      <c r="B2417">
        <v>1</v>
      </c>
      <c r="C2417">
        <v>1</v>
      </c>
      <c r="D2417">
        <v>1</v>
      </c>
      <c r="E2417" t="s">
        <v>7241</v>
      </c>
      <c r="F2417" t="s">
        <v>7242</v>
      </c>
      <c r="G2417" t="s">
        <v>7242</v>
      </c>
      <c r="H2417">
        <v>121</v>
      </c>
    </row>
    <row r="2418" spans="1:8" x14ac:dyDescent="0.25">
      <c r="A2418" t="s">
        <v>2111</v>
      </c>
      <c r="B2418">
        <v>1</v>
      </c>
      <c r="C2418">
        <v>1</v>
      </c>
      <c r="D2418">
        <v>1</v>
      </c>
      <c r="E2418" t="s">
        <v>7243</v>
      </c>
      <c r="F2418" t="s">
        <v>7244</v>
      </c>
      <c r="G2418" t="s">
        <v>7244</v>
      </c>
      <c r="H2418">
        <v>62</v>
      </c>
    </row>
    <row r="2419" spans="1:8" x14ac:dyDescent="0.25">
      <c r="A2419" t="s">
        <v>2408</v>
      </c>
      <c r="B2419">
        <v>1</v>
      </c>
      <c r="C2419">
        <v>1</v>
      </c>
      <c r="D2419">
        <v>1</v>
      </c>
      <c r="E2419" t="s">
        <v>7245</v>
      </c>
      <c r="F2419" t="s">
        <v>7246</v>
      </c>
      <c r="G2419" t="s">
        <v>7246</v>
      </c>
      <c r="H2419">
        <v>43</v>
      </c>
    </row>
    <row r="2420" spans="1:8" x14ac:dyDescent="0.25">
      <c r="A2420" t="s">
        <v>2277</v>
      </c>
      <c r="B2420">
        <v>1</v>
      </c>
      <c r="C2420">
        <v>1</v>
      </c>
      <c r="D2420">
        <v>1</v>
      </c>
      <c r="E2420" t="s">
        <v>7247</v>
      </c>
      <c r="F2420" t="s">
        <v>7248</v>
      </c>
      <c r="G2420" t="s">
        <v>7248</v>
      </c>
      <c r="H2420">
        <v>52</v>
      </c>
    </row>
    <row r="2421" spans="1:8" x14ac:dyDescent="0.25">
      <c r="A2421" t="s">
        <v>1982</v>
      </c>
      <c r="B2421">
        <v>1</v>
      </c>
      <c r="C2421">
        <v>1</v>
      </c>
      <c r="D2421">
        <v>1</v>
      </c>
      <c r="E2421" t="s">
        <v>7249</v>
      </c>
      <c r="F2421" t="s">
        <v>7250</v>
      </c>
      <c r="G2421" t="s">
        <v>7250</v>
      </c>
      <c r="H2421">
        <v>64</v>
      </c>
    </row>
    <row r="2422" spans="1:8" x14ac:dyDescent="0.25">
      <c r="A2422" t="s">
        <v>1898</v>
      </c>
      <c r="B2422">
        <v>1</v>
      </c>
      <c r="C2422">
        <v>1</v>
      </c>
      <c r="D2422">
        <v>1</v>
      </c>
      <c r="E2422" t="s">
        <v>7251</v>
      </c>
      <c r="F2422" t="s">
        <v>7252</v>
      </c>
      <c r="G2422" t="s">
        <v>7252</v>
      </c>
      <c r="H2422">
        <v>141</v>
      </c>
    </row>
    <row r="2423" spans="1:8" x14ac:dyDescent="0.25">
      <c r="A2423" t="s">
        <v>763</v>
      </c>
      <c r="B2423">
        <v>1</v>
      </c>
      <c r="C2423">
        <v>1</v>
      </c>
      <c r="D2423">
        <v>1</v>
      </c>
      <c r="E2423" t="s">
        <v>7253</v>
      </c>
      <c r="F2423" t="s">
        <v>7254</v>
      </c>
      <c r="G2423" t="s">
        <v>7254</v>
      </c>
      <c r="H2423">
        <v>124</v>
      </c>
    </row>
    <row r="2424" spans="1:8" x14ac:dyDescent="0.25">
      <c r="A2424" t="s">
        <v>519</v>
      </c>
      <c r="B2424">
        <v>1</v>
      </c>
      <c r="C2424">
        <v>1</v>
      </c>
      <c r="D2424">
        <v>1</v>
      </c>
      <c r="E2424" t="s">
        <v>7255</v>
      </c>
      <c r="F2424" t="s">
        <v>7256</v>
      </c>
      <c r="G2424" t="s">
        <v>7256</v>
      </c>
      <c r="H2424">
        <v>69</v>
      </c>
    </row>
    <row r="2425" spans="1:8" x14ac:dyDescent="0.25">
      <c r="A2425" t="s">
        <v>653</v>
      </c>
      <c r="B2425">
        <v>1</v>
      </c>
      <c r="C2425">
        <v>1</v>
      </c>
      <c r="D2425">
        <v>1</v>
      </c>
      <c r="E2425" t="s">
        <v>7257</v>
      </c>
      <c r="F2425" t="s">
        <v>7257</v>
      </c>
      <c r="G2425" t="s">
        <v>7257</v>
      </c>
      <c r="H2425">
        <v>59</v>
      </c>
    </row>
    <row r="2426" spans="1:8" x14ac:dyDescent="0.25">
      <c r="A2426" t="s">
        <v>654</v>
      </c>
      <c r="B2426">
        <v>1</v>
      </c>
      <c r="C2426">
        <v>1</v>
      </c>
      <c r="D2426">
        <v>1</v>
      </c>
      <c r="E2426" t="s">
        <v>7258</v>
      </c>
      <c r="F2426" t="s">
        <v>7259</v>
      </c>
      <c r="G2426" t="s">
        <v>7259</v>
      </c>
      <c r="H2426">
        <v>54</v>
      </c>
    </row>
    <row r="2427" spans="1:8" x14ac:dyDescent="0.25">
      <c r="A2427" t="s">
        <v>637</v>
      </c>
      <c r="B2427">
        <v>1</v>
      </c>
      <c r="C2427">
        <v>1</v>
      </c>
      <c r="D2427">
        <v>1</v>
      </c>
      <c r="E2427" t="s">
        <v>7260</v>
      </c>
      <c r="F2427" t="s">
        <v>7261</v>
      </c>
      <c r="G2427" t="s">
        <v>7261</v>
      </c>
      <c r="H2427">
        <v>57</v>
      </c>
    </row>
    <row r="2428" spans="1:8" x14ac:dyDescent="0.25">
      <c r="A2428" t="s">
        <v>756</v>
      </c>
      <c r="B2428">
        <v>1</v>
      </c>
      <c r="C2428">
        <v>1</v>
      </c>
      <c r="D2428">
        <v>1</v>
      </c>
      <c r="E2428" t="s">
        <v>7262</v>
      </c>
      <c r="F2428" t="s">
        <v>7263</v>
      </c>
      <c r="G2428" t="s">
        <v>7263</v>
      </c>
      <c r="H2428">
        <v>32</v>
      </c>
    </row>
    <row r="2429" spans="1:8" x14ac:dyDescent="0.25">
      <c r="A2429" t="s">
        <v>665</v>
      </c>
      <c r="B2429">
        <v>1</v>
      </c>
      <c r="C2429">
        <v>1</v>
      </c>
      <c r="D2429">
        <v>1</v>
      </c>
      <c r="E2429" t="s">
        <v>7264</v>
      </c>
      <c r="F2429" t="s">
        <v>7265</v>
      </c>
      <c r="G2429" t="s">
        <v>7265</v>
      </c>
      <c r="H2429">
        <v>55</v>
      </c>
    </row>
    <row r="2430" spans="1:8" x14ac:dyDescent="0.25">
      <c r="A2430" t="s">
        <v>1435</v>
      </c>
      <c r="B2430">
        <v>1</v>
      </c>
      <c r="C2430">
        <v>1</v>
      </c>
      <c r="D2430">
        <v>1</v>
      </c>
      <c r="E2430" t="s">
        <v>7266</v>
      </c>
      <c r="F2430" t="s">
        <v>7266</v>
      </c>
      <c r="G2430" t="s">
        <v>7266</v>
      </c>
      <c r="H2430">
        <v>127</v>
      </c>
    </row>
    <row r="2431" spans="1:8" x14ac:dyDescent="0.25">
      <c r="A2431" t="s">
        <v>2336</v>
      </c>
      <c r="B2431">
        <v>1</v>
      </c>
      <c r="C2431">
        <v>1</v>
      </c>
      <c r="D2431">
        <v>1</v>
      </c>
      <c r="E2431" t="s">
        <v>7267</v>
      </c>
      <c r="F2431" t="s">
        <v>7267</v>
      </c>
      <c r="G2431" t="s">
        <v>7267</v>
      </c>
      <c r="H2431">
        <v>27</v>
      </c>
    </row>
    <row r="2432" spans="1:8" x14ac:dyDescent="0.25">
      <c r="A2432" t="s">
        <v>2376</v>
      </c>
      <c r="B2432">
        <v>1</v>
      </c>
      <c r="C2432">
        <v>1</v>
      </c>
      <c r="D2432">
        <v>1</v>
      </c>
      <c r="E2432" t="s">
        <v>7268</v>
      </c>
      <c r="F2432" t="s">
        <v>7268</v>
      </c>
      <c r="G2432" t="s">
        <v>7268</v>
      </c>
      <c r="H2432">
        <v>16</v>
      </c>
    </row>
    <row r="2433" spans="1:8" x14ac:dyDescent="0.25">
      <c r="A2433" t="s">
        <v>2027</v>
      </c>
      <c r="B2433">
        <v>1</v>
      </c>
      <c r="C2433">
        <v>1</v>
      </c>
      <c r="D2433">
        <v>1</v>
      </c>
      <c r="E2433" t="s">
        <v>7269</v>
      </c>
      <c r="F2433" t="s">
        <v>7270</v>
      </c>
      <c r="G2433" t="s">
        <v>7270</v>
      </c>
      <c r="H2433">
        <v>45</v>
      </c>
    </row>
    <row r="2434" spans="1:8" x14ac:dyDescent="0.25">
      <c r="A2434" t="s">
        <v>1896</v>
      </c>
      <c r="B2434">
        <v>1</v>
      </c>
      <c r="C2434">
        <v>1</v>
      </c>
      <c r="D2434">
        <v>1</v>
      </c>
      <c r="E2434" t="s">
        <v>7271</v>
      </c>
      <c r="F2434" t="s">
        <v>7271</v>
      </c>
      <c r="G2434" t="s">
        <v>7271</v>
      </c>
      <c r="H2434">
        <v>76</v>
      </c>
    </row>
    <row r="2435" spans="1:8" x14ac:dyDescent="0.25">
      <c r="A2435" t="s">
        <v>2212</v>
      </c>
      <c r="B2435">
        <v>1</v>
      </c>
      <c r="C2435">
        <v>1</v>
      </c>
      <c r="D2435">
        <v>1</v>
      </c>
      <c r="E2435" t="s">
        <v>7272</v>
      </c>
      <c r="F2435" t="s">
        <v>7273</v>
      </c>
      <c r="G2435" t="s">
        <v>7273</v>
      </c>
      <c r="H2435">
        <v>65</v>
      </c>
    </row>
    <row r="2436" spans="1:8" x14ac:dyDescent="0.25">
      <c r="A2436" t="s">
        <v>1626</v>
      </c>
      <c r="B2436">
        <v>1</v>
      </c>
      <c r="C2436">
        <v>1</v>
      </c>
      <c r="D2436">
        <v>1</v>
      </c>
      <c r="E2436" t="s">
        <v>7274</v>
      </c>
      <c r="F2436" t="s">
        <v>7274</v>
      </c>
      <c r="G2436" t="s">
        <v>7274</v>
      </c>
      <c r="H2436">
        <v>85</v>
      </c>
    </row>
    <row r="2437" spans="1:8" x14ac:dyDescent="0.25">
      <c r="A2437" t="s">
        <v>2658</v>
      </c>
      <c r="B2437">
        <v>1</v>
      </c>
      <c r="C2437">
        <v>1</v>
      </c>
      <c r="D2437">
        <v>1</v>
      </c>
      <c r="E2437" t="s">
        <v>7275</v>
      </c>
      <c r="F2437" t="s">
        <v>7275</v>
      </c>
      <c r="G2437" t="s">
        <v>7275</v>
      </c>
      <c r="H2437">
        <v>39</v>
      </c>
    </row>
    <row r="2438" spans="1:8" x14ac:dyDescent="0.25">
      <c r="A2438" t="s">
        <v>1948</v>
      </c>
      <c r="B2438">
        <v>1</v>
      </c>
      <c r="C2438">
        <v>1</v>
      </c>
      <c r="D2438">
        <v>1</v>
      </c>
      <c r="E2438" t="s">
        <v>7276</v>
      </c>
      <c r="F2438" t="s">
        <v>7277</v>
      </c>
      <c r="G2438" t="s">
        <v>7277</v>
      </c>
      <c r="H2438">
        <v>49</v>
      </c>
    </row>
    <row r="2439" spans="1:8" x14ac:dyDescent="0.25">
      <c r="A2439" t="s">
        <v>662</v>
      </c>
      <c r="B2439">
        <v>1</v>
      </c>
      <c r="C2439">
        <v>1</v>
      </c>
      <c r="D2439">
        <v>1</v>
      </c>
      <c r="E2439" t="s">
        <v>7278</v>
      </c>
      <c r="F2439" t="s">
        <v>7278</v>
      </c>
      <c r="G2439" t="s">
        <v>7278</v>
      </c>
      <c r="H2439">
        <v>203</v>
      </c>
    </row>
    <row r="2440" spans="1:8" x14ac:dyDescent="0.25">
      <c r="A2440" t="s">
        <v>640</v>
      </c>
      <c r="B2440">
        <v>1</v>
      </c>
      <c r="C2440">
        <v>1</v>
      </c>
      <c r="D2440">
        <v>1</v>
      </c>
      <c r="E2440" t="s">
        <v>7279</v>
      </c>
      <c r="F2440" t="s">
        <v>7280</v>
      </c>
      <c r="G2440" t="s">
        <v>7280</v>
      </c>
      <c r="H2440">
        <v>293</v>
      </c>
    </row>
    <row r="2441" spans="1:8" x14ac:dyDescent="0.25">
      <c r="A2441" t="s">
        <v>523</v>
      </c>
      <c r="B2441">
        <v>1</v>
      </c>
      <c r="C2441">
        <v>1</v>
      </c>
      <c r="D2441">
        <v>1</v>
      </c>
      <c r="E2441" t="s">
        <v>7281</v>
      </c>
      <c r="F2441" t="s">
        <v>7281</v>
      </c>
      <c r="G2441" t="s">
        <v>7281</v>
      </c>
      <c r="H2441">
        <v>268</v>
      </c>
    </row>
    <row r="2442" spans="1:8" x14ac:dyDescent="0.25">
      <c r="A2442" t="s">
        <v>3147</v>
      </c>
      <c r="B2442">
        <v>1</v>
      </c>
      <c r="C2442">
        <v>1</v>
      </c>
      <c r="D2442">
        <v>1</v>
      </c>
      <c r="E2442" t="s">
        <v>7282</v>
      </c>
      <c r="F2442" t="s">
        <v>7282</v>
      </c>
      <c r="G2442" t="s">
        <v>7282</v>
      </c>
      <c r="H2442">
        <v>17</v>
      </c>
    </row>
    <row r="2443" spans="1:8" x14ac:dyDescent="0.25">
      <c r="A2443" t="s">
        <v>2531</v>
      </c>
      <c r="B2443">
        <v>1</v>
      </c>
      <c r="C2443">
        <v>1</v>
      </c>
      <c r="D2443">
        <v>1</v>
      </c>
      <c r="E2443" t="s">
        <v>7283</v>
      </c>
      <c r="F2443" t="s">
        <v>7283</v>
      </c>
      <c r="G2443" t="s">
        <v>7283</v>
      </c>
      <c r="H2443">
        <v>34</v>
      </c>
    </row>
    <row r="2444" spans="1:8" x14ac:dyDescent="0.25">
      <c r="A2444" t="s">
        <v>2484</v>
      </c>
      <c r="B2444">
        <v>1</v>
      </c>
      <c r="C2444">
        <v>1</v>
      </c>
      <c r="D2444">
        <v>1</v>
      </c>
      <c r="E2444" t="s">
        <v>7284</v>
      </c>
      <c r="F2444" t="s">
        <v>7284</v>
      </c>
      <c r="G2444" t="s">
        <v>7284</v>
      </c>
      <c r="H2444">
        <v>38</v>
      </c>
    </row>
    <row r="2445" spans="1:8" x14ac:dyDescent="0.25">
      <c r="A2445" t="s">
        <v>3071</v>
      </c>
      <c r="B2445">
        <v>1</v>
      </c>
      <c r="C2445">
        <v>1</v>
      </c>
      <c r="D2445">
        <v>1</v>
      </c>
      <c r="E2445" t="s">
        <v>7285</v>
      </c>
      <c r="F2445" t="s">
        <v>7285</v>
      </c>
      <c r="G2445" t="s">
        <v>7285</v>
      </c>
      <c r="H2445">
        <v>14</v>
      </c>
    </row>
    <row r="2446" spans="1:8" x14ac:dyDescent="0.25">
      <c r="A2446" t="s">
        <v>2537</v>
      </c>
      <c r="B2446">
        <v>2</v>
      </c>
      <c r="C2446">
        <v>2</v>
      </c>
      <c r="D2446">
        <v>2</v>
      </c>
      <c r="E2446" t="s">
        <v>7286</v>
      </c>
      <c r="F2446" t="s">
        <v>7286</v>
      </c>
      <c r="G2446" t="s">
        <v>4256</v>
      </c>
      <c r="H2446">
        <v>40</v>
      </c>
    </row>
    <row r="2447" spans="1:8" x14ac:dyDescent="0.25">
      <c r="A2447" t="s">
        <v>2770</v>
      </c>
      <c r="B2447">
        <v>1</v>
      </c>
      <c r="C2447">
        <v>1</v>
      </c>
      <c r="D2447">
        <v>1</v>
      </c>
      <c r="E2447" t="s">
        <v>7287</v>
      </c>
      <c r="F2447" t="s">
        <v>7288</v>
      </c>
      <c r="G2447" t="s">
        <v>7288</v>
      </c>
      <c r="H2447">
        <v>26</v>
      </c>
    </row>
    <row r="2448" spans="1:8" x14ac:dyDescent="0.25">
      <c r="A2448" t="s">
        <v>313</v>
      </c>
      <c r="B2448">
        <v>1</v>
      </c>
      <c r="C2448">
        <v>1</v>
      </c>
      <c r="D2448">
        <v>1</v>
      </c>
      <c r="E2448" t="s">
        <v>7289</v>
      </c>
      <c r="F2448" t="s">
        <v>7289</v>
      </c>
      <c r="G2448" t="s">
        <v>7289</v>
      </c>
      <c r="H2448">
        <v>355</v>
      </c>
    </row>
    <row r="2449" spans="1:8" x14ac:dyDescent="0.25">
      <c r="A2449" t="s">
        <v>346</v>
      </c>
      <c r="B2449">
        <v>1</v>
      </c>
      <c r="C2449">
        <v>1</v>
      </c>
      <c r="D2449">
        <v>1</v>
      </c>
      <c r="E2449" t="s">
        <v>7290</v>
      </c>
      <c r="F2449" t="s">
        <v>7291</v>
      </c>
      <c r="G2449" t="s">
        <v>7291</v>
      </c>
      <c r="H2449">
        <v>269</v>
      </c>
    </row>
    <row r="2450" spans="1:8" x14ac:dyDescent="0.25">
      <c r="A2450" t="s">
        <v>590</v>
      </c>
      <c r="B2450">
        <v>1</v>
      </c>
      <c r="C2450">
        <v>1</v>
      </c>
      <c r="D2450">
        <v>1</v>
      </c>
      <c r="E2450" t="s">
        <v>7292</v>
      </c>
      <c r="F2450" t="s">
        <v>7293</v>
      </c>
      <c r="G2450" t="s">
        <v>7293</v>
      </c>
      <c r="H2450">
        <v>339</v>
      </c>
    </row>
    <row r="2451" spans="1:8" x14ac:dyDescent="0.25">
      <c r="A2451" t="s">
        <v>7294</v>
      </c>
      <c r="B2451">
        <v>2</v>
      </c>
      <c r="C2451">
        <v>2</v>
      </c>
      <c r="D2451">
        <v>2</v>
      </c>
      <c r="E2451" t="s">
        <v>7295</v>
      </c>
      <c r="F2451" t="s">
        <v>7295</v>
      </c>
      <c r="G2451" t="s">
        <v>4256</v>
      </c>
      <c r="H2451">
        <v>2</v>
      </c>
    </row>
    <row r="2452" spans="1:8" x14ac:dyDescent="0.25">
      <c r="A2452" t="s">
        <v>2083</v>
      </c>
      <c r="B2452">
        <v>1</v>
      </c>
      <c r="C2452">
        <v>1</v>
      </c>
      <c r="D2452">
        <v>1</v>
      </c>
      <c r="E2452" t="s">
        <v>7296</v>
      </c>
      <c r="F2452" t="s">
        <v>7296</v>
      </c>
      <c r="G2452" t="s">
        <v>7296</v>
      </c>
      <c r="H2452">
        <v>34</v>
      </c>
    </row>
    <row r="2453" spans="1:8" x14ac:dyDescent="0.25">
      <c r="A2453" t="s">
        <v>1589</v>
      </c>
      <c r="B2453">
        <v>1</v>
      </c>
      <c r="C2453">
        <v>1</v>
      </c>
      <c r="D2453">
        <v>1</v>
      </c>
      <c r="E2453" t="s">
        <v>7297</v>
      </c>
      <c r="F2453" t="s">
        <v>7297</v>
      </c>
      <c r="G2453" t="s">
        <v>7297</v>
      </c>
      <c r="H2453">
        <v>48</v>
      </c>
    </row>
    <row r="2454" spans="1:8" x14ac:dyDescent="0.25">
      <c r="A2454" t="s">
        <v>3692</v>
      </c>
      <c r="B2454">
        <v>1</v>
      </c>
      <c r="C2454">
        <v>1</v>
      </c>
      <c r="D2454">
        <v>1</v>
      </c>
      <c r="E2454" t="s">
        <v>7298</v>
      </c>
      <c r="F2454" t="s">
        <v>7298</v>
      </c>
      <c r="G2454" t="s">
        <v>7298</v>
      </c>
      <c r="H2454">
        <v>4</v>
      </c>
    </row>
    <row r="2455" spans="1:8" x14ac:dyDescent="0.25">
      <c r="A2455" t="s">
        <v>3989</v>
      </c>
      <c r="B2455">
        <v>1</v>
      </c>
      <c r="C2455">
        <v>1</v>
      </c>
      <c r="D2455">
        <v>1</v>
      </c>
      <c r="E2455" t="s">
        <v>7299</v>
      </c>
      <c r="F2455" t="s">
        <v>7299</v>
      </c>
      <c r="G2455" t="s">
        <v>7299</v>
      </c>
      <c r="H2455">
        <v>1</v>
      </c>
    </row>
    <row r="2456" spans="1:8" x14ac:dyDescent="0.25">
      <c r="A2456" t="s">
        <v>3429</v>
      </c>
      <c r="B2456">
        <v>1</v>
      </c>
      <c r="C2456">
        <v>1</v>
      </c>
      <c r="D2456">
        <v>1</v>
      </c>
      <c r="E2456" t="s">
        <v>7300</v>
      </c>
      <c r="F2456" t="s">
        <v>7300</v>
      </c>
      <c r="G2456" t="s">
        <v>7300</v>
      </c>
      <c r="H2456">
        <v>14</v>
      </c>
    </row>
    <row r="2457" spans="1:8" x14ac:dyDescent="0.25">
      <c r="A2457" t="s">
        <v>3907</v>
      </c>
      <c r="B2457">
        <v>1</v>
      </c>
      <c r="C2457">
        <v>1</v>
      </c>
      <c r="D2457">
        <v>1</v>
      </c>
      <c r="E2457" t="s">
        <v>7301</v>
      </c>
      <c r="F2457" t="s">
        <v>7301</v>
      </c>
      <c r="G2457" t="s">
        <v>7301</v>
      </c>
      <c r="H2457">
        <v>2</v>
      </c>
    </row>
    <row r="2458" spans="1:8" x14ac:dyDescent="0.25">
      <c r="A2458" t="s">
        <v>3822</v>
      </c>
      <c r="B2458">
        <v>1</v>
      </c>
      <c r="C2458">
        <v>1</v>
      </c>
      <c r="D2458">
        <v>1</v>
      </c>
      <c r="E2458" t="s">
        <v>7302</v>
      </c>
      <c r="F2458" t="s">
        <v>7302</v>
      </c>
      <c r="G2458" t="s">
        <v>7302</v>
      </c>
      <c r="H2458">
        <v>1</v>
      </c>
    </row>
    <row r="2459" spans="1:8" x14ac:dyDescent="0.25">
      <c r="A2459" t="s">
        <v>3792</v>
      </c>
      <c r="B2459">
        <v>1</v>
      </c>
      <c r="C2459">
        <v>1</v>
      </c>
      <c r="D2459">
        <v>1</v>
      </c>
      <c r="E2459" t="s">
        <v>7303</v>
      </c>
      <c r="F2459" t="s">
        <v>7303</v>
      </c>
      <c r="G2459" t="s">
        <v>7303</v>
      </c>
      <c r="H2459">
        <v>7</v>
      </c>
    </row>
    <row r="2460" spans="1:8" x14ac:dyDescent="0.25">
      <c r="A2460" t="s">
        <v>3823</v>
      </c>
      <c r="B2460">
        <v>1</v>
      </c>
      <c r="C2460">
        <v>1</v>
      </c>
      <c r="D2460">
        <v>1</v>
      </c>
      <c r="E2460" t="s">
        <v>7304</v>
      </c>
      <c r="F2460" t="s">
        <v>7304</v>
      </c>
      <c r="G2460" t="s">
        <v>7304</v>
      </c>
      <c r="H2460">
        <v>3</v>
      </c>
    </row>
    <row r="2461" spans="1:8" x14ac:dyDescent="0.25">
      <c r="A2461" t="s">
        <v>3990</v>
      </c>
      <c r="B2461">
        <v>1</v>
      </c>
      <c r="C2461">
        <v>1</v>
      </c>
      <c r="D2461">
        <v>1</v>
      </c>
      <c r="E2461" t="s">
        <v>7305</v>
      </c>
      <c r="F2461" t="s">
        <v>7305</v>
      </c>
      <c r="G2461" t="s">
        <v>7305</v>
      </c>
      <c r="H2461">
        <v>1</v>
      </c>
    </row>
    <row r="2462" spans="1:8" x14ac:dyDescent="0.25">
      <c r="A2462" t="s">
        <v>3916</v>
      </c>
      <c r="B2462">
        <v>1</v>
      </c>
      <c r="C2462">
        <v>1</v>
      </c>
      <c r="D2462">
        <v>1</v>
      </c>
      <c r="E2462" t="s">
        <v>7306</v>
      </c>
      <c r="F2462" t="s">
        <v>7306</v>
      </c>
      <c r="G2462" t="s">
        <v>7306</v>
      </c>
      <c r="H2462">
        <v>3</v>
      </c>
    </row>
    <row r="2463" spans="1:8" x14ac:dyDescent="0.25">
      <c r="A2463" t="s">
        <v>3165</v>
      </c>
      <c r="B2463">
        <v>1</v>
      </c>
      <c r="C2463">
        <v>1</v>
      </c>
      <c r="D2463">
        <v>1</v>
      </c>
      <c r="E2463" t="s">
        <v>7307</v>
      </c>
      <c r="F2463" t="s">
        <v>7307</v>
      </c>
      <c r="G2463" t="s">
        <v>7307</v>
      </c>
      <c r="H2463">
        <v>16</v>
      </c>
    </row>
    <row r="2464" spans="1:8" x14ac:dyDescent="0.25">
      <c r="A2464" t="s">
        <v>3878</v>
      </c>
      <c r="B2464">
        <v>1</v>
      </c>
      <c r="C2464">
        <v>1</v>
      </c>
      <c r="D2464">
        <v>1</v>
      </c>
      <c r="E2464" t="s">
        <v>7308</v>
      </c>
      <c r="F2464" t="s">
        <v>7308</v>
      </c>
      <c r="G2464" t="s">
        <v>7308</v>
      </c>
      <c r="H2464">
        <v>2</v>
      </c>
    </row>
    <row r="2465" spans="1:8" x14ac:dyDescent="0.25">
      <c r="A2465" t="s">
        <v>3614</v>
      </c>
      <c r="B2465">
        <v>1</v>
      </c>
      <c r="C2465">
        <v>1</v>
      </c>
      <c r="D2465">
        <v>1</v>
      </c>
      <c r="E2465" t="s">
        <v>7309</v>
      </c>
      <c r="F2465" t="s">
        <v>7309</v>
      </c>
      <c r="G2465" t="s">
        <v>7309</v>
      </c>
      <c r="H2465">
        <v>6</v>
      </c>
    </row>
    <row r="2466" spans="1:8" x14ac:dyDescent="0.25">
      <c r="A2466" t="s">
        <v>3220</v>
      </c>
      <c r="B2466">
        <v>1</v>
      </c>
      <c r="C2466">
        <v>1</v>
      </c>
      <c r="D2466">
        <v>1</v>
      </c>
      <c r="E2466" t="s">
        <v>7310</v>
      </c>
      <c r="F2466" t="s">
        <v>7310</v>
      </c>
      <c r="G2466" t="s">
        <v>7310</v>
      </c>
      <c r="H2466">
        <v>11</v>
      </c>
    </row>
    <row r="2467" spans="1:8" x14ac:dyDescent="0.25">
      <c r="A2467" t="s">
        <v>3840</v>
      </c>
      <c r="B2467">
        <v>1</v>
      </c>
      <c r="C2467">
        <v>1</v>
      </c>
      <c r="D2467">
        <v>1</v>
      </c>
      <c r="E2467" t="s">
        <v>7311</v>
      </c>
      <c r="F2467" t="s">
        <v>7311</v>
      </c>
      <c r="G2467" t="s">
        <v>7311</v>
      </c>
      <c r="H2467">
        <v>4</v>
      </c>
    </row>
    <row r="2468" spans="1:8" x14ac:dyDescent="0.25">
      <c r="A2468" t="s">
        <v>3693</v>
      </c>
      <c r="B2468">
        <v>1</v>
      </c>
      <c r="C2468">
        <v>1</v>
      </c>
      <c r="D2468">
        <v>1</v>
      </c>
      <c r="E2468" t="s">
        <v>7312</v>
      </c>
      <c r="F2468" t="s">
        <v>7312</v>
      </c>
      <c r="G2468" t="s">
        <v>7312</v>
      </c>
      <c r="H2468">
        <v>7</v>
      </c>
    </row>
    <row r="2469" spans="1:8" x14ac:dyDescent="0.25">
      <c r="A2469" t="s">
        <v>3922</v>
      </c>
      <c r="B2469">
        <v>1</v>
      </c>
      <c r="C2469">
        <v>1</v>
      </c>
      <c r="D2469">
        <v>1</v>
      </c>
      <c r="E2469" t="s">
        <v>7313</v>
      </c>
      <c r="F2469" t="s">
        <v>7313</v>
      </c>
      <c r="G2469" t="s">
        <v>7313</v>
      </c>
      <c r="H2469">
        <v>1</v>
      </c>
    </row>
    <row r="2470" spans="1:8" x14ac:dyDescent="0.25">
      <c r="A2470" t="s">
        <v>3841</v>
      </c>
      <c r="B2470">
        <v>1</v>
      </c>
      <c r="C2470">
        <v>1</v>
      </c>
      <c r="D2470">
        <v>1</v>
      </c>
      <c r="E2470" t="s">
        <v>7314</v>
      </c>
      <c r="F2470" t="s">
        <v>7314</v>
      </c>
      <c r="G2470" t="s">
        <v>7314</v>
      </c>
      <c r="H2470">
        <v>2</v>
      </c>
    </row>
    <row r="2471" spans="1:8" x14ac:dyDescent="0.25">
      <c r="A2471" t="s">
        <v>3641</v>
      </c>
      <c r="B2471">
        <v>1</v>
      </c>
      <c r="C2471">
        <v>1</v>
      </c>
      <c r="D2471">
        <v>1</v>
      </c>
      <c r="E2471" t="s">
        <v>7315</v>
      </c>
      <c r="F2471" t="s">
        <v>7315</v>
      </c>
      <c r="G2471" t="s">
        <v>7315</v>
      </c>
      <c r="H2471">
        <v>7</v>
      </c>
    </row>
    <row r="2472" spans="1:8" x14ac:dyDescent="0.25">
      <c r="A2472" t="s">
        <v>3770</v>
      </c>
      <c r="B2472">
        <v>1</v>
      </c>
      <c r="C2472">
        <v>1</v>
      </c>
      <c r="D2472">
        <v>1</v>
      </c>
      <c r="E2472" t="s">
        <v>7316</v>
      </c>
      <c r="F2472" t="s">
        <v>7316</v>
      </c>
      <c r="G2472" t="s">
        <v>7316</v>
      </c>
      <c r="H2472">
        <v>4</v>
      </c>
    </row>
    <row r="2473" spans="1:8" x14ac:dyDescent="0.25">
      <c r="A2473" t="s">
        <v>3662</v>
      </c>
      <c r="B2473">
        <v>1</v>
      </c>
      <c r="C2473">
        <v>1</v>
      </c>
      <c r="D2473">
        <v>1</v>
      </c>
      <c r="E2473" t="s">
        <v>7317</v>
      </c>
      <c r="F2473" t="s">
        <v>7317</v>
      </c>
      <c r="G2473" t="s">
        <v>7317</v>
      </c>
      <c r="H2473">
        <v>6</v>
      </c>
    </row>
    <row r="2474" spans="1:8" x14ac:dyDescent="0.25">
      <c r="A2474" t="s">
        <v>3842</v>
      </c>
      <c r="B2474">
        <v>1</v>
      </c>
      <c r="C2474">
        <v>1</v>
      </c>
      <c r="D2474">
        <v>1</v>
      </c>
      <c r="E2474" t="s">
        <v>7318</v>
      </c>
      <c r="F2474" t="s">
        <v>7318</v>
      </c>
      <c r="G2474" t="s">
        <v>7318</v>
      </c>
      <c r="H2474">
        <v>4</v>
      </c>
    </row>
    <row r="2475" spans="1:8" x14ac:dyDescent="0.25">
      <c r="A2475" t="s">
        <v>3462</v>
      </c>
      <c r="B2475">
        <v>1</v>
      </c>
      <c r="C2475">
        <v>1</v>
      </c>
      <c r="D2475">
        <v>1</v>
      </c>
      <c r="E2475" t="s">
        <v>7319</v>
      </c>
      <c r="F2475" t="s">
        <v>7319</v>
      </c>
      <c r="G2475" t="s">
        <v>7319</v>
      </c>
      <c r="H2475">
        <v>4</v>
      </c>
    </row>
    <row r="2476" spans="1:8" x14ac:dyDescent="0.25">
      <c r="A2476" t="s">
        <v>3138</v>
      </c>
      <c r="B2476">
        <v>1</v>
      </c>
      <c r="C2476">
        <v>1</v>
      </c>
      <c r="D2476">
        <v>1</v>
      </c>
      <c r="E2476" t="s">
        <v>7320</v>
      </c>
      <c r="F2476" t="s">
        <v>7320</v>
      </c>
      <c r="G2476" t="s">
        <v>7320</v>
      </c>
      <c r="H2476">
        <v>16</v>
      </c>
    </row>
    <row r="2477" spans="1:8" x14ac:dyDescent="0.25">
      <c r="A2477" t="s">
        <v>3723</v>
      </c>
      <c r="B2477">
        <v>1</v>
      </c>
      <c r="C2477">
        <v>1</v>
      </c>
      <c r="D2477">
        <v>1</v>
      </c>
      <c r="E2477" t="s">
        <v>7321</v>
      </c>
      <c r="F2477" t="s">
        <v>7321</v>
      </c>
      <c r="G2477" t="s">
        <v>7321</v>
      </c>
      <c r="H2477">
        <v>2</v>
      </c>
    </row>
    <row r="2478" spans="1:8" x14ac:dyDescent="0.25">
      <c r="A2478" t="s">
        <v>3991</v>
      </c>
      <c r="B2478">
        <v>1</v>
      </c>
      <c r="C2478">
        <v>1</v>
      </c>
      <c r="D2478">
        <v>1</v>
      </c>
      <c r="E2478" t="s">
        <v>7322</v>
      </c>
      <c r="F2478" t="s">
        <v>7322</v>
      </c>
      <c r="G2478" t="s">
        <v>7322</v>
      </c>
      <c r="H2478">
        <v>1</v>
      </c>
    </row>
    <row r="2479" spans="1:8" x14ac:dyDescent="0.25">
      <c r="A2479" t="s">
        <v>3362</v>
      </c>
      <c r="B2479">
        <v>1</v>
      </c>
      <c r="C2479">
        <v>1</v>
      </c>
      <c r="D2479">
        <v>1</v>
      </c>
      <c r="E2479" t="s">
        <v>7323</v>
      </c>
      <c r="F2479" t="s">
        <v>7323</v>
      </c>
      <c r="G2479" t="s">
        <v>7323</v>
      </c>
      <c r="H2479">
        <v>10</v>
      </c>
    </row>
    <row r="2480" spans="1:8" x14ac:dyDescent="0.25">
      <c r="A2480" t="s">
        <v>3927</v>
      </c>
      <c r="B2480">
        <v>1</v>
      </c>
      <c r="C2480">
        <v>1</v>
      </c>
      <c r="D2480">
        <v>1</v>
      </c>
      <c r="E2480" t="s">
        <v>7324</v>
      </c>
      <c r="F2480" t="s">
        <v>7324</v>
      </c>
      <c r="G2480" t="s">
        <v>7324</v>
      </c>
      <c r="H2480">
        <v>3</v>
      </c>
    </row>
    <row r="2481" spans="1:8" x14ac:dyDescent="0.25">
      <c r="A2481" t="s">
        <v>3573</v>
      </c>
      <c r="B2481">
        <v>1</v>
      </c>
      <c r="C2481">
        <v>1</v>
      </c>
      <c r="D2481">
        <v>1</v>
      </c>
      <c r="E2481" t="s">
        <v>7325</v>
      </c>
      <c r="F2481" t="s">
        <v>7325</v>
      </c>
      <c r="G2481" t="s">
        <v>7325</v>
      </c>
      <c r="H2481">
        <v>10</v>
      </c>
    </row>
    <row r="2482" spans="1:8" x14ac:dyDescent="0.25">
      <c r="A2482" t="s">
        <v>3893</v>
      </c>
      <c r="B2482">
        <v>1</v>
      </c>
      <c r="C2482">
        <v>1</v>
      </c>
      <c r="D2482">
        <v>1</v>
      </c>
      <c r="E2482" t="s">
        <v>7326</v>
      </c>
      <c r="F2482" t="s">
        <v>7326</v>
      </c>
      <c r="G2482" t="s">
        <v>7326</v>
      </c>
      <c r="H2482">
        <v>3</v>
      </c>
    </row>
    <row r="2483" spans="1:8" x14ac:dyDescent="0.25">
      <c r="A2483" t="s">
        <v>3776</v>
      </c>
      <c r="B2483">
        <v>1</v>
      </c>
      <c r="C2483">
        <v>1</v>
      </c>
      <c r="D2483">
        <v>1</v>
      </c>
      <c r="E2483" t="s">
        <v>7327</v>
      </c>
      <c r="F2483" t="s">
        <v>7327</v>
      </c>
      <c r="G2483" t="s">
        <v>7327</v>
      </c>
      <c r="H2483">
        <v>5</v>
      </c>
    </row>
    <row r="2484" spans="1:8" x14ac:dyDescent="0.25">
      <c r="A2484" t="s">
        <v>3805</v>
      </c>
      <c r="B2484">
        <v>1</v>
      </c>
      <c r="C2484">
        <v>1</v>
      </c>
      <c r="D2484">
        <v>1</v>
      </c>
      <c r="E2484" t="s">
        <v>7328</v>
      </c>
      <c r="F2484" t="s">
        <v>7328</v>
      </c>
      <c r="G2484" t="s">
        <v>7328</v>
      </c>
      <c r="H2484">
        <v>3</v>
      </c>
    </row>
    <row r="2485" spans="1:8" x14ac:dyDescent="0.25">
      <c r="A2485" t="s">
        <v>3627</v>
      </c>
      <c r="B2485">
        <v>1</v>
      </c>
      <c r="C2485">
        <v>1</v>
      </c>
      <c r="D2485">
        <v>1</v>
      </c>
      <c r="E2485" t="s">
        <v>7329</v>
      </c>
      <c r="F2485" t="s">
        <v>7329</v>
      </c>
      <c r="G2485" t="s">
        <v>7329</v>
      </c>
      <c r="H2485">
        <v>7</v>
      </c>
    </row>
    <row r="2486" spans="1:8" x14ac:dyDescent="0.25">
      <c r="A2486" t="s">
        <v>3615</v>
      </c>
      <c r="B2486">
        <v>1</v>
      </c>
      <c r="C2486">
        <v>1</v>
      </c>
      <c r="D2486">
        <v>1</v>
      </c>
      <c r="E2486" t="s">
        <v>7330</v>
      </c>
      <c r="F2486" t="s">
        <v>7330</v>
      </c>
      <c r="G2486" t="s">
        <v>7330</v>
      </c>
      <c r="H2486">
        <v>9</v>
      </c>
    </row>
    <row r="2487" spans="1:8" x14ac:dyDescent="0.25">
      <c r="A2487" t="s">
        <v>3923</v>
      </c>
      <c r="B2487">
        <v>1</v>
      </c>
      <c r="C2487">
        <v>1</v>
      </c>
      <c r="D2487">
        <v>1</v>
      </c>
      <c r="E2487" t="s">
        <v>7331</v>
      </c>
      <c r="F2487" t="s">
        <v>7331</v>
      </c>
      <c r="G2487" t="s">
        <v>7331</v>
      </c>
      <c r="H2487">
        <v>2</v>
      </c>
    </row>
    <row r="2488" spans="1:8" x14ac:dyDescent="0.25">
      <c r="A2488" t="s">
        <v>3791</v>
      </c>
      <c r="B2488">
        <v>1</v>
      </c>
      <c r="C2488">
        <v>1</v>
      </c>
      <c r="D2488">
        <v>1</v>
      </c>
      <c r="E2488" t="s">
        <v>7332</v>
      </c>
      <c r="F2488" t="s">
        <v>7332</v>
      </c>
      <c r="G2488" t="s">
        <v>7332</v>
      </c>
      <c r="H2488">
        <v>4</v>
      </c>
    </row>
    <row r="2489" spans="1:8" x14ac:dyDescent="0.25">
      <c r="A2489" t="s">
        <v>3672</v>
      </c>
      <c r="B2489">
        <v>1</v>
      </c>
      <c r="C2489">
        <v>1</v>
      </c>
      <c r="D2489">
        <v>1</v>
      </c>
      <c r="E2489" t="s">
        <v>7333</v>
      </c>
      <c r="F2489" t="s">
        <v>7333</v>
      </c>
      <c r="G2489" t="s">
        <v>7333</v>
      </c>
      <c r="H2489">
        <v>8</v>
      </c>
    </row>
    <row r="2490" spans="1:8" x14ac:dyDescent="0.25">
      <c r="A2490" t="s">
        <v>3984</v>
      </c>
      <c r="B2490">
        <v>1</v>
      </c>
      <c r="C2490">
        <v>1</v>
      </c>
      <c r="D2490">
        <v>1</v>
      </c>
      <c r="E2490" t="s">
        <v>7334</v>
      </c>
      <c r="F2490" t="s">
        <v>7334</v>
      </c>
      <c r="G2490" t="s">
        <v>7334</v>
      </c>
      <c r="H2490">
        <v>1</v>
      </c>
    </row>
    <row r="2491" spans="1:8" x14ac:dyDescent="0.25">
      <c r="A2491" t="s">
        <v>3737</v>
      </c>
      <c r="B2491">
        <v>1</v>
      </c>
      <c r="C2491">
        <v>1</v>
      </c>
      <c r="D2491">
        <v>1</v>
      </c>
      <c r="E2491" t="s">
        <v>7335</v>
      </c>
      <c r="F2491" t="s">
        <v>7335</v>
      </c>
      <c r="G2491" t="s">
        <v>7335</v>
      </c>
      <c r="H2491">
        <v>5</v>
      </c>
    </row>
    <row r="2492" spans="1:8" x14ac:dyDescent="0.25">
      <c r="A2492" t="s">
        <v>3673</v>
      </c>
      <c r="B2492">
        <v>1</v>
      </c>
      <c r="C2492">
        <v>1</v>
      </c>
      <c r="D2492">
        <v>1</v>
      </c>
      <c r="E2492" t="s">
        <v>7336</v>
      </c>
      <c r="F2492" t="s">
        <v>7336</v>
      </c>
      <c r="G2492" t="s">
        <v>7336</v>
      </c>
      <c r="H2492">
        <v>4</v>
      </c>
    </row>
    <row r="2493" spans="1:8" x14ac:dyDescent="0.25">
      <c r="A2493" t="s">
        <v>3694</v>
      </c>
      <c r="B2493">
        <v>1</v>
      </c>
      <c r="C2493">
        <v>1</v>
      </c>
      <c r="D2493">
        <v>1</v>
      </c>
      <c r="E2493" t="s">
        <v>7337</v>
      </c>
      <c r="F2493" t="s">
        <v>7337</v>
      </c>
      <c r="G2493" t="s">
        <v>7337</v>
      </c>
      <c r="H2493">
        <v>5</v>
      </c>
    </row>
    <row r="2494" spans="1:8" x14ac:dyDescent="0.25">
      <c r="A2494" t="s">
        <v>3936</v>
      </c>
      <c r="B2494">
        <v>1</v>
      </c>
      <c r="C2494">
        <v>1</v>
      </c>
      <c r="D2494">
        <v>1</v>
      </c>
      <c r="E2494" t="s">
        <v>7338</v>
      </c>
      <c r="F2494" t="s">
        <v>7338</v>
      </c>
      <c r="G2494" t="s">
        <v>7338</v>
      </c>
      <c r="H2494">
        <v>2</v>
      </c>
    </row>
    <row r="2495" spans="1:8" x14ac:dyDescent="0.25">
      <c r="A2495" t="s">
        <v>3843</v>
      </c>
      <c r="B2495">
        <v>1</v>
      </c>
      <c r="C2495">
        <v>1</v>
      </c>
      <c r="D2495">
        <v>1</v>
      </c>
      <c r="E2495" t="s">
        <v>7339</v>
      </c>
      <c r="F2495" t="s">
        <v>7339</v>
      </c>
      <c r="G2495" t="s">
        <v>7339</v>
      </c>
      <c r="H2495">
        <v>4</v>
      </c>
    </row>
    <row r="2496" spans="1:8" x14ac:dyDescent="0.25">
      <c r="A2496" t="s">
        <v>3924</v>
      </c>
      <c r="B2496">
        <v>1</v>
      </c>
      <c r="C2496">
        <v>1</v>
      </c>
      <c r="D2496">
        <v>1</v>
      </c>
      <c r="E2496" t="s">
        <v>7340</v>
      </c>
      <c r="F2496" t="s">
        <v>7340</v>
      </c>
      <c r="G2496" t="s">
        <v>7340</v>
      </c>
      <c r="H2496">
        <v>1</v>
      </c>
    </row>
    <row r="2497" spans="1:8" x14ac:dyDescent="0.25">
      <c r="A2497" t="s">
        <v>3807</v>
      </c>
      <c r="B2497">
        <v>1</v>
      </c>
      <c r="C2497">
        <v>1</v>
      </c>
      <c r="D2497">
        <v>1</v>
      </c>
      <c r="E2497" t="s">
        <v>7341</v>
      </c>
      <c r="F2497" t="s">
        <v>7341</v>
      </c>
      <c r="G2497" t="s">
        <v>7341</v>
      </c>
      <c r="H2497">
        <v>4</v>
      </c>
    </row>
    <row r="2498" spans="1:8" x14ac:dyDescent="0.25">
      <c r="A2498" t="s">
        <v>2291</v>
      </c>
      <c r="B2498">
        <v>1</v>
      </c>
      <c r="C2498">
        <v>1</v>
      </c>
      <c r="D2498">
        <v>1</v>
      </c>
      <c r="E2498" t="s">
        <v>7342</v>
      </c>
      <c r="F2498" t="s">
        <v>7343</v>
      </c>
      <c r="G2498" t="s">
        <v>7343</v>
      </c>
      <c r="H2498">
        <v>46</v>
      </c>
    </row>
    <row r="2499" spans="1:8" x14ac:dyDescent="0.25">
      <c r="A2499" t="s">
        <v>2494</v>
      </c>
      <c r="B2499">
        <v>1</v>
      </c>
      <c r="C2499">
        <v>1</v>
      </c>
      <c r="D2499">
        <v>1</v>
      </c>
      <c r="E2499" t="s">
        <v>7344</v>
      </c>
      <c r="F2499" t="s">
        <v>7345</v>
      </c>
      <c r="G2499" t="s">
        <v>7345</v>
      </c>
      <c r="H2499">
        <v>38</v>
      </c>
    </row>
    <row r="2500" spans="1:8" x14ac:dyDescent="0.25">
      <c r="A2500" t="s">
        <v>4018</v>
      </c>
      <c r="B2500">
        <v>1</v>
      </c>
      <c r="C2500">
        <v>1</v>
      </c>
      <c r="D2500">
        <v>1</v>
      </c>
      <c r="E2500" t="s">
        <v>7346</v>
      </c>
      <c r="F2500" t="s">
        <v>7346</v>
      </c>
      <c r="G2500" t="s">
        <v>7346</v>
      </c>
      <c r="H2500">
        <v>1</v>
      </c>
    </row>
    <row r="2501" spans="1:8" x14ac:dyDescent="0.25">
      <c r="A2501" t="s">
        <v>1026</v>
      </c>
      <c r="B2501">
        <v>1</v>
      </c>
      <c r="C2501">
        <v>1</v>
      </c>
      <c r="D2501">
        <v>1</v>
      </c>
      <c r="E2501" t="s">
        <v>7347</v>
      </c>
      <c r="F2501" t="s">
        <v>7347</v>
      </c>
      <c r="G2501" t="s">
        <v>7347</v>
      </c>
      <c r="H2501">
        <v>134</v>
      </c>
    </row>
    <row r="2502" spans="1:8" x14ac:dyDescent="0.25">
      <c r="A2502" t="s">
        <v>2366</v>
      </c>
      <c r="B2502">
        <v>2</v>
      </c>
      <c r="C2502">
        <v>2</v>
      </c>
      <c r="D2502">
        <v>2</v>
      </c>
      <c r="E2502" t="s">
        <v>7348</v>
      </c>
      <c r="F2502" t="s">
        <v>7348</v>
      </c>
      <c r="G2502" t="s">
        <v>4256</v>
      </c>
      <c r="H2502">
        <v>38</v>
      </c>
    </row>
    <row r="2503" spans="1:8" x14ac:dyDescent="0.25">
      <c r="A2503" t="s">
        <v>3683</v>
      </c>
      <c r="B2503">
        <v>1</v>
      </c>
      <c r="C2503">
        <v>1</v>
      </c>
      <c r="D2503">
        <v>1</v>
      </c>
      <c r="E2503" t="s">
        <v>7349</v>
      </c>
      <c r="F2503" t="s">
        <v>7349</v>
      </c>
      <c r="G2503" t="s">
        <v>7349</v>
      </c>
      <c r="H2503">
        <v>2</v>
      </c>
    </row>
    <row r="2504" spans="1:8" x14ac:dyDescent="0.25">
      <c r="A2504" t="s">
        <v>2941</v>
      </c>
      <c r="B2504">
        <v>1</v>
      </c>
      <c r="C2504">
        <v>1</v>
      </c>
      <c r="D2504">
        <v>1</v>
      </c>
      <c r="E2504" t="s">
        <v>7350</v>
      </c>
      <c r="F2504" t="s">
        <v>7350</v>
      </c>
      <c r="G2504" t="s">
        <v>7350</v>
      </c>
      <c r="H2504">
        <v>41</v>
      </c>
    </row>
    <row r="2505" spans="1:8" x14ac:dyDescent="0.25">
      <c r="A2505" t="s">
        <v>2600</v>
      </c>
      <c r="B2505">
        <v>1</v>
      </c>
      <c r="C2505">
        <v>1</v>
      </c>
      <c r="D2505">
        <v>1</v>
      </c>
      <c r="E2505" t="s">
        <v>7351</v>
      </c>
      <c r="F2505" t="s">
        <v>7351</v>
      </c>
      <c r="G2505" t="s">
        <v>7351</v>
      </c>
      <c r="H2505">
        <v>59</v>
      </c>
    </row>
    <row r="2506" spans="1:8" x14ac:dyDescent="0.25">
      <c r="A2506" t="s">
        <v>2863</v>
      </c>
      <c r="B2506">
        <v>1</v>
      </c>
      <c r="C2506">
        <v>1</v>
      </c>
      <c r="D2506">
        <v>1</v>
      </c>
      <c r="E2506" t="s">
        <v>7352</v>
      </c>
      <c r="F2506" t="s">
        <v>7352</v>
      </c>
      <c r="G2506" t="s">
        <v>7352</v>
      </c>
      <c r="H2506">
        <v>36</v>
      </c>
    </row>
    <row r="2507" spans="1:8" x14ac:dyDescent="0.25">
      <c r="A2507" t="s">
        <v>3618</v>
      </c>
      <c r="B2507">
        <v>1</v>
      </c>
      <c r="C2507">
        <v>1</v>
      </c>
      <c r="D2507">
        <v>1</v>
      </c>
      <c r="E2507" t="s">
        <v>7353</v>
      </c>
      <c r="F2507" t="s">
        <v>7353</v>
      </c>
      <c r="G2507" t="s">
        <v>7353</v>
      </c>
      <c r="H2507">
        <v>4</v>
      </c>
    </row>
    <row r="2508" spans="1:8" x14ac:dyDescent="0.25">
      <c r="A2508" t="s">
        <v>129</v>
      </c>
      <c r="B2508">
        <v>1</v>
      </c>
      <c r="C2508">
        <v>1</v>
      </c>
      <c r="D2508">
        <v>1</v>
      </c>
      <c r="E2508" t="s">
        <v>4243</v>
      </c>
      <c r="F2508" t="s">
        <v>4243</v>
      </c>
      <c r="G2508" t="s">
        <v>4243</v>
      </c>
      <c r="H2508">
        <v>2</v>
      </c>
    </row>
    <row r="2509" spans="1:8" x14ac:dyDescent="0.25">
      <c r="A2509" t="s">
        <v>2088</v>
      </c>
      <c r="B2509">
        <v>1</v>
      </c>
      <c r="C2509">
        <v>1</v>
      </c>
      <c r="D2509">
        <v>1</v>
      </c>
      <c r="E2509" t="s">
        <v>7354</v>
      </c>
      <c r="F2509" t="s">
        <v>7354</v>
      </c>
      <c r="G2509" t="s">
        <v>7354</v>
      </c>
      <c r="H2509">
        <v>33</v>
      </c>
    </row>
    <row r="2510" spans="1:8" x14ac:dyDescent="0.25">
      <c r="A2510" t="s">
        <v>2701</v>
      </c>
      <c r="B2510">
        <v>1</v>
      </c>
      <c r="C2510">
        <v>1</v>
      </c>
      <c r="D2510">
        <v>1</v>
      </c>
      <c r="E2510" t="s">
        <v>7355</v>
      </c>
      <c r="F2510" t="s">
        <v>7355</v>
      </c>
      <c r="G2510" t="s">
        <v>7355</v>
      </c>
      <c r="H2510">
        <v>7</v>
      </c>
    </row>
    <row r="2511" spans="1:8" x14ac:dyDescent="0.25">
      <c r="A2511" t="s">
        <v>929</v>
      </c>
      <c r="B2511">
        <v>1</v>
      </c>
      <c r="C2511">
        <v>1</v>
      </c>
      <c r="D2511">
        <v>1</v>
      </c>
      <c r="E2511" t="s">
        <v>7356</v>
      </c>
      <c r="F2511" t="s">
        <v>7356</v>
      </c>
      <c r="G2511" t="s">
        <v>7356</v>
      </c>
      <c r="H2511">
        <v>121</v>
      </c>
    </row>
    <row r="2512" spans="1:8" x14ac:dyDescent="0.25">
      <c r="A2512" t="s">
        <v>1240</v>
      </c>
      <c r="B2512">
        <v>1</v>
      </c>
      <c r="C2512">
        <v>1</v>
      </c>
      <c r="D2512">
        <v>1</v>
      </c>
      <c r="E2512" t="s">
        <v>7357</v>
      </c>
      <c r="F2512" t="s">
        <v>7357</v>
      </c>
      <c r="G2512" t="s">
        <v>7357</v>
      </c>
      <c r="H2512">
        <v>49</v>
      </c>
    </row>
    <row r="2513" spans="1:8" x14ac:dyDescent="0.25">
      <c r="A2513" t="s">
        <v>2400</v>
      </c>
      <c r="B2513">
        <v>1</v>
      </c>
      <c r="C2513">
        <v>1</v>
      </c>
      <c r="D2513">
        <v>1</v>
      </c>
      <c r="E2513" t="s">
        <v>7358</v>
      </c>
      <c r="F2513" t="s">
        <v>7358</v>
      </c>
      <c r="G2513" t="s">
        <v>7358</v>
      </c>
      <c r="H2513">
        <v>22</v>
      </c>
    </row>
    <row r="2514" spans="1:8" x14ac:dyDescent="0.25">
      <c r="A2514" t="s">
        <v>3929</v>
      </c>
      <c r="B2514">
        <v>1</v>
      </c>
      <c r="C2514">
        <v>1</v>
      </c>
      <c r="D2514">
        <v>1</v>
      </c>
      <c r="E2514" t="s">
        <v>7359</v>
      </c>
      <c r="F2514" t="s">
        <v>7359</v>
      </c>
      <c r="G2514" t="s">
        <v>7359</v>
      </c>
      <c r="H2514">
        <v>2</v>
      </c>
    </row>
    <row r="2515" spans="1:8" x14ac:dyDescent="0.25">
      <c r="A2515" t="s">
        <v>7360</v>
      </c>
      <c r="B2515">
        <v>0</v>
      </c>
      <c r="C2515">
        <v>0</v>
      </c>
      <c r="D2515">
        <v>0</v>
      </c>
      <c r="G2515" t="s">
        <v>4256</v>
      </c>
      <c r="H2515">
        <v>1</v>
      </c>
    </row>
    <row r="2516" spans="1:8" x14ac:dyDescent="0.25">
      <c r="A2516" t="s">
        <v>2505</v>
      </c>
      <c r="B2516">
        <v>1</v>
      </c>
      <c r="C2516">
        <v>1</v>
      </c>
      <c r="D2516">
        <v>1</v>
      </c>
      <c r="E2516" t="s">
        <v>7361</v>
      </c>
      <c r="F2516" t="s">
        <v>7361</v>
      </c>
      <c r="G2516" t="s">
        <v>7361</v>
      </c>
      <c r="H2516">
        <v>100</v>
      </c>
    </row>
    <row r="2517" spans="1:8" x14ac:dyDescent="0.25">
      <c r="A2517" t="s">
        <v>2564</v>
      </c>
      <c r="B2517">
        <v>1</v>
      </c>
      <c r="C2517">
        <v>1</v>
      </c>
      <c r="D2517">
        <v>1</v>
      </c>
      <c r="E2517" t="s">
        <v>7362</v>
      </c>
      <c r="F2517" t="s">
        <v>7362</v>
      </c>
      <c r="G2517" t="s">
        <v>7362</v>
      </c>
      <c r="H2517">
        <v>98</v>
      </c>
    </row>
    <row r="2518" spans="1:8" x14ac:dyDescent="0.25">
      <c r="A2518" t="s">
        <v>2296</v>
      </c>
      <c r="B2518">
        <v>2</v>
      </c>
      <c r="C2518">
        <v>2</v>
      </c>
      <c r="D2518">
        <v>2</v>
      </c>
      <c r="E2518" t="s">
        <v>7363</v>
      </c>
      <c r="F2518" t="s">
        <v>7363</v>
      </c>
      <c r="G2518" t="s">
        <v>4256</v>
      </c>
      <c r="H2518">
        <v>45</v>
      </c>
    </row>
    <row r="2519" spans="1:8" x14ac:dyDescent="0.25">
      <c r="A2519" t="s">
        <v>3416</v>
      </c>
      <c r="B2519">
        <v>1</v>
      </c>
      <c r="C2519">
        <v>1</v>
      </c>
      <c r="D2519">
        <v>1</v>
      </c>
      <c r="E2519" t="s">
        <v>7364</v>
      </c>
      <c r="F2519" t="s">
        <v>7364</v>
      </c>
      <c r="G2519" t="s">
        <v>7364</v>
      </c>
      <c r="H2519">
        <v>12</v>
      </c>
    </row>
    <row r="2520" spans="1:8" x14ac:dyDescent="0.25">
      <c r="A2520" t="s">
        <v>3973</v>
      </c>
      <c r="B2520">
        <v>1</v>
      </c>
      <c r="C2520">
        <v>1</v>
      </c>
      <c r="D2520">
        <v>1</v>
      </c>
      <c r="E2520" t="s">
        <v>7365</v>
      </c>
      <c r="F2520" t="s">
        <v>7365</v>
      </c>
      <c r="G2520" t="s">
        <v>7365</v>
      </c>
      <c r="H2520">
        <v>3</v>
      </c>
    </row>
    <row r="2521" spans="1:8" x14ac:dyDescent="0.25">
      <c r="A2521" t="s">
        <v>3208</v>
      </c>
      <c r="B2521">
        <v>1</v>
      </c>
      <c r="C2521">
        <v>1</v>
      </c>
      <c r="D2521">
        <v>1</v>
      </c>
      <c r="E2521" t="s">
        <v>7366</v>
      </c>
      <c r="F2521" t="s">
        <v>7367</v>
      </c>
      <c r="G2521" t="s">
        <v>7367</v>
      </c>
      <c r="H2521">
        <v>16</v>
      </c>
    </row>
    <row r="2522" spans="1:8" x14ac:dyDescent="0.25">
      <c r="A2522" t="s">
        <v>3901</v>
      </c>
      <c r="B2522">
        <v>1</v>
      </c>
      <c r="C2522">
        <v>1</v>
      </c>
      <c r="D2522">
        <v>1</v>
      </c>
      <c r="E2522" t="s">
        <v>7368</v>
      </c>
      <c r="F2522" t="s">
        <v>7368</v>
      </c>
      <c r="G2522" t="s">
        <v>7368</v>
      </c>
      <c r="H2522">
        <v>6</v>
      </c>
    </row>
    <row r="2523" spans="1:8" x14ac:dyDescent="0.25">
      <c r="A2523" t="s">
        <v>1773</v>
      </c>
      <c r="B2523">
        <v>1</v>
      </c>
      <c r="C2523">
        <v>1</v>
      </c>
      <c r="D2523">
        <v>1</v>
      </c>
      <c r="E2523" t="s">
        <v>7369</v>
      </c>
      <c r="F2523" t="s">
        <v>7370</v>
      </c>
      <c r="G2523" t="s">
        <v>7370</v>
      </c>
      <c r="H2523">
        <v>236</v>
      </c>
    </row>
    <row r="2524" spans="1:8" x14ac:dyDescent="0.25">
      <c r="A2524" t="s">
        <v>3914</v>
      </c>
      <c r="B2524">
        <v>1</v>
      </c>
      <c r="C2524">
        <v>1</v>
      </c>
      <c r="D2524">
        <v>1</v>
      </c>
      <c r="E2524" t="s">
        <v>7371</v>
      </c>
      <c r="F2524" t="s">
        <v>7372</v>
      </c>
      <c r="G2524" t="s">
        <v>7372</v>
      </c>
      <c r="H2524">
        <v>5</v>
      </c>
    </row>
    <row r="2525" spans="1:8" x14ac:dyDescent="0.25">
      <c r="A2525" t="s">
        <v>7373</v>
      </c>
      <c r="B2525">
        <v>0</v>
      </c>
      <c r="C2525">
        <v>0</v>
      </c>
      <c r="D2525">
        <v>0</v>
      </c>
      <c r="G2525" t="s">
        <v>4256</v>
      </c>
      <c r="H2525">
        <v>1</v>
      </c>
    </row>
    <row r="2526" spans="1:8" x14ac:dyDescent="0.25">
      <c r="A2526" t="s">
        <v>7374</v>
      </c>
      <c r="B2526">
        <v>0</v>
      </c>
      <c r="C2526">
        <v>0</v>
      </c>
      <c r="D2526">
        <v>0</v>
      </c>
      <c r="G2526" t="s">
        <v>4256</v>
      </c>
      <c r="H2526">
        <v>1</v>
      </c>
    </row>
    <row r="2527" spans="1:8" x14ac:dyDescent="0.25">
      <c r="A2527" t="s">
        <v>4022</v>
      </c>
      <c r="B2527">
        <v>1</v>
      </c>
      <c r="C2527">
        <v>1</v>
      </c>
      <c r="D2527">
        <v>1</v>
      </c>
      <c r="E2527" t="s">
        <v>7375</v>
      </c>
      <c r="F2527" t="s">
        <v>7375</v>
      </c>
      <c r="G2527" t="s">
        <v>7375</v>
      </c>
      <c r="H2527">
        <v>2</v>
      </c>
    </row>
    <row r="2528" spans="1:8" x14ac:dyDescent="0.25">
      <c r="A2528" t="s">
        <v>4023</v>
      </c>
      <c r="B2528">
        <v>1</v>
      </c>
      <c r="C2528">
        <v>1</v>
      </c>
      <c r="D2528">
        <v>1</v>
      </c>
      <c r="E2528" t="s">
        <v>7376</v>
      </c>
      <c r="F2528" t="s">
        <v>7376</v>
      </c>
      <c r="G2528" t="s">
        <v>7376</v>
      </c>
      <c r="H2528">
        <v>1</v>
      </c>
    </row>
    <row r="2529" spans="1:8" x14ac:dyDescent="0.25">
      <c r="A2529" t="s">
        <v>3722</v>
      </c>
      <c r="B2529">
        <v>1</v>
      </c>
      <c r="C2529">
        <v>1</v>
      </c>
      <c r="D2529">
        <v>1</v>
      </c>
      <c r="E2529" t="s">
        <v>7377</v>
      </c>
      <c r="F2529" t="s">
        <v>7377</v>
      </c>
      <c r="G2529" t="s">
        <v>7377</v>
      </c>
      <c r="H2529">
        <v>4</v>
      </c>
    </row>
    <row r="2530" spans="1:8" x14ac:dyDescent="0.25">
      <c r="A2530" t="s">
        <v>3621</v>
      </c>
      <c r="B2530">
        <v>1</v>
      </c>
      <c r="C2530">
        <v>1</v>
      </c>
      <c r="D2530">
        <v>1</v>
      </c>
      <c r="E2530" t="s">
        <v>7378</v>
      </c>
      <c r="F2530" t="s">
        <v>7378</v>
      </c>
      <c r="G2530" t="s">
        <v>7378</v>
      </c>
      <c r="H2530">
        <v>3</v>
      </c>
    </row>
    <row r="2531" spans="1:8" x14ac:dyDescent="0.25">
      <c r="A2531" t="s">
        <v>2391</v>
      </c>
      <c r="B2531">
        <v>1</v>
      </c>
      <c r="C2531">
        <v>1</v>
      </c>
      <c r="D2531">
        <v>1</v>
      </c>
      <c r="E2531" t="s">
        <v>7379</v>
      </c>
      <c r="F2531" t="s">
        <v>7379</v>
      </c>
      <c r="G2531" t="s">
        <v>7379</v>
      </c>
      <c r="H2531">
        <v>25</v>
      </c>
    </row>
    <row r="2532" spans="1:8" x14ac:dyDescent="0.25">
      <c r="A2532" t="s">
        <v>3920</v>
      </c>
      <c r="B2532">
        <v>2</v>
      </c>
      <c r="C2532">
        <v>2</v>
      </c>
      <c r="D2532">
        <v>2</v>
      </c>
      <c r="E2532" t="s">
        <v>7380</v>
      </c>
      <c r="F2532" t="s">
        <v>7380</v>
      </c>
      <c r="G2532" t="s">
        <v>4256</v>
      </c>
      <c r="H2532">
        <v>3</v>
      </c>
    </row>
    <row r="2533" spans="1:8" x14ac:dyDescent="0.25">
      <c r="A2533" t="s">
        <v>2353</v>
      </c>
      <c r="B2533">
        <v>1</v>
      </c>
      <c r="C2533">
        <v>1</v>
      </c>
      <c r="D2533">
        <v>1</v>
      </c>
      <c r="E2533" t="s">
        <v>7381</v>
      </c>
      <c r="F2533" t="s">
        <v>7381</v>
      </c>
      <c r="G2533" t="s">
        <v>7381</v>
      </c>
      <c r="H2533">
        <v>43</v>
      </c>
    </row>
    <row r="2534" spans="1:8" x14ac:dyDescent="0.25">
      <c r="A2534" t="s">
        <v>2271</v>
      </c>
      <c r="B2534">
        <v>1</v>
      </c>
      <c r="C2534">
        <v>1</v>
      </c>
      <c r="D2534">
        <v>1</v>
      </c>
      <c r="E2534" t="s">
        <v>7382</v>
      </c>
      <c r="F2534" t="s">
        <v>7382</v>
      </c>
      <c r="G2534" t="s">
        <v>7382</v>
      </c>
      <c r="H2534">
        <v>27</v>
      </c>
    </row>
    <row r="2535" spans="1:8" x14ac:dyDescent="0.25">
      <c r="A2535" t="s">
        <v>2267</v>
      </c>
      <c r="B2535">
        <v>1</v>
      </c>
      <c r="C2535">
        <v>1</v>
      </c>
      <c r="D2535">
        <v>1</v>
      </c>
      <c r="E2535" t="s">
        <v>7383</v>
      </c>
      <c r="F2535" t="s">
        <v>7383</v>
      </c>
      <c r="G2535" t="s">
        <v>7383</v>
      </c>
      <c r="H2535">
        <v>34</v>
      </c>
    </row>
    <row r="2536" spans="1:8" x14ac:dyDescent="0.25">
      <c r="A2536" t="s">
        <v>7384</v>
      </c>
      <c r="B2536">
        <v>1</v>
      </c>
      <c r="C2536">
        <v>1</v>
      </c>
      <c r="D2536">
        <v>1</v>
      </c>
      <c r="E2536" t="s">
        <v>7385</v>
      </c>
      <c r="F2536" t="s">
        <v>7385</v>
      </c>
      <c r="G2536" t="s">
        <v>7385</v>
      </c>
      <c r="H2536">
        <v>1</v>
      </c>
    </row>
    <row r="2537" spans="1:8" x14ac:dyDescent="0.25">
      <c r="A2537" t="s">
        <v>7386</v>
      </c>
      <c r="B2537">
        <v>0</v>
      </c>
      <c r="C2537">
        <v>0</v>
      </c>
      <c r="D2537">
        <v>0</v>
      </c>
      <c r="G2537" t="s">
        <v>4256</v>
      </c>
      <c r="H2537">
        <v>1</v>
      </c>
    </row>
    <row r="2538" spans="1:8" x14ac:dyDescent="0.25">
      <c r="A2538" t="s">
        <v>3883</v>
      </c>
      <c r="B2538">
        <v>1</v>
      </c>
      <c r="C2538">
        <v>1</v>
      </c>
      <c r="D2538">
        <v>1</v>
      </c>
      <c r="E2538" t="s">
        <v>7387</v>
      </c>
      <c r="F2538" t="s">
        <v>7387</v>
      </c>
      <c r="G2538" t="s">
        <v>7387</v>
      </c>
      <c r="H2538">
        <v>3</v>
      </c>
    </row>
    <row r="2539" spans="1:8" x14ac:dyDescent="0.25">
      <c r="A2539" t="s">
        <v>3709</v>
      </c>
      <c r="B2539">
        <v>2</v>
      </c>
      <c r="C2539">
        <v>2</v>
      </c>
      <c r="D2539">
        <v>2</v>
      </c>
      <c r="E2539" t="s">
        <v>7388</v>
      </c>
      <c r="F2539" t="s">
        <v>7388</v>
      </c>
      <c r="G2539" t="s">
        <v>4256</v>
      </c>
      <c r="H2539">
        <v>8</v>
      </c>
    </row>
    <row r="2540" spans="1:8" x14ac:dyDescent="0.25">
      <c r="A2540" t="s">
        <v>3995</v>
      </c>
      <c r="B2540">
        <v>1</v>
      </c>
      <c r="C2540">
        <v>1</v>
      </c>
      <c r="D2540">
        <v>1</v>
      </c>
      <c r="E2540" t="s">
        <v>7389</v>
      </c>
      <c r="F2540" t="s">
        <v>7389</v>
      </c>
      <c r="G2540" t="s">
        <v>7389</v>
      </c>
      <c r="H2540">
        <v>2</v>
      </c>
    </row>
    <row r="2541" spans="1:8" x14ac:dyDescent="0.25">
      <c r="A2541" t="s">
        <v>3760</v>
      </c>
      <c r="B2541">
        <v>2</v>
      </c>
      <c r="C2541">
        <v>2</v>
      </c>
      <c r="D2541">
        <v>2</v>
      </c>
      <c r="E2541" t="s">
        <v>7390</v>
      </c>
      <c r="F2541" t="s">
        <v>7391</v>
      </c>
      <c r="G2541" t="s">
        <v>4256</v>
      </c>
      <c r="H2541">
        <v>4</v>
      </c>
    </row>
    <row r="2542" spans="1:8" x14ac:dyDescent="0.25">
      <c r="A2542" t="s">
        <v>3578</v>
      </c>
      <c r="B2542">
        <v>2</v>
      </c>
      <c r="C2542">
        <v>2</v>
      </c>
      <c r="D2542">
        <v>2</v>
      </c>
      <c r="E2542" t="s">
        <v>7392</v>
      </c>
      <c r="F2542" t="s">
        <v>7393</v>
      </c>
      <c r="G2542" t="s">
        <v>4256</v>
      </c>
      <c r="H2542">
        <v>2</v>
      </c>
    </row>
    <row r="2543" spans="1:8" x14ac:dyDescent="0.25">
      <c r="A2543" t="s">
        <v>3567</v>
      </c>
      <c r="B2543">
        <v>2</v>
      </c>
      <c r="C2543">
        <v>2</v>
      </c>
      <c r="D2543">
        <v>2</v>
      </c>
      <c r="E2543" t="s">
        <v>7394</v>
      </c>
      <c r="F2543" t="s">
        <v>7395</v>
      </c>
      <c r="G2543" t="s">
        <v>4256</v>
      </c>
      <c r="H2543">
        <v>3</v>
      </c>
    </row>
    <row r="2544" spans="1:8" x14ac:dyDescent="0.25">
      <c r="A2544" t="s">
        <v>7396</v>
      </c>
      <c r="B2544">
        <v>1</v>
      </c>
      <c r="C2544">
        <v>1</v>
      </c>
      <c r="D2544">
        <v>1</v>
      </c>
      <c r="E2544" t="s">
        <v>7397</v>
      </c>
      <c r="F2544" t="s">
        <v>7397</v>
      </c>
      <c r="G2544" t="s">
        <v>7397</v>
      </c>
      <c r="H2544">
        <v>1</v>
      </c>
    </row>
    <row r="2545" spans="1:8" x14ac:dyDescent="0.25">
      <c r="A2545" t="s">
        <v>2427</v>
      </c>
      <c r="B2545">
        <v>1</v>
      </c>
      <c r="C2545">
        <v>1</v>
      </c>
      <c r="D2545">
        <v>1</v>
      </c>
      <c r="E2545" t="s">
        <v>7398</v>
      </c>
      <c r="F2545" t="s">
        <v>7399</v>
      </c>
      <c r="G2545" t="s">
        <v>7399</v>
      </c>
      <c r="H2545">
        <v>28</v>
      </c>
    </row>
    <row r="2546" spans="1:8" x14ac:dyDescent="0.25">
      <c r="A2546" t="s">
        <v>3159</v>
      </c>
      <c r="B2546">
        <v>1</v>
      </c>
      <c r="C2546">
        <v>1</v>
      </c>
      <c r="D2546">
        <v>1</v>
      </c>
      <c r="E2546" t="s">
        <v>7400</v>
      </c>
      <c r="F2546" t="s">
        <v>7400</v>
      </c>
      <c r="G2546" t="s">
        <v>7400</v>
      </c>
      <c r="H2546">
        <v>9</v>
      </c>
    </row>
    <row r="2547" spans="1:8" x14ac:dyDescent="0.25">
      <c r="A2547" t="s">
        <v>3232</v>
      </c>
      <c r="B2547">
        <v>1</v>
      </c>
      <c r="C2547">
        <v>1</v>
      </c>
      <c r="D2547">
        <v>1</v>
      </c>
      <c r="E2547" t="s">
        <v>7401</v>
      </c>
      <c r="F2547" t="s">
        <v>7401</v>
      </c>
      <c r="G2547" t="s">
        <v>7401</v>
      </c>
      <c r="H2547">
        <v>5</v>
      </c>
    </row>
    <row r="2548" spans="1:8" x14ac:dyDescent="0.25">
      <c r="A2548" t="s">
        <v>3061</v>
      </c>
      <c r="B2548">
        <v>1</v>
      </c>
      <c r="C2548">
        <v>1</v>
      </c>
      <c r="D2548">
        <v>1</v>
      </c>
      <c r="E2548" t="s">
        <v>7402</v>
      </c>
      <c r="F2548" t="s">
        <v>7403</v>
      </c>
      <c r="G2548" t="s">
        <v>7403</v>
      </c>
      <c r="H2548">
        <v>5</v>
      </c>
    </row>
    <row r="2549" spans="1:8" x14ac:dyDescent="0.25">
      <c r="A2549" t="s">
        <v>7404</v>
      </c>
      <c r="B2549">
        <v>0</v>
      </c>
      <c r="C2549">
        <v>0</v>
      </c>
      <c r="D2549">
        <v>0</v>
      </c>
      <c r="G2549" t="s">
        <v>4256</v>
      </c>
      <c r="H2549">
        <v>1</v>
      </c>
    </row>
    <row r="2550" spans="1:8" x14ac:dyDescent="0.25">
      <c r="A2550" t="s">
        <v>3725</v>
      </c>
      <c r="B2550">
        <v>1</v>
      </c>
      <c r="C2550">
        <v>1</v>
      </c>
      <c r="D2550">
        <v>1</v>
      </c>
      <c r="E2550" t="s">
        <v>7405</v>
      </c>
      <c r="F2550" t="s">
        <v>7405</v>
      </c>
      <c r="G2550" t="s">
        <v>7405</v>
      </c>
      <c r="H2550">
        <v>5</v>
      </c>
    </row>
    <row r="2551" spans="1:8" x14ac:dyDescent="0.25">
      <c r="A2551" t="s">
        <v>1812</v>
      </c>
      <c r="B2551">
        <v>1</v>
      </c>
      <c r="C2551">
        <v>1</v>
      </c>
      <c r="D2551">
        <v>1</v>
      </c>
      <c r="E2551" t="s">
        <v>7406</v>
      </c>
      <c r="F2551" t="s">
        <v>7406</v>
      </c>
      <c r="G2551" t="s">
        <v>7406</v>
      </c>
      <c r="H2551">
        <v>96</v>
      </c>
    </row>
    <row r="2552" spans="1:8" x14ac:dyDescent="0.25">
      <c r="A2552" t="s">
        <v>3744</v>
      </c>
      <c r="B2552">
        <v>1</v>
      </c>
      <c r="C2552">
        <v>1</v>
      </c>
      <c r="D2552">
        <v>1</v>
      </c>
      <c r="E2552" t="s">
        <v>7407</v>
      </c>
      <c r="F2552" t="s">
        <v>7408</v>
      </c>
      <c r="G2552" t="s">
        <v>7408</v>
      </c>
      <c r="H2552">
        <v>2</v>
      </c>
    </row>
    <row r="2553" spans="1:8" x14ac:dyDescent="0.25">
      <c r="A2553" t="s">
        <v>1701</v>
      </c>
      <c r="B2553">
        <v>2</v>
      </c>
      <c r="C2553">
        <v>2</v>
      </c>
      <c r="D2553">
        <v>2</v>
      </c>
      <c r="E2553" t="s">
        <v>7409</v>
      </c>
      <c r="F2553" t="s">
        <v>7410</v>
      </c>
      <c r="G2553" t="s">
        <v>4256</v>
      </c>
      <c r="H2553">
        <v>136</v>
      </c>
    </row>
    <row r="2554" spans="1:8" x14ac:dyDescent="0.25">
      <c r="A2554" t="s">
        <v>2967</v>
      </c>
      <c r="B2554">
        <v>1</v>
      </c>
      <c r="C2554">
        <v>1</v>
      </c>
      <c r="D2554">
        <v>1</v>
      </c>
      <c r="E2554" t="s">
        <v>7411</v>
      </c>
      <c r="F2554" t="s">
        <v>7412</v>
      </c>
      <c r="G2554" t="s">
        <v>7412</v>
      </c>
      <c r="H2554">
        <v>37</v>
      </c>
    </row>
    <row r="2555" spans="1:8" x14ac:dyDescent="0.25">
      <c r="A2555" t="s">
        <v>3943</v>
      </c>
      <c r="B2555">
        <v>1</v>
      </c>
      <c r="C2555">
        <v>1</v>
      </c>
      <c r="D2555">
        <v>1</v>
      </c>
      <c r="E2555" t="s">
        <v>7413</v>
      </c>
      <c r="F2555" t="s">
        <v>7413</v>
      </c>
      <c r="G2555" t="s">
        <v>7413</v>
      </c>
      <c r="H2555">
        <v>2</v>
      </c>
    </row>
    <row r="2556" spans="1:8" x14ac:dyDescent="0.25">
      <c r="A2556" t="s">
        <v>1772</v>
      </c>
      <c r="B2556">
        <v>1</v>
      </c>
      <c r="C2556">
        <v>1</v>
      </c>
      <c r="D2556">
        <v>1</v>
      </c>
      <c r="E2556" t="s">
        <v>7414</v>
      </c>
      <c r="F2556" t="s">
        <v>7415</v>
      </c>
      <c r="G2556" t="s">
        <v>7415</v>
      </c>
      <c r="H2556">
        <v>60</v>
      </c>
    </row>
    <row r="2557" spans="1:8" x14ac:dyDescent="0.25">
      <c r="A2557" t="s">
        <v>2435</v>
      </c>
      <c r="B2557">
        <v>1</v>
      </c>
      <c r="C2557">
        <v>1</v>
      </c>
      <c r="D2557">
        <v>1</v>
      </c>
      <c r="E2557" t="s">
        <v>7416</v>
      </c>
      <c r="F2557" t="s">
        <v>7416</v>
      </c>
      <c r="G2557" t="s">
        <v>7416</v>
      </c>
      <c r="H2557">
        <v>54</v>
      </c>
    </row>
    <row r="2558" spans="1:8" x14ac:dyDescent="0.25">
      <c r="A2558" t="s">
        <v>2357</v>
      </c>
      <c r="B2558">
        <v>1</v>
      </c>
      <c r="C2558">
        <v>1</v>
      </c>
      <c r="D2558">
        <v>1</v>
      </c>
      <c r="E2558" t="s">
        <v>7417</v>
      </c>
      <c r="F2558" t="s">
        <v>7417</v>
      </c>
      <c r="G2558" t="s">
        <v>7417</v>
      </c>
      <c r="H2558">
        <v>65</v>
      </c>
    </row>
    <row r="2559" spans="1:8" x14ac:dyDescent="0.25">
      <c r="A2559" t="s">
        <v>3852</v>
      </c>
      <c r="B2559">
        <v>1</v>
      </c>
      <c r="C2559">
        <v>1</v>
      </c>
      <c r="D2559">
        <v>1</v>
      </c>
      <c r="E2559" t="s">
        <v>7418</v>
      </c>
      <c r="F2559" t="s">
        <v>7418</v>
      </c>
      <c r="G2559" t="s">
        <v>7418</v>
      </c>
      <c r="H2559">
        <v>5</v>
      </c>
    </row>
    <row r="2560" spans="1:8" x14ac:dyDescent="0.25">
      <c r="A2560" t="s">
        <v>3532</v>
      </c>
      <c r="B2560">
        <v>1</v>
      </c>
      <c r="C2560">
        <v>1</v>
      </c>
      <c r="D2560">
        <v>1</v>
      </c>
      <c r="E2560" t="s">
        <v>7417</v>
      </c>
      <c r="F2560" t="s">
        <v>7417</v>
      </c>
      <c r="G2560" t="s">
        <v>7417</v>
      </c>
      <c r="H2560">
        <v>9</v>
      </c>
    </row>
    <row r="2561" spans="1:8" x14ac:dyDescent="0.25">
      <c r="A2561" t="s">
        <v>2137</v>
      </c>
      <c r="B2561">
        <v>2</v>
      </c>
      <c r="C2561">
        <v>2</v>
      </c>
      <c r="D2561">
        <v>2</v>
      </c>
      <c r="E2561" t="s">
        <v>7419</v>
      </c>
      <c r="F2561" t="s">
        <v>7419</v>
      </c>
      <c r="G2561" t="s">
        <v>4256</v>
      </c>
      <c r="H2561">
        <v>78</v>
      </c>
    </row>
    <row r="2562" spans="1:8" x14ac:dyDescent="0.25">
      <c r="A2562" t="s">
        <v>2918</v>
      </c>
      <c r="B2562">
        <v>1</v>
      </c>
      <c r="C2562">
        <v>1</v>
      </c>
      <c r="D2562">
        <v>1</v>
      </c>
      <c r="E2562" t="s">
        <v>7420</v>
      </c>
      <c r="F2562" t="s">
        <v>7420</v>
      </c>
      <c r="G2562" t="s">
        <v>7420</v>
      </c>
      <c r="H2562">
        <v>30</v>
      </c>
    </row>
    <row r="2563" spans="1:8" x14ac:dyDescent="0.25">
      <c r="A2563" t="s">
        <v>3338</v>
      </c>
      <c r="B2563">
        <v>1</v>
      </c>
      <c r="C2563">
        <v>1</v>
      </c>
      <c r="D2563">
        <v>1</v>
      </c>
      <c r="E2563" t="s">
        <v>7421</v>
      </c>
      <c r="F2563" t="s">
        <v>7421</v>
      </c>
      <c r="G2563" t="s">
        <v>7421</v>
      </c>
      <c r="H2563">
        <v>8</v>
      </c>
    </row>
    <row r="2564" spans="1:8" x14ac:dyDescent="0.25">
      <c r="A2564" t="s">
        <v>3592</v>
      </c>
      <c r="B2564">
        <v>1</v>
      </c>
      <c r="C2564">
        <v>1</v>
      </c>
      <c r="D2564">
        <v>1</v>
      </c>
      <c r="E2564" t="s">
        <v>7422</v>
      </c>
      <c r="F2564" t="s">
        <v>7422</v>
      </c>
      <c r="G2564" t="s">
        <v>7422</v>
      </c>
      <c r="H2564">
        <v>2</v>
      </c>
    </row>
    <row r="2565" spans="1:8" x14ac:dyDescent="0.25">
      <c r="A2565" t="s">
        <v>3696</v>
      </c>
      <c r="B2565">
        <v>3</v>
      </c>
      <c r="C2565">
        <v>3</v>
      </c>
      <c r="D2565">
        <v>3</v>
      </c>
      <c r="E2565" t="s">
        <v>7423</v>
      </c>
      <c r="F2565" t="s">
        <v>7423</v>
      </c>
      <c r="G2565" t="s">
        <v>4256</v>
      </c>
      <c r="H2565">
        <v>3</v>
      </c>
    </row>
    <row r="2566" spans="1:8" x14ac:dyDescent="0.25">
      <c r="A2566" t="s">
        <v>3819</v>
      </c>
      <c r="B2566">
        <v>2</v>
      </c>
      <c r="C2566">
        <v>2</v>
      </c>
      <c r="D2566">
        <v>2</v>
      </c>
      <c r="E2566" t="s">
        <v>7424</v>
      </c>
      <c r="F2566" t="s">
        <v>7424</v>
      </c>
      <c r="G2566" t="s">
        <v>4256</v>
      </c>
      <c r="H2566">
        <v>5</v>
      </c>
    </row>
    <row r="2567" spans="1:8" x14ac:dyDescent="0.25">
      <c r="A2567" t="s">
        <v>3139</v>
      </c>
      <c r="B2567">
        <v>1</v>
      </c>
      <c r="C2567">
        <v>1</v>
      </c>
      <c r="D2567">
        <v>1</v>
      </c>
      <c r="E2567" t="s">
        <v>7425</v>
      </c>
      <c r="F2567" t="s">
        <v>7425</v>
      </c>
      <c r="G2567" t="s">
        <v>7425</v>
      </c>
      <c r="H2567">
        <v>20</v>
      </c>
    </row>
    <row r="2568" spans="1:8" x14ac:dyDescent="0.25">
      <c r="A2568" t="s">
        <v>3140</v>
      </c>
      <c r="B2568">
        <v>2</v>
      </c>
      <c r="C2568">
        <v>2</v>
      </c>
      <c r="D2568">
        <v>2</v>
      </c>
      <c r="E2568" t="s">
        <v>7426</v>
      </c>
      <c r="F2568" t="s">
        <v>7426</v>
      </c>
      <c r="G2568" t="s">
        <v>4256</v>
      </c>
      <c r="H2568">
        <v>32</v>
      </c>
    </row>
    <row r="2569" spans="1:8" x14ac:dyDescent="0.25">
      <c r="A2569" t="s">
        <v>3317</v>
      </c>
      <c r="B2569">
        <v>1</v>
      </c>
      <c r="C2569">
        <v>1</v>
      </c>
      <c r="D2569">
        <v>1</v>
      </c>
      <c r="E2569" t="s">
        <v>7427</v>
      </c>
      <c r="F2569" t="s">
        <v>7427</v>
      </c>
      <c r="G2569" t="s">
        <v>7427</v>
      </c>
      <c r="H2569">
        <v>8</v>
      </c>
    </row>
    <row r="2570" spans="1:8" x14ac:dyDescent="0.25">
      <c r="A2570" t="s">
        <v>7428</v>
      </c>
      <c r="B2570">
        <v>0</v>
      </c>
      <c r="C2570">
        <v>0</v>
      </c>
      <c r="D2570">
        <v>0</v>
      </c>
      <c r="G2570" t="s">
        <v>4256</v>
      </c>
      <c r="H2570">
        <v>1</v>
      </c>
    </row>
    <row r="2571" spans="1:8" x14ac:dyDescent="0.25">
      <c r="A2571" t="s">
        <v>7429</v>
      </c>
      <c r="B2571">
        <v>0</v>
      </c>
      <c r="C2571">
        <v>0</v>
      </c>
      <c r="D2571">
        <v>0</v>
      </c>
      <c r="G2571" t="s">
        <v>4256</v>
      </c>
      <c r="H2571">
        <v>1</v>
      </c>
    </row>
    <row r="2572" spans="1:8" x14ac:dyDescent="0.25">
      <c r="A2572" t="s">
        <v>4039</v>
      </c>
      <c r="B2572">
        <v>1</v>
      </c>
      <c r="C2572">
        <v>1</v>
      </c>
      <c r="D2572">
        <v>1</v>
      </c>
      <c r="E2572" t="s">
        <v>7430</v>
      </c>
      <c r="F2572" t="s">
        <v>7430</v>
      </c>
      <c r="G2572" t="s">
        <v>7430</v>
      </c>
      <c r="H2572">
        <v>1</v>
      </c>
    </row>
    <row r="2573" spans="1:8" x14ac:dyDescent="0.25">
      <c r="A2573" t="s">
        <v>3905</v>
      </c>
      <c r="B2573">
        <v>2</v>
      </c>
      <c r="C2573">
        <v>2</v>
      </c>
      <c r="D2573">
        <v>2</v>
      </c>
      <c r="E2573" t="s">
        <v>7431</v>
      </c>
      <c r="F2573" t="s">
        <v>7431</v>
      </c>
      <c r="G2573" t="s">
        <v>4256</v>
      </c>
      <c r="H2573">
        <v>2</v>
      </c>
    </row>
    <row r="2574" spans="1:8" x14ac:dyDescent="0.25">
      <c r="A2574" t="s">
        <v>3207</v>
      </c>
      <c r="B2574">
        <v>2</v>
      </c>
      <c r="C2574">
        <v>2</v>
      </c>
      <c r="D2574">
        <v>2</v>
      </c>
      <c r="E2574" t="s">
        <v>7432</v>
      </c>
      <c r="F2574" t="s">
        <v>7432</v>
      </c>
      <c r="G2574" t="s">
        <v>4256</v>
      </c>
      <c r="H2574">
        <v>24</v>
      </c>
    </row>
    <row r="2575" spans="1:8" x14ac:dyDescent="0.25">
      <c r="A2575" t="s">
        <v>3658</v>
      </c>
      <c r="B2575">
        <v>1</v>
      </c>
      <c r="C2575">
        <v>1</v>
      </c>
      <c r="D2575">
        <v>1</v>
      </c>
      <c r="E2575" t="s">
        <v>7433</v>
      </c>
      <c r="F2575" t="s">
        <v>7433</v>
      </c>
      <c r="G2575" t="s">
        <v>7433</v>
      </c>
      <c r="H2575">
        <v>3</v>
      </c>
    </row>
    <row r="2576" spans="1:8" x14ac:dyDescent="0.25">
      <c r="A2576" t="s">
        <v>3659</v>
      </c>
      <c r="B2576">
        <v>1</v>
      </c>
      <c r="C2576">
        <v>1</v>
      </c>
      <c r="D2576">
        <v>1</v>
      </c>
      <c r="E2576" t="s">
        <v>7434</v>
      </c>
      <c r="F2576" t="s">
        <v>7434</v>
      </c>
      <c r="G2576" t="s">
        <v>7434</v>
      </c>
      <c r="H2576">
        <v>2</v>
      </c>
    </row>
    <row r="2577" spans="1:8" x14ac:dyDescent="0.25">
      <c r="A2577" t="s">
        <v>3513</v>
      </c>
      <c r="B2577">
        <v>1</v>
      </c>
      <c r="C2577">
        <v>1</v>
      </c>
      <c r="D2577">
        <v>1</v>
      </c>
      <c r="E2577" t="s">
        <v>7435</v>
      </c>
      <c r="F2577" t="s">
        <v>7436</v>
      </c>
      <c r="G2577" t="s">
        <v>7436</v>
      </c>
      <c r="H2577">
        <v>4</v>
      </c>
    </row>
    <row r="2578" spans="1:8" x14ac:dyDescent="0.25">
      <c r="A2578" t="s">
        <v>3633</v>
      </c>
      <c r="B2578">
        <v>1</v>
      </c>
      <c r="C2578">
        <v>1</v>
      </c>
      <c r="D2578">
        <v>1</v>
      </c>
      <c r="E2578" t="s">
        <v>7434</v>
      </c>
      <c r="F2578" t="s">
        <v>7434</v>
      </c>
      <c r="G2578" t="s">
        <v>7434</v>
      </c>
      <c r="H2578">
        <v>3</v>
      </c>
    </row>
    <row r="2579" spans="1:8" x14ac:dyDescent="0.25">
      <c r="A2579" t="s">
        <v>2656</v>
      </c>
      <c r="B2579">
        <v>1</v>
      </c>
      <c r="C2579">
        <v>1</v>
      </c>
      <c r="D2579">
        <v>1</v>
      </c>
      <c r="E2579" t="s">
        <v>7437</v>
      </c>
      <c r="F2579" t="s">
        <v>7437</v>
      </c>
      <c r="G2579" t="s">
        <v>7437</v>
      </c>
      <c r="H2579">
        <v>71</v>
      </c>
    </row>
    <row r="2580" spans="1:8" x14ac:dyDescent="0.25">
      <c r="A2580" t="s">
        <v>3161</v>
      </c>
      <c r="B2580">
        <v>1</v>
      </c>
      <c r="C2580">
        <v>1</v>
      </c>
      <c r="D2580">
        <v>1</v>
      </c>
      <c r="E2580" t="s">
        <v>7438</v>
      </c>
      <c r="F2580" t="s">
        <v>7439</v>
      </c>
      <c r="G2580" t="s">
        <v>7439</v>
      </c>
      <c r="H2580">
        <v>15</v>
      </c>
    </row>
    <row r="2581" spans="1:8" x14ac:dyDescent="0.25">
      <c r="A2581" t="s">
        <v>2644</v>
      </c>
      <c r="B2581">
        <v>1</v>
      </c>
      <c r="C2581">
        <v>1</v>
      </c>
      <c r="D2581">
        <v>1</v>
      </c>
      <c r="E2581" t="s">
        <v>7440</v>
      </c>
      <c r="F2581" t="s">
        <v>7440</v>
      </c>
      <c r="G2581" t="s">
        <v>7440</v>
      </c>
      <c r="H2581">
        <v>20</v>
      </c>
    </row>
    <row r="2582" spans="1:8" x14ac:dyDescent="0.25">
      <c r="A2582" t="s">
        <v>3539</v>
      </c>
      <c r="B2582">
        <v>1</v>
      </c>
      <c r="C2582">
        <v>1</v>
      </c>
      <c r="D2582">
        <v>1</v>
      </c>
      <c r="E2582" t="s">
        <v>7441</v>
      </c>
      <c r="F2582" t="s">
        <v>7441</v>
      </c>
      <c r="G2582" t="s">
        <v>7441</v>
      </c>
      <c r="H2582">
        <v>11</v>
      </c>
    </row>
    <row r="2583" spans="1:8" x14ac:dyDescent="0.25">
      <c r="A2583" t="s">
        <v>2807</v>
      </c>
      <c r="B2583">
        <v>1</v>
      </c>
      <c r="C2583">
        <v>1</v>
      </c>
      <c r="D2583">
        <v>1</v>
      </c>
      <c r="E2583" t="s">
        <v>7442</v>
      </c>
      <c r="F2583" t="s">
        <v>7442</v>
      </c>
      <c r="G2583" t="s">
        <v>7442</v>
      </c>
      <c r="H2583">
        <v>44</v>
      </c>
    </row>
    <row r="2584" spans="1:8" x14ac:dyDescent="0.25">
      <c r="A2584" t="s">
        <v>2730</v>
      </c>
      <c r="B2584">
        <v>1</v>
      </c>
      <c r="C2584">
        <v>1</v>
      </c>
      <c r="D2584">
        <v>1</v>
      </c>
      <c r="E2584" t="s">
        <v>7443</v>
      </c>
      <c r="F2584" t="s">
        <v>7444</v>
      </c>
      <c r="G2584" t="s">
        <v>7444</v>
      </c>
      <c r="H2584">
        <v>50</v>
      </c>
    </row>
    <row r="2585" spans="1:8" x14ac:dyDescent="0.25">
      <c r="A2585" t="s">
        <v>2622</v>
      </c>
      <c r="B2585">
        <v>2</v>
      </c>
      <c r="C2585">
        <v>2</v>
      </c>
      <c r="D2585">
        <v>2</v>
      </c>
      <c r="E2585" t="s">
        <v>7445</v>
      </c>
      <c r="F2585" t="s">
        <v>7446</v>
      </c>
      <c r="G2585" t="s">
        <v>4256</v>
      </c>
      <c r="H2585">
        <v>62</v>
      </c>
    </row>
    <row r="2586" spans="1:8" x14ac:dyDescent="0.25">
      <c r="A2586" t="s">
        <v>3311</v>
      </c>
      <c r="B2586">
        <v>1</v>
      </c>
      <c r="C2586">
        <v>1</v>
      </c>
      <c r="D2586">
        <v>1</v>
      </c>
      <c r="E2586" t="s">
        <v>7447</v>
      </c>
      <c r="F2586" t="s">
        <v>7447</v>
      </c>
      <c r="G2586" t="s">
        <v>7447</v>
      </c>
      <c r="H2586">
        <v>30</v>
      </c>
    </row>
    <row r="2587" spans="1:8" x14ac:dyDescent="0.25">
      <c r="A2587" t="s">
        <v>3255</v>
      </c>
      <c r="B2587">
        <v>2</v>
      </c>
      <c r="C2587">
        <v>2</v>
      </c>
      <c r="D2587">
        <v>2</v>
      </c>
      <c r="E2587" t="s">
        <v>7448</v>
      </c>
      <c r="F2587" t="s">
        <v>7448</v>
      </c>
      <c r="G2587" t="s">
        <v>4256</v>
      </c>
      <c r="H2587">
        <v>33</v>
      </c>
    </row>
    <row r="2588" spans="1:8" x14ac:dyDescent="0.25">
      <c r="A2588" t="s">
        <v>3134</v>
      </c>
      <c r="B2588">
        <v>1</v>
      </c>
      <c r="C2588">
        <v>1</v>
      </c>
      <c r="D2588">
        <v>1</v>
      </c>
      <c r="E2588" t="s">
        <v>7449</v>
      </c>
      <c r="F2588" t="s">
        <v>7449</v>
      </c>
      <c r="G2588" t="s">
        <v>7449</v>
      </c>
      <c r="H2588">
        <v>21</v>
      </c>
    </row>
    <row r="2589" spans="1:8" x14ac:dyDescent="0.25">
      <c r="A2589" t="s">
        <v>3148</v>
      </c>
      <c r="B2589">
        <v>1</v>
      </c>
      <c r="C2589">
        <v>1</v>
      </c>
      <c r="D2589">
        <v>1</v>
      </c>
      <c r="E2589" t="s">
        <v>7450</v>
      </c>
      <c r="F2589" t="s">
        <v>7450</v>
      </c>
      <c r="G2589" t="s">
        <v>7450</v>
      </c>
      <c r="H2589">
        <v>16</v>
      </c>
    </row>
    <row r="2590" spans="1:8" x14ac:dyDescent="0.25">
      <c r="A2590" t="s">
        <v>3043</v>
      </c>
      <c r="B2590">
        <v>1</v>
      </c>
      <c r="C2590">
        <v>1</v>
      </c>
      <c r="D2590">
        <v>1</v>
      </c>
      <c r="E2590" t="s">
        <v>7451</v>
      </c>
      <c r="F2590" t="s">
        <v>7451</v>
      </c>
      <c r="G2590" t="s">
        <v>7451</v>
      </c>
      <c r="H2590">
        <v>24</v>
      </c>
    </row>
    <row r="2591" spans="1:8" x14ac:dyDescent="0.25">
      <c r="A2591" t="s">
        <v>3028</v>
      </c>
      <c r="B2591">
        <v>1</v>
      </c>
      <c r="C2591">
        <v>1</v>
      </c>
      <c r="D2591">
        <v>1</v>
      </c>
      <c r="E2591" t="s">
        <v>7452</v>
      </c>
      <c r="F2591" t="s">
        <v>7452</v>
      </c>
      <c r="G2591" t="s">
        <v>7452</v>
      </c>
      <c r="H2591">
        <v>11</v>
      </c>
    </row>
    <row r="2592" spans="1:8" x14ac:dyDescent="0.25">
      <c r="A2592" t="s">
        <v>2074</v>
      </c>
      <c r="B2592">
        <v>2</v>
      </c>
      <c r="C2592">
        <v>2</v>
      </c>
      <c r="D2592">
        <v>2</v>
      </c>
      <c r="E2592" t="s">
        <v>7453</v>
      </c>
      <c r="F2592" t="s">
        <v>7453</v>
      </c>
      <c r="G2592" t="s">
        <v>4256</v>
      </c>
      <c r="H2592">
        <v>65</v>
      </c>
    </row>
    <row r="2593" spans="1:8" x14ac:dyDescent="0.25">
      <c r="A2593" t="s">
        <v>1438</v>
      </c>
      <c r="B2593">
        <v>1</v>
      </c>
      <c r="C2593">
        <v>1</v>
      </c>
      <c r="D2593">
        <v>1</v>
      </c>
      <c r="E2593" t="s">
        <v>7454</v>
      </c>
      <c r="F2593" t="s">
        <v>7454</v>
      </c>
      <c r="G2593" t="s">
        <v>7454</v>
      </c>
      <c r="H2593">
        <v>79</v>
      </c>
    </row>
    <row r="2594" spans="1:8" x14ac:dyDescent="0.25">
      <c r="A2594" t="s">
        <v>3195</v>
      </c>
      <c r="B2594">
        <v>1</v>
      </c>
      <c r="C2594">
        <v>1</v>
      </c>
      <c r="D2594">
        <v>1</v>
      </c>
      <c r="E2594" t="s">
        <v>7455</v>
      </c>
      <c r="F2594" t="s">
        <v>7455</v>
      </c>
      <c r="G2594" t="s">
        <v>7455</v>
      </c>
      <c r="H2594">
        <v>22</v>
      </c>
    </row>
    <row r="2595" spans="1:8" x14ac:dyDescent="0.25">
      <c r="A2595" t="s">
        <v>7456</v>
      </c>
      <c r="B2595">
        <v>0</v>
      </c>
      <c r="C2595">
        <v>0</v>
      </c>
      <c r="D2595">
        <v>0</v>
      </c>
      <c r="G2595" t="s">
        <v>4256</v>
      </c>
      <c r="H2595">
        <v>1</v>
      </c>
    </row>
    <row r="2596" spans="1:8" x14ac:dyDescent="0.25">
      <c r="A2596" t="s">
        <v>1351</v>
      </c>
      <c r="B2596">
        <v>1</v>
      </c>
      <c r="C2596">
        <v>1</v>
      </c>
      <c r="D2596">
        <v>1</v>
      </c>
      <c r="E2596" t="s">
        <v>7457</v>
      </c>
      <c r="F2596" t="s">
        <v>7457</v>
      </c>
      <c r="G2596" t="s">
        <v>7457</v>
      </c>
      <c r="H2596">
        <v>136</v>
      </c>
    </row>
    <row r="2597" spans="1:8" x14ac:dyDescent="0.25">
      <c r="A2597" t="s">
        <v>2544</v>
      </c>
      <c r="B2597">
        <v>3</v>
      </c>
      <c r="C2597">
        <v>3</v>
      </c>
      <c r="D2597">
        <v>3</v>
      </c>
      <c r="E2597" t="s">
        <v>7458</v>
      </c>
      <c r="F2597" t="s">
        <v>7458</v>
      </c>
      <c r="G2597" t="s">
        <v>4256</v>
      </c>
      <c r="H2597">
        <v>60</v>
      </c>
    </row>
    <row r="2598" spans="1:8" x14ac:dyDescent="0.25">
      <c r="A2598" t="s">
        <v>2539</v>
      </c>
      <c r="B2598">
        <v>1</v>
      </c>
      <c r="C2598">
        <v>1</v>
      </c>
      <c r="D2598">
        <v>1</v>
      </c>
      <c r="E2598" t="s">
        <v>7459</v>
      </c>
      <c r="F2598" t="s">
        <v>7459</v>
      </c>
      <c r="G2598" t="s">
        <v>7459</v>
      </c>
      <c r="H2598">
        <v>44</v>
      </c>
    </row>
    <row r="2599" spans="1:8" x14ac:dyDescent="0.25">
      <c r="A2599" t="s">
        <v>3835</v>
      </c>
      <c r="B2599">
        <v>1</v>
      </c>
      <c r="C2599">
        <v>1</v>
      </c>
      <c r="D2599">
        <v>1</v>
      </c>
      <c r="E2599" t="s">
        <v>7460</v>
      </c>
      <c r="F2599" t="s">
        <v>7460</v>
      </c>
      <c r="G2599" t="s">
        <v>7460</v>
      </c>
      <c r="H2599">
        <v>5</v>
      </c>
    </row>
    <row r="2600" spans="1:8" x14ac:dyDescent="0.25">
      <c r="A2600" t="s">
        <v>1003</v>
      </c>
      <c r="B2600">
        <v>1</v>
      </c>
      <c r="C2600">
        <v>1</v>
      </c>
      <c r="D2600">
        <v>1</v>
      </c>
      <c r="E2600" t="s">
        <v>7461</v>
      </c>
      <c r="F2600" t="s">
        <v>7461</v>
      </c>
      <c r="G2600" t="s">
        <v>7461</v>
      </c>
      <c r="H2600">
        <v>251</v>
      </c>
    </row>
    <row r="2601" spans="1:8" x14ac:dyDescent="0.25">
      <c r="A2601" t="s">
        <v>2481</v>
      </c>
      <c r="B2601">
        <v>1</v>
      </c>
      <c r="C2601">
        <v>1</v>
      </c>
      <c r="D2601">
        <v>1</v>
      </c>
      <c r="E2601" t="s">
        <v>7462</v>
      </c>
      <c r="F2601" t="s">
        <v>7462</v>
      </c>
      <c r="G2601" t="s">
        <v>7462</v>
      </c>
      <c r="H2601">
        <v>103</v>
      </c>
    </row>
    <row r="2602" spans="1:8" x14ac:dyDescent="0.25">
      <c r="A2602" t="s">
        <v>2272</v>
      </c>
      <c r="B2602">
        <v>4</v>
      </c>
      <c r="C2602">
        <v>4</v>
      </c>
      <c r="D2602">
        <v>4</v>
      </c>
      <c r="E2602" t="s">
        <v>7463</v>
      </c>
      <c r="F2602" t="s">
        <v>7463</v>
      </c>
      <c r="G2602" t="s">
        <v>4256</v>
      </c>
      <c r="H2602">
        <v>83</v>
      </c>
    </row>
    <row r="2603" spans="1:8" x14ac:dyDescent="0.25">
      <c r="A2603" t="s">
        <v>3834</v>
      </c>
      <c r="B2603">
        <v>1</v>
      </c>
      <c r="C2603">
        <v>1</v>
      </c>
      <c r="D2603">
        <v>1</v>
      </c>
      <c r="E2603" t="s">
        <v>7464</v>
      </c>
      <c r="F2603" t="s">
        <v>7464</v>
      </c>
      <c r="G2603" t="s">
        <v>7464</v>
      </c>
      <c r="H2603">
        <v>5</v>
      </c>
    </row>
    <row r="2604" spans="1:8" x14ac:dyDescent="0.25">
      <c r="A2604" t="s">
        <v>2741</v>
      </c>
      <c r="B2604">
        <v>1</v>
      </c>
      <c r="C2604">
        <v>1</v>
      </c>
      <c r="D2604">
        <v>1</v>
      </c>
      <c r="E2604" t="s">
        <v>7465</v>
      </c>
      <c r="F2604" t="s">
        <v>7465</v>
      </c>
      <c r="G2604" t="s">
        <v>7465</v>
      </c>
      <c r="H2604">
        <v>67</v>
      </c>
    </row>
    <row r="2605" spans="1:8" x14ac:dyDescent="0.25">
      <c r="A2605" t="s">
        <v>3233</v>
      </c>
      <c r="B2605">
        <v>3</v>
      </c>
      <c r="C2605">
        <v>3</v>
      </c>
      <c r="D2605">
        <v>3</v>
      </c>
      <c r="E2605" t="s">
        <v>7466</v>
      </c>
      <c r="F2605" t="s">
        <v>7466</v>
      </c>
      <c r="G2605" t="s">
        <v>4256</v>
      </c>
      <c r="H2605">
        <v>21</v>
      </c>
    </row>
    <row r="2606" spans="1:8" x14ac:dyDescent="0.25">
      <c r="A2606" t="s">
        <v>7467</v>
      </c>
      <c r="B2606">
        <v>0</v>
      </c>
      <c r="C2606">
        <v>0</v>
      </c>
      <c r="D2606">
        <v>0</v>
      </c>
      <c r="G2606" t="s">
        <v>4256</v>
      </c>
      <c r="H2606">
        <v>1</v>
      </c>
    </row>
    <row r="2607" spans="1:8" x14ac:dyDescent="0.25">
      <c r="A2607" t="s">
        <v>374</v>
      </c>
      <c r="B2607">
        <v>1</v>
      </c>
      <c r="C2607">
        <v>1</v>
      </c>
      <c r="D2607">
        <v>1</v>
      </c>
      <c r="E2607" t="s">
        <v>7468</v>
      </c>
      <c r="F2607" t="s">
        <v>7468</v>
      </c>
      <c r="G2607" t="s">
        <v>7468</v>
      </c>
      <c r="H2607">
        <v>477</v>
      </c>
    </row>
    <row r="2608" spans="1:8" x14ac:dyDescent="0.25">
      <c r="A2608" t="s">
        <v>2194</v>
      </c>
      <c r="B2608">
        <v>1</v>
      </c>
      <c r="C2608">
        <v>1</v>
      </c>
      <c r="D2608">
        <v>1</v>
      </c>
      <c r="E2608" t="s">
        <v>7469</v>
      </c>
      <c r="F2608" t="s">
        <v>7469</v>
      </c>
      <c r="G2608" t="s">
        <v>7469</v>
      </c>
      <c r="H2608">
        <v>93</v>
      </c>
    </row>
    <row r="2609" spans="1:8" x14ac:dyDescent="0.25">
      <c r="A2609" t="s">
        <v>3088</v>
      </c>
      <c r="B2609">
        <v>2</v>
      </c>
      <c r="C2609">
        <v>2</v>
      </c>
      <c r="D2609">
        <v>2</v>
      </c>
      <c r="E2609" t="s">
        <v>7470</v>
      </c>
      <c r="F2609" t="s">
        <v>7470</v>
      </c>
      <c r="G2609" t="s">
        <v>4256</v>
      </c>
      <c r="H2609">
        <v>19</v>
      </c>
    </row>
    <row r="2610" spans="1:8" x14ac:dyDescent="0.25">
      <c r="A2610" t="s">
        <v>7471</v>
      </c>
      <c r="B2610">
        <v>0</v>
      </c>
      <c r="C2610">
        <v>0</v>
      </c>
      <c r="D2610">
        <v>0</v>
      </c>
      <c r="G2610" t="s">
        <v>4256</v>
      </c>
      <c r="H2610">
        <v>1</v>
      </c>
    </row>
    <row r="2611" spans="1:8" x14ac:dyDescent="0.25">
      <c r="A2611" t="s">
        <v>1899</v>
      </c>
      <c r="B2611">
        <v>4</v>
      </c>
      <c r="C2611">
        <v>4</v>
      </c>
      <c r="D2611">
        <v>4</v>
      </c>
      <c r="E2611" t="s">
        <v>7472</v>
      </c>
      <c r="F2611" t="s">
        <v>7472</v>
      </c>
      <c r="G2611" t="s">
        <v>4256</v>
      </c>
      <c r="H2611">
        <v>90</v>
      </c>
    </row>
    <row r="2612" spans="1:8" x14ac:dyDescent="0.25">
      <c r="A2612" t="s">
        <v>4004</v>
      </c>
      <c r="B2612">
        <v>1</v>
      </c>
      <c r="C2612">
        <v>1</v>
      </c>
      <c r="D2612">
        <v>1</v>
      </c>
      <c r="E2612" t="s">
        <v>7473</v>
      </c>
      <c r="F2612" t="s">
        <v>7473</v>
      </c>
      <c r="G2612" t="s">
        <v>7473</v>
      </c>
      <c r="H2612">
        <v>1</v>
      </c>
    </row>
    <row r="2613" spans="1:8" x14ac:dyDescent="0.25">
      <c r="A2613" t="s">
        <v>3084</v>
      </c>
      <c r="B2613">
        <v>1</v>
      </c>
      <c r="C2613">
        <v>1</v>
      </c>
      <c r="D2613">
        <v>1</v>
      </c>
      <c r="E2613" t="s">
        <v>7474</v>
      </c>
      <c r="F2613" t="s">
        <v>7475</v>
      </c>
      <c r="G2613" t="s">
        <v>7475</v>
      </c>
      <c r="H2613">
        <v>20</v>
      </c>
    </row>
    <row r="2614" spans="1:8" x14ac:dyDescent="0.25">
      <c r="A2614" t="s">
        <v>1318</v>
      </c>
      <c r="B2614">
        <v>2</v>
      </c>
      <c r="C2614">
        <v>2</v>
      </c>
      <c r="D2614">
        <v>2</v>
      </c>
      <c r="E2614" t="s">
        <v>7476</v>
      </c>
      <c r="F2614" t="s">
        <v>7476</v>
      </c>
      <c r="G2614" t="s">
        <v>4256</v>
      </c>
      <c r="H2614">
        <v>139</v>
      </c>
    </row>
    <row r="2615" spans="1:8" x14ac:dyDescent="0.25">
      <c r="A2615" t="s">
        <v>1434</v>
      </c>
      <c r="B2615">
        <v>1</v>
      </c>
      <c r="C2615">
        <v>1</v>
      </c>
      <c r="D2615">
        <v>1</v>
      </c>
      <c r="E2615" t="s">
        <v>7477</v>
      </c>
      <c r="F2615" t="s">
        <v>7477</v>
      </c>
      <c r="G2615" t="s">
        <v>7477</v>
      </c>
      <c r="H2615">
        <v>115</v>
      </c>
    </row>
    <row r="2616" spans="1:8" x14ac:dyDescent="0.25">
      <c r="A2616" t="s">
        <v>3077</v>
      </c>
      <c r="B2616">
        <v>2</v>
      </c>
      <c r="C2616">
        <v>2</v>
      </c>
      <c r="D2616">
        <v>2</v>
      </c>
      <c r="E2616" t="s">
        <v>7478</v>
      </c>
      <c r="F2616" t="s">
        <v>7479</v>
      </c>
      <c r="G2616" t="s">
        <v>4256</v>
      </c>
      <c r="H2616">
        <v>14</v>
      </c>
    </row>
    <row r="2617" spans="1:8" x14ac:dyDescent="0.25">
      <c r="A2617" t="s">
        <v>3855</v>
      </c>
      <c r="B2617">
        <v>1</v>
      </c>
      <c r="C2617">
        <v>1</v>
      </c>
      <c r="D2617">
        <v>1</v>
      </c>
      <c r="E2617" t="s">
        <v>7480</v>
      </c>
      <c r="F2617" t="s">
        <v>7481</v>
      </c>
      <c r="G2617" t="s">
        <v>7481</v>
      </c>
      <c r="H2617">
        <v>2</v>
      </c>
    </row>
    <row r="2618" spans="1:8" x14ac:dyDescent="0.25">
      <c r="A2618" t="s">
        <v>771</v>
      </c>
      <c r="B2618">
        <v>3</v>
      </c>
      <c r="C2618">
        <v>3</v>
      </c>
      <c r="D2618">
        <v>3</v>
      </c>
      <c r="E2618" t="s">
        <v>7482</v>
      </c>
      <c r="F2618" t="s">
        <v>7482</v>
      </c>
      <c r="G2618" t="s">
        <v>4256</v>
      </c>
      <c r="H2618">
        <v>174</v>
      </c>
    </row>
    <row r="2619" spans="1:8" x14ac:dyDescent="0.25">
      <c r="A2619" t="s">
        <v>3889</v>
      </c>
      <c r="B2619">
        <v>1</v>
      </c>
      <c r="C2619">
        <v>1</v>
      </c>
      <c r="D2619">
        <v>1</v>
      </c>
      <c r="E2619" t="s">
        <v>7483</v>
      </c>
      <c r="F2619" t="s">
        <v>7483</v>
      </c>
      <c r="G2619" t="s">
        <v>7483</v>
      </c>
      <c r="H2619">
        <v>2</v>
      </c>
    </row>
    <row r="2620" spans="1:8" x14ac:dyDescent="0.25">
      <c r="A2620" t="s">
        <v>2669</v>
      </c>
      <c r="B2620">
        <v>1</v>
      </c>
      <c r="C2620">
        <v>1</v>
      </c>
      <c r="D2620">
        <v>1</v>
      </c>
      <c r="E2620" t="s">
        <v>7484</v>
      </c>
      <c r="F2620" t="s">
        <v>7484</v>
      </c>
      <c r="G2620" t="s">
        <v>7484</v>
      </c>
      <c r="H2620">
        <v>84</v>
      </c>
    </row>
    <row r="2621" spans="1:8" x14ac:dyDescent="0.25">
      <c r="A2621" t="s">
        <v>3565</v>
      </c>
      <c r="B2621">
        <v>1</v>
      </c>
      <c r="C2621">
        <v>1</v>
      </c>
      <c r="D2621">
        <v>1</v>
      </c>
      <c r="E2621" t="s">
        <v>7485</v>
      </c>
      <c r="F2621" t="s">
        <v>7485</v>
      </c>
      <c r="G2621" t="s">
        <v>7485</v>
      </c>
      <c r="H2621">
        <v>4</v>
      </c>
    </row>
    <row r="2622" spans="1:8" x14ac:dyDescent="0.25">
      <c r="A2622" t="s">
        <v>7486</v>
      </c>
      <c r="B2622">
        <v>0</v>
      </c>
      <c r="C2622">
        <v>0</v>
      </c>
      <c r="D2622">
        <v>0</v>
      </c>
      <c r="G2622" t="s">
        <v>4256</v>
      </c>
      <c r="H2622">
        <v>1</v>
      </c>
    </row>
    <row r="2623" spans="1:8" x14ac:dyDescent="0.25">
      <c r="A2623" t="s">
        <v>3314</v>
      </c>
      <c r="B2623">
        <v>1</v>
      </c>
      <c r="C2623">
        <v>1</v>
      </c>
      <c r="D2623">
        <v>1</v>
      </c>
      <c r="E2623" t="s">
        <v>7487</v>
      </c>
      <c r="F2623" t="s">
        <v>7487</v>
      </c>
      <c r="G2623" t="s">
        <v>7487</v>
      </c>
      <c r="H2623">
        <v>23</v>
      </c>
    </row>
    <row r="2624" spans="1:8" x14ac:dyDescent="0.25">
      <c r="A2624" t="s">
        <v>3818</v>
      </c>
      <c r="B2624">
        <v>1</v>
      </c>
      <c r="C2624">
        <v>1</v>
      </c>
      <c r="D2624">
        <v>1</v>
      </c>
      <c r="E2624" t="s">
        <v>7488</v>
      </c>
      <c r="F2624" t="s">
        <v>7489</v>
      </c>
      <c r="G2624" t="s">
        <v>7489</v>
      </c>
      <c r="H2624">
        <v>5</v>
      </c>
    </row>
    <row r="2625" spans="1:8" x14ac:dyDescent="0.25">
      <c r="A2625" t="s">
        <v>3472</v>
      </c>
      <c r="B2625">
        <v>1</v>
      </c>
      <c r="C2625">
        <v>1</v>
      </c>
      <c r="D2625">
        <v>1</v>
      </c>
      <c r="E2625" t="s">
        <v>7490</v>
      </c>
      <c r="F2625" t="s">
        <v>7491</v>
      </c>
      <c r="G2625" t="s">
        <v>7491</v>
      </c>
      <c r="H2625">
        <v>13</v>
      </c>
    </row>
    <row r="2626" spans="1:8" x14ac:dyDescent="0.25">
      <c r="A2626" t="s">
        <v>1205</v>
      </c>
      <c r="B2626">
        <v>1</v>
      </c>
      <c r="C2626">
        <v>1</v>
      </c>
      <c r="D2626">
        <v>1</v>
      </c>
      <c r="E2626" t="s">
        <v>7492</v>
      </c>
      <c r="F2626" t="s">
        <v>7492</v>
      </c>
      <c r="G2626" t="s">
        <v>7492</v>
      </c>
      <c r="H2626">
        <v>206</v>
      </c>
    </row>
    <row r="2627" spans="1:8" x14ac:dyDescent="0.25">
      <c r="A2627" t="s">
        <v>1539</v>
      </c>
      <c r="B2627">
        <v>1</v>
      </c>
      <c r="C2627">
        <v>1</v>
      </c>
      <c r="D2627">
        <v>1</v>
      </c>
      <c r="E2627" t="s">
        <v>7493</v>
      </c>
      <c r="F2627" t="s">
        <v>7493</v>
      </c>
      <c r="G2627" t="s">
        <v>7493</v>
      </c>
      <c r="H2627">
        <v>121</v>
      </c>
    </row>
    <row r="2628" spans="1:8" x14ac:dyDescent="0.25">
      <c r="A2628" t="s">
        <v>1108</v>
      </c>
      <c r="B2628">
        <v>1</v>
      </c>
      <c r="C2628">
        <v>1</v>
      </c>
      <c r="D2628">
        <v>1</v>
      </c>
      <c r="E2628" t="s">
        <v>7494</v>
      </c>
      <c r="F2628" t="s">
        <v>7494</v>
      </c>
      <c r="G2628" t="s">
        <v>7494</v>
      </c>
      <c r="H2628">
        <v>206</v>
      </c>
    </row>
    <row r="2629" spans="1:8" x14ac:dyDescent="0.25">
      <c r="A2629" t="s">
        <v>619</v>
      </c>
      <c r="B2629">
        <v>1</v>
      </c>
      <c r="C2629">
        <v>1</v>
      </c>
      <c r="D2629">
        <v>1</v>
      </c>
      <c r="E2629" t="s">
        <v>7495</v>
      </c>
      <c r="F2629" t="s">
        <v>7495</v>
      </c>
      <c r="G2629" t="s">
        <v>7495</v>
      </c>
      <c r="H2629">
        <v>180</v>
      </c>
    </row>
    <row r="2630" spans="1:8" x14ac:dyDescent="0.25">
      <c r="A2630" t="s">
        <v>1144</v>
      </c>
      <c r="B2630">
        <v>1</v>
      </c>
      <c r="C2630">
        <v>1</v>
      </c>
      <c r="D2630">
        <v>1</v>
      </c>
      <c r="E2630" t="s">
        <v>7496</v>
      </c>
      <c r="F2630" t="s">
        <v>7496</v>
      </c>
      <c r="G2630" t="s">
        <v>7496</v>
      </c>
      <c r="H2630">
        <v>151</v>
      </c>
    </row>
    <row r="2631" spans="1:8" x14ac:dyDescent="0.25">
      <c r="A2631" t="s">
        <v>4024</v>
      </c>
      <c r="B2631">
        <v>1</v>
      </c>
      <c r="C2631">
        <v>1</v>
      </c>
      <c r="D2631">
        <v>1</v>
      </c>
      <c r="E2631" t="s">
        <v>7497</v>
      </c>
      <c r="F2631" t="s">
        <v>7497</v>
      </c>
      <c r="G2631" t="s">
        <v>7497</v>
      </c>
      <c r="H2631">
        <v>3</v>
      </c>
    </row>
    <row r="2632" spans="1:8" x14ac:dyDescent="0.25">
      <c r="A2632" t="s">
        <v>3795</v>
      </c>
      <c r="B2632">
        <v>1</v>
      </c>
      <c r="C2632">
        <v>1</v>
      </c>
      <c r="D2632">
        <v>1</v>
      </c>
      <c r="E2632" t="s">
        <v>7498</v>
      </c>
      <c r="F2632" t="s">
        <v>7498</v>
      </c>
      <c r="G2632" t="s">
        <v>7498</v>
      </c>
      <c r="H2632">
        <v>12</v>
      </c>
    </row>
    <row r="2633" spans="1:8" x14ac:dyDescent="0.25">
      <c r="A2633" t="s">
        <v>3969</v>
      </c>
      <c r="B2633">
        <v>1</v>
      </c>
      <c r="C2633">
        <v>1</v>
      </c>
      <c r="D2633">
        <v>1</v>
      </c>
      <c r="E2633" t="s">
        <v>7499</v>
      </c>
      <c r="F2633" t="s">
        <v>7499</v>
      </c>
      <c r="G2633" t="s">
        <v>7499</v>
      </c>
      <c r="H2633">
        <v>4</v>
      </c>
    </row>
    <row r="2634" spans="1:8" x14ac:dyDescent="0.25">
      <c r="A2634" t="s">
        <v>3054</v>
      </c>
      <c r="B2634">
        <v>1</v>
      </c>
      <c r="C2634">
        <v>1</v>
      </c>
      <c r="D2634">
        <v>1</v>
      </c>
      <c r="E2634" t="s">
        <v>7500</v>
      </c>
      <c r="F2634" t="s">
        <v>7500</v>
      </c>
      <c r="G2634" t="s">
        <v>7500</v>
      </c>
      <c r="H2634">
        <v>20</v>
      </c>
    </row>
    <row r="2635" spans="1:8" x14ac:dyDescent="0.25">
      <c r="A2635" t="s">
        <v>3568</v>
      </c>
      <c r="B2635">
        <v>1</v>
      </c>
      <c r="C2635">
        <v>1</v>
      </c>
      <c r="D2635">
        <v>1</v>
      </c>
      <c r="E2635" t="s">
        <v>7501</v>
      </c>
      <c r="F2635" t="s">
        <v>7501</v>
      </c>
      <c r="G2635" t="s">
        <v>7501</v>
      </c>
      <c r="H2635">
        <v>16</v>
      </c>
    </row>
    <row r="2636" spans="1:8" x14ac:dyDescent="0.25">
      <c r="A2636" t="s">
        <v>3576</v>
      </c>
      <c r="B2636">
        <v>2</v>
      </c>
      <c r="C2636">
        <v>2</v>
      </c>
      <c r="D2636">
        <v>2</v>
      </c>
      <c r="E2636" t="s">
        <v>7502</v>
      </c>
      <c r="F2636" t="s">
        <v>7502</v>
      </c>
      <c r="G2636" t="s">
        <v>4256</v>
      </c>
      <c r="H2636">
        <v>4</v>
      </c>
    </row>
    <row r="2637" spans="1:8" x14ac:dyDescent="0.25">
      <c r="A2637" t="s">
        <v>3844</v>
      </c>
      <c r="B2637">
        <v>1</v>
      </c>
      <c r="C2637">
        <v>1</v>
      </c>
      <c r="D2637">
        <v>1</v>
      </c>
      <c r="E2637" t="s">
        <v>7503</v>
      </c>
      <c r="F2637" t="s">
        <v>7503</v>
      </c>
      <c r="G2637" t="s">
        <v>7503</v>
      </c>
      <c r="H2637">
        <v>3</v>
      </c>
    </row>
    <row r="2638" spans="1:8" x14ac:dyDescent="0.25">
      <c r="A2638" t="s">
        <v>2100</v>
      </c>
      <c r="B2638">
        <v>1</v>
      </c>
      <c r="C2638">
        <v>1</v>
      </c>
      <c r="D2638">
        <v>1</v>
      </c>
      <c r="E2638" t="s">
        <v>7504</v>
      </c>
      <c r="F2638" t="s">
        <v>7504</v>
      </c>
      <c r="G2638" t="s">
        <v>7504</v>
      </c>
      <c r="H2638">
        <v>44</v>
      </c>
    </row>
    <row r="2639" spans="1:8" x14ac:dyDescent="0.25">
      <c r="A2639" t="s">
        <v>2488</v>
      </c>
      <c r="B2639">
        <v>1</v>
      </c>
      <c r="C2639">
        <v>1</v>
      </c>
      <c r="D2639">
        <v>1</v>
      </c>
      <c r="E2639" t="s">
        <v>7505</v>
      </c>
      <c r="F2639" t="s">
        <v>7505</v>
      </c>
      <c r="G2639" t="s">
        <v>7505</v>
      </c>
      <c r="H2639">
        <v>29</v>
      </c>
    </row>
    <row r="2640" spans="1:8" x14ac:dyDescent="0.25">
      <c r="A2640" t="s">
        <v>7506</v>
      </c>
      <c r="B2640">
        <v>0</v>
      </c>
      <c r="C2640">
        <v>0</v>
      </c>
      <c r="D2640">
        <v>0</v>
      </c>
      <c r="G2640" t="s">
        <v>4256</v>
      </c>
      <c r="H2640">
        <v>1</v>
      </c>
    </row>
    <row r="2641" spans="1:8" x14ac:dyDescent="0.25">
      <c r="A2641" t="s">
        <v>7507</v>
      </c>
      <c r="B2641">
        <v>0</v>
      </c>
      <c r="C2641">
        <v>0</v>
      </c>
      <c r="D2641">
        <v>0</v>
      </c>
      <c r="G2641" t="s">
        <v>4256</v>
      </c>
      <c r="H2641">
        <v>1</v>
      </c>
    </row>
    <row r="2642" spans="1:8" x14ac:dyDescent="0.25">
      <c r="A2642" t="s">
        <v>7508</v>
      </c>
      <c r="B2642">
        <v>0</v>
      </c>
      <c r="C2642">
        <v>0</v>
      </c>
      <c r="D2642">
        <v>0</v>
      </c>
      <c r="G2642" t="s">
        <v>4256</v>
      </c>
      <c r="H2642">
        <v>1</v>
      </c>
    </row>
    <row r="2643" spans="1:8" x14ac:dyDescent="0.25">
      <c r="A2643" t="s">
        <v>3249</v>
      </c>
      <c r="B2643">
        <v>2</v>
      </c>
      <c r="C2643">
        <v>2</v>
      </c>
      <c r="D2643">
        <v>2</v>
      </c>
      <c r="E2643" t="s">
        <v>7509</v>
      </c>
      <c r="F2643" t="s">
        <v>7509</v>
      </c>
      <c r="G2643" t="s">
        <v>4256</v>
      </c>
      <c r="H2643">
        <v>24</v>
      </c>
    </row>
    <row r="2644" spans="1:8" x14ac:dyDescent="0.25">
      <c r="A2644" t="s">
        <v>2998</v>
      </c>
      <c r="B2644">
        <v>3</v>
      </c>
      <c r="C2644">
        <v>3</v>
      </c>
      <c r="D2644">
        <v>3</v>
      </c>
      <c r="E2644" t="s">
        <v>7510</v>
      </c>
      <c r="F2644" t="s">
        <v>7510</v>
      </c>
      <c r="G2644" t="s">
        <v>4256</v>
      </c>
      <c r="H2644">
        <v>37</v>
      </c>
    </row>
    <row r="2645" spans="1:8" x14ac:dyDescent="0.25">
      <c r="A2645" t="s">
        <v>2557</v>
      </c>
      <c r="B2645">
        <v>2</v>
      </c>
      <c r="C2645">
        <v>2</v>
      </c>
      <c r="D2645">
        <v>2</v>
      </c>
      <c r="E2645" t="s">
        <v>7511</v>
      </c>
      <c r="F2645" t="s">
        <v>7511</v>
      </c>
      <c r="G2645" t="s">
        <v>4256</v>
      </c>
      <c r="H2645">
        <v>51</v>
      </c>
    </row>
    <row r="2646" spans="1:8" x14ac:dyDescent="0.25">
      <c r="A2646" t="s">
        <v>3700</v>
      </c>
      <c r="B2646">
        <v>2</v>
      </c>
      <c r="C2646">
        <v>2</v>
      </c>
      <c r="D2646">
        <v>2</v>
      </c>
      <c r="E2646" t="s">
        <v>7512</v>
      </c>
      <c r="F2646" t="s">
        <v>7512</v>
      </c>
      <c r="G2646" t="s">
        <v>4256</v>
      </c>
      <c r="H2646">
        <v>3</v>
      </c>
    </row>
    <row r="2647" spans="1:8" x14ac:dyDescent="0.25">
      <c r="A2647" t="s">
        <v>3830</v>
      </c>
      <c r="B2647">
        <v>2</v>
      </c>
      <c r="C2647">
        <v>2</v>
      </c>
      <c r="D2647">
        <v>2</v>
      </c>
      <c r="E2647" t="s">
        <v>7513</v>
      </c>
      <c r="F2647" t="s">
        <v>7513</v>
      </c>
      <c r="G2647" t="s">
        <v>4256</v>
      </c>
      <c r="H2647">
        <v>4</v>
      </c>
    </row>
    <row r="2648" spans="1:8" x14ac:dyDescent="0.25">
      <c r="A2648" t="s">
        <v>3780</v>
      </c>
      <c r="B2648">
        <v>1</v>
      </c>
      <c r="C2648">
        <v>1</v>
      </c>
      <c r="D2648">
        <v>1</v>
      </c>
      <c r="E2648" t="s">
        <v>7514</v>
      </c>
      <c r="F2648" t="s">
        <v>7514</v>
      </c>
      <c r="G2648" t="s">
        <v>7514</v>
      </c>
      <c r="H2648">
        <v>16</v>
      </c>
    </row>
    <row r="2649" spans="1:8" x14ac:dyDescent="0.25">
      <c r="A2649" t="s">
        <v>3736</v>
      </c>
      <c r="B2649">
        <v>1</v>
      </c>
      <c r="C2649">
        <v>1</v>
      </c>
      <c r="D2649">
        <v>1</v>
      </c>
      <c r="E2649" t="s">
        <v>7515</v>
      </c>
      <c r="F2649" t="s">
        <v>7515</v>
      </c>
      <c r="G2649" t="s">
        <v>7515</v>
      </c>
      <c r="H2649">
        <v>12</v>
      </c>
    </row>
    <row r="2650" spans="1:8" x14ac:dyDescent="0.25">
      <c r="A2650" t="s">
        <v>3785</v>
      </c>
      <c r="B2650">
        <v>1</v>
      </c>
      <c r="C2650">
        <v>1</v>
      </c>
      <c r="D2650">
        <v>1</v>
      </c>
      <c r="E2650" t="s">
        <v>7516</v>
      </c>
      <c r="F2650" t="s">
        <v>7516</v>
      </c>
      <c r="G2650" t="s">
        <v>7516</v>
      </c>
      <c r="H2650">
        <v>8</v>
      </c>
    </row>
    <row r="2651" spans="1:8" x14ac:dyDescent="0.25">
      <c r="A2651" t="s">
        <v>3724</v>
      </c>
      <c r="B2651">
        <v>1</v>
      </c>
      <c r="C2651">
        <v>1</v>
      </c>
      <c r="D2651">
        <v>1</v>
      </c>
      <c r="E2651" t="s">
        <v>7517</v>
      </c>
      <c r="F2651" t="s">
        <v>7517</v>
      </c>
      <c r="G2651" t="s">
        <v>7517</v>
      </c>
      <c r="H2651">
        <v>17</v>
      </c>
    </row>
    <row r="2652" spans="1:8" x14ac:dyDescent="0.25">
      <c r="A2652" t="s">
        <v>3697</v>
      </c>
      <c r="B2652">
        <v>1</v>
      </c>
      <c r="C2652">
        <v>1</v>
      </c>
      <c r="D2652">
        <v>1</v>
      </c>
      <c r="E2652" t="s">
        <v>7518</v>
      </c>
      <c r="F2652" t="s">
        <v>7518</v>
      </c>
      <c r="G2652" t="s">
        <v>7518</v>
      </c>
      <c r="H2652">
        <v>4</v>
      </c>
    </row>
    <row r="2653" spans="1:8" x14ac:dyDescent="0.25">
      <c r="A2653" t="s">
        <v>3909</v>
      </c>
      <c r="B2653">
        <v>1</v>
      </c>
      <c r="C2653">
        <v>1</v>
      </c>
      <c r="D2653">
        <v>1</v>
      </c>
      <c r="E2653" t="s">
        <v>7519</v>
      </c>
      <c r="F2653" t="s">
        <v>7519</v>
      </c>
      <c r="G2653" t="s">
        <v>7519</v>
      </c>
      <c r="H2653">
        <v>1</v>
      </c>
    </row>
    <row r="2654" spans="1:8" x14ac:dyDescent="0.25">
      <c r="A2654" t="s">
        <v>3793</v>
      </c>
      <c r="B2654">
        <v>1</v>
      </c>
      <c r="C2654">
        <v>1</v>
      </c>
      <c r="D2654">
        <v>1</v>
      </c>
      <c r="E2654" t="s">
        <v>7520</v>
      </c>
      <c r="F2654" t="s">
        <v>7520</v>
      </c>
      <c r="G2654" t="s">
        <v>7520</v>
      </c>
      <c r="H2654">
        <v>1</v>
      </c>
    </row>
    <row r="2655" spans="1:8" x14ac:dyDescent="0.25">
      <c r="A2655" t="s">
        <v>3848</v>
      </c>
      <c r="B2655">
        <v>1</v>
      </c>
      <c r="C2655">
        <v>1</v>
      </c>
      <c r="D2655">
        <v>1</v>
      </c>
      <c r="E2655" t="s">
        <v>7521</v>
      </c>
      <c r="F2655" t="s">
        <v>7521</v>
      </c>
      <c r="G2655" t="s">
        <v>7521</v>
      </c>
      <c r="H2655">
        <v>2</v>
      </c>
    </row>
    <row r="2656" spans="1:8" x14ac:dyDescent="0.25">
      <c r="A2656" t="s">
        <v>1358</v>
      </c>
      <c r="B2656">
        <v>1</v>
      </c>
      <c r="C2656">
        <v>1</v>
      </c>
      <c r="D2656">
        <v>1</v>
      </c>
      <c r="E2656" t="s">
        <v>7522</v>
      </c>
      <c r="F2656" t="s">
        <v>7522</v>
      </c>
      <c r="G2656" t="s">
        <v>7522</v>
      </c>
      <c r="H2656">
        <v>104</v>
      </c>
    </row>
    <row r="2657" spans="1:8" x14ac:dyDescent="0.25">
      <c r="A2657" t="s">
        <v>1067</v>
      </c>
      <c r="B2657">
        <v>1</v>
      </c>
      <c r="C2657">
        <v>1</v>
      </c>
      <c r="D2657">
        <v>1</v>
      </c>
      <c r="E2657" t="s">
        <v>7523</v>
      </c>
      <c r="F2657" t="s">
        <v>7523</v>
      </c>
      <c r="G2657" t="s">
        <v>7523</v>
      </c>
      <c r="H2657">
        <v>116</v>
      </c>
    </row>
    <row r="2658" spans="1:8" x14ac:dyDescent="0.25">
      <c r="A2658" t="s">
        <v>1839</v>
      </c>
      <c r="B2658">
        <v>1</v>
      </c>
      <c r="C2658">
        <v>1</v>
      </c>
      <c r="D2658">
        <v>1</v>
      </c>
      <c r="E2658" t="s">
        <v>7524</v>
      </c>
      <c r="F2658" t="s">
        <v>7524</v>
      </c>
      <c r="G2658" t="s">
        <v>7524</v>
      </c>
      <c r="H2658">
        <v>52</v>
      </c>
    </row>
    <row r="2659" spans="1:8" x14ac:dyDescent="0.25">
      <c r="A2659" t="s">
        <v>4040</v>
      </c>
      <c r="B2659">
        <v>1</v>
      </c>
      <c r="C2659">
        <v>1</v>
      </c>
      <c r="D2659">
        <v>1</v>
      </c>
      <c r="E2659" t="s">
        <v>7525</v>
      </c>
      <c r="F2659" t="s">
        <v>7525</v>
      </c>
      <c r="G2659" t="s">
        <v>7525</v>
      </c>
      <c r="H2659">
        <v>1</v>
      </c>
    </row>
    <row r="2660" spans="1:8" x14ac:dyDescent="0.25">
      <c r="A2660" t="s">
        <v>3932</v>
      </c>
      <c r="B2660">
        <v>1</v>
      </c>
      <c r="C2660">
        <v>1</v>
      </c>
      <c r="D2660">
        <v>1</v>
      </c>
      <c r="E2660" t="s">
        <v>7526</v>
      </c>
      <c r="F2660" t="s">
        <v>7526</v>
      </c>
      <c r="G2660" t="s">
        <v>7526</v>
      </c>
      <c r="H2660">
        <v>4</v>
      </c>
    </row>
    <row r="2661" spans="1:8" x14ac:dyDescent="0.25">
      <c r="A2661" t="s">
        <v>2095</v>
      </c>
      <c r="B2661">
        <v>2</v>
      </c>
      <c r="C2661">
        <v>2</v>
      </c>
      <c r="D2661">
        <v>2</v>
      </c>
      <c r="E2661" t="s">
        <v>7527</v>
      </c>
      <c r="F2661" t="s">
        <v>7527</v>
      </c>
      <c r="G2661" t="s">
        <v>4256</v>
      </c>
      <c r="H2661">
        <v>63</v>
      </c>
    </row>
    <row r="2662" spans="1:8" x14ac:dyDescent="0.25">
      <c r="A2662" t="s">
        <v>2905</v>
      </c>
      <c r="B2662">
        <v>1</v>
      </c>
      <c r="C2662">
        <v>1</v>
      </c>
      <c r="D2662">
        <v>1</v>
      </c>
      <c r="E2662" t="s">
        <v>7528</v>
      </c>
      <c r="F2662" t="s">
        <v>7528</v>
      </c>
      <c r="G2662" t="s">
        <v>7528</v>
      </c>
      <c r="H2662">
        <v>16</v>
      </c>
    </row>
    <row r="2663" spans="1:8" x14ac:dyDescent="0.25">
      <c r="A2663" t="s">
        <v>3836</v>
      </c>
      <c r="B2663">
        <v>1</v>
      </c>
      <c r="C2663">
        <v>1</v>
      </c>
      <c r="D2663">
        <v>1</v>
      </c>
      <c r="E2663" t="s">
        <v>7529</v>
      </c>
      <c r="F2663" t="s">
        <v>7529</v>
      </c>
      <c r="G2663" t="s">
        <v>7529</v>
      </c>
      <c r="H2663">
        <v>4</v>
      </c>
    </row>
    <row r="2664" spans="1:8" x14ac:dyDescent="0.25">
      <c r="A2664" t="s">
        <v>1141</v>
      </c>
      <c r="B2664">
        <v>3</v>
      </c>
      <c r="C2664">
        <v>3</v>
      </c>
      <c r="D2664">
        <v>3</v>
      </c>
      <c r="E2664" t="s">
        <v>7530</v>
      </c>
      <c r="F2664" t="s">
        <v>7530</v>
      </c>
      <c r="G2664" t="s">
        <v>4256</v>
      </c>
      <c r="H2664">
        <v>100</v>
      </c>
    </row>
    <row r="2665" spans="1:8" x14ac:dyDescent="0.25">
      <c r="A2665" t="s">
        <v>7531</v>
      </c>
      <c r="B2665">
        <v>0</v>
      </c>
      <c r="C2665">
        <v>0</v>
      </c>
      <c r="D2665">
        <v>0</v>
      </c>
      <c r="G2665" t="s">
        <v>4256</v>
      </c>
      <c r="H2665">
        <v>1</v>
      </c>
    </row>
    <row r="2666" spans="1:8" x14ac:dyDescent="0.25">
      <c r="A2666" t="s">
        <v>3343</v>
      </c>
      <c r="B2666">
        <v>1</v>
      </c>
      <c r="C2666">
        <v>1</v>
      </c>
      <c r="D2666">
        <v>1</v>
      </c>
      <c r="E2666" t="s">
        <v>7532</v>
      </c>
      <c r="F2666" t="s">
        <v>7532</v>
      </c>
      <c r="G2666" t="s">
        <v>7532</v>
      </c>
      <c r="H2666">
        <v>7</v>
      </c>
    </row>
    <row r="2667" spans="1:8" x14ac:dyDescent="0.25">
      <c r="A2667" t="s">
        <v>3911</v>
      </c>
      <c r="B2667">
        <v>1</v>
      </c>
      <c r="C2667">
        <v>1</v>
      </c>
      <c r="D2667">
        <v>1</v>
      </c>
      <c r="E2667" t="s">
        <v>7533</v>
      </c>
      <c r="F2667" t="s">
        <v>7533</v>
      </c>
      <c r="G2667" t="s">
        <v>7533</v>
      </c>
      <c r="H2667">
        <v>4</v>
      </c>
    </row>
    <row r="2668" spans="1:8" x14ac:dyDescent="0.25">
      <c r="A2668" t="s">
        <v>3838</v>
      </c>
      <c r="B2668">
        <v>1</v>
      </c>
      <c r="C2668">
        <v>1</v>
      </c>
      <c r="D2668">
        <v>1</v>
      </c>
      <c r="E2668" t="s">
        <v>7534</v>
      </c>
      <c r="F2668" t="s">
        <v>7534</v>
      </c>
      <c r="G2668" t="s">
        <v>7534</v>
      </c>
      <c r="H2668">
        <v>6</v>
      </c>
    </row>
    <row r="2669" spans="1:8" x14ac:dyDescent="0.25">
      <c r="A2669" t="s">
        <v>3967</v>
      </c>
      <c r="B2669">
        <v>1</v>
      </c>
      <c r="C2669">
        <v>1</v>
      </c>
      <c r="D2669">
        <v>1</v>
      </c>
      <c r="E2669" t="s">
        <v>7535</v>
      </c>
      <c r="F2669" t="s">
        <v>7535</v>
      </c>
      <c r="G2669" t="s">
        <v>7535</v>
      </c>
      <c r="H2669">
        <v>5</v>
      </c>
    </row>
    <row r="2670" spans="1:8" x14ac:dyDescent="0.25">
      <c r="A2670" t="s">
        <v>3814</v>
      </c>
      <c r="B2670">
        <v>1</v>
      </c>
      <c r="C2670">
        <v>1</v>
      </c>
      <c r="D2670">
        <v>1</v>
      </c>
      <c r="E2670" t="s">
        <v>7536</v>
      </c>
      <c r="F2670" t="s">
        <v>7536</v>
      </c>
      <c r="G2670" t="s">
        <v>7536</v>
      </c>
      <c r="H2670">
        <v>5</v>
      </c>
    </row>
    <row r="2671" spans="1:8" x14ac:dyDescent="0.25">
      <c r="A2671" t="s">
        <v>3706</v>
      </c>
      <c r="B2671">
        <v>1</v>
      </c>
      <c r="C2671">
        <v>1</v>
      </c>
      <c r="D2671">
        <v>1</v>
      </c>
      <c r="E2671" t="s">
        <v>7537</v>
      </c>
      <c r="F2671" t="s">
        <v>7537</v>
      </c>
      <c r="G2671" t="s">
        <v>7537</v>
      </c>
      <c r="H2671">
        <v>10</v>
      </c>
    </row>
    <row r="2672" spans="1:8" x14ac:dyDescent="0.25">
      <c r="A2672" t="s">
        <v>3574</v>
      </c>
      <c r="B2672">
        <v>1</v>
      </c>
      <c r="C2672">
        <v>1</v>
      </c>
      <c r="D2672">
        <v>1</v>
      </c>
      <c r="E2672" t="s">
        <v>7538</v>
      </c>
      <c r="F2672" t="s">
        <v>7538</v>
      </c>
      <c r="G2672" t="s">
        <v>7538</v>
      </c>
      <c r="H2672">
        <v>2</v>
      </c>
    </row>
    <row r="2673" spans="1:8" x14ac:dyDescent="0.25">
      <c r="A2673" t="s">
        <v>2970</v>
      </c>
      <c r="B2673">
        <v>1</v>
      </c>
      <c r="C2673">
        <v>1</v>
      </c>
      <c r="D2673">
        <v>1</v>
      </c>
      <c r="E2673" t="s">
        <v>7539</v>
      </c>
      <c r="F2673" t="s">
        <v>7539</v>
      </c>
      <c r="G2673" t="s">
        <v>7539</v>
      </c>
      <c r="H2673">
        <v>38</v>
      </c>
    </row>
    <row r="2674" spans="1:8" x14ac:dyDescent="0.25">
      <c r="A2674" t="s">
        <v>2847</v>
      </c>
      <c r="B2674">
        <v>2</v>
      </c>
      <c r="C2674">
        <v>2</v>
      </c>
      <c r="D2674">
        <v>2</v>
      </c>
      <c r="E2674" t="s">
        <v>7540</v>
      </c>
      <c r="F2674" t="s">
        <v>7541</v>
      </c>
      <c r="G2674" t="s">
        <v>4256</v>
      </c>
      <c r="H2674">
        <v>16</v>
      </c>
    </row>
    <row r="2675" spans="1:8" x14ac:dyDescent="0.25">
      <c r="A2675" t="s">
        <v>3381</v>
      </c>
      <c r="B2675">
        <v>1</v>
      </c>
      <c r="C2675">
        <v>1</v>
      </c>
      <c r="D2675">
        <v>1</v>
      </c>
      <c r="E2675" t="s">
        <v>7542</v>
      </c>
      <c r="F2675" t="s">
        <v>7542</v>
      </c>
      <c r="G2675" t="s">
        <v>7542</v>
      </c>
      <c r="H2675">
        <v>9</v>
      </c>
    </row>
    <row r="2676" spans="1:8" x14ac:dyDescent="0.25">
      <c r="A2676" t="s">
        <v>3850</v>
      </c>
      <c r="B2676">
        <v>1</v>
      </c>
      <c r="C2676">
        <v>1</v>
      </c>
      <c r="D2676">
        <v>1</v>
      </c>
      <c r="E2676" t="s">
        <v>7543</v>
      </c>
      <c r="F2676" t="s">
        <v>7543</v>
      </c>
      <c r="G2676" t="s">
        <v>7543</v>
      </c>
      <c r="H2676">
        <v>1</v>
      </c>
    </row>
    <row r="2677" spans="1:8" x14ac:dyDescent="0.25">
      <c r="A2677" t="s">
        <v>3425</v>
      </c>
      <c r="B2677">
        <v>1</v>
      </c>
      <c r="C2677">
        <v>1</v>
      </c>
      <c r="D2677">
        <v>1</v>
      </c>
      <c r="E2677" t="s">
        <v>7544</v>
      </c>
      <c r="F2677" t="s">
        <v>7544</v>
      </c>
      <c r="G2677" t="s">
        <v>7544</v>
      </c>
      <c r="H2677">
        <v>3</v>
      </c>
    </row>
    <row r="2678" spans="1:8" x14ac:dyDescent="0.25">
      <c r="A2678" t="s">
        <v>3867</v>
      </c>
      <c r="B2678">
        <v>1</v>
      </c>
      <c r="C2678">
        <v>1</v>
      </c>
      <c r="D2678">
        <v>1</v>
      </c>
      <c r="E2678" t="s">
        <v>7545</v>
      </c>
      <c r="F2678" t="s">
        <v>7545</v>
      </c>
      <c r="G2678" t="s">
        <v>7545</v>
      </c>
      <c r="H2678">
        <v>3</v>
      </c>
    </row>
    <row r="2679" spans="1:8" x14ac:dyDescent="0.25">
      <c r="A2679" t="s">
        <v>3858</v>
      </c>
      <c r="B2679">
        <v>1</v>
      </c>
      <c r="C2679">
        <v>1</v>
      </c>
      <c r="D2679">
        <v>1</v>
      </c>
      <c r="E2679" t="s">
        <v>7546</v>
      </c>
      <c r="F2679" t="s">
        <v>7546</v>
      </c>
      <c r="G2679" t="s">
        <v>7546</v>
      </c>
      <c r="H2679">
        <v>2</v>
      </c>
    </row>
    <row r="2680" spans="1:8" x14ac:dyDescent="0.25">
      <c r="A2680" t="s">
        <v>1381</v>
      </c>
      <c r="B2680">
        <v>2</v>
      </c>
      <c r="C2680">
        <v>2</v>
      </c>
      <c r="D2680">
        <v>2</v>
      </c>
      <c r="E2680" t="s">
        <v>7547</v>
      </c>
      <c r="F2680" t="s">
        <v>7547</v>
      </c>
      <c r="G2680" t="s">
        <v>4256</v>
      </c>
      <c r="H2680">
        <v>145</v>
      </c>
    </row>
    <row r="2681" spans="1:8" x14ac:dyDescent="0.25">
      <c r="A2681" t="s">
        <v>3256</v>
      </c>
      <c r="B2681">
        <v>1</v>
      </c>
      <c r="C2681">
        <v>1</v>
      </c>
      <c r="D2681">
        <v>1</v>
      </c>
      <c r="E2681" t="s">
        <v>7548</v>
      </c>
      <c r="F2681" t="s">
        <v>7548</v>
      </c>
      <c r="G2681" t="s">
        <v>7548</v>
      </c>
      <c r="H2681">
        <v>6</v>
      </c>
    </row>
    <row r="2682" spans="1:8" x14ac:dyDescent="0.25">
      <c r="A2682" t="s">
        <v>2992</v>
      </c>
      <c r="B2682">
        <v>1</v>
      </c>
      <c r="C2682">
        <v>1</v>
      </c>
      <c r="D2682">
        <v>1</v>
      </c>
      <c r="E2682" t="s">
        <v>7549</v>
      </c>
      <c r="F2682" t="s">
        <v>7549</v>
      </c>
      <c r="G2682" t="s">
        <v>7549</v>
      </c>
      <c r="H2682">
        <v>38</v>
      </c>
    </row>
    <row r="2683" spans="1:8" x14ac:dyDescent="0.25">
      <c r="A2683" t="s">
        <v>1096</v>
      </c>
      <c r="B2683">
        <v>4</v>
      </c>
      <c r="C2683">
        <v>4</v>
      </c>
      <c r="D2683">
        <v>3</v>
      </c>
      <c r="E2683" t="s">
        <v>7550</v>
      </c>
      <c r="F2683" t="s">
        <v>7550</v>
      </c>
      <c r="G2683" t="s">
        <v>4256</v>
      </c>
      <c r="H2683">
        <v>196</v>
      </c>
    </row>
    <row r="2684" spans="1:8" x14ac:dyDescent="0.25">
      <c r="A2684" t="s">
        <v>3041</v>
      </c>
      <c r="B2684">
        <v>2</v>
      </c>
      <c r="C2684">
        <v>2</v>
      </c>
      <c r="D2684">
        <v>2</v>
      </c>
      <c r="E2684" t="s">
        <v>7551</v>
      </c>
      <c r="F2684" t="s">
        <v>7551</v>
      </c>
      <c r="G2684" t="s">
        <v>4256</v>
      </c>
      <c r="H2684">
        <v>27</v>
      </c>
    </row>
    <row r="2685" spans="1:8" x14ac:dyDescent="0.25">
      <c r="A2685" t="s">
        <v>7552</v>
      </c>
      <c r="B2685">
        <v>0</v>
      </c>
      <c r="C2685">
        <v>0</v>
      </c>
      <c r="D2685">
        <v>0</v>
      </c>
      <c r="G2685" t="s">
        <v>4256</v>
      </c>
      <c r="H2685">
        <v>1</v>
      </c>
    </row>
    <row r="2686" spans="1:8" x14ac:dyDescent="0.25">
      <c r="A2686" t="s">
        <v>4005</v>
      </c>
      <c r="B2686">
        <v>1</v>
      </c>
      <c r="C2686">
        <v>1</v>
      </c>
      <c r="D2686">
        <v>1</v>
      </c>
      <c r="E2686" t="s">
        <v>7553</v>
      </c>
      <c r="F2686" t="s">
        <v>7554</v>
      </c>
      <c r="G2686" t="s">
        <v>7554</v>
      </c>
      <c r="H2686">
        <v>3</v>
      </c>
    </row>
    <row r="2687" spans="1:8" x14ac:dyDescent="0.25">
      <c r="A2687" t="s">
        <v>2619</v>
      </c>
      <c r="B2687">
        <v>1</v>
      </c>
      <c r="C2687">
        <v>1</v>
      </c>
      <c r="D2687">
        <v>1</v>
      </c>
      <c r="E2687" t="s">
        <v>7555</v>
      </c>
      <c r="F2687" t="s">
        <v>7555</v>
      </c>
      <c r="G2687" t="s">
        <v>7555</v>
      </c>
      <c r="H2687">
        <v>46</v>
      </c>
    </row>
    <row r="2688" spans="1:8" x14ac:dyDescent="0.25">
      <c r="A2688" t="s">
        <v>3297</v>
      </c>
      <c r="B2688">
        <v>1</v>
      </c>
      <c r="C2688">
        <v>1</v>
      </c>
      <c r="D2688">
        <v>1</v>
      </c>
      <c r="E2688" t="s">
        <v>7556</v>
      </c>
      <c r="F2688" t="s">
        <v>7556</v>
      </c>
      <c r="G2688" t="s">
        <v>7556</v>
      </c>
      <c r="H2688">
        <v>9</v>
      </c>
    </row>
    <row r="2689" spans="1:8" x14ac:dyDescent="0.25">
      <c r="A2689" t="s">
        <v>3471</v>
      </c>
      <c r="B2689">
        <v>1</v>
      </c>
      <c r="C2689">
        <v>1</v>
      </c>
      <c r="D2689">
        <v>1</v>
      </c>
      <c r="E2689" t="s">
        <v>7557</v>
      </c>
      <c r="F2689" t="s">
        <v>7558</v>
      </c>
      <c r="G2689" t="s">
        <v>7558</v>
      </c>
      <c r="H2689">
        <v>14</v>
      </c>
    </row>
    <row r="2690" spans="1:8" x14ac:dyDescent="0.25">
      <c r="A2690" t="s">
        <v>2038</v>
      </c>
      <c r="B2690">
        <v>1</v>
      </c>
      <c r="C2690">
        <v>1</v>
      </c>
      <c r="D2690">
        <v>1</v>
      </c>
      <c r="E2690" t="s">
        <v>7559</v>
      </c>
      <c r="F2690" t="s">
        <v>7559</v>
      </c>
      <c r="G2690" t="s">
        <v>7559</v>
      </c>
      <c r="H2690">
        <v>42</v>
      </c>
    </row>
    <row r="2691" spans="1:8" x14ac:dyDescent="0.25">
      <c r="A2691" t="s">
        <v>2120</v>
      </c>
      <c r="B2691">
        <v>1</v>
      </c>
      <c r="C2691">
        <v>1</v>
      </c>
      <c r="D2691">
        <v>1</v>
      </c>
      <c r="E2691" t="s">
        <v>7560</v>
      </c>
      <c r="F2691" t="s">
        <v>7560</v>
      </c>
      <c r="G2691" t="s">
        <v>7560</v>
      </c>
      <c r="H2691">
        <v>70</v>
      </c>
    </row>
    <row r="2692" spans="1:8" x14ac:dyDescent="0.25">
      <c r="A2692" t="s">
        <v>2090</v>
      </c>
      <c r="B2692">
        <v>1</v>
      </c>
      <c r="C2692">
        <v>1</v>
      </c>
      <c r="D2692">
        <v>1</v>
      </c>
      <c r="E2692" t="s">
        <v>7561</v>
      </c>
      <c r="F2692" t="s">
        <v>7562</v>
      </c>
      <c r="G2692" t="s">
        <v>7562</v>
      </c>
      <c r="H2692">
        <v>88</v>
      </c>
    </row>
    <row r="2693" spans="1:8" x14ac:dyDescent="0.25">
      <c r="A2693" t="s">
        <v>2354</v>
      </c>
      <c r="B2693">
        <v>1</v>
      </c>
      <c r="C2693">
        <v>1</v>
      </c>
      <c r="D2693">
        <v>1</v>
      </c>
      <c r="E2693" t="s">
        <v>7563</v>
      </c>
      <c r="F2693" t="s">
        <v>7563</v>
      </c>
      <c r="G2693" t="s">
        <v>7563</v>
      </c>
      <c r="H2693">
        <v>59</v>
      </c>
    </row>
    <row r="2694" spans="1:8" x14ac:dyDescent="0.25">
      <c r="A2694" t="s">
        <v>2515</v>
      </c>
      <c r="B2694">
        <v>1</v>
      </c>
      <c r="C2694">
        <v>1</v>
      </c>
      <c r="D2694">
        <v>1</v>
      </c>
      <c r="E2694" t="s">
        <v>7564</v>
      </c>
      <c r="F2694" t="s">
        <v>7565</v>
      </c>
      <c r="G2694" t="s">
        <v>7565</v>
      </c>
      <c r="H2694">
        <v>37</v>
      </c>
    </row>
    <row r="2695" spans="1:8" x14ac:dyDescent="0.25">
      <c r="A2695" t="s">
        <v>2665</v>
      </c>
      <c r="B2695">
        <v>1</v>
      </c>
      <c r="C2695">
        <v>1</v>
      </c>
      <c r="D2695">
        <v>1</v>
      </c>
      <c r="E2695" t="s">
        <v>7566</v>
      </c>
      <c r="F2695" t="s">
        <v>7567</v>
      </c>
      <c r="G2695" t="s">
        <v>7567</v>
      </c>
      <c r="H2695">
        <v>38</v>
      </c>
    </row>
    <row r="2696" spans="1:8" x14ac:dyDescent="0.25">
      <c r="A2696" t="s">
        <v>1865</v>
      </c>
      <c r="B2696">
        <v>1</v>
      </c>
      <c r="C2696">
        <v>1</v>
      </c>
      <c r="D2696">
        <v>1</v>
      </c>
      <c r="E2696" t="s">
        <v>7568</v>
      </c>
      <c r="F2696" t="s">
        <v>7569</v>
      </c>
      <c r="G2696" t="s">
        <v>7569</v>
      </c>
      <c r="H2696">
        <v>89</v>
      </c>
    </row>
    <row r="2697" spans="1:8" x14ac:dyDescent="0.25">
      <c r="A2697" t="s">
        <v>3687</v>
      </c>
      <c r="B2697">
        <v>1</v>
      </c>
      <c r="C2697">
        <v>1</v>
      </c>
      <c r="D2697">
        <v>1</v>
      </c>
      <c r="E2697" t="s">
        <v>7560</v>
      </c>
      <c r="F2697" t="s">
        <v>7560</v>
      </c>
      <c r="G2697" t="s">
        <v>7560</v>
      </c>
      <c r="H2697">
        <v>1</v>
      </c>
    </row>
    <row r="2698" spans="1:8" x14ac:dyDescent="0.25">
      <c r="A2698" t="s">
        <v>3962</v>
      </c>
      <c r="B2698">
        <v>1</v>
      </c>
      <c r="C2698">
        <v>1</v>
      </c>
      <c r="D2698">
        <v>1</v>
      </c>
      <c r="E2698" t="s">
        <v>7561</v>
      </c>
      <c r="F2698" t="s">
        <v>7562</v>
      </c>
      <c r="G2698" t="s">
        <v>7562</v>
      </c>
      <c r="H2698">
        <v>1</v>
      </c>
    </row>
    <row r="2699" spans="1:8" x14ac:dyDescent="0.25">
      <c r="A2699" t="s">
        <v>3963</v>
      </c>
      <c r="B2699">
        <v>1</v>
      </c>
      <c r="C2699">
        <v>1</v>
      </c>
      <c r="D2699">
        <v>1</v>
      </c>
      <c r="E2699" t="s">
        <v>7566</v>
      </c>
      <c r="F2699" t="s">
        <v>7567</v>
      </c>
      <c r="G2699" t="s">
        <v>7567</v>
      </c>
      <c r="H2699">
        <v>1</v>
      </c>
    </row>
    <row r="2700" spans="1:8" x14ac:dyDescent="0.25">
      <c r="A2700" t="s">
        <v>3603</v>
      </c>
      <c r="B2700">
        <v>1</v>
      </c>
      <c r="C2700">
        <v>1</v>
      </c>
      <c r="D2700">
        <v>1</v>
      </c>
      <c r="E2700" t="s">
        <v>7568</v>
      </c>
      <c r="F2700" t="s">
        <v>7569</v>
      </c>
      <c r="G2700" t="s">
        <v>7569</v>
      </c>
      <c r="H2700">
        <v>1</v>
      </c>
    </row>
    <row r="2701" spans="1:8" x14ac:dyDescent="0.25">
      <c r="A2701" t="s">
        <v>3988</v>
      </c>
      <c r="B2701">
        <v>2</v>
      </c>
      <c r="C2701">
        <v>2</v>
      </c>
      <c r="D2701">
        <v>2</v>
      </c>
      <c r="E2701" t="s">
        <v>7570</v>
      </c>
      <c r="F2701" t="s">
        <v>7570</v>
      </c>
      <c r="G2701" t="s">
        <v>4256</v>
      </c>
      <c r="H2701">
        <v>5</v>
      </c>
    </row>
    <row r="2702" spans="1:8" x14ac:dyDescent="0.25">
      <c r="A2702" t="s">
        <v>3797</v>
      </c>
      <c r="B2702">
        <v>1</v>
      </c>
      <c r="C2702">
        <v>1</v>
      </c>
      <c r="D2702">
        <v>1</v>
      </c>
      <c r="E2702" t="s">
        <v>7571</v>
      </c>
      <c r="F2702" t="s">
        <v>7571</v>
      </c>
      <c r="G2702" t="s">
        <v>7571</v>
      </c>
      <c r="H2702">
        <v>14</v>
      </c>
    </row>
    <row r="2703" spans="1:8" x14ac:dyDescent="0.25">
      <c r="A2703" t="s">
        <v>3960</v>
      </c>
      <c r="B2703">
        <v>1</v>
      </c>
      <c r="C2703">
        <v>1</v>
      </c>
      <c r="D2703">
        <v>1</v>
      </c>
      <c r="E2703" t="s">
        <v>7572</v>
      </c>
      <c r="F2703" t="s">
        <v>7572</v>
      </c>
      <c r="G2703" t="s">
        <v>7572</v>
      </c>
      <c r="H2703">
        <v>1</v>
      </c>
    </row>
    <row r="2704" spans="1:8" x14ac:dyDescent="0.25">
      <c r="A2704" t="s">
        <v>2635</v>
      </c>
      <c r="B2704">
        <v>1</v>
      </c>
      <c r="C2704">
        <v>1</v>
      </c>
      <c r="D2704">
        <v>1</v>
      </c>
      <c r="E2704" t="s">
        <v>7573</v>
      </c>
      <c r="F2704" t="s">
        <v>7573</v>
      </c>
      <c r="G2704" t="s">
        <v>7573</v>
      </c>
      <c r="H2704">
        <v>29</v>
      </c>
    </row>
    <row r="2705" spans="1:8" x14ac:dyDescent="0.25">
      <c r="A2705" t="s">
        <v>2234</v>
      </c>
      <c r="B2705">
        <v>2</v>
      </c>
      <c r="C2705">
        <v>2</v>
      </c>
      <c r="D2705">
        <v>2</v>
      </c>
      <c r="E2705" t="s">
        <v>7574</v>
      </c>
      <c r="F2705" t="s">
        <v>7574</v>
      </c>
      <c r="G2705" t="s">
        <v>4256</v>
      </c>
      <c r="H2705">
        <v>122</v>
      </c>
    </row>
    <row r="2706" spans="1:8" x14ac:dyDescent="0.25">
      <c r="A2706" t="s">
        <v>3514</v>
      </c>
      <c r="B2706">
        <v>1</v>
      </c>
      <c r="C2706">
        <v>1</v>
      </c>
      <c r="D2706">
        <v>1</v>
      </c>
      <c r="E2706" t="s">
        <v>7575</v>
      </c>
      <c r="F2706" t="s">
        <v>7576</v>
      </c>
      <c r="G2706" t="s">
        <v>7576</v>
      </c>
      <c r="H2706">
        <v>7</v>
      </c>
    </row>
    <row r="2707" spans="1:8" x14ac:dyDescent="0.25">
      <c r="A2707" t="s">
        <v>3383</v>
      </c>
      <c r="B2707">
        <v>1</v>
      </c>
      <c r="C2707">
        <v>1</v>
      </c>
      <c r="D2707">
        <v>1</v>
      </c>
      <c r="E2707" t="s">
        <v>7577</v>
      </c>
      <c r="F2707" t="s">
        <v>7577</v>
      </c>
      <c r="G2707" t="s">
        <v>7577</v>
      </c>
      <c r="H2707">
        <v>11</v>
      </c>
    </row>
    <row r="2708" spans="1:8" x14ac:dyDescent="0.25">
      <c r="A2708" t="s">
        <v>3007</v>
      </c>
      <c r="B2708">
        <v>1</v>
      </c>
      <c r="C2708">
        <v>1</v>
      </c>
      <c r="D2708">
        <v>1</v>
      </c>
      <c r="E2708" t="s">
        <v>7578</v>
      </c>
      <c r="F2708" t="s">
        <v>7578</v>
      </c>
      <c r="G2708" t="s">
        <v>7578</v>
      </c>
      <c r="H2708">
        <v>15</v>
      </c>
    </row>
    <row r="2709" spans="1:8" x14ac:dyDescent="0.25">
      <c r="A2709" t="s">
        <v>3466</v>
      </c>
      <c r="B2709">
        <v>1</v>
      </c>
      <c r="C2709">
        <v>1</v>
      </c>
      <c r="D2709">
        <v>1</v>
      </c>
      <c r="E2709" t="s">
        <v>7579</v>
      </c>
      <c r="F2709" t="s">
        <v>7579</v>
      </c>
      <c r="G2709" t="s">
        <v>7579</v>
      </c>
      <c r="H2709">
        <v>7</v>
      </c>
    </row>
    <row r="2710" spans="1:8" x14ac:dyDescent="0.25">
      <c r="A2710" t="s">
        <v>3424</v>
      </c>
      <c r="B2710">
        <v>1</v>
      </c>
      <c r="C2710">
        <v>1</v>
      </c>
      <c r="D2710">
        <v>1</v>
      </c>
      <c r="E2710" t="s">
        <v>7580</v>
      </c>
      <c r="F2710" t="s">
        <v>7580</v>
      </c>
      <c r="G2710" t="s">
        <v>7580</v>
      </c>
      <c r="H2710">
        <v>15</v>
      </c>
    </row>
    <row r="2711" spans="1:8" x14ac:dyDescent="0.25">
      <c r="A2711" t="s">
        <v>2774</v>
      </c>
      <c r="B2711">
        <v>1</v>
      </c>
      <c r="C2711">
        <v>1</v>
      </c>
      <c r="D2711">
        <v>1</v>
      </c>
      <c r="E2711" t="s">
        <v>7581</v>
      </c>
      <c r="F2711" t="s">
        <v>7581</v>
      </c>
      <c r="G2711" t="s">
        <v>7581</v>
      </c>
      <c r="H2711">
        <v>10</v>
      </c>
    </row>
    <row r="2712" spans="1:8" x14ac:dyDescent="0.25">
      <c r="A2712" t="s">
        <v>2519</v>
      </c>
      <c r="B2712">
        <v>1</v>
      </c>
      <c r="C2712">
        <v>1</v>
      </c>
      <c r="D2712">
        <v>1</v>
      </c>
      <c r="E2712" t="s">
        <v>7582</v>
      </c>
      <c r="F2712" t="s">
        <v>7582</v>
      </c>
      <c r="G2712" t="s">
        <v>7582</v>
      </c>
      <c r="H2712">
        <v>43</v>
      </c>
    </row>
    <row r="2713" spans="1:8" x14ac:dyDescent="0.25">
      <c r="A2713" t="s">
        <v>3192</v>
      </c>
      <c r="B2713">
        <v>1</v>
      </c>
      <c r="C2713">
        <v>1</v>
      </c>
      <c r="D2713">
        <v>1</v>
      </c>
      <c r="E2713" t="s">
        <v>7583</v>
      </c>
      <c r="F2713" t="s">
        <v>7583</v>
      </c>
      <c r="G2713" t="s">
        <v>7583</v>
      </c>
      <c r="H2713">
        <v>20</v>
      </c>
    </row>
    <row r="2714" spans="1:8" x14ac:dyDescent="0.25">
      <c r="A2714" t="s">
        <v>3174</v>
      </c>
      <c r="B2714">
        <v>1</v>
      </c>
      <c r="C2714">
        <v>1</v>
      </c>
      <c r="D2714">
        <v>1</v>
      </c>
      <c r="E2714" t="s">
        <v>7584</v>
      </c>
      <c r="F2714" t="s">
        <v>7584</v>
      </c>
      <c r="G2714" t="s">
        <v>7584</v>
      </c>
      <c r="H2714">
        <v>22</v>
      </c>
    </row>
    <row r="2715" spans="1:8" x14ac:dyDescent="0.25">
      <c r="A2715" t="s">
        <v>3518</v>
      </c>
      <c r="B2715">
        <v>1</v>
      </c>
      <c r="C2715">
        <v>1</v>
      </c>
      <c r="D2715">
        <v>1</v>
      </c>
      <c r="E2715" t="s">
        <v>7585</v>
      </c>
      <c r="F2715" t="s">
        <v>7585</v>
      </c>
      <c r="G2715" t="s">
        <v>7585</v>
      </c>
      <c r="H2715">
        <v>19</v>
      </c>
    </row>
    <row r="2716" spans="1:8" x14ac:dyDescent="0.25">
      <c r="A2716" t="s">
        <v>2492</v>
      </c>
      <c r="B2716">
        <v>1</v>
      </c>
      <c r="C2716">
        <v>1</v>
      </c>
      <c r="D2716">
        <v>1</v>
      </c>
      <c r="E2716" t="s">
        <v>7586</v>
      </c>
      <c r="F2716" t="s">
        <v>7586</v>
      </c>
      <c r="G2716" t="s">
        <v>7586</v>
      </c>
      <c r="H2716">
        <v>64</v>
      </c>
    </row>
    <row r="2717" spans="1:8" x14ac:dyDescent="0.25">
      <c r="A2717" t="s">
        <v>2724</v>
      </c>
      <c r="B2717">
        <v>1</v>
      </c>
      <c r="C2717">
        <v>1</v>
      </c>
      <c r="D2717">
        <v>1</v>
      </c>
      <c r="E2717" t="s">
        <v>7587</v>
      </c>
      <c r="F2717" t="s">
        <v>7587</v>
      </c>
      <c r="G2717" t="s">
        <v>7587</v>
      </c>
      <c r="H2717">
        <v>59</v>
      </c>
    </row>
    <row r="2718" spans="1:8" x14ac:dyDescent="0.25">
      <c r="A2718" t="s">
        <v>2765</v>
      </c>
      <c r="B2718">
        <v>1</v>
      </c>
      <c r="C2718">
        <v>1</v>
      </c>
      <c r="D2718">
        <v>1</v>
      </c>
      <c r="E2718" t="s">
        <v>7588</v>
      </c>
      <c r="F2718" t="s">
        <v>7589</v>
      </c>
      <c r="G2718" t="s">
        <v>7589</v>
      </c>
      <c r="H2718">
        <v>20</v>
      </c>
    </row>
    <row r="2719" spans="1:8" x14ac:dyDescent="0.25">
      <c r="A2719" t="s">
        <v>2871</v>
      </c>
      <c r="B2719">
        <v>1</v>
      </c>
      <c r="C2719">
        <v>1</v>
      </c>
      <c r="D2719">
        <v>1</v>
      </c>
      <c r="E2719" t="s">
        <v>7590</v>
      </c>
      <c r="F2719" t="s">
        <v>7590</v>
      </c>
      <c r="G2719" t="s">
        <v>7590</v>
      </c>
      <c r="H2719">
        <v>41</v>
      </c>
    </row>
    <row r="2720" spans="1:8" x14ac:dyDescent="0.25">
      <c r="A2720" t="s">
        <v>1560</v>
      </c>
      <c r="B2720">
        <v>1</v>
      </c>
      <c r="C2720">
        <v>1</v>
      </c>
      <c r="D2720">
        <v>1</v>
      </c>
      <c r="E2720" t="s">
        <v>7591</v>
      </c>
      <c r="F2720" t="s">
        <v>7591</v>
      </c>
      <c r="G2720" t="s">
        <v>7591</v>
      </c>
      <c r="H2720">
        <v>88</v>
      </c>
    </row>
    <row r="2721" spans="1:8" x14ac:dyDescent="0.25">
      <c r="A2721" t="s">
        <v>2923</v>
      </c>
      <c r="B2721">
        <v>1</v>
      </c>
      <c r="C2721">
        <v>1</v>
      </c>
      <c r="D2721">
        <v>1</v>
      </c>
      <c r="E2721" t="s">
        <v>7592</v>
      </c>
      <c r="F2721" t="s">
        <v>7592</v>
      </c>
      <c r="G2721" t="s">
        <v>7592</v>
      </c>
      <c r="H2721">
        <v>24</v>
      </c>
    </row>
    <row r="2722" spans="1:8" x14ac:dyDescent="0.25">
      <c r="A2722" t="s">
        <v>7593</v>
      </c>
      <c r="B2722">
        <v>0</v>
      </c>
      <c r="C2722">
        <v>0</v>
      </c>
      <c r="D2722">
        <v>0</v>
      </c>
      <c r="G2722" t="s">
        <v>4256</v>
      </c>
      <c r="H2722">
        <v>1</v>
      </c>
    </row>
    <row r="2723" spans="1:8" x14ac:dyDescent="0.25">
      <c r="A2723" t="s">
        <v>1566</v>
      </c>
      <c r="B2723">
        <v>2</v>
      </c>
      <c r="C2723">
        <v>2</v>
      </c>
      <c r="D2723">
        <v>2</v>
      </c>
      <c r="E2723" t="s">
        <v>7594</v>
      </c>
      <c r="F2723" t="s">
        <v>7594</v>
      </c>
      <c r="G2723" t="s">
        <v>4256</v>
      </c>
      <c r="H2723">
        <v>175</v>
      </c>
    </row>
    <row r="2724" spans="1:8" x14ac:dyDescent="0.25">
      <c r="A2724" t="s">
        <v>3117</v>
      </c>
      <c r="B2724">
        <v>3</v>
      </c>
      <c r="C2724">
        <v>3</v>
      </c>
      <c r="D2724">
        <v>3</v>
      </c>
      <c r="E2724" t="s">
        <v>7595</v>
      </c>
      <c r="F2724" t="s">
        <v>7596</v>
      </c>
      <c r="G2724" t="s">
        <v>4256</v>
      </c>
      <c r="H2724">
        <v>43</v>
      </c>
    </row>
    <row r="2725" spans="1:8" x14ac:dyDescent="0.25">
      <c r="A2725" t="s">
        <v>3655</v>
      </c>
      <c r="B2725">
        <v>1</v>
      </c>
      <c r="C2725">
        <v>1</v>
      </c>
      <c r="D2725">
        <v>1</v>
      </c>
      <c r="E2725" t="s">
        <v>7597</v>
      </c>
      <c r="F2725" t="s">
        <v>7597</v>
      </c>
      <c r="G2725" t="s">
        <v>7597</v>
      </c>
      <c r="H2725">
        <v>2</v>
      </c>
    </row>
    <row r="2726" spans="1:8" x14ac:dyDescent="0.25">
      <c r="A2726" t="s">
        <v>1791</v>
      </c>
      <c r="B2726">
        <v>1</v>
      </c>
      <c r="C2726">
        <v>1</v>
      </c>
      <c r="D2726">
        <v>1</v>
      </c>
      <c r="E2726" t="s">
        <v>7598</v>
      </c>
      <c r="F2726" t="s">
        <v>7599</v>
      </c>
      <c r="G2726" t="s">
        <v>7599</v>
      </c>
      <c r="H2726">
        <v>119</v>
      </c>
    </row>
    <row r="2727" spans="1:8" x14ac:dyDescent="0.25">
      <c r="A2727" t="s">
        <v>1174</v>
      </c>
      <c r="B2727">
        <v>1</v>
      </c>
      <c r="C2727">
        <v>1</v>
      </c>
      <c r="D2727">
        <v>1</v>
      </c>
      <c r="E2727" t="s">
        <v>7600</v>
      </c>
      <c r="F2727" t="s">
        <v>7600</v>
      </c>
      <c r="G2727" t="s">
        <v>7600</v>
      </c>
      <c r="H2727">
        <v>221</v>
      </c>
    </row>
    <row r="2728" spans="1:8" x14ac:dyDescent="0.25">
      <c r="A2728" t="s">
        <v>3113</v>
      </c>
      <c r="B2728">
        <v>1</v>
      </c>
      <c r="C2728">
        <v>1</v>
      </c>
      <c r="D2728">
        <v>1</v>
      </c>
      <c r="E2728" t="s">
        <v>7601</v>
      </c>
      <c r="F2728" t="s">
        <v>7601</v>
      </c>
      <c r="G2728" t="s">
        <v>7601</v>
      </c>
      <c r="H2728">
        <v>28</v>
      </c>
    </row>
    <row r="2729" spans="1:8" x14ac:dyDescent="0.25">
      <c r="A2729" t="s">
        <v>3686</v>
      </c>
      <c r="B2729">
        <v>1</v>
      </c>
      <c r="C2729">
        <v>1</v>
      </c>
      <c r="D2729">
        <v>1</v>
      </c>
      <c r="E2729" t="s">
        <v>7601</v>
      </c>
      <c r="F2729" t="s">
        <v>7601</v>
      </c>
      <c r="G2729" t="s">
        <v>7601</v>
      </c>
      <c r="H2729">
        <v>5</v>
      </c>
    </row>
    <row r="2730" spans="1:8" x14ac:dyDescent="0.25">
      <c r="A2730" t="s">
        <v>546</v>
      </c>
      <c r="B2730">
        <v>2</v>
      </c>
      <c r="C2730">
        <v>2</v>
      </c>
      <c r="D2730">
        <v>2</v>
      </c>
      <c r="E2730" t="s">
        <v>7602</v>
      </c>
      <c r="F2730" t="s">
        <v>7603</v>
      </c>
      <c r="G2730" t="s">
        <v>4256</v>
      </c>
      <c r="H2730">
        <v>4</v>
      </c>
    </row>
    <row r="2731" spans="1:8" x14ac:dyDescent="0.25">
      <c r="A2731" t="s">
        <v>1014</v>
      </c>
      <c r="B2731">
        <v>1</v>
      </c>
      <c r="C2731">
        <v>1</v>
      </c>
      <c r="D2731">
        <v>1</v>
      </c>
      <c r="E2731" t="s">
        <v>7604</v>
      </c>
      <c r="F2731" t="s">
        <v>7604</v>
      </c>
      <c r="G2731" t="s">
        <v>7604</v>
      </c>
      <c r="H2731">
        <v>295</v>
      </c>
    </row>
    <row r="2732" spans="1:8" x14ac:dyDescent="0.25">
      <c r="A2732" t="s">
        <v>2578</v>
      </c>
      <c r="B2732">
        <v>1</v>
      </c>
      <c r="C2732">
        <v>1</v>
      </c>
      <c r="D2732">
        <v>1</v>
      </c>
      <c r="E2732" t="s">
        <v>7604</v>
      </c>
      <c r="F2732" t="s">
        <v>7604</v>
      </c>
      <c r="G2732" t="s">
        <v>7604</v>
      </c>
      <c r="H2732">
        <v>28</v>
      </c>
    </row>
    <row r="2733" spans="1:8" x14ac:dyDescent="0.25">
      <c r="A2733" t="s">
        <v>2269</v>
      </c>
      <c r="B2733">
        <v>1</v>
      </c>
      <c r="C2733">
        <v>1</v>
      </c>
      <c r="D2733">
        <v>1</v>
      </c>
      <c r="E2733" t="s">
        <v>7605</v>
      </c>
      <c r="F2733" t="s">
        <v>7605</v>
      </c>
      <c r="G2733" t="s">
        <v>7605</v>
      </c>
      <c r="H2733">
        <v>107</v>
      </c>
    </row>
    <row r="2734" spans="1:8" x14ac:dyDescent="0.25">
      <c r="A2734" t="s">
        <v>7606</v>
      </c>
      <c r="B2734">
        <v>0</v>
      </c>
      <c r="C2734">
        <v>0</v>
      </c>
      <c r="D2734">
        <v>0</v>
      </c>
      <c r="G2734" t="s">
        <v>4256</v>
      </c>
      <c r="H2734">
        <v>1</v>
      </c>
    </row>
    <row r="2735" spans="1:8" x14ac:dyDescent="0.25">
      <c r="A2735" t="s">
        <v>131</v>
      </c>
      <c r="B2735">
        <v>1</v>
      </c>
      <c r="C2735">
        <v>1</v>
      </c>
      <c r="D2735">
        <v>1</v>
      </c>
      <c r="E2735" t="s">
        <v>7607</v>
      </c>
      <c r="F2735" t="s">
        <v>7607</v>
      </c>
      <c r="G2735" t="s">
        <v>7607</v>
      </c>
      <c r="H2735">
        <v>1727</v>
      </c>
    </row>
    <row r="2736" spans="1:8" x14ac:dyDescent="0.25">
      <c r="A2736" t="s">
        <v>323</v>
      </c>
      <c r="B2736">
        <v>3</v>
      </c>
      <c r="C2736">
        <v>3</v>
      </c>
      <c r="D2736">
        <v>3</v>
      </c>
      <c r="E2736" t="s">
        <v>7608</v>
      </c>
      <c r="F2736" t="s">
        <v>7608</v>
      </c>
      <c r="G2736" t="s">
        <v>4256</v>
      </c>
      <c r="H2736">
        <v>379</v>
      </c>
    </row>
    <row r="2737" spans="1:8" x14ac:dyDescent="0.25">
      <c r="A2737" t="s">
        <v>1342</v>
      </c>
      <c r="B2737">
        <v>1</v>
      </c>
      <c r="C2737">
        <v>1</v>
      </c>
      <c r="D2737">
        <v>1</v>
      </c>
      <c r="E2737" t="s">
        <v>7609</v>
      </c>
      <c r="F2737" t="s">
        <v>7609</v>
      </c>
      <c r="G2737" t="s">
        <v>7609</v>
      </c>
      <c r="H2737">
        <v>102</v>
      </c>
    </row>
    <row r="2738" spans="1:8" x14ac:dyDescent="0.25">
      <c r="A2738" t="s">
        <v>837</v>
      </c>
      <c r="B2738">
        <v>1</v>
      </c>
      <c r="C2738">
        <v>1</v>
      </c>
      <c r="D2738">
        <v>1</v>
      </c>
      <c r="E2738" t="s">
        <v>7610</v>
      </c>
      <c r="F2738" t="s">
        <v>7610</v>
      </c>
      <c r="G2738" t="s">
        <v>7610</v>
      </c>
      <c r="H2738">
        <v>146</v>
      </c>
    </row>
    <row r="2739" spans="1:8" x14ac:dyDescent="0.25">
      <c r="A2739" t="s">
        <v>1303</v>
      </c>
      <c r="B2739">
        <v>1</v>
      </c>
      <c r="C2739">
        <v>1</v>
      </c>
      <c r="D2739">
        <v>1</v>
      </c>
      <c r="E2739" t="s">
        <v>7611</v>
      </c>
      <c r="F2739" t="s">
        <v>7611</v>
      </c>
      <c r="G2739" t="s">
        <v>7611</v>
      </c>
      <c r="H2739">
        <v>33</v>
      </c>
    </row>
    <row r="2740" spans="1:8" x14ac:dyDescent="0.25">
      <c r="A2740" t="s">
        <v>3481</v>
      </c>
      <c r="B2740">
        <v>1</v>
      </c>
      <c r="C2740">
        <v>1</v>
      </c>
      <c r="D2740">
        <v>1</v>
      </c>
      <c r="E2740" t="s">
        <v>7611</v>
      </c>
      <c r="F2740" t="s">
        <v>7611</v>
      </c>
      <c r="G2740" t="s">
        <v>7611</v>
      </c>
      <c r="H2740">
        <v>2</v>
      </c>
    </row>
    <row r="2741" spans="1:8" x14ac:dyDescent="0.25">
      <c r="A2741" t="s">
        <v>2107</v>
      </c>
      <c r="B2741">
        <v>2</v>
      </c>
      <c r="C2741">
        <v>2</v>
      </c>
      <c r="D2741">
        <v>2</v>
      </c>
      <c r="E2741" t="s">
        <v>7612</v>
      </c>
      <c r="F2741" t="s">
        <v>7612</v>
      </c>
      <c r="G2741" t="s">
        <v>4256</v>
      </c>
      <c r="H2741">
        <v>118</v>
      </c>
    </row>
    <row r="2742" spans="1:8" x14ac:dyDescent="0.25">
      <c r="A2742" t="s">
        <v>3726</v>
      </c>
      <c r="B2742">
        <v>1</v>
      </c>
      <c r="C2742">
        <v>1</v>
      </c>
      <c r="D2742">
        <v>1</v>
      </c>
      <c r="E2742" t="s">
        <v>7613</v>
      </c>
      <c r="F2742" t="s">
        <v>7613</v>
      </c>
      <c r="G2742" t="s">
        <v>7613</v>
      </c>
      <c r="H2742">
        <v>3</v>
      </c>
    </row>
    <row r="2743" spans="1:8" x14ac:dyDescent="0.25">
      <c r="A2743" t="s">
        <v>2842</v>
      </c>
      <c r="B2743">
        <v>1</v>
      </c>
      <c r="C2743">
        <v>1</v>
      </c>
      <c r="D2743">
        <v>1</v>
      </c>
      <c r="E2743" t="s">
        <v>7614</v>
      </c>
      <c r="F2743" t="s">
        <v>7614</v>
      </c>
      <c r="G2743" t="s">
        <v>7614</v>
      </c>
      <c r="H2743">
        <v>49</v>
      </c>
    </row>
    <row r="2744" spans="1:8" x14ac:dyDescent="0.25">
      <c r="A2744" t="s">
        <v>4009</v>
      </c>
      <c r="B2744">
        <v>1</v>
      </c>
      <c r="C2744">
        <v>1</v>
      </c>
      <c r="D2744">
        <v>1</v>
      </c>
      <c r="E2744" t="s">
        <v>7615</v>
      </c>
      <c r="F2744" t="s">
        <v>7615</v>
      </c>
      <c r="G2744" t="s">
        <v>7615</v>
      </c>
      <c r="H2744">
        <v>2</v>
      </c>
    </row>
    <row r="2745" spans="1:8" x14ac:dyDescent="0.25">
      <c r="A2745" t="s">
        <v>1660</v>
      </c>
      <c r="B2745">
        <v>1</v>
      </c>
      <c r="C2745">
        <v>1</v>
      </c>
      <c r="D2745">
        <v>1</v>
      </c>
      <c r="E2745" t="s">
        <v>7616</v>
      </c>
      <c r="F2745" t="s">
        <v>7616</v>
      </c>
      <c r="G2745" t="s">
        <v>7616</v>
      </c>
      <c r="H2745">
        <v>114</v>
      </c>
    </row>
    <row r="2746" spans="1:8" x14ac:dyDescent="0.25">
      <c r="A2746" t="s">
        <v>1655</v>
      </c>
      <c r="B2746">
        <v>1</v>
      </c>
      <c r="C2746">
        <v>1</v>
      </c>
      <c r="D2746">
        <v>1</v>
      </c>
      <c r="E2746" t="s">
        <v>7617</v>
      </c>
      <c r="F2746" t="s">
        <v>7617</v>
      </c>
      <c r="G2746" t="s">
        <v>7617</v>
      </c>
      <c r="H2746">
        <v>83</v>
      </c>
    </row>
    <row r="2747" spans="1:8" x14ac:dyDescent="0.25">
      <c r="A2747" t="s">
        <v>3403</v>
      </c>
      <c r="B2747">
        <v>1</v>
      </c>
      <c r="C2747">
        <v>1</v>
      </c>
      <c r="D2747">
        <v>1</v>
      </c>
      <c r="E2747" t="s">
        <v>7617</v>
      </c>
      <c r="F2747" t="s">
        <v>7617</v>
      </c>
      <c r="G2747" t="s">
        <v>7617</v>
      </c>
      <c r="H2747">
        <v>8</v>
      </c>
    </row>
    <row r="2748" spans="1:8" x14ac:dyDescent="0.25">
      <c r="A2748" t="s">
        <v>3288</v>
      </c>
      <c r="B2748">
        <v>1</v>
      </c>
      <c r="C2748">
        <v>1</v>
      </c>
      <c r="D2748">
        <v>1</v>
      </c>
      <c r="E2748" t="s">
        <v>7618</v>
      </c>
      <c r="F2748" t="s">
        <v>7618</v>
      </c>
      <c r="G2748" t="s">
        <v>7618</v>
      </c>
      <c r="H2748">
        <v>5</v>
      </c>
    </row>
    <row r="2749" spans="1:8" x14ac:dyDescent="0.25">
      <c r="A2749" t="s">
        <v>340</v>
      </c>
      <c r="B2749">
        <v>1</v>
      </c>
      <c r="C2749">
        <v>1</v>
      </c>
      <c r="D2749">
        <v>1</v>
      </c>
      <c r="E2749" t="s">
        <v>7619</v>
      </c>
      <c r="F2749" t="s">
        <v>7619</v>
      </c>
      <c r="G2749" t="s">
        <v>7619</v>
      </c>
      <c r="H2749">
        <v>394</v>
      </c>
    </row>
    <row r="2750" spans="1:8" x14ac:dyDescent="0.25">
      <c r="A2750" t="s">
        <v>304</v>
      </c>
      <c r="B2750">
        <v>2</v>
      </c>
      <c r="C2750">
        <v>2</v>
      </c>
      <c r="D2750">
        <v>2</v>
      </c>
      <c r="E2750" t="s">
        <v>7620</v>
      </c>
      <c r="F2750" t="s">
        <v>7620</v>
      </c>
      <c r="G2750" t="s">
        <v>4256</v>
      </c>
      <c r="H2750">
        <v>402</v>
      </c>
    </row>
    <row r="2751" spans="1:8" x14ac:dyDescent="0.25">
      <c r="A2751" t="s">
        <v>3057</v>
      </c>
      <c r="B2751">
        <v>1</v>
      </c>
      <c r="C2751">
        <v>1</v>
      </c>
      <c r="D2751">
        <v>1</v>
      </c>
      <c r="E2751" t="s">
        <v>7621</v>
      </c>
      <c r="F2751" t="s">
        <v>7621</v>
      </c>
      <c r="G2751" t="s">
        <v>7621</v>
      </c>
      <c r="H2751">
        <v>9</v>
      </c>
    </row>
    <row r="2752" spans="1:8" x14ac:dyDescent="0.25">
      <c r="A2752" t="s">
        <v>7622</v>
      </c>
      <c r="B2752">
        <v>0</v>
      </c>
      <c r="C2752">
        <v>0</v>
      </c>
      <c r="D2752">
        <v>0</v>
      </c>
      <c r="G2752" t="s">
        <v>4256</v>
      </c>
      <c r="H2752">
        <v>1</v>
      </c>
    </row>
    <row r="2753" spans="1:8" x14ac:dyDescent="0.25">
      <c r="A2753" t="s">
        <v>2573</v>
      </c>
      <c r="B2753">
        <v>2</v>
      </c>
      <c r="C2753">
        <v>2</v>
      </c>
      <c r="D2753">
        <v>2</v>
      </c>
      <c r="E2753" t="s">
        <v>7623</v>
      </c>
      <c r="F2753" t="s">
        <v>7623</v>
      </c>
      <c r="G2753" t="s">
        <v>4256</v>
      </c>
      <c r="H2753">
        <v>59</v>
      </c>
    </row>
    <row r="2754" spans="1:8" x14ac:dyDescent="0.25">
      <c r="A2754" t="s">
        <v>545</v>
      </c>
      <c r="B2754">
        <v>1</v>
      </c>
      <c r="C2754">
        <v>1</v>
      </c>
      <c r="D2754">
        <v>1</v>
      </c>
      <c r="E2754" t="s">
        <v>7624</v>
      </c>
      <c r="F2754" t="s">
        <v>7624</v>
      </c>
      <c r="G2754" t="s">
        <v>7624</v>
      </c>
      <c r="H2754">
        <v>446</v>
      </c>
    </row>
    <row r="2755" spans="1:8" x14ac:dyDescent="0.25">
      <c r="A2755" t="s">
        <v>3964</v>
      </c>
      <c r="B2755">
        <v>1</v>
      </c>
      <c r="C2755">
        <v>1</v>
      </c>
      <c r="D2755">
        <v>1</v>
      </c>
      <c r="E2755" t="s">
        <v>7625</v>
      </c>
      <c r="F2755" t="s">
        <v>7625</v>
      </c>
      <c r="G2755" t="s">
        <v>7625</v>
      </c>
      <c r="H2755">
        <v>1</v>
      </c>
    </row>
    <row r="2756" spans="1:8" x14ac:dyDescent="0.25">
      <c r="A2756" t="s">
        <v>2098</v>
      </c>
      <c r="B2756">
        <v>1</v>
      </c>
      <c r="C2756">
        <v>1</v>
      </c>
      <c r="D2756">
        <v>1</v>
      </c>
      <c r="E2756" t="s">
        <v>7624</v>
      </c>
      <c r="F2756" t="s">
        <v>7624</v>
      </c>
      <c r="G2756" t="s">
        <v>7624</v>
      </c>
      <c r="H2756">
        <v>56</v>
      </c>
    </row>
    <row r="2757" spans="1:8" x14ac:dyDescent="0.25">
      <c r="A2757" t="s">
        <v>3781</v>
      </c>
      <c r="B2757">
        <v>2</v>
      </c>
      <c r="C2757">
        <v>2</v>
      </c>
      <c r="D2757">
        <v>2</v>
      </c>
      <c r="E2757" t="s">
        <v>7626</v>
      </c>
      <c r="F2757" t="s">
        <v>7626</v>
      </c>
      <c r="G2757" t="s">
        <v>4256</v>
      </c>
      <c r="H2757">
        <v>15</v>
      </c>
    </row>
    <row r="2758" spans="1:8" x14ac:dyDescent="0.25">
      <c r="A2758" t="s">
        <v>1808</v>
      </c>
      <c r="B2758">
        <v>1</v>
      </c>
      <c r="C2758">
        <v>1</v>
      </c>
      <c r="D2758">
        <v>1</v>
      </c>
      <c r="E2758" t="s">
        <v>7627</v>
      </c>
      <c r="F2758" t="s">
        <v>7627</v>
      </c>
      <c r="G2758" t="s">
        <v>7627</v>
      </c>
      <c r="H2758">
        <v>247</v>
      </c>
    </row>
    <row r="2759" spans="1:8" x14ac:dyDescent="0.25">
      <c r="A2759" t="s">
        <v>3937</v>
      </c>
      <c r="B2759">
        <v>1</v>
      </c>
      <c r="C2759">
        <v>1</v>
      </c>
      <c r="D2759">
        <v>1</v>
      </c>
      <c r="E2759" t="s">
        <v>7627</v>
      </c>
      <c r="F2759" t="s">
        <v>7627</v>
      </c>
      <c r="G2759" t="s">
        <v>7627</v>
      </c>
      <c r="H2759">
        <v>1</v>
      </c>
    </row>
    <row r="2760" spans="1:8" x14ac:dyDescent="0.25">
      <c r="A2760" t="s">
        <v>2849</v>
      </c>
      <c r="B2760">
        <v>1</v>
      </c>
      <c r="C2760">
        <v>1</v>
      </c>
      <c r="D2760">
        <v>1</v>
      </c>
      <c r="E2760" t="s">
        <v>7628</v>
      </c>
      <c r="F2760" t="s">
        <v>7628</v>
      </c>
      <c r="G2760" t="s">
        <v>7628</v>
      </c>
      <c r="H2760">
        <v>55</v>
      </c>
    </row>
    <row r="2761" spans="1:8" x14ac:dyDescent="0.25">
      <c r="A2761" t="s">
        <v>2626</v>
      </c>
      <c r="B2761">
        <v>1</v>
      </c>
      <c r="C2761">
        <v>1</v>
      </c>
      <c r="D2761">
        <v>1</v>
      </c>
      <c r="E2761" t="s">
        <v>7629</v>
      </c>
      <c r="F2761" t="s">
        <v>7629</v>
      </c>
      <c r="G2761" t="s">
        <v>7629</v>
      </c>
      <c r="H2761">
        <v>59</v>
      </c>
    </row>
    <row r="2762" spans="1:8" x14ac:dyDescent="0.25">
      <c r="A2762" t="s">
        <v>676</v>
      </c>
      <c r="B2762">
        <v>1</v>
      </c>
      <c r="C2762">
        <v>1</v>
      </c>
      <c r="D2762">
        <v>1</v>
      </c>
      <c r="E2762" t="s">
        <v>7630</v>
      </c>
      <c r="F2762" t="s">
        <v>7630</v>
      </c>
      <c r="G2762" t="s">
        <v>7630</v>
      </c>
      <c r="H2762">
        <v>168</v>
      </c>
    </row>
    <row r="2763" spans="1:8" x14ac:dyDescent="0.25">
      <c r="A2763" t="s">
        <v>954</v>
      </c>
      <c r="B2763">
        <v>1</v>
      </c>
      <c r="C2763">
        <v>1</v>
      </c>
      <c r="D2763">
        <v>1</v>
      </c>
      <c r="E2763" t="s">
        <v>7631</v>
      </c>
      <c r="F2763" t="s">
        <v>7632</v>
      </c>
      <c r="G2763" t="s">
        <v>7632</v>
      </c>
      <c r="H2763">
        <v>120</v>
      </c>
    </row>
    <row r="2764" spans="1:8" x14ac:dyDescent="0.25">
      <c r="A2764" t="s">
        <v>438</v>
      </c>
      <c r="B2764">
        <v>1</v>
      </c>
      <c r="C2764">
        <v>1</v>
      </c>
      <c r="D2764">
        <v>1</v>
      </c>
      <c r="E2764" t="s">
        <v>7633</v>
      </c>
      <c r="F2764" t="s">
        <v>7633</v>
      </c>
      <c r="G2764" t="s">
        <v>7633</v>
      </c>
      <c r="H2764">
        <v>238</v>
      </c>
    </row>
    <row r="2765" spans="1:8" x14ac:dyDescent="0.25">
      <c r="A2765" t="s">
        <v>387</v>
      </c>
      <c r="B2765">
        <v>1</v>
      </c>
      <c r="C2765">
        <v>1</v>
      </c>
      <c r="D2765">
        <v>1</v>
      </c>
      <c r="E2765" t="s">
        <v>7634</v>
      </c>
      <c r="F2765" t="s">
        <v>7634</v>
      </c>
      <c r="G2765" t="s">
        <v>7634</v>
      </c>
      <c r="H2765">
        <v>206</v>
      </c>
    </row>
    <row r="2766" spans="1:8" x14ac:dyDescent="0.25">
      <c r="A2766" t="s">
        <v>552</v>
      </c>
      <c r="B2766">
        <v>1</v>
      </c>
      <c r="C2766">
        <v>1</v>
      </c>
      <c r="D2766">
        <v>1</v>
      </c>
      <c r="E2766" t="s">
        <v>7635</v>
      </c>
      <c r="F2766" t="s">
        <v>7635</v>
      </c>
      <c r="G2766" t="s">
        <v>7635</v>
      </c>
      <c r="H2766">
        <v>210</v>
      </c>
    </row>
    <row r="2767" spans="1:8" x14ac:dyDescent="0.25">
      <c r="A2767" t="s">
        <v>176</v>
      </c>
      <c r="B2767">
        <v>1</v>
      </c>
      <c r="C2767">
        <v>1</v>
      </c>
      <c r="D2767">
        <v>1</v>
      </c>
      <c r="E2767" t="s">
        <v>7636</v>
      </c>
      <c r="F2767" t="s">
        <v>7636</v>
      </c>
      <c r="G2767" t="s">
        <v>7636</v>
      </c>
      <c r="H2767">
        <v>627</v>
      </c>
    </row>
    <row r="2768" spans="1:8" x14ac:dyDescent="0.25">
      <c r="A2768" t="s">
        <v>354</v>
      </c>
      <c r="B2768">
        <v>1</v>
      </c>
      <c r="C2768">
        <v>1</v>
      </c>
      <c r="D2768">
        <v>1</v>
      </c>
      <c r="E2768" t="s">
        <v>7637</v>
      </c>
      <c r="F2768" t="s">
        <v>7638</v>
      </c>
      <c r="G2768" t="s">
        <v>7638</v>
      </c>
      <c r="H2768">
        <v>195</v>
      </c>
    </row>
    <row r="2769" spans="1:8" x14ac:dyDescent="0.25">
      <c r="A2769" t="s">
        <v>2738</v>
      </c>
      <c r="B2769">
        <v>1</v>
      </c>
      <c r="C2769">
        <v>1</v>
      </c>
      <c r="D2769">
        <v>1</v>
      </c>
      <c r="E2769" t="s">
        <v>7637</v>
      </c>
      <c r="F2769" t="s">
        <v>7638</v>
      </c>
      <c r="G2769" t="s">
        <v>7638</v>
      </c>
      <c r="H2769">
        <v>7</v>
      </c>
    </row>
    <row r="2770" spans="1:8" x14ac:dyDescent="0.25">
      <c r="A2770" t="s">
        <v>264</v>
      </c>
      <c r="B2770">
        <v>1</v>
      </c>
      <c r="C2770">
        <v>1</v>
      </c>
      <c r="D2770">
        <v>1</v>
      </c>
      <c r="E2770" t="s">
        <v>7639</v>
      </c>
      <c r="F2770" t="s">
        <v>7640</v>
      </c>
      <c r="G2770" t="s">
        <v>7640</v>
      </c>
      <c r="H2770">
        <v>416</v>
      </c>
    </row>
    <row r="2771" spans="1:8" x14ac:dyDescent="0.25">
      <c r="A2771" t="s">
        <v>186</v>
      </c>
      <c r="B2771">
        <v>2</v>
      </c>
      <c r="C2771">
        <v>2</v>
      </c>
      <c r="D2771">
        <v>2</v>
      </c>
      <c r="E2771" t="s">
        <v>7641</v>
      </c>
      <c r="F2771" t="s">
        <v>7641</v>
      </c>
      <c r="G2771" t="s">
        <v>4256</v>
      </c>
      <c r="H2771">
        <v>372</v>
      </c>
    </row>
    <row r="2772" spans="1:8" x14ac:dyDescent="0.25">
      <c r="A2772" t="s">
        <v>183</v>
      </c>
      <c r="B2772">
        <v>1</v>
      </c>
      <c r="C2772">
        <v>1</v>
      </c>
      <c r="D2772">
        <v>1</v>
      </c>
      <c r="E2772" t="s">
        <v>7642</v>
      </c>
      <c r="F2772" t="s">
        <v>7642</v>
      </c>
      <c r="G2772" t="s">
        <v>7642</v>
      </c>
      <c r="H2772">
        <v>608</v>
      </c>
    </row>
    <row r="2773" spans="1:8" x14ac:dyDescent="0.25">
      <c r="A2773" t="s">
        <v>303</v>
      </c>
      <c r="B2773">
        <v>1</v>
      </c>
      <c r="C2773">
        <v>1</v>
      </c>
      <c r="D2773">
        <v>1</v>
      </c>
      <c r="E2773" t="s">
        <v>7643</v>
      </c>
      <c r="F2773" t="s">
        <v>7643</v>
      </c>
      <c r="G2773" t="s">
        <v>7643</v>
      </c>
      <c r="H2773">
        <v>291</v>
      </c>
    </row>
    <row r="2774" spans="1:8" x14ac:dyDescent="0.25">
      <c r="A2774" t="s">
        <v>2409</v>
      </c>
      <c r="B2774">
        <v>3</v>
      </c>
      <c r="C2774">
        <v>3</v>
      </c>
      <c r="D2774">
        <v>3</v>
      </c>
      <c r="E2774" t="s">
        <v>7644</v>
      </c>
      <c r="F2774" t="s">
        <v>7645</v>
      </c>
      <c r="G2774" t="s">
        <v>4256</v>
      </c>
      <c r="H2774">
        <v>19</v>
      </c>
    </row>
    <row r="2775" spans="1:8" x14ac:dyDescent="0.25">
      <c r="A2775" t="s">
        <v>203</v>
      </c>
      <c r="B2775">
        <v>1</v>
      </c>
      <c r="C2775">
        <v>1</v>
      </c>
      <c r="D2775">
        <v>1</v>
      </c>
      <c r="E2775" t="s">
        <v>7646</v>
      </c>
      <c r="F2775" t="s">
        <v>7646</v>
      </c>
      <c r="G2775" t="s">
        <v>7646</v>
      </c>
      <c r="H2775">
        <v>599</v>
      </c>
    </row>
    <row r="2776" spans="1:8" x14ac:dyDescent="0.25">
      <c r="A2776" t="s">
        <v>1319</v>
      </c>
      <c r="B2776">
        <v>1</v>
      </c>
      <c r="C2776">
        <v>1</v>
      </c>
      <c r="D2776">
        <v>1</v>
      </c>
      <c r="E2776" t="s">
        <v>7647</v>
      </c>
      <c r="F2776" t="s">
        <v>7647</v>
      </c>
      <c r="G2776" t="s">
        <v>7647</v>
      </c>
      <c r="H2776">
        <v>24</v>
      </c>
    </row>
    <row r="2777" spans="1:8" x14ac:dyDescent="0.25">
      <c r="A2777" t="s">
        <v>1186</v>
      </c>
      <c r="B2777">
        <v>1</v>
      </c>
      <c r="C2777">
        <v>1</v>
      </c>
      <c r="D2777">
        <v>1</v>
      </c>
      <c r="E2777" t="s">
        <v>7648</v>
      </c>
      <c r="F2777" t="s">
        <v>7648</v>
      </c>
      <c r="G2777" t="s">
        <v>7648</v>
      </c>
      <c r="H2777">
        <v>244</v>
      </c>
    </row>
    <row r="2778" spans="1:8" x14ac:dyDescent="0.25">
      <c r="A2778" t="s">
        <v>1474</v>
      </c>
      <c r="B2778">
        <v>1</v>
      </c>
      <c r="C2778">
        <v>1</v>
      </c>
      <c r="D2778">
        <v>1</v>
      </c>
      <c r="E2778" t="s">
        <v>7649</v>
      </c>
      <c r="F2778" t="s">
        <v>7649</v>
      </c>
      <c r="G2778" t="s">
        <v>7649</v>
      </c>
      <c r="H2778">
        <v>182</v>
      </c>
    </row>
    <row r="2779" spans="1:8" x14ac:dyDescent="0.25">
      <c r="A2779" t="s">
        <v>1695</v>
      </c>
      <c r="B2779">
        <v>1</v>
      </c>
      <c r="C2779">
        <v>1</v>
      </c>
      <c r="D2779">
        <v>1</v>
      </c>
      <c r="E2779" t="s">
        <v>7650</v>
      </c>
      <c r="F2779" t="s">
        <v>7650</v>
      </c>
      <c r="G2779" t="s">
        <v>7650</v>
      </c>
      <c r="H2779">
        <v>153</v>
      </c>
    </row>
    <row r="2780" spans="1:8" x14ac:dyDescent="0.25">
      <c r="A2780" t="s">
        <v>4033</v>
      </c>
      <c r="B2780">
        <v>1</v>
      </c>
      <c r="C2780">
        <v>1</v>
      </c>
      <c r="D2780">
        <v>1</v>
      </c>
      <c r="E2780" t="s">
        <v>7649</v>
      </c>
      <c r="F2780" t="s">
        <v>7649</v>
      </c>
      <c r="G2780" t="s">
        <v>7649</v>
      </c>
      <c r="H2780">
        <v>1</v>
      </c>
    </row>
    <row r="2781" spans="1:8" x14ac:dyDescent="0.25">
      <c r="A2781" t="s">
        <v>3107</v>
      </c>
      <c r="B2781">
        <v>2</v>
      </c>
      <c r="C2781">
        <v>2</v>
      </c>
      <c r="D2781">
        <v>2</v>
      </c>
      <c r="E2781" t="s">
        <v>7651</v>
      </c>
      <c r="F2781" t="s">
        <v>7651</v>
      </c>
      <c r="G2781" t="s">
        <v>4256</v>
      </c>
      <c r="H2781">
        <v>20</v>
      </c>
    </row>
    <row r="2782" spans="1:8" x14ac:dyDescent="0.25">
      <c r="A2782" t="s">
        <v>3290</v>
      </c>
      <c r="B2782">
        <v>2</v>
      </c>
      <c r="C2782">
        <v>2</v>
      </c>
      <c r="D2782">
        <v>2</v>
      </c>
      <c r="E2782" t="s">
        <v>7652</v>
      </c>
      <c r="F2782" t="s">
        <v>7652</v>
      </c>
      <c r="G2782" t="s">
        <v>4256</v>
      </c>
      <c r="H2782">
        <v>17</v>
      </c>
    </row>
    <row r="2783" spans="1:8" x14ac:dyDescent="0.25">
      <c r="A2783" t="s">
        <v>572</v>
      </c>
      <c r="B2783">
        <v>1</v>
      </c>
      <c r="C2783">
        <v>1</v>
      </c>
      <c r="D2783">
        <v>1</v>
      </c>
      <c r="E2783" t="s">
        <v>7653</v>
      </c>
      <c r="F2783" t="s">
        <v>7654</v>
      </c>
      <c r="G2783" t="s">
        <v>7654</v>
      </c>
      <c r="H2783">
        <v>61</v>
      </c>
    </row>
    <row r="2784" spans="1:8" x14ac:dyDescent="0.25">
      <c r="A2784" t="s">
        <v>3783</v>
      </c>
      <c r="B2784">
        <v>1</v>
      </c>
      <c r="C2784">
        <v>1</v>
      </c>
      <c r="D2784">
        <v>1</v>
      </c>
      <c r="E2784" t="s">
        <v>7655</v>
      </c>
      <c r="F2784" t="s">
        <v>7655</v>
      </c>
      <c r="G2784" t="s">
        <v>7655</v>
      </c>
      <c r="H2784">
        <v>8</v>
      </c>
    </row>
    <row r="2785" spans="1:8" x14ac:dyDescent="0.25">
      <c r="A2785" t="s">
        <v>3906</v>
      </c>
      <c r="B2785">
        <v>1</v>
      </c>
      <c r="C2785">
        <v>1</v>
      </c>
      <c r="D2785">
        <v>1</v>
      </c>
      <c r="E2785" t="s">
        <v>7656</v>
      </c>
      <c r="F2785" t="s">
        <v>7656</v>
      </c>
      <c r="G2785" t="s">
        <v>7656</v>
      </c>
      <c r="H2785">
        <v>4</v>
      </c>
    </row>
    <row r="2786" spans="1:8" x14ac:dyDescent="0.25">
      <c r="A2786" t="s">
        <v>2927</v>
      </c>
      <c r="B2786">
        <v>1</v>
      </c>
      <c r="C2786">
        <v>1</v>
      </c>
      <c r="D2786">
        <v>1</v>
      </c>
      <c r="E2786" t="s">
        <v>7657</v>
      </c>
      <c r="F2786" t="s">
        <v>7657</v>
      </c>
      <c r="G2786" t="s">
        <v>7657</v>
      </c>
      <c r="H2786">
        <v>14</v>
      </c>
    </row>
    <row r="2787" spans="1:8" x14ac:dyDescent="0.25">
      <c r="A2787" t="s">
        <v>3339</v>
      </c>
      <c r="B2787">
        <v>1</v>
      </c>
      <c r="C2787">
        <v>1</v>
      </c>
      <c r="D2787">
        <v>1</v>
      </c>
      <c r="E2787" t="s">
        <v>7658</v>
      </c>
      <c r="F2787" t="s">
        <v>7659</v>
      </c>
      <c r="G2787" t="s">
        <v>7659</v>
      </c>
      <c r="H2787">
        <v>9</v>
      </c>
    </row>
    <row r="2788" spans="1:8" x14ac:dyDescent="0.25">
      <c r="A2788" t="s">
        <v>7660</v>
      </c>
      <c r="B2788">
        <v>0</v>
      </c>
      <c r="C2788">
        <v>0</v>
      </c>
      <c r="D2788">
        <v>0</v>
      </c>
      <c r="G2788" t="s">
        <v>4256</v>
      </c>
      <c r="H2788">
        <v>1</v>
      </c>
    </row>
    <row r="2789" spans="1:8" x14ac:dyDescent="0.25">
      <c r="A2789" t="s">
        <v>3046</v>
      </c>
      <c r="B2789">
        <v>1</v>
      </c>
      <c r="C2789">
        <v>1</v>
      </c>
      <c r="D2789">
        <v>1</v>
      </c>
      <c r="E2789" t="s">
        <v>7661</v>
      </c>
      <c r="F2789" t="s">
        <v>7661</v>
      </c>
      <c r="G2789" t="s">
        <v>7661</v>
      </c>
      <c r="H2789">
        <v>9</v>
      </c>
    </row>
    <row r="2790" spans="1:8" x14ac:dyDescent="0.25">
      <c r="A2790" t="s">
        <v>3996</v>
      </c>
      <c r="B2790">
        <v>1</v>
      </c>
      <c r="C2790">
        <v>1</v>
      </c>
      <c r="D2790">
        <v>1</v>
      </c>
      <c r="E2790" t="s">
        <v>7662</v>
      </c>
      <c r="F2790" t="s">
        <v>7662</v>
      </c>
      <c r="G2790" t="s">
        <v>7662</v>
      </c>
      <c r="H2790">
        <v>3</v>
      </c>
    </row>
    <row r="2791" spans="1:8" x14ac:dyDescent="0.25">
      <c r="A2791" t="s">
        <v>3894</v>
      </c>
      <c r="B2791">
        <v>1</v>
      </c>
      <c r="C2791">
        <v>1</v>
      </c>
      <c r="D2791">
        <v>1</v>
      </c>
      <c r="E2791" t="s">
        <v>7663</v>
      </c>
      <c r="F2791" t="s">
        <v>7663</v>
      </c>
      <c r="G2791" t="s">
        <v>7663</v>
      </c>
      <c r="H2791">
        <v>4</v>
      </c>
    </row>
    <row r="2792" spans="1:8" x14ac:dyDescent="0.25">
      <c r="A2792" t="s">
        <v>1250</v>
      </c>
      <c r="B2792">
        <v>1</v>
      </c>
      <c r="C2792">
        <v>1</v>
      </c>
      <c r="D2792">
        <v>1</v>
      </c>
      <c r="E2792" t="s">
        <v>7664</v>
      </c>
      <c r="F2792" t="s">
        <v>7664</v>
      </c>
      <c r="G2792" t="s">
        <v>7664</v>
      </c>
      <c r="H2792">
        <v>123</v>
      </c>
    </row>
    <row r="2793" spans="1:8" x14ac:dyDescent="0.25">
      <c r="A2793" t="s">
        <v>1792</v>
      </c>
      <c r="B2793">
        <v>1</v>
      </c>
      <c r="C2793">
        <v>1</v>
      </c>
      <c r="D2793">
        <v>1</v>
      </c>
      <c r="E2793" t="s">
        <v>7665</v>
      </c>
      <c r="F2793" t="s">
        <v>7665</v>
      </c>
      <c r="G2793" t="s">
        <v>7665</v>
      </c>
      <c r="H2793">
        <v>113</v>
      </c>
    </row>
    <row r="2794" spans="1:8" x14ac:dyDescent="0.25">
      <c r="A2794" t="s">
        <v>1573</v>
      </c>
      <c r="B2794">
        <v>2</v>
      </c>
      <c r="C2794">
        <v>2</v>
      </c>
      <c r="D2794">
        <v>2</v>
      </c>
      <c r="E2794" t="s">
        <v>7666</v>
      </c>
      <c r="F2794" t="s">
        <v>7666</v>
      </c>
      <c r="G2794" t="s">
        <v>4256</v>
      </c>
      <c r="H2794">
        <v>53</v>
      </c>
    </row>
    <row r="2795" spans="1:8" x14ac:dyDescent="0.25">
      <c r="A2795" t="s">
        <v>3825</v>
      </c>
      <c r="B2795">
        <v>1</v>
      </c>
      <c r="C2795">
        <v>1</v>
      </c>
      <c r="D2795">
        <v>1</v>
      </c>
      <c r="E2795" t="s">
        <v>7667</v>
      </c>
      <c r="F2795" t="s">
        <v>7667</v>
      </c>
      <c r="G2795" t="s">
        <v>7667</v>
      </c>
      <c r="H2795">
        <v>6</v>
      </c>
    </row>
    <row r="2796" spans="1:8" x14ac:dyDescent="0.25">
      <c r="A2796" t="s">
        <v>412</v>
      </c>
      <c r="B2796">
        <v>2</v>
      </c>
      <c r="C2796">
        <v>2</v>
      </c>
      <c r="D2796">
        <v>2</v>
      </c>
      <c r="E2796" t="s">
        <v>7668</v>
      </c>
      <c r="F2796" t="s">
        <v>7668</v>
      </c>
      <c r="G2796" t="s">
        <v>4256</v>
      </c>
      <c r="H2796">
        <v>355</v>
      </c>
    </row>
    <row r="2797" spans="1:8" x14ac:dyDescent="0.25">
      <c r="A2797" t="s">
        <v>2679</v>
      </c>
      <c r="B2797">
        <v>1</v>
      </c>
      <c r="C2797">
        <v>1</v>
      </c>
      <c r="D2797">
        <v>1</v>
      </c>
      <c r="E2797" t="s">
        <v>7669</v>
      </c>
      <c r="F2797" t="s">
        <v>7670</v>
      </c>
      <c r="G2797" t="s">
        <v>7670</v>
      </c>
      <c r="H2797">
        <v>23</v>
      </c>
    </row>
    <row r="2798" spans="1:8" x14ac:dyDescent="0.25">
      <c r="A2798" t="s">
        <v>2859</v>
      </c>
      <c r="B2798">
        <v>2</v>
      </c>
      <c r="C2798">
        <v>2</v>
      </c>
      <c r="D2798">
        <v>2</v>
      </c>
      <c r="E2798" t="s">
        <v>7671</v>
      </c>
      <c r="F2798" t="s">
        <v>7671</v>
      </c>
      <c r="G2798" t="s">
        <v>4256</v>
      </c>
      <c r="H2798">
        <v>39</v>
      </c>
    </row>
    <row r="2799" spans="1:8" x14ac:dyDescent="0.25">
      <c r="A2799" t="s">
        <v>3952</v>
      </c>
      <c r="B2799">
        <v>1</v>
      </c>
      <c r="C2799">
        <v>1</v>
      </c>
      <c r="D2799">
        <v>1</v>
      </c>
      <c r="E2799" t="s">
        <v>7672</v>
      </c>
      <c r="F2799" t="s">
        <v>7672</v>
      </c>
      <c r="G2799" t="s">
        <v>7672</v>
      </c>
      <c r="H2799">
        <v>2</v>
      </c>
    </row>
    <row r="2800" spans="1:8" x14ac:dyDescent="0.25">
      <c r="A2800" t="s">
        <v>2581</v>
      </c>
      <c r="B2800">
        <v>1</v>
      </c>
      <c r="C2800">
        <v>1</v>
      </c>
      <c r="D2800">
        <v>1</v>
      </c>
      <c r="E2800" t="s">
        <v>7673</v>
      </c>
      <c r="F2800" t="s">
        <v>7673</v>
      </c>
      <c r="G2800" t="s">
        <v>7673</v>
      </c>
      <c r="H2800">
        <v>53</v>
      </c>
    </row>
    <row r="2801" spans="1:8" x14ac:dyDescent="0.25">
      <c r="A2801" t="s">
        <v>2251</v>
      </c>
      <c r="B2801">
        <v>2</v>
      </c>
      <c r="C2801">
        <v>2</v>
      </c>
      <c r="D2801">
        <v>2</v>
      </c>
      <c r="E2801" t="s">
        <v>7674</v>
      </c>
      <c r="F2801" t="s">
        <v>7674</v>
      </c>
      <c r="G2801" t="s">
        <v>4256</v>
      </c>
      <c r="H2801">
        <v>45</v>
      </c>
    </row>
    <row r="2802" spans="1:8" x14ac:dyDescent="0.25">
      <c r="A2802" t="s">
        <v>2667</v>
      </c>
      <c r="B2802">
        <v>1</v>
      </c>
      <c r="C2802">
        <v>1</v>
      </c>
      <c r="D2802">
        <v>1</v>
      </c>
      <c r="E2802" t="s">
        <v>7675</v>
      </c>
      <c r="F2802" t="s">
        <v>7675</v>
      </c>
      <c r="G2802" t="s">
        <v>7675</v>
      </c>
      <c r="H2802">
        <v>34</v>
      </c>
    </row>
    <row r="2803" spans="1:8" x14ac:dyDescent="0.25">
      <c r="A2803" t="s">
        <v>3372</v>
      </c>
      <c r="B2803">
        <v>1</v>
      </c>
      <c r="C2803">
        <v>1</v>
      </c>
      <c r="D2803">
        <v>1</v>
      </c>
      <c r="E2803" t="s">
        <v>7676</v>
      </c>
      <c r="F2803" t="s">
        <v>7676</v>
      </c>
      <c r="G2803" t="s">
        <v>7676</v>
      </c>
      <c r="H2803">
        <v>21</v>
      </c>
    </row>
    <row r="2804" spans="1:8" x14ac:dyDescent="0.25">
      <c r="A2804" t="s">
        <v>333</v>
      </c>
      <c r="B2804">
        <v>2</v>
      </c>
      <c r="C2804">
        <v>2</v>
      </c>
      <c r="D2804">
        <v>2</v>
      </c>
      <c r="E2804" t="s">
        <v>7677</v>
      </c>
      <c r="F2804" t="s">
        <v>7677</v>
      </c>
      <c r="G2804" t="s">
        <v>4256</v>
      </c>
      <c r="H2804">
        <v>452</v>
      </c>
    </row>
    <row r="2805" spans="1:8" x14ac:dyDescent="0.25">
      <c r="A2805" t="s">
        <v>218</v>
      </c>
      <c r="B2805">
        <v>2</v>
      </c>
      <c r="C2805">
        <v>2</v>
      </c>
      <c r="D2805">
        <v>2</v>
      </c>
      <c r="E2805" t="s">
        <v>7678</v>
      </c>
      <c r="F2805" t="s">
        <v>7678</v>
      </c>
      <c r="G2805" t="s">
        <v>4256</v>
      </c>
      <c r="H2805">
        <v>356</v>
      </c>
    </row>
    <row r="2806" spans="1:8" x14ac:dyDescent="0.25">
      <c r="A2806" t="s">
        <v>3502</v>
      </c>
      <c r="B2806">
        <v>1</v>
      </c>
      <c r="C2806">
        <v>1</v>
      </c>
      <c r="D2806">
        <v>1</v>
      </c>
      <c r="E2806" t="s">
        <v>7679</v>
      </c>
      <c r="F2806" t="s">
        <v>7679</v>
      </c>
      <c r="G2806" t="s">
        <v>7679</v>
      </c>
      <c r="H2806">
        <v>8</v>
      </c>
    </row>
    <row r="2807" spans="1:8" x14ac:dyDescent="0.25">
      <c r="A2807" t="s">
        <v>3353</v>
      </c>
      <c r="B2807">
        <v>1</v>
      </c>
      <c r="C2807">
        <v>1</v>
      </c>
      <c r="D2807">
        <v>1</v>
      </c>
      <c r="E2807" t="s">
        <v>7680</v>
      </c>
      <c r="F2807" t="s">
        <v>7680</v>
      </c>
      <c r="G2807" t="s">
        <v>7680</v>
      </c>
      <c r="H2807">
        <v>8</v>
      </c>
    </row>
    <row r="2808" spans="1:8" x14ac:dyDescent="0.25">
      <c r="A2808" t="s">
        <v>3238</v>
      </c>
      <c r="B2808">
        <v>1</v>
      </c>
      <c r="C2808">
        <v>1</v>
      </c>
      <c r="D2808">
        <v>1</v>
      </c>
      <c r="E2808" t="s">
        <v>7681</v>
      </c>
      <c r="F2808" t="s">
        <v>7681</v>
      </c>
      <c r="G2808" t="s">
        <v>7681</v>
      </c>
      <c r="H2808">
        <v>12</v>
      </c>
    </row>
    <row r="2809" spans="1:8" x14ac:dyDescent="0.25">
      <c r="A2809" t="s">
        <v>3897</v>
      </c>
      <c r="B2809">
        <v>1</v>
      </c>
      <c r="C2809">
        <v>1</v>
      </c>
      <c r="D2809">
        <v>1</v>
      </c>
      <c r="E2809" t="s">
        <v>7682</v>
      </c>
      <c r="F2809" t="s">
        <v>7682</v>
      </c>
      <c r="G2809" t="s">
        <v>7682</v>
      </c>
      <c r="H2809">
        <v>4</v>
      </c>
    </row>
    <row r="2810" spans="1:8" x14ac:dyDescent="0.25">
      <c r="A2810" t="s">
        <v>3538</v>
      </c>
      <c r="B2810">
        <v>1</v>
      </c>
      <c r="C2810">
        <v>1</v>
      </c>
      <c r="D2810">
        <v>1</v>
      </c>
      <c r="E2810" t="s">
        <v>7683</v>
      </c>
      <c r="F2810" t="s">
        <v>7683</v>
      </c>
      <c r="G2810" t="s">
        <v>7683</v>
      </c>
      <c r="H2810">
        <v>8</v>
      </c>
    </row>
    <row r="2811" spans="1:8" x14ac:dyDescent="0.25">
      <c r="A2811" t="s">
        <v>3757</v>
      </c>
      <c r="B2811">
        <v>1</v>
      </c>
      <c r="C2811">
        <v>1</v>
      </c>
      <c r="D2811">
        <v>1</v>
      </c>
      <c r="E2811" t="s">
        <v>7684</v>
      </c>
      <c r="F2811" t="s">
        <v>7684</v>
      </c>
      <c r="G2811" t="s">
        <v>7684</v>
      </c>
      <c r="H2811">
        <v>3</v>
      </c>
    </row>
    <row r="2812" spans="1:8" x14ac:dyDescent="0.25">
      <c r="A2812" t="s">
        <v>7685</v>
      </c>
      <c r="B2812">
        <v>1</v>
      </c>
      <c r="C2812">
        <v>1</v>
      </c>
      <c r="D2812">
        <v>1</v>
      </c>
      <c r="E2812" t="s">
        <v>7686</v>
      </c>
      <c r="F2812" t="s">
        <v>7686</v>
      </c>
      <c r="G2812" t="s">
        <v>7686</v>
      </c>
      <c r="H2812">
        <v>1</v>
      </c>
    </row>
    <row r="2813" spans="1:8" x14ac:dyDescent="0.25">
      <c r="A2813" t="s">
        <v>3206</v>
      </c>
      <c r="B2813">
        <v>1</v>
      </c>
      <c r="C2813">
        <v>1</v>
      </c>
      <c r="D2813">
        <v>1</v>
      </c>
      <c r="E2813" t="s">
        <v>7687</v>
      </c>
      <c r="F2813" t="s">
        <v>7687</v>
      </c>
      <c r="G2813" t="s">
        <v>7687</v>
      </c>
      <c r="H2813">
        <v>16</v>
      </c>
    </row>
    <row r="2814" spans="1:8" x14ac:dyDescent="0.25">
      <c r="A2814" t="s">
        <v>2584</v>
      </c>
      <c r="B2814">
        <v>1</v>
      </c>
      <c r="C2814">
        <v>1</v>
      </c>
      <c r="D2814">
        <v>1</v>
      </c>
      <c r="E2814" t="s">
        <v>7688</v>
      </c>
      <c r="F2814" t="s">
        <v>7688</v>
      </c>
      <c r="G2814" t="s">
        <v>7688</v>
      </c>
      <c r="H2814">
        <v>63</v>
      </c>
    </row>
    <row r="2815" spans="1:8" x14ac:dyDescent="0.25">
      <c r="A2815" t="s">
        <v>2824</v>
      </c>
      <c r="B2815">
        <v>2</v>
      </c>
      <c r="C2815">
        <v>2</v>
      </c>
      <c r="D2815">
        <v>2</v>
      </c>
      <c r="E2815" t="s">
        <v>7689</v>
      </c>
      <c r="F2815" t="s">
        <v>7690</v>
      </c>
      <c r="G2815" t="s">
        <v>4256</v>
      </c>
      <c r="H2815">
        <v>33</v>
      </c>
    </row>
    <row r="2816" spans="1:8" x14ac:dyDescent="0.25">
      <c r="A2816" t="s">
        <v>2981</v>
      </c>
      <c r="B2816">
        <v>1</v>
      </c>
      <c r="C2816">
        <v>1</v>
      </c>
      <c r="D2816">
        <v>1</v>
      </c>
      <c r="E2816" t="s">
        <v>7691</v>
      </c>
      <c r="F2816" t="s">
        <v>7691</v>
      </c>
      <c r="G2816" t="s">
        <v>7691</v>
      </c>
      <c r="H2816">
        <v>36</v>
      </c>
    </row>
    <row r="2817" spans="1:8" x14ac:dyDescent="0.25">
      <c r="A2817" t="s">
        <v>3042</v>
      </c>
      <c r="B2817">
        <v>1</v>
      </c>
      <c r="C2817">
        <v>1</v>
      </c>
      <c r="D2817">
        <v>1</v>
      </c>
      <c r="E2817" t="s">
        <v>7691</v>
      </c>
      <c r="F2817" t="s">
        <v>7691</v>
      </c>
      <c r="G2817" t="s">
        <v>7691</v>
      </c>
      <c r="H2817">
        <v>28</v>
      </c>
    </row>
    <row r="2818" spans="1:8" x14ac:dyDescent="0.25">
      <c r="A2818" t="s">
        <v>2768</v>
      </c>
      <c r="B2818">
        <v>1</v>
      </c>
      <c r="C2818">
        <v>1</v>
      </c>
      <c r="D2818">
        <v>1</v>
      </c>
      <c r="E2818" t="s">
        <v>7692</v>
      </c>
      <c r="F2818" t="s">
        <v>7692</v>
      </c>
      <c r="G2818" t="s">
        <v>7692</v>
      </c>
      <c r="H2818">
        <v>19</v>
      </c>
    </row>
    <row r="2819" spans="1:8" x14ac:dyDescent="0.25">
      <c r="A2819" t="s">
        <v>3390</v>
      </c>
      <c r="B2819">
        <v>1</v>
      </c>
      <c r="C2819">
        <v>1</v>
      </c>
      <c r="D2819">
        <v>1</v>
      </c>
      <c r="E2819" t="s">
        <v>7693</v>
      </c>
      <c r="F2819" t="s">
        <v>7693</v>
      </c>
      <c r="G2819" t="s">
        <v>7693</v>
      </c>
      <c r="H2819">
        <v>12</v>
      </c>
    </row>
    <row r="2820" spans="1:8" x14ac:dyDescent="0.25">
      <c r="A2820" t="s">
        <v>3336</v>
      </c>
      <c r="B2820">
        <v>1</v>
      </c>
      <c r="C2820">
        <v>1</v>
      </c>
      <c r="D2820">
        <v>1</v>
      </c>
      <c r="E2820" t="s">
        <v>7692</v>
      </c>
      <c r="F2820" t="s">
        <v>7692</v>
      </c>
      <c r="G2820" t="s">
        <v>7692</v>
      </c>
      <c r="H2820">
        <v>17</v>
      </c>
    </row>
    <row r="2821" spans="1:8" x14ac:dyDescent="0.25">
      <c r="A2821" t="s">
        <v>3368</v>
      </c>
      <c r="B2821">
        <v>1</v>
      </c>
      <c r="C2821">
        <v>1</v>
      </c>
      <c r="D2821">
        <v>1</v>
      </c>
      <c r="E2821" t="s">
        <v>7694</v>
      </c>
      <c r="F2821" t="s">
        <v>7695</v>
      </c>
      <c r="G2821" t="s">
        <v>7695</v>
      </c>
      <c r="H2821">
        <v>11</v>
      </c>
    </row>
    <row r="2822" spans="1:8" x14ac:dyDescent="0.25">
      <c r="A2822" t="s">
        <v>3625</v>
      </c>
      <c r="B2822">
        <v>1</v>
      </c>
      <c r="C2822">
        <v>1</v>
      </c>
      <c r="D2822">
        <v>1</v>
      </c>
      <c r="E2822" t="s">
        <v>7696</v>
      </c>
      <c r="F2822" t="s">
        <v>7696</v>
      </c>
      <c r="G2822" t="s">
        <v>7696</v>
      </c>
      <c r="H2822">
        <v>9</v>
      </c>
    </row>
    <row r="2823" spans="1:8" x14ac:dyDescent="0.25">
      <c r="A2823" t="s">
        <v>7697</v>
      </c>
      <c r="B2823">
        <v>1</v>
      </c>
      <c r="C2823">
        <v>1</v>
      </c>
      <c r="D2823">
        <v>1</v>
      </c>
      <c r="E2823" t="s">
        <v>7698</v>
      </c>
      <c r="F2823" t="s">
        <v>7698</v>
      </c>
      <c r="G2823" t="s">
        <v>7698</v>
      </c>
      <c r="H2823">
        <v>1</v>
      </c>
    </row>
    <row r="2824" spans="1:8" x14ac:dyDescent="0.25">
      <c r="A2824" t="s">
        <v>2940</v>
      </c>
      <c r="B2824">
        <v>1</v>
      </c>
      <c r="C2824">
        <v>1</v>
      </c>
      <c r="D2824">
        <v>1</v>
      </c>
      <c r="E2824" t="s">
        <v>7699</v>
      </c>
      <c r="F2824" t="s">
        <v>7699</v>
      </c>
      <c r="G2824" t="s">
        <v>7699</v>
      </c>
      <c r="H2824">
        <v>19</v>
      </c>
    </row>
    <row r="2825" spans="1:8" x14ac:dyDescent="0.25">
      <c r="A2825" t="s">
        <v>2150</v>
      </c>
      <c r="B2825">
        <v>1</v>
      </c>
      <c r="C2825">
        <v>1</v>
      </c>
      <c r="D2825">
        <v>1</v>
      </c>
      <c r="E2825" t="s">
        <v>7700</v>
      </c>
      <c r="F2825" t="s">
        <v>7700</v>
      </c>
      <c r="G2825" t="s">
        <v>7700</v>
      </c>
      <c r="H2825">
        <v>66</v>
      </c>
    </row>
    <row r="2826" spans="1:8" x14ac:dyDescent="0.25">
      <c r="A2826" t="s">
        <v>1433</v>
      </c>
      <c r="B2826">
        <v>1</v>
      </c>
      <c r="C2826">
        <v>1</v>
      </c>
      <c r="D2826">
        <v>1</v>
      </c>
      <c r="E2826" t="s">
        <v>7701</v>
      </c>
      <c r="F2826" t="s">
        <v>7701</v>
      </c>
      <c r="G2826" t="s">
        <v>7701</v>
      </c>
      <c r="H2826">
        <v>118</v>
      </c>
    </row>
    <row r="2827" spans="1:8" x14ac:dyDescent="0.25">
      <c r="A2827" t="s">
        <v>2116</v>
      </c>
      <c r="B2827">
        <v>1</v>
      </c>
      <c r="C2827">
        <v>1</v>
      </c>
      <c r="D2827">
        <v>1</v>
      </c>
      <c r="E2827" t="s">
        <v>7701</v>
      </c>
      <c r="F2827" t="s">
        <v>7701</v>
      </c>
      <c r="G2827" t="s">
        <v>7701</v>
      </c>
      <c r="H2827">
        <v>82</v>
      </c>
    </row>
    <row r="2828" spans="1:8" x14ac:dyDescent="0.25">
      <c r="A2828" t="s">
        <v>1025</v>
      </c>
      <c r="B2828">
        <v>1</v>
      </c>
      <c r="C2828">
        <v>1</v>
      </c>
      <c r="D2828">
        <v>1</v>
      </c>
      <c r="E2828" t="s">
        <v>7702</v>
      </c>
      <c r="F2828" t="s">
        <v>7702</v>
      </c>
      <c r="G2828" t="s">
        <v>7702</v>
      </c>
      <c r="H2828">
        <v>159</v>
      </c>
    </row>
    <row r="2829" spans="1:8" x14ac:dyDescent="0.25">
      <c r="A2829" t="s">
        <v>744</v>
      </c>
      <c r="B2829">
        <v>1</v>
      </c>
      <c r="C2829">
        <v>1</v>
      </c>
      <c r="D2829">
        <v>1</v>
      </c>
      <c r="E2829" t="s">
        <v>7703</v>
      </c>
      <c r="F2829" t="s">
        <v>7703</v>
      </c>
      <c r="G2829" t="s">
        <v>7703</v>
      </c>
      <c r="H2829">
        <v>192</v>
      </c>
    </row>
    <row r="2830" spans="1:8" x14ac:dyDescent="0.25">
      <c r="A2830" t="s">
        <v>3345</v>
      </c>
      <c r="B2830">
        <v>1</v>
      </c>
      <c r="C2830">
        <v>1</v>
      </c>
      <c r="D2830">
        <v>1</v>
      </c>
      <c r="E2830" t="s">
        <v>7702</v>
      </c>
      <c r="F2830" t="s">
        <v>7702</v>
      </c>
      <c r="G2830" t="s">
        <v>7702</v>
      </c>
      <c r="H2830">
        <v>12</v>
      </c>
    </row>
    <row r="2831" spans="1:8" x14ac:dyDescent="0.25">
      <c r="A2831" t="s">
        <v>3507</v>
      </c>
      <c r="B2831">
        <v>1</v>
      </c>
      <c r="C2831">
        <v>1</v>
      </c>
      <c r="D2831">
        <v>1</v>
      </c>
      <c r="E2831" t="s">
        <v>7704</v>
      </c>
      <c r="F2831" t="s">
        <v>7704</v>
      </c>
      <c r="G2831" t="s">
        <v>7704</v>
      </c>
      <c r="H2831">
        <v>6</v>
      </c>
    </row>
    <row r="2832" spans="1:8" x14ac:dyDescent="0.25">
      <c r="A2832" t="s">
        <v>2615</v>
      </c>
      <c r="B2832">
        <v>1</v>
      </c>
      <c r="C2832">
        <v>1</v>
      </c>
      <c r="D2832">
        <v>1</v>
      </c>
      <c r="E2832" t="s">
        <v>7705</v>
      </c>
      <c r="F2832" t="s">
        <v>7705</v>
      </c>
      <c r="G2832" t="s">
        <v>7705</v>
      </c>
      <c r="H2832">
        <v>85</v>
      </c>
    </row>
    <row r="2833" spans="1:8" x14ac:dyDescent="0.25">
      <c r="A2833" t="s">
        <v>2188</v>
      </c>
      <c r="B2833">
        <v>1</v>
      </c>
      <c r="C2833">
        <v>1</v>
      </c>
      <c r="D2833">
        <v>1</v>
      </c>
      <c r="E2833" t="s">
        <v>7706</v>
      </c>
      <c r="F2833" t="s">
        <v>7706</v>
      </c>
      <c r="G2833" t="s">
        <v>7706</v>
      </c>
      <c r="H2833">
        <v>95</v>
      </c>
    </row>
    <row r="2834" spans="1:8" x14ac:dyDescent="0.25">
      <c r="A2834" t="s">
        <v>3531</v>
      </c>
      <c r="B2834">
        <v>1</v>
      </c>
      <c r="C2834">
        <v>1</v>
      </c>
      <c r="D2834">
        <v>1</v>
      </c>
      <c r="E2834" t="s">
        <v>7707</v>
      </c>
      <c r="F2834" t="s">
        <v>7708</v>
      </c>
      <c r="G2834" t="s">
        <v>7708</v>
      </c>
      <c r="H2834">
        <v>8</v>
      </c>
    </row>
    <row r="2835" spans="1:8" x14ac:dyDescent="0.25">
      <c r="A2835" t="s">
        <v>7709</v>
      </c>
      <c r="B2835">
        <v>1</v>
      </c>
      <c r="C2835">
        <v>1</v>
      </c>
      <c r="D2835">
        <v>1</v>
      </c>
      <c r="E2835" t="s">
        <v>7710</v>
      </c>
      <c r="F2835" t="s">
        <v>7710</v>
      </c>
      <c r="G2835" t="s">
        <v>7710</v>
      </c>
      <c r="H2835">
        <v>1</v>
      </c>
    </row>
    <row r="2836" spans="1:8" x14ac:dyDescent="0.25">
      <c r="A2836" t="s">
        <v>416</v>
      </c>
      <c r="B2836">
        <v>1</v>
      </c>
      <c r="C2836">
        <v>1</v>
      </c>
      <c r="D2836">
        <v>1</v>
      </c>
      <c r="E2836" t="s">
        <v>7711</v>
      </c>
      <c r="F2836" t="s">
        <v>7711</v>
      </c>
      <c r="G2836" t="s">
        <v>7711</v>
      </c>
      <c r="H2836">
        <v>303</v>
      </c>
    </row>
    <row r="2837" spans="1:8" x14ac:dyDescent="0.25">
      <c r="A2837" t="s">
        <v>7712</v>
      </c>
      <c r="B2837">
        <v>1</v>
      </c>
      <c r="C2837">
        <v>1</v>
      </c>
      <c r="D2837">
        <v>1</v>
      </c>
      <c r="E2837" t="s">
        <v>7713</v>
      </c>
      <c r="F2837" t="s">
        <v>7713</v>
      </c>
      <c r="G2837" t="s">
        <v>7713</v>
      </c>
      <c r="H2837">
        <v>1</v>
      </c>
    </row>
    <row r="2838" spans="1:8" x14ac:dyDescent="0.25">
      <c r="A2838" t="s">
        <v>725</v>
      </c>
      <c r="B2838">
        <v>1</v>
      </c>
      <c r="C2838">
        <v>1</v>
      </c>
      <c r="D2838">
        <v>1</v>
      </c>
      <c r="E2838" t="s">
        <v>7714</v>
      </c>
      <c r="F2838" t="s">
        <v>7714</v>
      </c>
      <c r="G2838" t="s">
        <v>7714</v>
      </c>
      <c r="H2838">
        <v>156</v>
      </c>
    </row>
    <row r="2839" spans="1:8" x14ac:dyDescent="0.25">
      <c r="A2839" t="s">
        <v>3106</v>
      </c>
      <c r="B2839">
        <v>1</v>
      </c>
      <c r="C2839">
        <v>1</v>
      </c>
      <c r="D2839">
        <v>1</v>
      </c>
      <c r="E2839" t="s">
        <v>7715</v>
      </c>
      <c r="F2839" t="s">
        <v>7715</v>
      </c>
      <c r="G2839" t="s">
        <v>7715</v>
      </c>
      <c r="H2839">
        <v>20</v>
      </c>
    </row>
    <row r="2840" spans="1:8" x14ac:dyDescent="0.25">
      <c r="A2840" t="s">
        <v>7716</v>
      </c>
      <c r="B2840">
        <v>0</v>
      </c>
      <c r="C2840">
        <v>0</v>
      </c>
      <c r="D2840">
        <v>0</v>
      </c>
      <c r="G2840" t="s">
        <v>4256</v>
      </c>
      <c r="H2840">
        <v>1</v>
      </c>
    </row>
    <row r="2841" spans="1:8" x14ac:dyDescent="0.25">
      <c r="A2841" t="s">
        <v>3563</v>
      </c>
      <c r="B2841">
        <v>1</v>
      </c>
      <c r="C2841">
        <v>1</v>
      </c>
      <c r="D2841">
        <v>1</v>
      </c>
      <c r="E2841" t="s">
        <v>7717</v>
      </c>
      <c r="F2841" t="s">
        <v>7718</v>
      </c>
      <c r="G2841" t="s">
        <v>7718</v>
      </c>
      <c r="H2841">
        <v>2</v>
      </c>
    </row>
    <row r="2842" spans="1:8" x14ac:dyDescent="0.25">
      <c r="A2842" t="s">
        <v>7719</v>
      </c>
      <c r="B2842">
        <v>0</v>
      </c>
      <c r="C2842">
        <v>0</v>
      </c>
      <c r="D2842">
        <v>0</v>
      </c>
      <c r="G2842" t="s">
        <v>4256</v>
      </c>
      <c r="H2842">
        <v>1</v>
      </c>
    </row>
    <row r="2843" spans="1:8" x14ac:dyDescent="0.25">
      <c r="A2843" t="s">
        <v>7720</v>
      </c>
      <c r="B2843">
        <v>0</v>
      </c>
      <c r="C2843">
        <v>0</v>
      </c>
      <c r="D2843">
        <v>0</v>
      </c>
      <c r="G2843" t="s">
        <v>4256</v>
      </c>
      <c r="H2843">
        <v>1</v>
      </c>
    </row>
    <row r="2844" spans="1:8" x14ac:dyDescent="0.25">
      <c r="A2844" t="s">
        <v>3826</v>
      </c>
      <c r="B2844">
        <v>1</v>
      </c>
      <c r="C2844">
        <v>1</v>
      </c>
      <c r="D2844">
        <v>1</v>
      </c>
      <c r="E2844" t="s">
        <v>7721</v>
      </c>
      <c r="F2844" t="s">
        <v>7721</v>
      </c>
      <c r="G2844" t="s">
        <v>7721</v>
      </c>
      <c r="H2844">
        <v>4</v>
      </c>
    </row>
    <row r="2845" spans="1:8" x14ac:dyDescent="0.25">
      <c r="A2845" t="s">
        <v>3058</v>
      </c>
      <c r="B2845">
        <v>1</v>
      </c>
      <c r="C2845">
        <v>1</v>
      </c>
      <c r="D2845">
        <v>1</v>
      </c>
      <c r="E2845" t="s">
        <v>7722</v>
      </c>
      <c r="F2845" t="s">
        <v>7722</v>
      </c>
      <c r="G2845" t="s">
        <v>7722</v>
      </c>
      <c r="H2845">
        <v>19</v>
      </c>
    </row>
    <row r="2846" spans="1:8" x14ac:dyDescent="0.25">
      <c r="A2846" t="s">
        <v>1831</v>
      </c>
      <c r="B2846">
        <v>1</v>
      </c>
      <c r="C2846">
        <v>1</v>
      </c>
      <c r="D2846">
        <v>1</v>
      </c>
      <c r="E2846" t="s">
        <v>7723</v>
      </c>
      <c r="F2846" t="s">
        <v>7723</v>
      </c>
      <c r="G2846" t="s">
        <v>7723</v>
      </c>
      <c r="H2846">
        <v>79</v>
      </c>
    </row>
    <row r="2847" spans="1:8" x14ac:dyDescent="0.25">
      <c r="A2847" t="s">
        <v>2449</v>
      </c>
      <c r="B2847">
        <v>1</v>
      </c>
      <c r="C2847">
        <v>1</v>
      </c>
      <c r="D2847">
        <v>1</v>
      </c>
      <c r="E2847" t="s">
        <v>7724</v>
      </c>
      <c r="F2847" t="s">
        <v>7724</v>
      </c>
      <c r="G2847" t="s">
        <v>7724</v>
      </c>
      <c r="H2847">
        <v>33</v>
      </c>
    </row>
    <row r="2848" spans="1:8" x14ac:dyDescent="0.25">
      <c r="A2848" t="s">
        <v>2659</v>
      </c>
      <c r="B2848">
        <v>1</v>
      </c>
      <c r="C2848">
        <v>1</v>
      </c>
      <c r="D2848">
        <v>1</v>
      </c>
      <c r="E2848" t="s">
        <v>7725</v>
      </c>
      <c r="F2848" t="s">
        <v>7726</v>
      </c>
      <c r="G2848" t="s">
        <v>7726</v>
      </c>
      <c r="H2848">
        <v>41</v>
      </c>
    </row>
    <row r="2849" spans="1:8" x14ac:dyDescent="0.25">
      <c r="A2849" t="s">
        <v>2716</v>
      </c>
      <c r="B2849">
        <v>1</v>
      </c>
      <c r="C2849">
        <v>1</v>
      </c>
      <c r="D2849">
        <v>1</v>
      </c>
      <c r="E2849" t="s">
        <v>7727</v>
      </c>
      <c r="F2849" t="s">
        <v>7727</v>
      </c>
      <c r="G2849" t="s">
        <v>7727</v>
      </c>
      <c r="H2849">
        <v>37</v>
      </c>
    </row>
    <row r="2850" spans="1:8" x14ac:dyDescent="0.25">
      <c r="A2850" t="s">
        <v>2790</v>
      </c>
      <c r="B2850">
        <v>1</v>
      </c>
      <c r="C2850">
        <v>1</v>
      </c>
      <c r="D2850">
        <v>1</v>
      </c>
      <c r="E2850" t="s">
        <v>7728</v>
      </c>
      <c r="F2850" t="s">
        <v>7728</v>
      </c>
      <c r="G2850" t="s">
        <v>7728</v>
      </c>
      <c r="H2850">
        <v>34</v>
      </c>
    </row>
    <row r="2851" spans="1:8" x14ac:dyDescent="0.25">
      <c r="A2851" t="s">
        <v>1592</v>
      </c>
      <c r="B2851">
        <v>1</v>
      </c>
      <c r="C2851">
        <v>1</v>
      </c>
      <c r="D2851">
        <v>1</v>
      </c>
      <c r="E2851" t="s">
        <v>7729</v>
      </c>
      <c r="F2851" t="s">
        <v>7729</v>
      </c>
      <c r="G2851" t="s">
        <v>7729</v>
      </c>
      <c r="H2851">
        <v>142</v>
      </c>
    </row>
    <row r="2852" spans="1:8" x14ac:dyDescent="0.25">
      <c r="A2852" t="s">
        <v>7730</v>
      </c>
      <c r="B2852">
        <v>0</v>
      </c>
      <c r="C2852">
        <v>0</v>
      </c>
      <c r="D2852">
        <v>0</v>
      </c>
      <c r="G2852" t="s">
        <v>4256</v>
      </c>
      <c r="H2852">
        <v>1</v>
      </c>
    </row>
    <row r="2853" spans="1:8" x14ac:dyDescent="0.25">
      <c r="A2853" t="s">
        <v>2899</v>
      </c>
      <c r="B2853">
        <v>2</v>
      </c>
      <c r="C2853">
        <v>2</v>
      </c>
      <c r="D2853">
        <v>2</v>
      </c>
      <c r="E2853" t="s">
        <v>7731</v>
      </c>
      <c r="F2853" t="s">
        <v>7731</v>
      </c>
      <c r="G2853" t="s">
        <v>4256</v>
      </c>
      <c r="H2853">
        <v>20</v>
      </c>
    </row>
    <row r="2854" spans="1:8" x14ac:dyDescent="0.25">
      <c r="A2854" t="s">
        <v>3115</v>
      </c>
      <c r="B2854">
        <v>1</v>
      </c>
      <c r="C2854">
        <v>1</v>
      </c>
      <c r="D2854">
        <v>1</v>
      </c>
      <c r="E2854" t="s">
        <v>7732</v>
      </c>
      <c r="F2854" t="s">
        <v>7732</v>
      </c>
      <c r="G2854" t="s">
        <v>7732</v>
      </c>
      <c r="H2854">
        <v>18</v>
      </c>
    </row>
    <row r="2855" spans="1:8" x14ac:dyDescent="0.25">
      <c r="A2855" t="s">
        <v>3281</v>
      </c>
      <c r="B2855">
        <v>1</v>
      </c>
      <c r="C2855">
        <v>1</v>
      </c>
      <c r="D2855">
        <v>1</v>
      </c>
      <c r="E2855" t="s">
        <v>7733</v>
      </c>
      <c r="F2855" t="s">
        <v>7733</v>
      </c>
      <c r="G2855" t="s">
        <v>7733</v>
      </c>
      <c r="H2855">
        <v>15</v>
      </c>
    </row>
    <row r="2856" spans="1:8" x14ac:dyDescent="0.25">
      <c r="A2856" t="s">
        <v>3180</v>
      </c>
      <c r="B2856">
        <v>1</v>
      </c>
      <c r="C2856">
        <v>1</v>
      </c>
      <c r="D2856">
        <v>1</v>
      </c>
      <c r="E2856" t="s">
        <v>7734</v>
      </c>
      <c r="F2856" t="s">
        <v>7734</v>
      </c>
      <c r="G2856" t="s">
        <v>7734</v>
      </c>
      <c r="H2856">
        <v>25</v>
      </c>
    </row>
    <row r="2857" spans="1:8" x14ac:dyDescent="0.25">
      <c r="A2857" t="s">
        <v>2890</v>
      </c>
      <c r="B2857">
        <v>1</v>
      </c>
      <c r="C2857">
        <v>1</v>
      </c>
      <c r="D2857">
        <v>1</v>
      </c>
      <c r="E2857" t="s">
        <v>7732</v>
      </c>
      <c r="F2857" t="s">
        <v>7732</v>
      </c>
      <c r="G2857" t="s">
        <v>7732</v>
      </c>
      <c r="H2857">
        <v>44</v>
      </c>
    </row>
    <row r="2858" spans="1:8" x14ac:dyDescent="0.25">
      <c r="A2858" t="s">
        <v>1529</v>
      </c>
      <c r="B2858">
        <v>4</v>
      </c>
      <c r="C2858">
        <v>4</v>
      </c>
      <c r="D2858">
        <v>4</v>
      </c>
      <c r="E2858" t="s">
        <v>7735</v>
      </c>
      <c r="F2858" t="s">
        <v>7735</v>
      </c>
      <c r="G2858" t="s">
        <v>4256</v>
      </c>
      <c r="H2858">
        <v>72</v>
      </c>
    </row>
    <row r="2859" spans="1:8" x14ac:dyDescent="0.25">
      <c r="A2859" t="s">
        <v>1203</v>
      </c>
      <c r="B2859">
        <v>2</v>
      </c>
      <c r="C2859">
        <v>2</v>
      </c>
      <c r="D2859">
        <v>2</v>
      </c>
      <c r="E2859" t="s">
        <v>7736</v>
      </c>
      <c r="F2859" t="s">
        <v>7736</v>
      </c>
      <c r="G2859" t="s">
        <v>4256</v>
      </c>
      <c r="H2859">
        <v>91</v>
      </c>
    </row>
    <row r="2860" spans="1:8" x14ac:dyDescent="0.25">
      <c r="A2860" t="s">
        <v>987</v>
      </c>
      <c r="B2860">
        <v>3</v>
      </c>
      <c r="C2860">
        <v>3</v>
      </c>
      <c r="D2860">
        <v>3</v>
      </c>
      <c r="E2860" t="s">
        <v>7737</v>
      </c>
      <c r="F2860" t="s">
        <v>7737</v>
      </c>
      <c r="G2860" t="s">
        <v>4256</v>
      </c>
      <c r="H2860">
        <v>117</v>
      </c>
    </row>
    <row r="2861" spans="1:8" x14ac:dyDescent="0.25">
      <c r="A2861" t="s">
        <v>3371</v>
      </c>
      <c r="B2861">
        <v>1</v>
      </c>
      <c r="C2861">
        <v>1</v>
      </c>
      <c r="D2861">
        <v>1</v>
      </c>
      <c r="E2861" t="s">
        <v>7738</v>
      </c>
      <c r="F2861" t="s">
        <v>7738</v>
      </c>
      <c r="G2861" t="s">
        <v>7738</v>
      </c>
      <c r="H2861">
        <v>2</v>
      </c>
    </row>
    <row r="2862" spans="1:8" x14ac:dyDescent="0.25">
      <c r="A2862" t="s">
        <v>3879</v>
      </c>
      <c r="B2862">
        <v>1</v>
      </c>
      <c r="C2862">
        <v>1</v>
      </c>
      <c r="D2862">
        <v>1</v>
      </c>
      <c r="E2862" t="s">
        <v>7739</v>
      </c>
      <c r="F2862" t="s">
        <v>7739</v>
      </c>
      <c r="G2862" t="s">
        <v>7739</v>
      </c>
      <c r="H2862">
        <v>1</v>
      </c>
    </row>
    <row r="2863" spans="1:8" x14ac:dyDescent="0.25">
      <c r="A2863" t="s">
        <v>2025</v>
      </c>
      <c r="B2863">
        <v>3</v>
      </c>
      <c r="C2863">
        <v>3</v>
      </c>
      <c r="D2863">
        <v>3</v>
      </c>
      <c r="E2863" t="s">
        <v>7740</v>
      </c>
      <c r="F2863" t="s">
        <v>7740</v>
      </c>
      <c r="G2863" t="s">
        <v>4256</v>
      </c>
      <c r="H2863">
        <v>46</v>
      </c>
    </row>
    <row r="2864" spans="1:8" x14ac:dyDescent="0.25">
      <c r="A2864" t="s">
        <v>7741</v>
      </c>
      <c r="B2864">
        <v>0</v>
      </c>
      <c r="C2864">
        <v>0</v>
      </c>
      <c r="D2864">
        <v>0</v>
      </c>
      <c r="G2864" t="s">
        <v>4256</v>
      </c>
      <c r="H2864">
        <v>1</v>
      </c>
    </row>
    <row r="2865" spans="1:8" x14ac:dyDescent="0.25">
      <c r="A2865" t="s">
        <v>3871</v>
      </c>
      <c r="B2865">
        <v>1</v>
      </c>
      <c r="C2865">
        <v>1</v>
      </c>
      <c r="D2865">
        <v>1</v>
      </c>
      <c r="E2865" t="s">
        <v>7742</v>
      </c>
      <c r="F2865" t="s">
        <v>7742</v>
      </c>
      <c r="G2865" t="s">
        <v>7742</v>
      </c>
      <c r="H2865">
        <v>1</v>
      </c>
    </row>
    <row r="2866" spans="1:8" x14ac:dyDescent="0.25">
      <c r="A2866" t="s">
        <v>1255</v>
      </c>
      <c r="B2866">
        <v>5</v>
      </c>
      <c r="C2866">
        <v>5</v>
      </c>
      <c r="D2866">
        <v>5</v>
      </c>
      <c r="E2866" t="s">
        <v>7743</v>
      </c>
      <c r="F2866" t="s">
        <v>7743</v>
      </c>
      <c r="G2866" t="s">
        <v>4256</v>
      </c>
      <c r="H2866">
        <v>118</v>
      </c>
    </row>
    <row r="2867" spans="1:8" x14ac:dyDescent="0.25">
      <c r="A2867" t="s">
        <v>1266</v>
      </c>
      <c r="B2867">
        <v>4</v>
      </c>
      <c r="C2867">
        <v>4</v>
      </c>
      <c r="D2867">
        <v>4</v>
      </c>
      <c r="E2867" t="s">
        <v>7744</v>
      </c>
      <c r="F2867" t="s">
        <v>7744</v>
      </c>
      <c r="G2867" t="s">
        <v>4256</v>
      </c>
      <c r="H2867">
        <v>118</v>
      </c>
    </row>
    <row r="2868" spans="1:8" x14ac:dyDescent="0.25">
      <c r="A2868" t="s">
        <v>892</v>
      </c>
      <c r="B2868">
        <v>4</v>
      </c>
      <c r="C2868">
        <v>4</v>
      </c>
      <c r="D2868">
        <v>4</v>
      </c>
      <c r="E2868" t="s">
        <v>7745</v>
      </c>
      <c r="F2868" t="s">
        <v>7745</v>
      </c>
      <c r="G2868" t="s">
        <v>4256</v>
      </c>
      <c r="H2868">
        <v>170</v>
      </c>
    </row>
    <row r="2869" spans="1:8" x14ac:dyDescent="0.25">
      <c r="A2869" t="s">
        <v>3320</v>
      </c>
      <c r="B2869">
        <v>1</v>
      </c>
      <c r="C2869">
        <v>1</v>
      </c>
      <c r="D2869">
        <v>1</v>
      </c>
      <c r="E2869" t="s">
        <v>7746</v>
      </c>
      <c r="F2869" t="s">
        <v>7746</v>
      </c>
      <c r="G2869" t="s">
        <v>7746</v>
      </c>
      <c r="H2869">
        <v>5</v>
      </c>
    </row>
    <row r="2870" spans="1:8" x14ac:dyDescent="0.25">
      <c r="A2870" t="s">
        <v>3566</v>
      </c>
      <c r="B2870">
        <v>1</v>
      </c>
      <c r="C2870">
        <v>1</v>
      </c>
      <c r="D2870">
        <v>1</v>
      </c>
      <c r="E2870" t="s">
        <v>7747</v>
      </c>
      <c r="F2870" t="s">
        <v>7747</v>
      </c>
      <c r="G2870" t="s">
        <v>7747</v>
      </c>
      <c r="H2870">
        <v>4</v>
      </c>
    </row>
    <row r="2871" spans="1:8" x14ac:dyDescent="0.25">
      <c r="A2871" t="s">
        <v>3486</v>
      </c>
      <c r="B2871">
        <v>1</v>
      </c>
      <c r="C2871">
        <v>1</v>
      </c>
      <c r="D2871">
        <v>1</v>
      </c>
      <c r="E2871" t="s">
        <v>7748</v>
      </c>
      <c r="F2871" t="s">
        <v>7748</v>
      </c>
      <c r="G2871" t="s">
        <v>7748</v>
      </c>
      <c r="H2871">
        <v>5</v>
      </c>
    </row>
    <row r="2872" spans="1:8" x14ac:dyDescent="0.25">
      <c r="A2872" t="s">
        <v>3246</v>
      </c>
      <c r="B2872">
        <v>1</v>
      </c>
      <c r="C2872">
        <v>1</v>
      </c>
      <c r="D2872">
        <v>1</v>
      </c>
      <c r="E2872" t="s">
        <v>7749</v>
      </c>
      <c r="F2872" t="s">
        <v>7749</v>
      </c>
      <c r="G2872" t="s">
        <v>7749</v>
      </c>
      <c r="H2872">
        <v>8</v>
      </c>
    </row>
    <row r="2873" spans="1:8" x14ac:dyDescent="0.25">
      <c r="A2873" t="s">
        <v>3108</v>
      </c>
      <c r="B2873">
        <v>1</v>
      </c>
      <c r="C2873">
        <v>1</v>
      </c>
      <c r="D2873">
        <v>1</v>
      </c>
      <c r="E2873" t="s">
        <v>7750</v>
      </c>
      <c r="F2873" t="s">
        <v>7750</v>
      </c>
      <c r="G2873" t="s">
        <v>7750</v>
      </c>
      <c r="H2873">
        <v>11</v>
      </c>
    </row>
    <row r="2874" spans="1:8" x14ac:dyDescent="0.25">
      <c r="A2874" t="s">
        <v>7751</v>
      </c>
      <c r="B2874">
        <v>0</v>
      </c>
      <c r="C2874">
        <v>0</v>
      </c>
      <c r="D2874">
        <v>0</v>
      </c>
      <c r="G2874" t="s">
        <v>4256</v>
      </c>
      <c r="H2874">
        <v>1</v>
      </c>
    </row>
    <row r="2875" spans="1:8" x14ac:dyDescent="0.25">
      <c r="A2875" t="s">
        <v>3748</v>
      </c>
      <c r="B2875">
        <v>1</v>
      </c>
      <c r="C2875">
        <v>1</v>
      </c>
      <c r="D2875">
        <v>1</v>
      </c>
      <c r="E2875" t="s">
        <v>7752</v>
      </c>
      <c r="F2875" t="s">
        <v>7753</v>
      </c>
      <c r="G2875" t="s">
        <v>7753</v>
      </c>
      <c r="H2875">
        <v>4</v>
      </c>
    </row>
    <row r="2876" spans="1:8" x14ac:dyDescent="0.25">
      <c r="A2876" t="s">
        <v>1756</v>
      </c>
      <c r="B2876">
        <v>1</v>
      </c>
      <c r="C2876">
        <v>1</v>
      </c>
      <c r="D2876">
        <v>1</v>
      </c>
      <c r="E2876" t="s">
        <v>7754</v>
      </c>
      <c r="F2876" t="s">
        <v>7754</v>
      </c>
      <c r="G2876" t="s">
        <v>7754</v>
      </c>
      <c r="H2876">
        <v>73</v>
      </c>
    </row>
    <row r="2877" spans="1:8" x14ac:dyDescent="0.25">
      <c r="A2877" t="s">
        <v>1580</v>
      </c>
      <c r="B2877">
        <v>3</v>
      </c>
      <c r="C2877">
        <v>3</v>
      </c>
      <c r="D2877">
        <v>3</v>
      </c>
      <c r="E2877" t="s">
        <v>7755</v>
      </c>
      <c r="F2877" t="s">
        <v>7755</v>
      </c>
      <c r="G2877" t="s">
        <v>4256</v>
      </c>
      <c r="H2877">
        <v>168</v>
      </c>
    </row>
    <row r="2878" spans="1:8" x14ac:dyDescent="0.25">
      <c r="A2878" t="s">
        <v>1920</v>
      </c>
      <c r="B2878">
        <v>2</v>
      </c>
      <c r="C2878">
        <v>2</v>
      </c>
      <c r="D2878">
        <v>2</v>
      </c>
      <c r="E2878" t="s">
        <v>7756</v>
      </c>
      <c r="F2878" t="s">
        <v>7756</v>
      </c>
      <c r="G2878" t="s">
        <v>4256</v>
      </c>
      <c r="H2878">
        <v>83</v>
      </c>
    </row>
    <row r="2879" spans="1:8" x14ac:dyDescent="0.25">
      <c r="A2879" t="s">
        <v>2324</v>
      </c>
      <c r="B2879">
        <v>1</v>
      </c>
      <c r="C2879">
        <v>1</v>
      </c>
      <c r="D2879">
        <v>1</v>
      </c>
      <c r="E2879" t="s">
        <v>7757</v>
      </c>
      <c r="F2879" t="s">
        <v>7757</v>
      </c>
      <c r="G2879" t="s">
        <v>7757</v>
      </c>
      <c r="H2879">
        <v>43</v>
      </c>
    </row>
    <row r="2880" spans="1:8" x14ac:dyDescent="0.25">
      <c r="A2880" t="s">
        <v>3710</v>
      </c>
      <c r="B2880">
        <v>1</v>
      </c>
      <c r="C2880">
        <v>1</v>
      </c>
      <c r="D2880">
        <v>1</v>
      </c>
      <c r="E2880" t="s">
        <v>7758</v>
      </c>
      <c r="F2880" t="s">
        <v>7758</v>
      </c>
      <c r="G2880" t="s">
        <v>7758</v>
      </c>
      <c r="H2880">
        <v>5</v>
      </c>
    </row>
    <row r="2881" spans="1:8" x14ac:dyDescent="0.25">
      <c r="A2881" t="s">
        <v>3027</v>
      </c>
      <c r="B2881">
        <v>1</v>
      </c>
      <c r="C2881">
        <v>1</v>
      </c>
      <c r="D2881">
        <v>1</v>
      </c>
      <c r="E2881" t="s">
        <v>7759</v>
      </c>
      <c r="F2881" t="s">
        <v>7759</v>
      </c>
      <c r="G2881" t="s">
        <v>7759</v>
      </c>
      <c r="H2881">
        <v>12</v>
      </c>
    </row>
    <row r="2882" spans="1:8" x14ac:dyDescent="0.25">
      <c r="A2882" t="s">
        <v>3493</v>
      </c>
      <c r="B2882">
        <v>1</v>
      </c>
      <c r="C2882">
        <v>1</v>
      </c>
      <c r="D2882">
        <v>1</v>
      </c>
      <c r="E2882" t="s">
        <v>7760</v>
      </c>
      <c r="F2882" t="s">
        <v>7760</v>
      </c>
      <c r="G2882" t="s">
        <v>7760</v>
      </c>
      <c r="H2882">
        <v>8</v>
      </c>
    </row>
    <row r="2883" spans="1:8" x14ac:dyDescent="0.25">
      <c r="A2883" t="s">
        <v>496</v>
      </c>
      <c r="B2883">
        <v>1</v>
      </c>
      <c r="C2883">
        <v>1</v>
      </c>
      <c r="D2883">
        <v>1</v>
      </c>
      <c r="E2883" t="s">
        <v>7761</v>
      </c>
      <c r="F2883" t="s">
        <v>7761</v>
      </c>
      <c r="G2883" t="s">
        <v>7761</v>
      </c>
      <c r="H2883">
        <v>231</v>
      </c>
    </row>
    <row r="2884" spans="1:8" x14ac:dyDescent="0.25">
      <c r="A2884" t="s">
        <v>2300</v>
      </c>
      <c r="B2884">
        <v>1</v>
      </c>
      <c r="C2884">
        <v>1</v>
      </c>
      <c r="D2884">
        <v>1</v>
      </c>
      <c r="E2884" t="s">
        <v>7762</v>
      </c>
      <c r="F2884" t="s">
        <v>7762</v>
      </c>
      <c r="G2884" t="s">
        <v>7762</v>
      </c>
      <c r="H2884">
        <v>16</v>
      </c>
    </row>
    <row r="2885" spans="1:8" x14ac:dyDescent="0.25">
      <c r="A2885" t="s">
        <v>3223</v>
      </c>
      <c r="B2885">
        <v>1</v>
      </c>
      <c r="C2885">
        <v>1</v>
      </c>
      <c r="D2885">
        <v>1</v>
      </c>
      <c r="E2885" t="s">
        <v>7763</v>
      </c>
      <c r="F2885" t="s">
        <v>7763</v>
      </c>
      <c r="G2885" t="s">
        <v>7763</v>
      </c>
      <c r="H2885">
        <v>9</v>
      </c>
    </row>
    <row r="2886" spans="1:8" x14ac:dyDescent="0.25">
      <c r="A2886" t="s">
        <v>2809</v>
      </c>
      <c r="B2886">
        <v>1</v>
      </c>
      <c r="C2886">
        <v>1</v>
      </c>
      <c r="D2886">
        <v>1</v>
      </c>
      <c r="E2886" t="s">
        <v>7764</v>
      </c>
      <c r="F2886" t="s">
        <v>7764</v>
      </c>
      <c r="G2886" t="s">
        <v>7764</v>
      </c>
      <c r="H2886">
        <v>13</v>
      </c>
    </row>
    <row r="2887" spans="1:8" x14ac:dyDescent="0.25">
      <c r="A2887" t="s">
        <v>4006</v>
      </c>
      <c r="B2887">
        <v>1</v>
      </c>
      <c r="C2887">
        <v>1</v>
      </c>
      <c r="D2887">
        <v>1</v>
      </c>
      <c r="E2887" t="s">
        <v>7765</v>
      </c>
      <c r="F2887" t="s">
        <v>7765</v>
      </c>
      <c r="G2887" t="s">
        <v>7765</v>
      </c>
      <c r="H2887">
        <v>2</v>
      </c>
    </row>
    <row r="2888" spans="1:8" x14ac:dyDescent="0.25">
      <c r="A2888" t="s">
        <v>7766</v>
      </c>
      <c r="B2888">
        <v>0</v>
      </c>
      <c r="C2888">
        <v>0</v>
      </c>
      <c r="D2888">
        <v>0</v>
      </c>
      <c r="G2888" t="s">
        <v>4256</v>
      </c>
      <c r="H2888">
        <v>1</v>
      </c>
    </row>
    <row r="2889" spans="1:8" x14ac:dyDescent="0.25">
      <c r="A2889" t="s">
        <v>2443</v>
      </c>
      <c r="B2889">
        <v>1</v>
      </c>
      <c r="C2889">
        <v>1</v>
      </c>
      <c r="D2889">
        <v>1</v>
      </c>
      <c r="E2889" t="s">
        <v>7767</v>
      </c>
      <c r="F2889" t="s">
        <v>7767</v>
      </c>
      <c r="G2889" t="s">
        <v>7767</v>
      </c>
      <c r="H2889">
        <v>25</v>
      </c>
    </row>
    <row r="2890" spans="1:8" x14ac:dyDescent="0.25">
      <c r="A2890" t="s">
        <v>7768</v>
      </c>
      <c r="B2890">
        <v>0</v>
      </c>
      <c r="C2890">
        <v>0</v>
      </c>
      <c r="D2890">
        <v>0</v>
      </c>
      <c r="G2890" t="s">
        <v>4256</v>
      </c>
      <c r="H2890">
        <v>1</v>
      </c>
    </row>
    <row r="2891" spans="1:8" x14ac:dyDescent="0.25">
      <c r="A2891" t="s">
        <v>2889</v>
      </c>
      <c r="B2891">
        <v>1</v>
      </c>
      <c r="C2891">
        <v>1</v>
      </c>
      <c r="D2891">
        <v>1</v>
      </c>
      <c r="E2891" t="s">
        <v>7769</v>
      </c>
      <c r="F2891" t="s">
        <v>7769</v>
      </c>
      <c r="G2891" t="s">
        <v>7769</v>
      </c>
      <c r="H2891">
        <v>10</v>
      </c>
    </row>
    <row r="2892" spans="1:8" x14ac:dyDescent="0.25">
      <c r="A2892" t="s">
        <v>3753</v>
      </c>
      <c r="B2892">
        <v>1</v>
      </c>
      <c r="C2892">
        <v>1</v>
      </c>
      <c r="D2892">
        <v>1</v>
      </c>
      <c r="E2892" t="s">
        <v>7770</v>
      </c>
      <c r="F2892" t="s">
        <v>7770</v>
      </c>
      <c r="G2892" t="s">
        <v>7770</v>
      </c>
      <c r="H2892">
        <v>7</v>
      </c>
    </row>
    <row r="2893" spans="1:8" x14ac:dyDescent="0.25">
      <c r="A2893" t="s">
        <v>2728</v>
      </c>
      <c r="B2893">
        <v>1</v>
      </c>
      <c r="C2893">
        <v>1</v>
      </c>
      <c r="D2893">
        <v>1</v>
      </c>
      <c r="E2893" t="s">
        <v>7771</v>
      </c>
      <c r="F2893" t="s">
        <v>7772</v>
      </c>
      <c r="G2893" t="s">
        <v>7772</v>
      </c>
      <c r="H2893">
        <v>19</v>
      </c>
    </row>
    <row r="2894" spans="1:8" x14ac:dyDescent="0.25">
      <c r="A2894" t="s">
        <v>859</v>
      </c>
      <c r="B2894">
        <v>1</v>
      </c>
      <c r="C2894">
        <v>1</v>
      </c>
      <c r="D2894">
        <v>1</v>
      </c>
      <c r="E2894" t="s">
        <v>7773</v>
      </c>
      <c r="F2894" t="s">
        <v>7773</v>
      </c>
      <c r="G2894" t="s">
        <v>7773</v>
      </c>
      <c r="H2894">
        <v>134</v>
      </c>
    </row>
    <row r="2895" spans="1:8" x14ac:dyDescent="0.25">
      <c r="A2895" t="s">
        <v>3831</v>
      </c>
      <c r="B2895">
        <v>1</v>
      </c>
      <c r="C2895">
        <v>1</v>
      </c>
      <c r="D2895">
        <v>1</v>
      </c>
      <c r="E2895" t="s">
        <v>7774</v>
      </c>
      <c r="F2895" t="s">
        <v>7774</v>
      </c>
      <c r="G2895" t="s">
        <v>7774</v>
      </c>
      <c r="H2895">
        <v>10</v>
      </c>
    </row>
    <row r="2896" spans="1:8" x14ac:dyDescent="0.25">
      <c r="A2896" t="s">
        <v>2563</v>
      </c>
      <c r="B2896">
        <v>3</v>
      </c>
      <c r="C2896">
        <v>3</v>
      </c>
      <c r="D2896">
        <v>3</v>
      </c>
      <c r="E2896" t="s">
        <v>7775</v>
      </c>
      <c r="F2896" t="s">
        <v>7775</v>
      </c>
      <c r="G2896" t="s">
        <v>4256</v>
      </c>
      <c r="H2896">
        <v>51</v>
      </c>
    </row>
    <row r="2897" spans="1:8" x14ac:dyDescent="0.25">
      <c r="A2897" t="s">
        <v>2020</v>
      </c>
      <c r="B2897">
        <v>4</v>
      </c>
      <c r="C2897">
        <v>4</v>
      </c>
      <c r="D2897">
        <v>4</v>
      </c>
      <c r="E2897" t="s">
        <v>7776</v>
      </c>
      <c r="F2897" t="s">
        <v>7776</v>
      </c>
      <c r="G2897" t="s">
        <v>4256</v>
      </c>
      <c r="H2897">
        <v>70</v>
      </c>
    </row>
    <row r="2898" spans="1:8" x14ac:dyDescent="0.25">
      <c r="A2898" t="s">
        <v>2654</v>
      </c>
      <c r="B2898">
        <v>3</v>
      </c>
      <c r="C2898">
        <v>3</v>
      </c>
      <c r="D2898">
        <v>3</v>
      </c>
      <c r="E2898" t="s">
        <v>7777</v>
      </c>
      <c r="F2898" t="s">
        <v>7777</v>
      </c>
      <c r="G2898" t="s">
        <v>4256</v>
      </c>
      <c r="H2898">
        <v>45</v>
      </c>
    </row>
    <row r="2899" spans="1:8" x14ac:dyDescent="0.25">
      <c r="A2899" t="s">
        <v>3702</v>
      </c>
      <c r="B2899">
        <v>1</v>
      </c>
      <c r="C2899">
        <v>1</v>
      </c>
      <c r="D2899">
        <v>1</v>
      </c>
      <c r="E2899" t="s">
        <v>7778</v>
      </c>
      <c r="F2899" t="s">
        <v>7778</v>
      </c>
      <c r="G2899" t="s">
        <v>7778</v>
      </c>
      <c r="H2899">
        <v>5</v>
      </c>
    </row>
    <row r="2900" spans="1:8" x14ac:dyDescent="0.25">
      <c r="A2900" t="s">
        <v>3467</v>
      </c>
      <c r="B2900">
        <v>1</v>
      </c>
      <c r="C2900">
        <v>1</v>
      </c>
      <c r="D2900">
        <v>1</v>
      </c>
      <c r="E2900" t="s">
        <v>7779</v>
      </c>
      <c r="F2900" t="s">
        <v>7779</v>
      </c>
      <c r="G2900" t="s">
        <v>7779</v>
      </c>
      <c r="H2900">
        <v>15</v>
      </c>
    </row>
    <row r="2901" spans="1:8" x14ac:dyDescent="0.25">
      <c r="A2901" t="s">
        <v>3546</v>
      </c>
      <c r="B2901">
        <v>1</v>
      </c>
      <c r="C2901">
        <v>1</v>
      </c>
      <c r="D2901">
        <v>1</v>
      </c>
      <c r="E2901" t="s">
        <v>7780</v>
      </c>
      <c r="F2901" t="s">
        <v>7780</v>
      </c>
      <c r="G2901" t="s">
        <v>7780</v>
      </c>
      <c r="H2901">
        <v>13</v>
      </c>
    </row>
    <row r="2902" spans="1:8" x14ac:dyDescent="0.25">
      <c r="A2902" t="s">
        <v>2078</v>
      </c>
      <c r="B2902">
        <v>1</v>
      </c>
      <c r="C2902">
        <v>1</v>
      </c>
      <c r="D2902">
        <v>1</v>
      </c>
      <c r="E2902" t="s">
        <v>7781</v>
      </c>
      <c r="F2902" t="s">
        <v>7781</v>
      </c>
      <c r="G2902" t="s">
        <v>7781</v>
      </c>
      <c r="H2902">
        <v>149</v>
      </c>
    </row>
    <row r="2903" spans="1:8" x14ac:dyDescent="0.25">
      <c r="A2903" t="s">
        <v>3613</v>
      </c>
      <c r="B2903">
        <v>1</v>
      </c>
      <c r="C2903">
        <v>1</v>
      </c>
      <c r="D2903">
        <v>1</v>
      </c>
      <c r="E2903" t="s">
        <v>7781</v>
      </c>
      <c r="F2903" t="s">
        <v>7781</v>
      </c>
      <c r="G2903" t="s">
        <v>7781</v>
      </c>
      <c r="H2903">
        <v>10</v>
      </c>
    </row>
    <row r="2904" spans="1:8" x14ac:dyDescent="0.25">
      <c r="A2904" t="s">
        <v>2041</v>
      </c>
      <c r="B2904">
        <v>1</v>
      </c>
      <c r="C2904">
        <v>1</v>
      </c>
      <c r="D2904">
        <v>1</v>
      </c>
      <c r="E2904" t="s">
        <v>7782</v>
      </c>
      <c r="F2904" t="s">
        <v>7782</v>
      </c>
      <c r="G2904" t="s">
        <v>7782</v>
      </c>
      <c r="H2904">
        <v>40</v>
      </c>
    </row>
    <row r="2905" spans="1:8" x14ac:dyDescent="0.25">
      <c r="A2905" t="s">
        <v>3364</v>
      </c>
      <c r="B2905">
        <v>1</v>
      </c>
      <c r="C2905">
        <v>1</v>
      </c>
      <c r="D2905">
        <v>1</v>
      </c>
      <c r="E2905" t="s">
        <v>7783</v>
      </c>
      <c r="F2905" t="s">
        <v>7783</v>
      </c>
      <c r="G2905" t="s">
        <v>7783</v>
      </c>
      <c r="H2905">
        <v>12</v>
      </c>
    </row>
    <row r="2906" spans="1:8" x14ac:dyDescent="0.25">
      <c r="A2906" t="s">
        <v>3153</v>
      </c>
      <c r="B2906">
        <v>1</v>
      </c>
      <c r="C2906">
        <v>1</v>
      </c>
      <c r="D2906">
        <v>1</v>
      </c>
      <c r="E2906" t="s">
        <v>7784</v>
      </c>
      <c r="F2906" t="s">
        <v>7784</v>
      </c>
      <c r="G2906" t="s">
        <v>7784</v>
      </c>
      <c r="H2906">
        <v>54</v>
      </c>
    </row>
    <row r="2907" spans="1:8" x14ac:dyDescent="0.25">
      <c r="A2907" t="s">
        <v>3171</v>
      </c>
      <c r="B2907">
        <v>1</v>
      </c>
      <c r="C2907">
        <v>1</v>
      </c>
      <c r="D2907">
        <v>1</v>
      </c>
      <c r="E2907" t="s">
        <v>7785</v>
      </c>
      <c r="F2907" t="s">
        <v>7785</v>
      </c>
      <c r="G2907" t="s">
        <v>7785</v>
      </c>
      <c r="H2907">
        <v>52</v>
      </c>
    </row>
    <row r="2908" spans="1:8" x14ac:dyDescent="0.25">
      <c r="A2908" t="s">
        <v>3886</v>
      </c>
      <c r="B2908">
        <v>1</v>
      </c>
      <c r="C2908">
        <v>1</v>
      </c>
      <c r="D2908">
        <v>1</v>
      </c>
      <c r="E2908" t="s">
        <v>7786</v>
      </c>
      <c r="F2908" t="s">
        <v>7786</v>
      </c>
      <c r="G2908" t="s">
        <v>7786</v>
      </c>
      <c r="H2908">
        <v>8</v>
      </c>
    </row>
    <row r="2909" spans="1:8" x14ac:dyDescent="0.25">
      <c r="A2909" t="s">
        <v>3953</v>
      </c>
      <c r="B2909">
        <v>1</v>
      </c>
      <c r="C2909">
        <v>1</v>
      </c>
      <c r="D2909">
        <v>1</v>
      </c>
      <c r="E2909" t="s">
        <v>7787</v>
      </c>
      <c r="F2909" t="s">
        <v>7787</v>
      </c>
      <c r="G2909" t="s">
        <v>7787</v>
      </c>
      <c r="H2909">
        <v>2</v>
      </c>
    </row>
    <row r="2910" spans="1:8" x14ac:dyDescent="0.25">
      <c r="A2910" t="s">
        <v>3978</v>
      </c>
      <c r="B2910">
        <v>1</v>
      </c>
      <c r="C2910">
        <v>1</v>
      </c>
      <c r="D2910">
        <v>1</v>
      </c>
      <c r="E2910" t="s">
        <v>7788</v>
      </c>
      <c r="F2910" t="s">
        <v>7788</v>
      </c>
      <c r="G2910" t="s">
        <v>7788</v>
      </c>
      <c r="H2910">
        <v>2</v>
      </c>
    </row>
    <row r="2911" spans="1:8" x14ac:dyDescent="0.25">
      <c r="A2911" t="s">
        <v>3958</v>
      </c>
      <c r="B2911">
        <v>1</v>
      </c>
      <c r="C2911">
        <v>1</v>
      </c>
      <c r="D2911">
        <v>1</v>
      </c>
      <c r="E2911" t="s">
        <v>7789</v>
      </c>
      <c r="F2911" t="s">
        <v>7789</v>
      </c>
      <c r="G2911" t="s">
        <v>7789</v>
      </c>
      <c r="H2911">
        <v>3</v>
      </c>
    </row>
    <row r="2912" spans="1:8" x14ac:dyDescent="0.25">
      <c r="A2912" t="s">
        <v>1933</v>
      </c>
      <c r="B2912">
        <v>1</v>
      </c>
      <c r="C2912">
        <v>1</v>
      </c>
      <c r="D2912">
        <v>1</v>
      </c>
      <c r="E2912" t="s">
        <v>7790</v>
      </c>
      <c r="F2912" t="s">
        <v>7790</v>
      </c>
      <c r="G2912" t="s">
        <v>7790</v>
      </c>
      <c r="H2912">
        <v>58</v>
      </c>
    </row>
    <row r="2913" spans="1:8" x14ac:dyDescent="0.25">
      <c r="A2913" t="s">
        <v>3921</v>
      </c>
      <c r="B2913">
        <v>1</v>
      </c>
      <c r="C2913">
        <v>1</v>
      </c>
      <c r="D2913">
        <v>1</v>
      </c>
      <c r="E2913" t="s">
        <v>7791</v>
      </c>
      <c r="F2913" t="s">
        <v>7791</v>
      </c>
      <c r="G2913" t="s">
        <v>7791</v>
      </c>
      <c r="H2913">
        <v>4</v>
      </c>
    </row>
    <row r="2914" spans="1:8" x14ac:dyDescent="0.25">
      <c r="A2914" t="s">
        <v>2157</v>
      </c>
      <c r="B2914">
        <v>3</v>
      </c>
      <c r="C2914">
        <v>3</v>
      </c>
      <c r="D2914">
        <v>3</v>
      </c>
      <c r="E2914" t="s">
        <v>7792</v>
      </c>
      <c r="F2914" t="s">
        <v>7792</v>
      </c>
      <c r="G2914" t="s">
        <v>4256</v>
      </c>
      <c r="H2914">
        <v>42</v>
      </c>
    </row>
    <row r="2915" spans="1:8" x14ac:dyDescent="0.25">
      <c r="A2915" t="s">
        <v>2061</v>
      </c>
      <c r="B2915">
        <v>2</v>
      </c>
      <c r="C2915">
        <v>2</v>
      </c>
      <c r="D2915">
        <v>2</v>
      </c>
      <c r="E2915" t="s">
        <v>7793</v>
      </c>
      <c r="F2915" t="s">
        <v>7793</v>
      </c>
      <c r="G2915" t="s">
        <v>4256</v>
      </c>
      <c r="H2915">
        <v>27</v>
      </c>
    </row>
    <row r="2916" spans="1:8" x14ac:dyDescent="0.25">
      <c r="A2916" t="s">
        <v>7794</v>
      </c>
      <c r="B2916">
        <v>0</v>
      </c>
      <c r="C2916">
        <v>0</v>
      </c>
      <c r="D2916">
        <v>0</v>
      </c>
      <c r="G2916" t="s">
        <v>4256</v>
      </c>
      <c r="H2916">
        <v>1</v>
      </c>
    </row>
    <row r="2917" spans="1:8" x14ac:dyDescent="0.25">
      <c r="A2917" t="s">
        <v>2904</v>
      </c>
      <c r="B2917">
        <v>1</v>
      </c>
      <c r="C2917">
        <v>1</v>
      </c>
      <c r="D2917">
        <v>1</v>
      </c>
      <c r="E2917" t="s">
        <v>7795</v>
      </c>
      <c r="F2917" t="s">
        <v>7795</v>
      </c>
      <c r="G2917" t="s">
        <v>7795</v>
      </c>
      <c r="H2917">
        <v>64</v>
      </c>
    </row>
    <row r="2918" spans="1:8" x14ac:dyDescent="0.25">
      <c r="A2918" t="s">
        <v>2666</v>
      </c>
      <c r="B2918">
        <v>1</v>
      </c>
      <c r="C2918">
        <v>1</v>
      </c>
      <c r="D2918">
        <v>1</v>
      </c>
      <c r="E2918" t="s">
        <v>7796</v>
      </c>
      <c r="F2918" t="s">
        <v>7796</v>
      </c>
      <c r="G2918" t="s">
        <v>7796</v>
      </c>
      <c r="H2918">
        <v>59</v>
      </c>
    </row>
    <row r="2919" spans="1:8" x14ac:dyDescent="0.25">
      <c r="A2919" t="s">
        <v>3066</v>
      </c>
      <c r="B2919">
        <v>1</v>
      </c>
      <c r="C2919">
        <v>1</v>
      </c>
      <c r="D2919">
        <v>1</v>
      </c>
      <c r="E2919" t="s">
        <v>7797</v>
      </c>
      <c r="F2919" t="s">
        <v>7797</v>
      </c>
      <c r="G2919" t="s">
        <v>7797</v>
      </c>
      <c r="H2919">
        <v>47</v>
      </c>
    </row>
    <row r="2920" spans="1:8" x14ac:dyDescent="0.25">
      <c r="A2920" t="s">
        <v>3030</v>
      </c>
      <c r="B2920">
        <v>1</v>
      </c>
      <c r="C2920">
        <v>1</v>
      </c>
      <c r="D2920">
        <v>1</v>
      </c>
      <c r="E2920" t="s">
        <v>7796</v>
      </c>
      <c r="F2920" t="s">
        <v>7796</v>
      </c>
      <c r="G2920" t="s">
        <v>7796</v>
      </c>
      <c r="H2920">
        <v>31</v>
      </c>
    </row>
    <row r="2921" spans="1:8" x14ac:dyDescent="0.25">
      <c r="A2921" t="s">
        <v>1927</v>
      </c>
      <c r="B2921">
        <v>1</v>
      </c>
      <c r="C2921">
        <v>1</v>
      </c>
      <c r="D2921">
        <v>1</v>
      </c>
      <c r="E2921" t="s">
        <v>7798</v>
      </c>
      <c r="F2921" t="s">
        <v>7798</v>
      </c>
      <c r="G2921" t="s">
        <v>7798</v>
      </c>
      <c r="H2921">
        <v>78</v>
      </c>
    </row>
    <row r="2922" spans="1:8" x14ac:dyDescent="0.25">
      <c r="A2922" t="s">
        <v>3530</v>
      </c>
      <c r="B2922">
        <v>1</v>
      </c>
      <c r="C2922">
        <v>1</v>
      </c>
      <c r="D2922">
        <v>1</v>
      </c>
      <c r="E2922" t="s">
        <v>7797</v>
      </c>
      <c r="F2922" t="s">
        <v>7797</v>
      </c>
      <c r="G2922" t="s">
        <v>7797</v>
      </c>
      <c r="H2922">
        <v>17</v>
      </c>
    </row>
    <row r="2923" spans="1:8" x14ac:dyDescent="0.25">
      <c r="A2923" t="s">
        <v>3970</v>
      </c>
      <c r="B2923">
        <v>1</v>
      </c>
      <c r="C2923">
        <v>1</v>
      </c>
      <c r="D2923">
        <v>1</v>
      </c>
      <c r="E2923" t="s">
        <v>7795</v>
      </c>
      <c r="F2923" t="s">
        <v>7795</v>
      </c>
      <c r="G2923" t="s">
        <v>7795</v>
      </c>
      <c r="H2923">
        <v>3</v>
      </c>
    </row>
    <row r="2924" spans="1:8" x14ac:dyDescent="0.25">
      <c r="A2924" t="s">
        <v>1726</v>
      </c>
      <c r="B2924">
        <v>1</v>
      </c>
      <c r="C2924">
        <v>1</v>
      </c>
      <c r="D2924">
        <v>1</v>
      </c>
      <c r="E2924" t="s">
        <v>7799</v>
      </c>
      <c r="F2924" t="s">
        <v>7799</v>
      </c>
      <c r="G2924" t="s">
        <v>7799</v>
      </c>
      <c r="H2924">
        <v>64</v>
      </c>
    </row>
    <row r="2925" spans="1:8" x14ac:dyDescent="0.25">
      <c r="A2925" t="s">
        <v>4041</v>
      </c>
      <c r="B2925">
        <v>1</v>
      </c>
      <c r="C2925">
        <v>1</v>
      </c>
      <c r="D2925">
        <v>1</v>
      </c>
      <c r="E2925" t="s">
        <v>7800</v>
      </c>
      <c r="F2925" t="s">
        <v>7800</v>
      </c>
      <c r="G2925" t="s">
        <v>7800</v>
      </c>
      <c r="H2925">
        <v>1</v>
      </c>
    </row>
    <row r="2926" spans="1:8" x14ac:dyDescent="0.25">
      <c r="A2926" t="s">
        <v>137</v>
      </c>
      <c r="B2926">
        <v>1</v>
      </c>
      <c r="C2926">
        <v>1</v>
      </c>
      <c r="D2926">
        <v>1</v>
      </c>
      <c r="E2926" t="s">
        <v>7801</v>
      </c>
      <c r="F2926" t="s">
        <v>7801</v>
      </c>
      <c r="G2926" t="s">
        <v>7801</v>
      </c>
      <c r="H2926">
        <v>683</v>
      </c>
    </row>
    <row r="2927" spans="1:8" x14ac:dyDescent="0.25">
      <c r="A2927" t="s">
        <v>3396</v>
      </c>
      <c r="B2927">
        <v>2</v>
      </c>
      <c r="C2927">
        <v>2</v>
      </c>
      <c r="D2927">
        <v>2</v>
      </c>
      <c r="E2927" t="s">
        <v>7802</v>
      </c>
      <c r="F2927" t="s">
        <v>7802</v>
      </c>
      <c r="G2927" t="s">
        <v>4256</v>
      </c>
      <c r="H2927">
        <v>4</v>
      </c>
    </row>
    <row r="2928" spans="1:8" x14ac:dyDescent="0.25">
      <c r="A2928" t="s">
        <v>7803</v>
      </c>
      <c r="B2928">
        <v>1</v>
      </c>
      <c r="C2928">
        <v>1</v>
      </c>
      <c r="D2928">
        <v>1</v>
      </c>
      <c r="E2928" t="s">
        <v>7804</v>
      </c>
      <c r="F2928" t="s">
        <v>7804</v>
      </c>
      <c r="G2928" t="s">
        <v>7804</v>
      </c>
      <c r="H2928">
        <v>1</v>
      </c>
    </row>
    <row r="2929" spans="1:8" x14ac:dyDescent="0.25">
      <c r="A2929" t="s">
        <v>7805</v>
      </c>
      <c r="B2929">
        <v>1</v>
      </c>
      <c r="C2929">
        <v>1</v>
      </c>
      <c r="D2929">
        <v>1</v>
      </c>
      <c r="E2929" t="s">
        <v>7804</v>
      </c>
      <c r="F2929" t="s">
        <v>7804</v>
      </c>
      <c r="G2929" t="s">
        <v>7804</v>
      </c>
      <c r="H2929">
        <v>1</v>
      </c>
    </row>
    <row r="2930" spans="1:8" x14ac:dyDescent="0.25">
      <c r="A2930" t="s">
        <v>7806</v>
      </c>
      <c r="B2930">
        <v>1</v>
      </c>
      <c r="C2930">
        <v>1</v>
      </c>
      <c r="D2930">
        <v>1</v>
      </c>
      <c r="E2930" t="s">
        <v>7804</v>
      </c>
      <c r="F2930" t="s">
        <v>7804</v>
      </c>
      <c r="G2930" t="s">
        <v>7804</v>
      </c>
      <c r="H2930">
        <v>1</v>
      </c>
    </row>
    <row r="2931" spans="1:8" x14ac:dyDescent="0.25">
      <c r="A2931" t="s">
        <v>3619</v>
      </c>
      <c r="B2931">
        <v>2</v>
      </c>
      <c r="C2931">
        <v>2</v>
      </c>
      <c r="D2931">
        <v>2</v>
      </c>
      <c r="E2931" t="s">
        <v>7807</v>
      </c>
      <c r="F2931" t="s">
        <v>7807</v>
      </c>
      <c r="G2931" t="s">
        <v>4256</v>
      </c>
      <c r="H2931">
        <v>4</v>
      </c>
    </row>
    <row r="2932" spans="1:8" x14ac:dyDescent="0.25">
      <c r="A2932" t="s">
        <v>7808</v>
      </c>
      <c r="B2932">
        <v>1</v>
      </c>
      <c r="C2932">
        <v>1</v>
      </c>
      <c r="D2932">
        <v>1</v>
      </c>
      <c r="E2932" t="s">
        <v>7804</v>
      </c>
      <c r="F2932" t="s">
        <v>7804</v>
      </c>
      <c r="G2932" t="s">
        <v>7804</v>
      </c>
      <c r="H2932">
        <v>1</v>
      </c>
    </row>
    <row r="2933" spans="1:8" x14ac:dyDescent="0.25">
      <c r="A2933" t="s">
        <v>4042</v>
      </c>
      <c r="B2933">
        <v>2</v>
      </c>
      <c r="C2933">
        <v>2</v>
      </c>
      <c r="D2933">
        <v>2</v>
      </c>
      <c r="E2933" t="s">
        <v>7809</v>
      </c>
      <c r="F2933" t="s">
        <v>7809</v>
      </c>
      <c r="G2933" t="s">
        <v>4256</v>
      </c>
      <c r="H2933">
        <v>2</v>
      </c>
    </row>
    <row r="2934" spans="1:8" x14ac:dyDescent="0.25">
      <c r="A2934" t="s">
        <v>3810</v>
      </c>
      <c r="B2934">
        <v>1</v>
      </c>
      <c r="C2934">
        <v>1</v>
      </c>
      <c r="D2934">
        <v>1</v>
      </c>
      <c r="E2934" t="s">
        <v>7810</v>
      </c>
      <c r="F2934" t="s">
        <v>7810</v>
      </c>
      <c r="G2934" t="s">
        <v>7810</v>
      </c>
      <c r="H2934">
        <v>3</v>
      </c>
    </row>
    <row r="2935" spans="1:8" x14ac:dyDescent="0.25">
      <c r="A2935" t="s">
        <v>3720</v>
      </c>
      <c r="B2935">
        <v>1</v>
      </c>
      <c r="C2935">
        <v>1</v>
      </c>
      <c r="D2935">
        <v>1</v>
      </c>
      <c r="E2935" t="s">
        <v>7810</v>
      </c>
      <c r="F2935" t="s">
        <v>7810</v>
      </c>
      <c r="G2935" t="s">
        <v>7810</v>
      </c>
      <c r="H2935">
        <v>4</v>
      </c>
    </row>
    <row r="2936" spans="1:8" x14ac:dyDescent="0.25">
      <c r="A2936" t="s">
        <v>3784</v>
      </c>
      <c r="B2936">
        <v>1</v>
      </c>
      <c r="C2936">
        <v>1</v>
      </c>
      <c r="D2936">
        <v>1</v>
      </c>
      <c r="E2936" t="s">
        <v>7811</v>
      </c>
      <c r="F2936" t="s">
        <v>7811</v>
      </c>
      <c r="G2936" t="s">
        <v>7811</v>
      </c>
      <c r="H2936">
        <v>5</v>
      </c>
    </row>
    <row r="2937" spans="1:8" x14ac:dyDescent="0.25">
      <c r="A2937" t="s">
        <v>2726</v>
      </c>
      <c r="B2937">
        <v>1</v>
      </c>
      <c r="C2937">
        <v>1</v>
      </c>
      <c r="D2937">
        <v>1</v>
      </c>
      <c r="E2937" t="s">
        <v>7812</v>
      </c>
      <c r="F2937" t="s">
        <v>7812</v>
      </c>
      <c r="G2937" t="s">
        <v>7812</v>
      </c>
      <c r="H2937">
        <v>13</v>
      </c>
    </row>
    <row r="2938" spans="1:8" x14ac:dyDescent="0.25">
      <c r="A2938" t="s">
        <v>7813</v>
      </c>
      <c r="B2938">
        <v>1</v>
      </c>
      <c r="C2938">
        <v>1</v>
      </c>
      <c r="D2938">
        <v>1</v>
      </c>
      <c r="E2938" t="s">
        <v>7804</v>
      </c>
      <c r="F2938" t="s">
        <v>7804</v>
      </c>
      <c r="G2938" t="s">
        <v>7804</v>
      </c>
      <c r="H2938">
        <v>1</v>
      </c>
    </row>
    <row r="2939" spans="1:8" x14ac:dyDescent="0.25">
      <c r="A2939" t="s">
        <v>7814</v>
      </c>
      <c r="B2939">
        <v>1</v>
      </c>
      <c r="C2939">
        <v>1</v>
      </c>
      <c r="D2939">
        <v>1</v>
      </c>
      <c r="E2939" t="s">
        <v>7804</v>
      </c>
      <c r="F2939" t="s">
        <v>7804</v>
      </c>
      <c r="G2939" t="s">
        <v>7804</v>
      </c>
      <c r="H2939">
        <v>1</v>
      </c>
    </row>
    <row r="2940" spans="1:8" x14ac:dyDescent="0.25">
      <c r="A2940" t="s">
        <v>3222</v>
      </c>
      <c r="B2940">
        <v>1</v>
      </c>
      <c r="C2940">
        <v>1</v>
      </c>
      <c r="D2940">
        <v>1</v>
      </c>
      <c r="E2940" t="s">
        <v>7815</v>
      </c>
      <c r="F2940" t="s">
        <v>7816</v>
      </c>
      <c r="G2940" t="s">
        <v>7816</v>
      </c>
      <c r="H2940">
        <v>15</v>
      </c>
    </row>
    <row r="2941" spans="1:8" x14ac:dyDescent="0.25">
      <c r="A2941" t="s">
        <v>3556</v>
      </c>
      <c r="B2941">
        <v>1</v>
      </c>
      <c r="C2941">
        <v>1</v>
      </c>
      <c r="D2941">
        <v>1</v>
      </c>
      <c r="E2941" t="s">
        <v>7815</v>
      </c>
      <c r="F2941" t="s">
        <v>7816</v>
      </c>
      <c r="G2941" t="s">
        <v>7816</v>
      </c>
      <c r="H2941">
        <v>8</v>
      </c>
    </row>
    <row r="2942" spans="1:8" x14ac:dyDescent="0.25">
      <c r="A2942" t="s">
        <v>3557</v>
      </c>
      <c r="B2942">
        <v>1</v>
      </c>
      <c r="C2942">
        <v>1</v>
      </c>
      <c r="D2942">
        <v>1</v>
      </c>
      <c r="E2942" t="s">
        <v>7817</v>
      </c>
      <c r="F2942" t="s">
        <v>7817</v>
      </c>
      <c r="G2942" t="s">
        <v>7817</v>
      </c>
      <c r="H2942">
        <v>11</v>
      </c>
    </row>
    <row r="2943" spans="1:8" x14ac:dyDescent="0.25">
      <c r="A2943" t="s">
        <v>3856</v>
      </c>
      <c r="B2943">
        <v>2</v>
      </c>
      <c r="C2943">
        <v>2</v>
      </c>
      <c r="D2943">
        <v>2</v>
      </c>
      <c r="E2943" t="s">
        <v>7818</v>
      </c>
      <c r="F2943" t="s">
        <v>7818</v>
      </c>
      <c r="G2943" t="s">
        <v>4256</v>
      </c>
      <c r="H2943">
        <v>8</v>
      </c>
    </row>
    <row r="2944" spans="1:8" x14ac:dyDescent="0.25">
      <c r="A2944" t="s">
        <v>3524</v>
      </c>
      <c r="B2944">
        <v>1</v>
      </c>
      <c r="C2944">
        <v>1</v>
      </c>
      <c r="D2944">
        <v>1</v>
      </c>
      <c r="E2944" t="s">
        <v>7819</v>
      </c>
      <c r="F2944" t="s">
        <v>7819</v>
      </c>
      <c r="G2944" t="s">
        <v>7819</v>
      </c>
      <c r="H2944">
        <v>10</v>
      </c>
    </row>
    <row r="2945" spans="1:8" x14ac:dyDescent="0.25">
      <c r="A2945" t="s">
        <v>3298</v>
      </c>
      <c r="B2945">
        <v>1</v>
      </c>
      <c r="C2945">
        <v>1</v>
      </c>
      <c r="D2945">
        <v>1</v>
      </c>
      <c r="E2945" t="s">
        <v>7820</v>
      </c>
      <c r="F2945" t="s">
        <v>7820</v>
      </c>
      <c r="G2945" t="s">
        <v>7820</v>
      </c>
      <c r="H2945">
        <v>27</v>
      </c>
    </row>
    <row r="2946" spans="1:8" x14ac:dyDescent="0.25">
      <c r="A2946" t="s">
        <v>4012</v>
      </c>
      <c r="B2946">
        <v>1</v>
      </c>
      <c r="C2946">
        <v>1</v>
      </c>
      <c r="D2946">
        <v>1</v>
      </c>
      <c r="E2946" t="s">
        <v>7819</v>
      </c>
      <c r="F2946" t="s">
        <v>7819</v>
      </c>
      <c r="G2946" t="s">
        <v>7819</v>
      </c>
      <c r="H2946">
        <v>6</v>
      </c>
    </row>
    <row r="2947" spans="1:8" x14ac:dyDescent="0.25">
      <c r="A2947" t="s">
        <v>3930</v>
      </c>
      <c r="B2947">
        <v>1</v>
      </c>
      <c r="C2947">
        <v>1</v>
      </c>
      <c r="D2947">
        <v>1</v>
      </c>
      <c r="E2947" t="s">
        <v>7821</v>
      </c>
      <c r="F2947" t="s">
        <v>7821</v>
      </c>
      <c r="G2947" t="s">
        <v>7821</v>
      </c>
      <c r="H2947">
        <v>4</v>
      </c>
    </row>
    <row r="2948" spans="1:8" x14ac:dyDescent="0.25">
      <c r="A2948" t="s">
        <v>569</v>
      </c>
      <c r="B2948">
        <v>2</v>
      </c>
      <c r="C2948">
        <v>2</v>
      </c>
      <c r="D2948">
        <v>2</v>
      </c>
      <c r="E2948" t="s">
        <v>7822</v>
      </c>
      <c r="F2948" t="s">
        <v>7822</v>
      </c>
      <c r="G2948" t="s">
        <v>4256</v>
      </c>
      <c r="H2948">
        <v>132</v>
      </c>
    </row>
    <row r="2949" spans="1:8" x14ac:dyDescent="0.25">
      <c r="A2949" t="s">
        <v>1835</v>
      </c>
      <c r="B2949">
        <v>2</v>
      </c>
      <c r="C2949">
        <v>2</v>
      </c>
      <c r="D2949">
        <v>2</v>
      </c>
      <c r="E2949" t="s">
        <v>7822</v>
      </c>
      <c r="F2949" t="s">
        <v>7822</v>
      </c>
      <c r="G2949" t="s">
        <v>4256</v>
      </c>
      <c r="H2949">
        <v>27</v>
      </c>
    </row>
    <row r="2950" spans="1:8" x14ac:dyDescent="0.25">
      <c r="A2950" t="s">
        <v>3309</v>
      </c>
      <c r="B2950">
        <v>1</v>
      </c>
      <c r="C2950">
        <v>1</v>
      </c>
      <c r="D2950">
        <v>1</v>
      </c>
      <c r="E2950" t="s">
        <v>7823</v>
      </c>
      <c r="F2950" t="s">
        <v>7823</v>
      </c>
      <c r="G2950" t="s">
        <v>7823</v>
      </c>
      <c r="H2950">
        <v>12</v>
      </c>
    </row>
    <row r="2951" spans="1:8" x14ac:dyDescent="0.25">
      <c r="A2951" t="s">
        <v>2999</v>
      </c>
      <c r="B2951">
        <v>1</v>
      </c>
      <c r="C2951">
        <v>1</v>
      </c>
      <c r="D2951">
        <v>1</v>
      </c>
      <c r="E2951" t="s">
        <v>7824</v>
      </c>
      <c r="F2951" t="s">
        <v>7824</v>
      </c>
      <c r="G2951" t="s">
        <v>7824</v>
      </c>
      <c r="H2951">
        <v>21</v>
      </c>
    </row>
    <row r="2952" spans="1:8" x14ac:dyDescent="0.25">
      <c r="A2952" t="s">
        <v>2925</v>
      </c>
      <c r="B2952">
        <v>1</v>
      </c>
      <c r="C2952">
        <v>1</v>
      </c>
      <c r="D2952">
        <v>1</v>
      </c>
      <c r="E2952" t="s">
        <v>7825</v>
      </c>
      <c r="F2952" t="s">
        <v>7825</v>
      </c>
      <c r="G2952" t="s">
        <v>7825</v>
      </c>
      <c r="H2952">
        <v>20</v>
      </c>
    </row>
    <row r="2953" spans="1:8" x14ac:dyDescent="0.25">
      <c r="A2953" t="s">
        <v>2551</v>
      </c>
      <c r="B2953">
        <v>1</v>
      </c>
      <c r="C2953">
        <v>1</v>
      </c>
      <c r="D2953">
        <v>1</v>
      </c>
      <c r="E2953" t="s">
        <v>7826</v>
      </c>
      <c r="F2953" t="s">
        <v>7826</v>
      </c>
      <c r="G2953" t="s">
        <v>7826</v>
      </c>
      <c r="H2953">
        <v>31</v>
      </c>
    </row>
    <row r="2954" spans="1:8" x14ac:dyDescent="0.25">
      <c r="A2954" t="s">
        <v>192</v>
      </c>
      <c r="B2954">
        <v>1</v>
      </c>
      <c r="C2954">
        <v>1</v>
      </c>
      <c r="D2954">
        <v>1</v>
      </c>
      <c r="E2954" t="s">
        <v>7827</v>
      </c>
      <c r="F2954" t="s">
        <v>7827</v>
      </c>
      <c r="G2954" t="s">
        <v>7827</v>
      </c>
      <c r="H2954">
        <v>1129</v>
      </c>
    </row>
    <row r="2955" spans="1:8" x14ac:dyDescent="0.25">
      <c r="A2955" t="s">
        <v>257</v>
      </c>
      <c r="B2955">
        <v>2</v>
      </c>
      <c r="C2955">
        <v>2</v>
      </c>
      <c r="D2955">
        <v>2</v>
      </c>
      <c r="E2955" t="s">
        <v>7828</v>
      </c>
      <c r="F2955" t="s">
        <v>7828</v>
      </c>
      <c r="G2955" t="s">
        <v>4256</v>
      </c>
      <c r="H2955">
        <v>603</v>
      </c>
    </row>
    <row r="2956" spans="1:8" x14ac:dyDescent="0.25">
      <c r="A2956" t="s">
        <v>148</v>
      </c>
      <c r="B2956">
        <v>1</v>
      </c>
      <c r="C2956">
        <v>1</v>
      </c>
      <c r="D2956">
        <v>1</v>
      </c>
      <c r="E2956" t="s">
        <v>7829</v>
      </c>
      <c r="F2956" t="s">
        <v>7829</v>
      </c>
      <c r="G2956" t="s">
        <v>7829</v>
      </c>
      <c r="H2956">
        <v>698</v>
      </c>
    </row>
    <row r="2957" spans="1:8" x14ac:dyDescent="0.25">
      <c r="A2957" t="s">
        <v>227</v>
      </c>
      <c r="B2957">
        <v>2</v>
      </c>
      <c r="C2957">
        <v>2</v>
      </c>
      <c r="D2957">
        <v>2</v>
      </c>
      <c r="E2957" t="s">
        <v>7830</v>
      </c>
      <c r="F2957" t="s">
        <v>7830</v>
      </c>
      <c r="G2957" t="s">
        <v>4256</v>
      </c>
      <c r="H2957">
        <v>637</v>
      </c>
    </row>
    <row r="2958" spans="1:8" x14ac:dyDescent="0.25">
      <c r="A2958" t="s">
        <v>221</v>
      </c>
      <c r="B2958">
        <v>3</v>
      </c>
      <c r="C2958">
        <v>3</v>
      </c>
      <c r="D2958">
        <v>3</v>
      </c>
      <c r="E2958" t="s">
        <v>7831</v>
      </c>
      <c r="F2958" t="s">
        <v>7832</v>
      </c>
      <c r="G2958" t="s">
        <v>4256</v>
      </c>
      <c r="H2958">
        <v>943</v>
      </c>
    </row>
    <row r="2959" spans="1:8" x14ac:dyDescent="0.25">
      <c r="A2959" t="s">
        <v>1110</v>
      </c>
      <c r="B2959">
        <v>1</v>
      </c>
      <c r="C2959">
        <v>1</v>
      </c>
      <c r="D2959">
        <v>1</v>
      </c>
      <c r="E2959" t="s">
        <v>7833</v>
      </c>
      <c r="F2959" t="s">
        <v>7834</v>
      </c>
      <c r="G2959" t="s">
        <v>7834</v>
      </c>
      <c r="H2959">
        <v>61</v>
      </c>
    </row>
    <row r="2960" spans="1:8" x14ac:dyDescent="0.25">
      <c r="A2960" t="s">
        <v>7835</v>
      </c>
      <c r="B2960">
        <v>0</v>
      </c>
      <c r="C2960">
        <v>0</v>
      </c>
      <c r="D2960">
        <v>0</v>
      </c>
      <c r="G2960" t="s">
        <v>4256</v>
      </c>
      <c r="H2960">
        <v>1</v>
      </c>
    </row>
    <row r="2961" spans="1:8" x14ac:dyDescent="0.25">
      <c r="A2961" t="s">
        <v>687</v>
      </c>
      <c r="B2961">
        <v>1</v>
      </c>
      <c r="C2961">
        <v>1</v>
      </c>
      <c r="D2961">
        <v>1</v>
      </c>
      <c r="E2961" t="s">
        <v>7836</v>
      </c>
      <c r="F2961" t="s">
        <v>7836</v>
      </c>
      <c r="G2961" t="s">
        <v>7836</v>
      </c>
      <c r="H2961">
        <v>357</v>
      </c>
    </row>
    <row r="2962" spans="1:8" x14ac:dyDescent="0.25">
      <c r="A2962" t="s">
        <v>671</v>
      </c>
      <c r="B2962">
        <v>1</v>
      </c>
      <c r="C2962">
        <v>1</v>
      </c>
      <c r="D2962">
        <v>1</v>
      </c>
      <c r="E2962" t="s">
        <v>7837</v>
      </c>
      <c r="F2962" t="s">
        <v>7837</v>
      </c>
      <c r="G2962" t="s">
        <v>7837</v>
      </c>
      <c r="H2962">
        <v>371</v>
      </c>
    </row>
    <row r="2963" spans="1:8" x14ac:dyDescent="0.25">
      <c r="A2963" t="s">
        <v>1477</v>
      </c>
      <c r="B2963">
        <v>1</v>
      </c>
      <c r="C2963">
        <v>1</v>
      </c>
      <c r="D2963">
        <v>1</v>
      </c>
      <c r="E2963" t="s">
        <v>7838</v>
      </c>
      <c r="F2963" t="s">
        <v>7838</v>
      </c>
      <c r="G2963" t="s">
        <v>7838</v>
      </c>
      <c r="H2963">
        <v>294</v>
      </c>
    </row>
    <row r="2964" spans="1:8" x14ac:dyDescent="0.25">
      <c r="A2964" t="s">
        <v>1588</v>
      </c>
      <c r="B2964">
        <v>1</v>
      </c>
      <c r="C2964">
        <v>1</v>
      </c>
      <c r="D2964">
        <v>1</v>
      </c>
      <c r="E2964" t="s">
        <v>7839</v>
      </c>
      <c r="F2964" t="s">
        <v>7839</v>
      </c>
      <c r="G2964" t="s">
        <v>7839</v>
      </c>
      <c r="H2964">
        <v>310</v>
      </c>
    </row>
    <row r="2965" spans="1:8" x14ac:dyDescent="0.25">
      <c r="A2965" t="s">
        <v>833</v>
      </c>
      <c r="B2965">
        <v>1</v>
      </c>
      <c r="C2965">
        <v>1</v>
      </c>
      <c r="D2965">
        <v>1</v>
      </c>
      <c r="E2965" t="s">
        <v>4764</v>
      </c>
      <c r="F2965" t="s">
        <v>4764</v>
      </c>
      <c r="G2965" t="s">
        <v>4764</v>
      </c>
      <c r="H2965">
        <v>641</v>
      </c>
    </row>
    <row r="2966" spans="1:8" x14ac:dyDescent="0.25">
      <c r="A2966" t="s">
        <v>1134</v>
      </c>
      <c r="B2966">
        <v>1</v>
      </c>
      <c r="C2966">
        <v>1</v>
      </c>
      <c r="D2966">
        <v>1</v>
      </c>
      <c r="E2966" t="s">
        <v>7840</v>
      </c>
      <c r="F2966" t="s">
        <v>7840</v>
      </c>
      <c r="G2966" t="s">
        <v>7840</v>
      </c>
      <c r="H2966">
        <v>411</v>
      </c>
    </row>
    <row r="2967" spans="1:8" x14ac:dyDescent="0.25">
      <c r="A2967" t="s">
        <v>395</v>
      </c>
      <c r="B2967">
        <v>2</v>
      </c>
      <c r="C2967">
        <v>2</v>
      </c>
      <c r="D2967">
        <v>2</v>
      </c>
      <c r="E2967" t="s">
        <v>7841</v>
      </c>
      <c r="F2967" t="s">
        <v>7841</v>
      </c>
      <c r="G2967" t="s">
        <v>4256</v>
      </c>
      <c r="H2967">
        <v>446</v>
      </c>
    </row>
    <row r="2968" spans="1:8" x14ac:dyDescent="0.25">
      <c r="A2968" t="s">
        <v>241</v>
      </c>
      <c r="B2968">
        <v>4</v>
      </c>
      <c r="C2968">
        <v>4</v>
      </c>
      <c r="D2968">
        <v>4</v>
      </c>
      <c r="E2968" t="s">
        <v>7842</v>
      </c>
      <c r="F2968" t="s">
        <v>7842</v>
      </c>
      <c r="G2968" t="s">
        <v>4256</v>
      </c>
      <c r="H2968">
        <v>651</v>
      </c>
    </row>
    <row r="2969" spans="1:8" x14ac:dyDescent="0.25">
      <c r="A2969" t="s">
        <v>1590</v>
      </c>
      <c r="B2969">
        <v>2</v>
      </c>
      <c r="C2969">
        <v>2</v>
      </c>
      <c r="D2969">
        <v>2</v>
      </c>
      <c r="E2969" t="s">
        <v>7843</v>
      </c>
      <c r="F2969" t="s">
        <v>7843</v>
      </c>
      <c r="G2969" t="s">
        <v>4256</v>
      </c>
      <c r="H2969">
        <v>146</v>
      </c>
    </row>
    <row r="2970" spans="1:8" x14ac:dyDescent="0.25">
      <c r="A2970" t="s">
        <v>287</v>
      </c>
      <c r="B2970">
        <v>4</v>
      </c>
      <c r="C2970">
        <v>4</v>
      </c>
      <c r="D2970">
        <v>4</v>
      </c>
      <c r="E2970" t="s">
        <v>7844</v>
      </c>
      <c r="F2970" t="s">
        <v>7844</v>
      </c>
      <c r="G2970" t="s">
        <v>4256</v>
      </c>
      <c r="H2970">
        <v>556</v>
      </c>
    </row>
    <row r="2971" spans="1:8" x14ac:dyDescent="0.25">
      <c r="A2971" t="s">
        <v>3597</v>
      </c>
      <c r="B2971">
        <v>1</v>
      </c>
      <c r="C2971">
        <v>1</v>
      </c>
      <c r="D2971">
        <v>1</v>
      </c>
      <c r="E2971" t="s">
        <v>7845</v>
      </c>
      <c r="F2971" t="s">
        <v>7845</v>
      </c>
      <c r="G2971" t="s">
        <v>7845</v>
      </c>
      <c r="H2971">
        <v>5</v>
      </c>
    </row>
    <row r="2972" spans="1:8" x14ac:dyDescent="0.25">
      <c r="A2972" t="s">
        <v>3191</v>
      </c>
      <c r="B2972">
        <v>2</v>
      </c>
      <c r="C2972">
        <v>2</v>
      </c>
      <c r="D2972">
        <v>2</v>
      </c>
      <c r="E2972" t="s">
        <v>7846</v>
      </c>
      <c r="F2972" t="s">
        <v>7846</v>
      </c>
      <c r="G2972" t="s">
        <v>4256</v>
      </c>
      <c r="H2972">
        <v>20</v>
      </c>
    </row>
    <row r="2973" spans="1:8" x14ac:dyDescent="0.25">
      <c r="A2973" t="s">
        <v>2338</v>
      </c>
      <c r="B2973">
        <v>1</v>
      </c>
      <c r="C2973">
        <v>1</v>
      </c>
      <c r="D2973">
        <v>1</v>
      </c>
      <c r="E2973" t="s">
        <v>7847</v>
      </c>
      <c r="F2973" t="s">
        <v>7847</v>
      </c>
      <c r="G2973" t="s">
        <v>7847</v>
      </c>
      <c r="H2973">
        <v>114</v>
      </c>
    </row>
    <row r="2974" spans="1:8" x14ac:dyDescent="0.25">
      <c r="A2974" t="s">
        <v>2421</v>
      </c>
      <c r="B2974">
        <v>1</v>
      </c>
      <c r="C2974">
        <v>1</v>
      </c>
      <c r="D2974">
        <v>1</v>
      </c>
      <c r="E2974" t="s">
        <v>7847</v>
      </c>
      <c r="F2974" t="s">
        <v>7847</v>
      </c>
      <c r="G2974" t="s">
        <v>7847</v>
      </c>
      <c r="H2974">
        <v>98</v>
      </c>
    </row>
    <row r="2975" spans="1:8" x14ac:dyDescent="0.25">
      <c r="A2975" t="s">
        <v>2289</v>
      </c>
      <c r="B2975">
        <v>1</v>
      </c>
      <c r="C2975">
        <v>1</v>
      </c>
      <c r="D2975">
        <v>1</v>
      </c>
      <c r="E2975" t="s">
        <v>7848</v>
      </c>
      <c r="F2975" t="s">
        <v>7848</v>
      </c>
      <c r="G2975" t="s">
        <v>7848</v>
      </c>
      <c r="H2975">
        <v>113</v>
      </c>
    </row>
    <row r="2976" spans="1:8" x14ac:dyDescent="0.25">
      <c r="A2976" t="s">
        <v>3999</v>
      </c>
      <c r="B2976">
        <v>1</v>
      </c>
      <c r="C2976">
        <v>1</v>
      </c>
      <c r="D2976">
        <v>1</v>
      </c>
      <c r="E2976" t="s">
        <v>7847</v>
      </c>
      <c r="F2976" t="s">
        <v>7847</v>
      </c>
      <c r="G2976" t="s">
        <v>7847</v>
      </c>
      <c r="H2976">
        <v>1</v>
      </c>
    </row>
    <row r="2977" spans="1:8" x14ac:dyDescent="0.25">
      <c r="A2977" t="s">
        <v>3846</v>
      </c>
      <c r="B2977">
        <v>1</v>
      </c>
      <c r="C2977">
        <v>1</v>
      </c>
      <c r="D2977">
        <v>1</v>
      </c>
      <c r="E2977" t="s">
        <v>7847</v>
      </c>
      <c r="F2977" t="s">
        <v>7847</v>
      </c>
      <c r="G2977" t="s">
        <v>7847</v>
      </c>
      <c r="H2977">
        <v>4</v>
      </c>
    </row>
    <row r="2978" spans="1:8" x14ac:dyDescent="0.25">
      <c r="A2978" t="s">
        <v>3808</v>
      </c>
      <c r="B2978">
        <v>1</v>
      </c>
      <c r="C2978">
        <v>1</v>
      </c>
      <c r="D2978">
        <v>1</v>
      </c>
      <c r="E2978" t="s">
        <v>7847</v>
      </c>
      <c r="F2978" t="s">
        <v>7847</v>
      </c>
      <c r="G2978" t="s">
        <v>7847</v>
      </c>
      <c r="H2978">
        <v>4</v>
      </c>
    </row>
    <row r="2979" spans="1:8" x14ac:dyDescent="0.25">
      <c r="A2979" t="s">
        <v>3197</v>
      </c>
      <c r="B2979">
        <v>1</v>
      </c>
      <c r="C2979">
        <v>1</v>
      </c>
      <c r="D2979">
        <v>1</v>
      </c>
      <c r="E2979" t="s">
        <v>7849</v>
      </c>
      <c r="F2979" t="s">
        <v>7849</v>
      </c>
      <c r="G2979" t="s">
        <v>7849</v>
      </c>
      <c r="H2979">
        <v>1</v>
      </c>
    </row>
    <row r="2980" spans="1:8" x14ac:dyDescent="0.25">
      <c r="A2980" t="s">
        <v>2328</v>
      </c>
      <c r="B2980">
        <v>1</v>
      </c>
      <c r="C2980">
        <v>1</v>
      </c>
      <c r="D2980">
        <v>1</v>
      </c>
      <c r="E2980" t="s">
        <v>7850</v>
      </c>
      <c r="F2980" t="s">
        <v>7850</v>
      </c>
      <c r="G2980" t="s">
        <v>7850</v>
      </c>
      <c r="H2980">
        <v>77</v>
      </c>
    </row>
    <row r="2981" spans="1:8" x14ac:dyDescent="0.25">
      <c r="A2981" t="s">
        <v>2339</v>
      </c>
      <c r="B2981">
        <v>1</v>
      </c>
      <c r="C2981">
        <v>1</v>
      </c>
      <c r="D2981">
        <v>1</v>
      </c>
      <c r="E2981" t="s">
        <v>7851</v>
      </c>
      <c r="F2981" t="s">
        <v>7851</v>
      </c>
      <c r="G2981" t="s">
        <v>7851</v>
      </c>
      <c r="H2981">
        <v>86</v>
      </c>
    </row>
    <row r="2982" spans="1:8" x14ac:dyDescent="0.25">
      <c r="A2982" t="s">
        <v>1891</v>
      </c>
      <c r="B2982">
        <v>1</v>
      </c>
      <c r="C2982">
        <v>1</v>
      </c>
      <c r="D2982">
        <v>1</v>
      </c>
      <c r="E2982" t="s">
        <v>7852</v>
      </c>
      <c r="F2982" t="s">
        <v>7852</v>
      </c>
      <c r="G2982" t="s">
        <v>7852</v>
      </c>
      <c r="H2982">
        <v>107</v>
      </c>
    </row>
    <row r="2983" spans="1:8" x14ac:dyDescent="0.25">
      <c r="A2983" t="s">
        <v>7853</v>
      </c>
      <c r="B2983">
        <v>0</v>
      </c>
      <c r="C2983">
        <v>0</v>
      </c>
      <c r="D2983">
        <v>0</v>
      </c>
      <c r="G2983" t="s">
        <v>4256</v>
      </c>
      <c r="H2983">
        <v>1</v>
      </c>
    </row>
    <row r="2984" spans="1:8" x14ac:dyDescent="0.25">
      <c r="A2984" t="s">
        <v>1555</v>
      </c>
      <c r="B2984">
        <v>1</v>
      </c>
      <c r="C2984">
        <v>1</v>
      </c>
      <c r="D2984">
        <v>1</v>
      </c>
      <c r="E2984" t="s">
        <v>7854</v>
      </c>
      <c r="F2984" t="s">
        <v>7854</v>
      </c>
      <c r="G2984" t="s">
        <v>7854</v>
      </c>
      <c r="H2984">
        <v>117</v>
      </c>
    </row>
    <row r="2985" spans="1:8" x14ac:dyDescent="0.25">
      <c r="A2985" t="s">
        <v>3811</v>
      </c>
      <c r="B2985">
        <v>1</v>
      </c>
      <c r="C2985">
        <v>1</v>
      </c>
      <c r="D2985">
        <v>1</v>
      </c>
      <c r="E2985" t="s">
        <v>7855</v>
      </c>
      <c r="F2985" t="s">
        <v>7855</v>
      </c>
      <c r="G2985" t="s">
        <v>7855</v>
      </c>
      <c r="H2985">
        <v>2</v>
      </c>
    </row>
    <row r="2986" spans="1:8" x14ac:dyDescent="0.25">
      <c r="A2986" t="s">
        <v>202</v>
      </c>
      <c r="B2986">
        <v>1</v>
      </c>
      <c r="C2986">
        <v>1</v>
      </c>
      <c r="D2986">
        <v>1</v>
      </c>
      <c r="E2986" t="s">
        <v>7856</v>
      </c>
      <c r="F2986" t="s">
        <v>7856</v>
      </c>
      <c r="G2986" t="s">
        <v>7856</v>
      </c>
      <c r="H2986">
        <v>452</v>
      </c>
    </row>
    <row r="2987" spans="1:8" x14ac:dyDescent="0.25">
      <c r="A2987" t="s">
        <v>251</v>
      </c>
      <c r="B2987">
        <v>1</v>
      </c>
      <c r="C2987">
        <v>1</v>
      </c>
      <c r="D2987">
        <v>1</v>
      </c>
      <c r="E2987" t="s">
        <v>7857</v>
      </c>
      <c r="F2987" t="s">
        <v>7857</v>
      </c>
      <c r="G2987" t="s">
        <v>7857</v>
      </c>
      <c r="H2987">
        <v>474</v>
      </c>
    </row>
    <row r="2988" spans="1:8" x14ac:dyDescent="0.25">
      <c r="A2988" t="s">
        <v>520</v>
      </c>
      <c r="B2988">
        <v>1</v>
      </c>
      <c r="C2988">
        <v>1</v>
      </c>
      <c r="D2988">
        <v>1</v>
      </c>
      <c r="E2988" t="s">
        <v>7858</v>
      </c>
      <c r="F2988" t="s">
        <v>7858</v>
      </c>
      <c r="G2988" t="s">
        <v>7858</v>
      </c>
      <c r="H2988">
        <v>346</v>
      </c>
    </row>
    <row r="2989" spans="1:8" x14ac:dyDescent="0.25">
      <c r="A2989" t="s">
        <v>1871</v>
      </c>
      <c r="B2989">
        <v>1</v>
      </c>
      <c r="C2989">
        <v>1</v>
      </c>
      <c r="D2989">
        <v>1</v>
      </c>
      <c r="E2989" t="s">
        <v>7858</v>
      </c>
      <c r="F2989" t="s">
        <v>7858</v>
      </c>
      <c r="G2989" t="s">
        <v>7858</v>
      </c>
      <c r="H2989">
        <v>44</v>
      </c>
    </row>
    <row r="2990" spans="1:8" x14ac:dyDescent="0.25">
      <c r="A2990" t="s">
        <v>1216</v>
      </c>
      <c r="B2990">
        <v>1</v>
      </c>
      <c r="C2990">
        <v>1</v>
      </c>
      <c r="D2990">
        <v>1</v>
      </c>
      <c r="E2990" t="s">
        <v>7859</v>
      </c>
      <c r="F2990" t="s">
        <v>7860</v>
      </c>
      <c r="G2990" t="s">
        <v>7860</v>
      </c>
      <c r="H2990">
        <v>167</v>
      </c>
    </row>
    <row r="2991" spans="1:8" x14ac:dyDescent="0.25">
      <c r="A2991" t="s">
        <v>1460</v>
      </c>
      <c r="B2991">
        <v>1</v>
      </c>
      <c r="C2991">
        <v>1</v>
      </c>
      <c r="D2991">
        <v>1</v>
      </c>
      <c r="E2991" t="s">
        <v>7861</v>
      </c>
      <c r="F2991" t="s">
        <v>7862</v>
      </c>
      <c r="G2991" t="s">
        <v>7862</v>
      </c>
      <c r="H2991">
        <v>147</v>
      </c>
    </row>
    <row r="2992" spans="1:8" x14ac:dyDescent="0.25">
      <c r="A2992" t="s">
        <v>3738</v>
      </c>
      <c r="B2992">
        <v>1</v>
      </c>
      <c r="C2992">
        <v>1</v>
      </c>
      <c r="D2992">
        <v>1</v>
      </c>
      <c r="E2992" t="s">
        <v>7859</v>
      </c>
      <c r="F2992" t="s">
        <v>7860</v>
      </c>
      <c r="G2992" t="s">
        <v>7860</v>
      </c>
      <c r="H2992">
        <v>1</v>
      </c>
    </row>
    <row r="2993" spans="1:8" x14ac:dyDescent="0.25">
      <c r="A2993" t="s">
        <v>3739</v>
      </c>
      <c r="B2993">
        <v>1</v>
      </c>
      <c r="C2993">
        <v>1</v>
      </c>
      <c r="D2993">
        <v>1</v>
      </c>
      <c r="E2993" t="s">
        <v>7861</v>
      </c>
      <c r="F2993" t="s">
        <v>7862</v>
      </c>
      <c r="G2993" t="s">
        <v>7862</v>
      </c>
      <c r="H2993">
        <v>1</v>
      </c>
    </row>
    <row r="2994" spans="1:8" x14ac:dyDescent="0.25">
      <c r="A2994" t="s">
        <v>857</v>
      </c>
      <c r="B2994">
        <v>1</v>
      </c>
      <c r="C2994">
        <v>1</v>
      </c>
      <c r="D2994">
        <v>1</v>
      </c>
      <c r="E2994" t="s">
        <v>7863</v>
      </c>
      <c r="F2994" t="s">
        <v>7863</v>
      </c>
      <c r="G2994" t="s">
        <v>7863</v>
      </c>
      <c r="H2994">
        <v>318</v>
      </c>
    </row>
    <row r="2995" spans="1:8" x14ac:dyDescent="0.25">
      <c r="A2995" t="s">
        <v>1040</v>
      </c>
      <c r="B2995">
        <v>1</v>
      </c>
      <c r="C2995">
        <v>1</v>
      </c>
      <c r="D2995">
        <v>1</v>
      </c>
      <c r="E2995" t="s">
        <v>7864</v>
      </c>
      <c r="F2995" t="s">
        <v>7864</v>
      </c>
      <c r="G2995" t="s">
        <v>7864</v>
      </c>
      <c r="H2995">
        <v>262</v>
      </c>
    </row>
    <row r="2996" spans="1:8" x14ac:dyDescent="0.25">
      <c r="A2996" t="s">
        <v>3525</v>
      </c>
      <c r="B2996">
        <v>1</v>
      </c>
      <c r="C2996">
        <v>1</v>
      </c>
      <c r="D2996">
        <v>1</v>
      </c>
      <c r="E2996" t="s">
        <v>7865</v>
      </c>
      <c r="F2996" t="s">
        <v>7866</v>
      </c>
      <c r="G2996" t="s">
        <v>7866</v>
      </c>
      <c r="H2996">
        <v>7</v>
      </c>
    </row>
    <row r="2997" spans="1:8" x14ac:dyDescent="0.25">
      <c r="A2997" t="s">
        <v>659</v>
      </c>
      <c r="B2997">
        <v>3</v>
      </c>
      <c r="C2997">
        <v>3</v>
      </c>
      <c r="D2997">
        <v>3</v>
      </c>
      <c r="E2997" t="s">
        <v>7867</v>
      </c>
      <c r="F2997" t="s">
        <v>7867</v>
      </c>
      <c r="G2997" t="s">
        <v>4256</v>
      </c>
      <c r="H2997">
        <v>267</v>
      </c>
    </row>
    <row r="2998" spans="1:8" x14ac:dyDescent="0.25">
      <c r="A2998" t="s">
        <v>2817</v>
      </c>
      <c r="B2998">
        <v>1</v>
      </c>
      <c r="C2998">
        <v>1</v>
      </c>
      <c r="D2998">
        <v>1</v>
      </c>
      <c r="E2998" t="s">
        <v>7868</v>
      </c>
      <c r="F2998" t="s">
        <v>7868</v>
      </c>
      <c r="G2998" t="s">
        <v>7868</v>
      </c>
      <c r="H2998">
        <v>27</v>
      </c>
    </row>
    <row r="2999" spans="1:8" x14ac:dyDescent="0.25">
      <c r="A2999" t="s">
        <v>273</v>
      </c>
      <c r="B2999">
        <v>1</v>
      </c>
      <c r="C2999">
        <v>1</v>
      </c>
      <c r="D2999">
        <v>1</v>
      </c>
      <c r="E2999" t="s">
        <v>7869</v>
      </c>
      <c r="F2999" t="s">
        <v>7869</v>
      </c>
      <c r="G2999" t="s">
        <v>7869</v>
      </c>
      <c r="H2999">
        <v>542</v>
      </c>
    </row>
    <row r="3000" spans="1:8" x14ac:dyDescent="0.25">
      <c r="A3000" t="s">
        <v>248</v>
      </c>
      <c r="B3000">
        <v>1</v>
      </c>
      <c r="C3000">
        <v>1</v>
      </c>
      <c r="D3000">
        <v>1</v>
      </c>
      <c r="E3000" t="s">
        <v>7870</v>
      </c>
      <c r="F3000" t="s">
        <v>7871</v>
      </c>
      <c r="G3000" t="s">
        <v>7871</v>
      </c>
      <c r="H3000">
        <v>163</v>
      </c>
    </row>
    <row r="3001" spans="1:8" x14ac:dyDescent="0.25">
      <c r="A3001" t="s">
        <v>3451</v>
      </c>
      <c r="B3001">
        <v>1</v>
      </c>
      <c r="C3001">
        <v>1</v>
      </c>
      <c r="D3001">
        <v>1</v>
      </c>
      <c r="E3001" t="s">
        <v>7872</v>
      </c>
      <c r="F3001" t="s">
        <v>7872</v>
      </c>
      <c r="G3001" t="s">
        <v>7872</v>
      </c>
      <c r="H3001">
        <v>9</v>
      </c>
    </row>
    <row r="3002" spans="1:8" x14ac:dyDescent="0.25">
      <c r="A3002" t="s">
        <v>2145</v>
      </c>
      <c r="B3002">
        <v>1</v>
      </c>
      <c r="C3002">
        <v>1</v>
      </c>
      <c r="D3002">
        <v>1</v>
      </c>
      <c r="E3002" t="s">
        <v>7873</v>
      </c>
      <c r="F3002" t="s">
        <v>7873</v>
      </c>
      <c r="G3002" t="s">
        <v>7873</v>
      </c>
      <c r="H3002">
        <v>55</v>
      </c>
    </row>
    <row r="3003" spans="1:8" x14ac:dyDescent="0.25">
      <c r="A3003" t="s">
        <v>3012</v>
      </c>
      <c r="B3003">
        <v>1</v>
      </c>
      <c r="C3003">
        <v>1</v>
      </c>
      <c r="D3003">
        <v>1</v>
      </c>
      <c r="E3003" t="s">
        <v>7874</v>
      </c>
      <c r="F3003" t="s">
        <v>7875</v>
      </c>
      <c r="G3003" t="s">
        <v>7875</v>
      </c>
      <c r="H3003">
        <v>28</v>
      </c>
    </row>
    <row r="3004" spans="1:8" x14ac:dyDescent="0.25">
      <c r="A3004" t="s">
        <v>3601</v>
      </c>
      <c r="B3004">
        <v>1</v>
      </c>
      <c r="C3004">
        <v>1</v>
      </c>
      <c r="D3004">
        <v>1</v>
      </c>
      <c r="E3004" t="s">
        <v>7876</v>
      </c>
      <c r="F3004" t="s">
        <v>7876</v>
      </c>
      <c r="G3004" t="s">
        <v>7876</v>
      </c>
      <c r="H3004">
        <v>33</v>
      </c>
    </row>
    <row r="3005" spans="1:8" x14ac:dyDescent="0.25">
      <c r="A3005" t="s">
        <v>3998</v>
      </c>
      <c r="B3005">
        <v>1</v>
      </c>
      <c r="C3005">
        <v>1</v>
      </c>
      <c r="D3005">
        <v>1</v>
      </c>
      <c r="E3005" t="s">
        <v>7877</v>
      </c>
      <c r="F3005" t="s">
        <v>7877</v>
      </c>
      <c r="G3005" t="s">
        <v>7877</v>
      </c>
      <c r="H3005">
        <v>2</v>
      </c>
    </row>
    <row r="3006" spans="1:8" x14ac:dyDescent="0.25">
      <c r="A3006" t="s">
        <v>4029</v>
      </c>
      <c r="B3006">
        <v>1</v>
      </c>
      <c r="C3006">
        <v>1</v>
      </c>
      <c r="D3006">
        <v>1</v>
      </c>
      <c r="E3006" t="s">
        <v>7878</v>
      </c>
      <c r="F3006" t="s">
        <v>7878</v>
      </c>
      <c r="G3006" t="s">
        <v>7878</v>
      </c>
      <c r="H3006">
        <v>1</v>
      </c>
    </row>
    <row r="3007" spans="1:8" x14ac:dyDescent="0.25">
      <c r="A3007" t="s">
        <v>3954</v>
      </c>
      <c r="B3007">
        <v>1</v>
      </c>
      <c r="C3007">
        <v>1</v>
      </c>
      <c r="D3007">
        <v>1</v>
      </c>
      <c r="E3007" t="s">
        <v>7879</v>
      </c>
      <c r="F3007" t="s">
        <v>7879</v>
      </c>
      <c r="G3007" t="s">
        <v>7879</v>
      </c>
      <c r="H3007">
        <v>3</v>
      </c>
    </row>
    <row r="3008" spans="1:8" x14ac:dyDescent="0.25">
      <c r="A3008" t="s">
        <v>4030</v>
      </c>
      <c r="B3008">
        <v>1</v>
      </c>
      <c r="C3008">
        <v>1</v>
      </c>
      <c r="D3008">
        <v>1</v>
      </c>
      <c r="E3008" t="s">
        <v>7880</v>
      </c>
      <c r="F3008" t="s">
        <v>7880</v>
      </c>
      <c r="G3008" t="s">
        <v>7880</v>
      </c>
      <c r="H3008">
        <v>1</v>
      </c>
    </row>
    <row r="3009" spans="1:8" x14ac:dyDescent="0.25">
      <c r="A3009" t="s">
        <v>4020</v>
      </c>
      <c r="B3009">
        <v>1</v>
      </c>
      <c r="C3009">
        <v>1</v>
      </c>
      <c r="D3009">
        <v>1</v>
      </c>
      <c r="E3009" t="s">
        <v>7881</v>
      </c>
      <c r="F3009" t="s">
        <v>7881</v>
      </c>
      <c r="G3009" t="s">
        <v>7881</v>
      </c>
      <c r="H3009">
        <v>2</v>
      </c>
    </row>
    <row r="3010" spans="1:8" x14ac:dyDescent="0.25">
      <c r="A3010" t="s">
        <v>641</v>
      </c>
      <c r="B3010">
        <v>1</v>
      </c>
      <c r="C3010">
        <v>1</v>
      </c>
      <c r="D3010">
        <v>1</v>
      </c>
      <c r="E3010" t="s">
        <v>7882</v>
      </c>
      <c r="F3010" t="s">
        <v>7882</v>
      </c>
      <c r="G3010" t="s">
        <v>7882</v>
      </c>
      <c r="H3010">
        <v>111</v>
      </c>
    </row>
    <row r="3011" spans="1:8" x14ac:dyDescent="0.25">
      <c r="A3011" t="s">
        <v>2800</v>
      </c>
      <c r="B3011">
        <v>1</v>
      </c>
      <c r="C3011">
        <v>1</v>
      </c>
      <c r="D3011">
        <v>1</v>
      </c>
      <c r="E3011" t="s">
        <v>7883</v>
      </c>
      <c r="F3011" t="s">
        <v>7883</v>
      </c>
      <c r="G3011" t="s">
        <v>7883</v>
      </c>
      <c r="H3011">
        <v>42</v>
      </c>
    </row>
    <row r="3012" spans="1:8" x14ac:dyDescent="0.25">
      <c r="A3012" t="s">
        <v>3542</v>
      </c>
      <c r="B3012">
        <v>1</v>
      </c>
      <c r="C3012">
        <v>1</v>
      </c>
      <c r="D3012">
        <v>1</v>
      </c>
      <c r="E3012" t="s">
        <v>7884</v>
      </c>
      <c r="F3012" t="s">
        <v>7884</v>
      </c>
      <c r="G3012" t="s">
        <v>7884</v>
      </c>
      <c r="H3012">
        <v>11</v>
      </c>
    </row>
    <row r="3013" spans="1:8" x14ac:dyDescent="0.25">
      <c r="A3013" t="s">
        <v>4034</v>
      </c>
      <c r="B3013">
        <v>1</v>
      </c>
      <c r="C3013">
        <v>1</v>
      </c>
      <c r="D3013">
        <v>1</v>
      </c>
      <c r="E3013" t="s">
        <v>7885</v>
      </c>
      <c r="F3013" t="s">
        <v>7885</v>
      </c>
      <c r="G3013" t="s">
        <v>7885</v>
      </c>
      <c r="H3013">
        <v>3</v>
      </c>
    </row>
    <row r="3014" spans="1:8" x14ac:dyDescent="0.25">
      <c r="A3014" t="s">
        <v>3074</v>
      </c>
      <c r="B3014">
        <v>3</v>
      </c>
      <c r="C3014">
        <v>3</v>
      </c>
      <c r="D3014">
        <v>3</v>
      </c>
      <c r="E3014" t="s">
        <v>7886</v>
      </c>
      <c r="F3014" t="s">
        <v>7886</v>
      </c>
      <c r="G3014" t="s">
        <v>4256</v>
      </c>
      <c r="H3014">
        <v>29</v>
      </c>
    </row>
    <row r="3015" spans="1:8" x14ac:dyDescent="0.25">
      <c r="A3015" t="s">
        <v>3279</v>
      </c>
      <c r="B3015">
        <v>1</v>
      </c>
      <c r="C3015">
        <v>1</v>
      </c>
      <c r="D3015">
        <v>1</v>
      </c>
      <c r="E3015" t="s">
        <v>7887</v>
      </c>
      <c r="F3015" t="s">
        <v>7887</v>
      </c>
      <c r="G3015" t="s">
        <v>7887</v>
      </c>
      <c r="H3015">
        <v>21</v>
      </c>
    </row>
    <row r="3016" spans="1:8" x14ac:dyDescent="0.25">
      <c r="A3016" t="s">
        <v>7888</v>
      </c>
      <c r="B3016">
        <v>0</v>
      </c>
      <c r="C3016">
        <v>0</v>
      </c>
      <c r="D3016">
        <v>0</v>
      </c>
      <c r="G3016" t="s">
        <v>4256</v>
      </c>
      <c r="H3016">
        <v>1</v>
      </c>
    </row>
    <row r="3017" spans="1:8" x14ac:dyDescent="0.25">
      <c r="A3017" t="s">
        <v>2497</v>
      </c>
      <c r="B3017">
        <v>2</v>
      </c>
      <c r="C3017">
        <v>2</v>
      </c>
      <c r="D3017">
        <v>2</v>
      </c>
      <c r="E3017" t="s">
        <v>7889</v>
      </c>
      <c r="F3017" t="s">
        <v>7889</v>
      </c>
      <c r="G3017" t="s">
        <v>4256</v>
      </c>
      <c r="H3017">
        <v>56</v>
      </c>
    </row>
    <row r="3018" spans="1:8" x14ac:dyDescent="0.25">
      <c r="A3018" t="s">
        <v>2960</v>
      </c>
      <c r="B3018">
        <v>1</v>
      </c>
      <c r="C3018">
        <v>1</v>
      </c>
      <c r="D3018">
        <v>1</v>
      </c>
      <c r="E3018" t="s">
        <v>7890</v>
      </c>
      <c r="F3018" t="s">
        <v>7890</v>
      </c>
      <c r="G3018" t="s">
        <v>7890</v>
      </c>
      <c r="H3018">
        <v>32</v>
      </c>
    </row>
    <row r="3019" spans="1:8" x14ac:dyDescent="0.25">
      <c r="A3019" t="s">
        <v>3305</v>
      </c>
      <c r="B3019">
        <v>1</v>
      </c>
      <c r="C3019">
        <v>1</v>
      </c>
      <c r="D3019">
        <v>1</v>
      </c>
      <c r="E3019" t="s">
        <v>7891</v>
      </c>
      <c r="F3019" t="s">
        <v>7891</v>
      </c>
      <c r="G3019" t="s">
        <v>7891</v>
      </c>
      <c r="H3019">
        <v>12</v>
      </c>
    </row>
    <row r="3020" spans="1:8" x14ac:dyDescent="0.25">
      <c r="A3020" t="s">
        <v>3347</v>
      </c>
      <c r="B3020">
        <v>1</v>
      </c>
      <c r="C3020">
        <v>1</v>
      </c>
      <c r="D3020">
        <v>1</v>
      </c>
      <c r="E3020" t="s">
        <v>7892</v>
      </c>
      <c r="F3020" t="s">
        <v>7892</v>
      </c>
      <c r="G3020" t="s">
        <v>7892</v>
      </c>
      <c r="H3020">
        <v>20</v>
      </c>
    </row>
    <row r="3021" spans="1:8" x14ac:dyDescent="0.25">
      <c r="A3021" t="s">
        <v>3326</v>
      </c>
      <c r="B3021">
        <v>1</v>
      </c>
      <c r="C3021">
        <v>1</v>
      </c>
      <c r="D3021">
        <v>1</v>
      </c>
      <c r="E3021" t="s">
        <v>7893</v>
      </c>
      <c r="F3021" t="s">
        <v>7893</v>
      </c>
      <c r="G3021" t="s">
        <v>7893</v>
      </c>
      <c r="H3021">
        <v>18</v>
      </c>
    </row>
    <row r="3022" spans="1:8" x14ac:dyDescent="0.25">
      <c r="A3022" t="s">
        <v>3240</v>
      </c>
      <c r="B3022">
        <v>3</v>
      </c>
      <c r="C3022">
        <v>3</v>
      </c>
      <c r="D3022">
        <v>3</v>
      </c>
      <c r="E3022" t="s">
        <v>7894</v>
      </c>
      <c r="F3022" t="s">
        <v>7894</v>
      </c>
      <c r="G3022" t="s">
        <v>4256</v>
      </c>
      <c r="H3022">
        <v>29</v>
      </c>
    </row>
    <row r="3023" spans="1:8" x14ac:dyDescent="0.25">
      <c r="A3023" t="s">
        <v>3289</v>
      </c>
      <c r="B3023">
        <v>1</v>
      </c>
      <c r="C3023">
        <v>1</v>
      </c>
      <c r="D3023">
        <v>1</v>
      </c>
      <c r="E3023" t="s">
        <v>7895</v>
      </c>
      <c r="F3023" t="s">
        <v>7895</v>
      </c>
      <c r="G3023" t="s">
        <v>7895</v>
      </c>
      <c r="H3023">
        <v>55</v>
      </c>
    </row>
    <row r="3024" spans="1:8" x14ac:dyDescent="0.25">
      <c r="A3024" t="s">
        <v>3397</v>
      </c>
      <c r="B3024">
        <v>1</v>
      </c>
      <c r="C3024">
        <v>1</v>
      </c>
      <c r="D3024">
        <v>1</v>
      </c>
      <c r="E3024" t="s">
        <v>7896</v>
      </c>
      <c r="F3024" t="s">
        <v>7896</v>
      </c>
      <c r="G3024" t="s">
        <v>7896</v>
      </c>
      <c r="H3024">
        <v>40</v>
      </c>
    </row>
    <row r="3025" spans="1:8" x14ac:dyDescent="0.25">
      <c r="A3025" t="s">
        <v>7897</v>
      </c>
      <c r="B3025">
        <v>0</v>
      </c>
      <c r="C3025">
        <v>0</v>
      </c>
      <c r="D3025">
        <v>0</v>
      </c>
      <c r="G3025" t="s">
        <v>4256</v>
      </c>
      <c r="H3025">
        <v>1</v>
      </c>
    </row>
    <row r="3026" spans="1:8" x14ac:dyDescent="0.25">
      <c r="A3026" t="s">
        <v>3266</v>
      </c>
      <c r="B3026">
        <v>1</v>
      </c>
      <c r="C3026">
        <v>1</v>
      </c>
      <c r="D3026">
        <v>1</v>
      </c>
      <c r="E3026" t="s">
        <v>7898</v>
      </c>
      <c r="F3026" t="s">
        <v>7898</v>
      </c>
      <c r="G3026" t="s">
        <v>7898</v>
      </c>
      <c r="H3026">
        <v>53</v>
      </c>
    </row>
    <row r="3027" spans="1:8" x14ac:dyDescent="0.25">
      <c r="A3027" t="s">
        <v>7899</v>
      </c>
      <c r="B3027">
        <v>0</v>
      </c>
      <c r="C3027">
        <v>0</v>
      </c>
      <c r="D3027">
        <v>0</v>
      </c>
      <c r="G3027" t="s">
        <v>4256</v>
      </c>
      <c r="H3027">
        <v>1</v>
      </c>
    </row>
    <row r="3028" spans="1:8" x14ac:dyDescent="0.25">
      <c r="A3028" t="s">
        <v>3975</v>
      </c>
      <c r="B3028">
        <v>1</v>
      </c>
      <c r="C3028">
        <v>1</v>
      </c>
      <c r="D3028">
        <v>1</v>
      </c>
      <c r="E3028" t="s">
        <v>7900</v>
      </c>
      <c r="F3028" t="s">
        <v>7900</v>
      </c>
      <c r="G3028" t="s">
        <v>7900</v>
      </c>
      <c r="H3028">
        <v>5</v>
      </c>
    </row>
    <row r="3029" spans="1:8" x14ac:dyDescent="0.25">
      <c r="A3029" t="s">
        <v>1950</v>
      </c>
      <c r="B3029">
        <v>1</v>
      </c>
      <c r="C3029">
        <v>1</v>
      </c>
      <c r="D3029">
        <v>1</v>
      </c>
      <c r="E3029" t="s">
        <v>7901</v>
      </c>
      <c r="F3029" t="s">
        <v>7901</v>
      </c>
      <c r="G3029" t="s">
        <v>7901</v>
      </c>
      <c r="H3029">
        <v>77</v>
      </c>
    </row>
    <row r="3030" spans="1:8" x14ac:dyDescent="0.25">
      <c r="A3030" t="s">
        <v>1386</v>
      </c>
      <c r="B3030">
        <v>3</v>
      </c>
      <c r="C3030">
        <v>3</v>
      </c>
      <c r="D3030">
        <v>3</v>
      </c>
      <c r="E3030" t="s">
        <v>7902</v>
      </c>
      <c r="F3030" t="s">
        <v>7902</v>
      </c>
      <c r="G3030" t="s">
        <v>4256</v>
      </c>
      <c r="H3030">
        <v>139</v>
      </c>
    </row>
    <row r="3031" spans="1:8" x14ac:dyDescent="0.25">
      <c r="A3031" t="s">
        <v>3212</v>
      </c>
      <c r="B3031">
        <v>1</v>
      </c>
      <c r="C3031">
        <v>1</v>
      </c>
      <c r="D3031">
        <v>1</v>
      </c>
      <c r="E3031" t="s">
        <v>7903</v>
      </c>
      <c r="F3031" t="s">
        <v>7903</v>
      </c>
      <c r="G3031" t="s">
        <v>7903</v>
      </c>
      <c r="H3031">
        <v>11</v>
      </c>
    </row>
    <row r="3032" spans="1:8" x14ac:dyDescent="0.25">
      <c r="A3032" t="s">
        <v>2315</v>
      </c>
      <c r="B3032">
        <v>2</v>
      </c>
      <c r="C3032">
        <v>2</v>
      </c>
      <c r="D3032">
        <v>2</v>
      </c>
      <c r="E3032" t="s">
        <v>7904</v>
      </c>
      <c r="F3032" t="s">
        <v>7905</v>
      </c>
      <c r="G3032" t="s">
        <v>4256</v>
      </c>
      <c r="H3032">
        <v>40</v>
      </c>
    </row>
    <row r="3033" spans="1:8" x14ac:dyDescent="0.25">
      <c r="A3033" t="s">
        <v>1619</v>
      </c>
      <c r="B3033">
        <v>2</v>
      </c>
      <c r="C3033">
        <v>2</v>
      </c>
      <c r="D3033">
        <v>2</v>
      </c>
      <c r="E3033" t="s">
        <v>7906</v>
      </c>
      <c r="F3033" t="s">
        <v>7907</v>
      </c>
      <c r="G3033" t="s">
        <v>4256</v>
      </c>
      <c r="H3033">
        <v>46</v>
      </c>
    </row>
    <row r="3034" spans="1:8" x14ac:dyDescent="0.25">
      <c r="A3034" t="s">
        <v>2675</v>
      </c>
      <c r="B3034">
        <v>1</v>
      </c>
      <c r="C3034">
        <v>1</v>
      </c>
      <c r="D3034">
        <v>1</v>
      </c>
      <c r="E3034" t="s">
        <v>7908</v>
      </c>
      <c r="F3034" t="s">
        <v>7908</v>
      </c>
      <c r="G3034" t="s">
        <v>7908</v>
      </c>
      <c r="H3034">
        <v>43</v>
      </c>
    </row>
    <row r="3035" spans="1:8" x14ac:dyDescent="0.25">
      <c r="A3035" t="s">
        <v>170</v>
      </c>
      <c r="B3035">
        <v>1</v>
      </c>
      <c r="C3035">
        <v>1</v>
      </c>
      <c r="D3035">
        <v>1</v>
      </c>
      <c r="E3035" t="s">
        <v>7909</v>
      </c>
      <c r="F3035" t="s">
        <v>7909</v>
      </c>
      <c r="G3035" t="s">
        <v>7909</v>
      </c>
      <c r="H3035">
        <v>475</v>
      </c>
    </row>
    <row r="3036" spans="1:8" x14ac:dyDescent="0.25">
      <c r="A3036" t="s">
        <v>2225</v>
      </c>
      <c r="B3036">
        <v>2</v>
      </c>
      <c r="C3036">
        <v>2</v>
      </c>
      <c r="D3036">
        <v>2</v>
      </c>
      <c r="E3036" t="s">
        <v>7910</v>
      </c>
      <c r="F3036" t="s">
        <v>7911</v>
      </c>
      <c r="G3036" t="s">
        <v>4256</v>
      </c>
      <c r="H3036">
        <v>27</v>
      </c>
    </row>
    <row r="3037" spans="1:8" x14ac:dyDescent="0.25">
      <c r="A3037" t="s">
        <v>1146</v>
      </c>
      <c r="B3037">
        <v>1</v>
      </c>
      <c r="C3037">
        <v>1</v>
      </c>
      <c r="D3037">
        <v>1</v>
      </c>
      <c r="E3037" t="s">
        <v>7912</v>
      </c>
      <c r="F3037" t="s">
        <v>7912</v>
      </c>
      <c r="G3037" t="s">
        <v>7912</v>
      </c>
      <c r="H3037">
        <v>82</v>
      </c>
    </row>
    <row r="3038" spans="1:8" x14ac:dyDescent="0.25">
      <c r="A3038" t="s">
        <v>2632</v>
      </c>
      <c r="B3038">
        <v>1</v>
      </c>
      <c r="C3038">
        <v>1</v>
      </c>
      <c r="D3038">
        <v>1</v>
      </c>
      <c r="E3038" t="s">
        <v>7913</v>
      </c>
      <c r="F3038" t="s">
        <v>7913</v>
      </c>
      <c r="G3038" t="s">
        <v>7913</v>
      </c>
      <c r="H3038">
        <v>13</v>
      </c>
    </row>
    <row r="3039" spans="1:8" x14ac:dyDescent="0.25">
      <c r="A3039" t="s">
        <v>2434</v>
      </c>
      <c r="B3039">
        <v>1</v>
      </c>
      <c r="C3039">
        <v>1</v>
      </c>
      <c r="D3039">
        <v>1</v>
      </c>
      <c r="E3039" t="s">
        <v>7914</v>
      </c>
      <c r="F3039" t="s">
        <v>7914</v>
      </c>
      <c r="G3039" t="s">
        <v>7914</v>
      </c>
      <c r="H3039">
        <v>20</v>
      </c>
    </row>
    <row r="3040" spans="1:8" x14ac:dyDescent="0.25">
      <c r="A3040" t="s">
        <v>377</v>
      </c>
      <c r="B3040">
        <v>1</v>
      </c>
      <c r="C3040">
        <v>1</v>
      </c>
      <c r="D3040">
        <v>1</v>
      </c>
      <c r="E3040" t="s">
        <v>7915</v>
      </c>
      <c r="F3040" t="s">
        <v>7915</v>
      </c>
      <c r="G3040" t="s">
        <v>7915</v>
      </c>
      <c r="H3040">
        <v>533</v>
      </c>
    </row>
    <row r="3041" spans="1:8" x14ac:dyDescent="0.25">
      <c r="A3041" t="s">
        <v>407</v>
      </c>
      <c r="B3041">
        <v>1</v>
      </c>
      <c r="C3041">
        <v>1</v>
      </c>
      <c r="D3041">
        <v>1</v>
      </c>
      <c r="E3041" t="s">
        <v>7916</v>
      </c>
      <c r="F3041" t="s">
        <v>7916</v>
      </c>
      <c r="G3041" t="s">
        <v>7916</v>
      </c>
      <c r="H3041">
        <v>700</v>
      </c>
    </row>
    <row r="3042" spans="1:8" x14ac:dyDescent="0.25">
      <c r="A3042" t="s">
        <v>419</v>
      </c>
      <c r="B3042">
        <v>1</v>
      </c>
      <c r="C3042">
        <v>1</v>
      </c>
      <c r="D3042">
        <v>1</v>
      </c>
      <c r="E3042" t="s">
        <v>7917</v>
      </c>
      <c r="F3042" t="s">
        <v>7917</v>
      </c>
      <c r="G3042" t="s">
        <v>7917</v>
      </c>
      <c r="H3042">
        <v>707</v>
      </c>
    </row>
    <row r="3043" spans="1:8" x14ac:dyDescent="0.25">
      <c r="A3043" t="s">
        <v>3676</v>
      </c>
      <c r="B3043">
        <v>1</v>
      </c>
      <c r="C3043">
        <v>1</v>
      </c>
      <c r="D3043">
        <v>1</v>
      </c>
      <c r="E3043" t="s">
        <v>7918</v>
      </c>
      <c r="F3043" t="s">
        <v>7918</v>
      </c>
      <c r="G3043" t="s">
        <v>7918</v>
      </c>
      <c r="H3043">
        <v>2</v>
      </c>
    </row>
    <row r="3044" spans="1:8" x14ac:dyDescent="0.25">
      <c r="A3044" t="s">
        <v>3794</v>
      </c>
      <c r="B3044">
        <v>1</v>
      </c>
      <c r="C3044">
        <v>1</v>
      </c>
      <c r="D3044">
        <v>1</v>
      </c>
      <c r="E3044" t="s">
        <v>7919</v>
      </c>
      <c r="F3044" t="s">
        <v>7919</v>
      </c>
      <c r="G3044" t="s">
        <v>7919</v>
      </c>
      <c r="H3044">
        <v>7</v>
      </c>
    </row>
    <row r="3045" spans="1:8" x14ac:dyDescent="0.25">
      <c r="A3045" t="s">
        <v>3445</v>
      </c>
      <c r="B3045">
        <v>1</v>
      </c>
      <c r="C3045">
        <v>1</v>
      </c>
      <c r="D3045">
        <v>1</v>
      </c>
      <c r="E3045" t="s">
        <v>7920</v>
      </c>
      <c r="F3045" t="s">
        <v>7920</v>
      </c>
      <c r="G3045" t="s">
        <v>7920</v>
      </c>
      <c r="H3045">
        <v>4</v>
      </c>
    </row>
    <row r="3046" spans="1:8" x14ac:dyDescent="0.25">
      <c r="A3046" t="s">
        <v>441</v>
      </c>
      <c r="B3046">
        <v>3</v>
      </c>
      <c r="C3046">
        <v>3</v>
      </c>
      <c r="D3046">
        <v>3</v>
      </c>
      <c r="E3046" t="s">
        <v>7921</v>
      </c>
      <c r="F3046" t="s">
        <v>7921</v>
      </c>
      <c r="G3046" t="s">
        <v>4256</v>
      </c>
      <c r="H3046">
        <v>296</v>
      </c>
    </row>
    <row r="3047" spans="1:8" x14ac:dyDescent="0.25">
      <c r="A3047" t="s">
        <v>3763</v>
      </c>
      <c r="B3047">
        <v>1</v>
      </c>
      <c r="C3047">
        <v>1</v>
      </c>
      <c r="D3047">
        <v>1</v>
      </c>
      <c r="E3047" t="s">
        <v>7922</v>
      </c>
      <c r="F3047" t="s">
        <v>7923</v>
      </c>
      <c r="G3047" t="s">
        <v>7923</v>
      </c>
      <c r="H3047">
        <v>3</v>
      </c>
    </row>
    <row r="3048" spans="1:8" x14ac:dyDescent="0.25">
      <c r="A3048" t="s">
        <v>3691</v>
      </c>
      <c r="B3048">
        <v>1</v>
      </c>
      <c r="C3048">
        <v>1</v>
      </c>
      <c r="D3048">
        <v>1</v>
      </c>
      <c r="E3048" t="s">
        <v>7924</v>
      </c>
      <c r="F3048" t="s">
        <v>7925</v>
      </c>
      <c r="G3048" t="s">
        <v>7925</v>
      </c>
      <c r="H3048">
        <v>5</v>
      </c>
    </row>
    <row r="3049" spans="1:8" x14ac:dyDescent="0.25">
      <c r="A3049" t="s">
        <v>2758</v>
      </c>
      <c r="B3049">
        <v>2</v>
      </c>
      <c r="C3049">
        <v>2</v>
      </c>
      <c r="D3049">
        <v>2</v>
      </c>
      <c r="E3049" t="s">
        <v>7926</v>
      </c>
      <c r="F3049" t="s">
        <v>7926</v>
      </c>
      <c r="G3049" t="s">
        <v>4256</v>
      </c>
      <c r="H3049">
        <v>17</v>
      </c>
    </row>
    <row r="3050" spans="1:8" x14ac:dyDescent="0.25">
      <c r="A3050" t="s">
        <v>7927</v>
      </c>
      <c r="B3050">
        <v>0</v>
      </c>
      <c r="C3050">
        <v>0</v>
      </c>
      <c r="D3050">
        <v>0</v>
      </c>
      <c r="G3050" t="s">
        <v>4256</v>
      </c>
      <c r="H3050">
        <v>1</v>
      </c>
    </row>
    <row r="3051" spans="1:8" x14ac:dyDescent="0.25">
      <c r="A3051" t="s">
        <v>2887</v>
      </c>
      <c r="B3051">
        <v>1</v>
      </c>
      <c r="C3051">
        <v>1</v>
      </c>
      <c r="D3051">
        <v>1</v>
      </c>
      <c r="E3051" t="s">
        <v>7928</v>
      </c>
      <c r="F3051" t="s">
        <v>7929</v>
      </c>
      <c r="G3051" t="s">
        <v>7929</v>
      </c>
      <c r="H3051">
        <v>22</v>
      </c>
    </row>
    <row r="3052" spans="1:8" x14ac:dyDescent="0.25">
      <c r="A3052" t="s">
        <v>3342</v>
      </c>
      <c r="B3052">
        <v>1</v>
      </c>
      <c r="C3052">
        <v>1</v>
      </c>
      <c r="D3052">
        <v>1</v>
      </c>
      <c r="E3052" t="s">
        <v>7930</v>
      </c>
      <c r="F3052" t="s">
        <v>7931</v>
      </c>
      <c r="G3052" t="s">
        <v>7931</v>
      </c>
      <c r="H3052">
        <v>18</v>
      </c>
    </row>
    <row r="3053" spans="1:8" x14ac:dyDescent="0.25">
      <c r="A3053" t="s">
        <v>7932</v>
      </c>
      <c r="B3053">
        <v>0</v>
      </c>
      <c r="C3053">
        <v>0</v>
      </c>
      <c r="D3053">
        <v>0</v>
      </c>
      <c r="G3053" t="s">
        <v>4256</v>
      </c>
      <c r="H3053">
        <v>1</v>
      </c>
    </row>
    <row r="3054" spans="1:8" x14ac:dyDescent="0.25">
      <c r="A3054" t="s">
        <v>3114</v>
      </c>
      <c r="B3054">
        <v>1</v>
      </c>
      <c r="C3054">
        <v>1</v>
      </c>
      <c r="D3054">
        <v>1</v>
      </c>
      <c r="E3054" t="s">
        <v>7933</v>
      </c>
      <c r="F3054" t="s">
        <v>7933</v>
      </c>
      <c r="G3054" t="s">
        <v>7933</v>
      </c>
      <c r="H3054">
        <v>28</v>
      </c>
    </row>
    <row r="3055" spans="1:8" x14ac:dyDescent="0.25">
      <c r="A3055" t="s">
        <v>1710</v>
      </c>
      <c r="B3055">
        <v>1</v>
      </c>
      <c r="C3055">
        <v>1</v>
      </c>
      <c r="D3055">
        <v>1</v>
      </c>
      <c r="E3055" t="s">
        <v>7934</v>
      </c>
      <c r="F3055" t="s">
        <v>7935</v>
      </c>
      <c r="G3055" t="s">
        <v>7935</v>
      </c>
      <c r="H3055">
        <v>98</v>
      </c>
    </row>
    <row r="3056" spans="1:8" x14ac:dyDescent="0.25">
      <c r="A3056" t="s">
        <v>1694</v>
      </c>
      <c r="B3056">
        <v>1</v>
      </c>
      <c r="C3056">
        <v>1</v>
      </c>
      <c r="D3056">
        <v>1</v>
      </c>
      <c r="E3056" t="s">
        <v>7936</v>
      </c>
      <c r="F3056" t="s">
        <v>7937</v>
      </c>
      <c r="G3056" t="s">
        <v>7937</v>
      </c>
      <c r="H3056">
        <v>95</v>
      </c>
    </row>
    <row r="3057" spans="1:8" x14ac:dyDescent="0.25">
      <c r="A3057" t="s">
        <v>3150</v>
      </c>
      <c r="B3057">
        <v>1</v>
      </c>
      <c r="C3057">
        <v>1</v>
      </c>
      <c r="D3057">
        <v>1</v>
      </c>
      <c r="E3057" t="s">
        <v>7938</v>
      </c>
      <c r="F3057" t="s">
        <v>7938</v>
      </c>
      <c r="G3057" t="s">
        <v>7938</v>
      </c>
      <c r="H3057">
        <v>15</v>
      </c>
    </row>
    <row r="3058" spans="1:8" x14ac:dyDescent="0.25">
      <c r="A3058" t="s">
        <v>3764</v>
      </c>
      <c r="B3058">
        <v>1</v>
      </c>
      <c r="C3058">
        <v>1</v>
      </c>
      <c r="D3058">
        <v>1</v>
      </c>
      <c r="E3058" t="s">
        <v>7939</v>
      </c>
      <c r="F3058" t="s">
        <v>7939</v>
      </c>
      <c r="G3058" t="s">
        <v>7939</v>
      </c>
      <c r="H3058">
        <v>6</v>
      </c>
    </row>
    <row r="3059" spans="1:8" x14ac:dyDescent="0.25">
      <c r="A3059" t="s">
        <v>3595</v>
      </c>
      <c r="B3059">
        <v>1</v>
      </c>
      <c r="C3059">
        <v>1</v>
      </c>
      <c r="D3059">
        <v>1</v>
      </c>
      <c r="E3059" t="s">
        <v>7940</v>
      </c>
      <c r="F3059" t="s">
        <v>7940</v>
      </c>
      <c r="G3059" t="s">
        <v>7940</v>
      </c>
      <c r="H3059">
        <v>8</v>
      </c>
    </row>
    <row r="3060" spans="1:8" x14ac:dyDescent="0.25">
      <c r="A3060" t="s">
        <v>3375</v>
      </c>
      <c r="B3060">
        <v>1</v>
      </c>
      <c r="C3060">
        <v>1</v>
      </c>
      <c r="D3060">
        <v>1</v>
      </c>
      <c r="E3060" t="s">
        <v>7941</v>
      </c>
      <c r="F3060" t="s">
        <v>7941</v>
      </c>
      <c r="G3060" t="s">
        <v>7941</v>
      </c>
      <c r="H3060">
        <v>11</v>
      </c>
    </row>
    <row r="3061" spans="1:8" x14ac:dyDescent="0.25">
      <c r="A3061" t="s">
        <v>7942</v>
      </c>
      <c r="B3061">
        <v>0</v>
      </c>
      <c r="C3061">
        <v>0</v>
      </c>
      <c r="D3061">
        <v>0</v>
      </c>
      <c r="G3061" t="s">
        <v>4256</v>
      </c>
      <c r="H3061">
        <v>1</v>
      </c>
    </row>
    <row r="3062" spans="1:8" x14ac:dyDescent="0.25">
      <c r="A3062" t="s">
        <v>3438</v>
      </c>
      <c r="B3062">
        <v>1</v>
      </c>
      <c r="C3062">
        <v>1</v>
      </c>
      <c r="D3062">
        <v>1</v>
      </c>
      <c r="E3062" t="s">
        <v>7943</v>
      </c>
      <c r="F3062" t="s">
        <v>7944</v>
      </c>
      <c r="G3062" t="s">
        <v>7944</v>
      </c>
      <c r="H3062">
        <v>8</v>
      </c>
    </row>
    <row r="3063" spans="1:8" x14ac:dyDescent="0.25">
      <c r="A3063" t="s">
        <v>3917</v>
      </c>
      <c r="B3063">
        <v>1</v>
      </c>
      <c r="C3063">
        <v>1</v>
      </c>
      <c r="D3063">
        <v>1</v>
      </c>
      <c r="E3063" t="s">
        <v>7945</v>
      </c>
      <c r="F3063" t="s">
        <v>7945</v>
      </c>
      <c r="G3063" t="s">
        <v>7945</v>
      </c>
      <c r="H3063">
        <v>4</v>
      </c>
    </row>
    <row r="3064" spans="1:8" x14ac:dyDescent="0.25">
      <c r="A3064" t="s">
        <v>3099</v>
      </c>
      <c r="B3064">
        <v>1</v>
      </c>
      <c r="C3064">
        <v>1</v>
      </c>
      <c r="D3064">
        <v>1</v>
      </c>
      <c r="E3064" t="s">
        <v>7946</v>
      </c>
      <c r="F3064" t="s">
        <v>7946</v>
      </c>
      <c r="G3064" t="s">
        <v>7946</v>
      </c>
      <c r="H3064">
        <v>23</v>
      </c>
    </row>
    <row r="3065" spans="1:8" x14ac:dyDescent="0.25">
      <c r="A3065" t="s">
        <v>2912</v>
      </c>
      <c r="B3065">
        <v>2</v>
      </c>
      <c r="C3065">
        <v>2</v>
      </c>
      <c r="D3065">
        <v>2</v>
      </c>
      <c r="E3065" t="s">
        <v>7947</v>
      </c>
      <c r="F3065" t="s">
        <v>7947</v>
      </c>
      <c r="G3065" t="s">
        <v>4256</v>
      </c>
      <c r="H3065">
        <v>32</v>
      </c>
    </row>
    <row r="3066" spans="1:8" x14ac:dyDescent="0.25">
      <c r="A3066" t="s">
        <v>841</v>
      </c>
      <c r="B3066">
        <v>2</v>
      </c>
      <c r="C3066">
        <v>2</v>
      </c>
      <c r="D3066">
        <v>2</v>
      </c>
      <c r="E3066" t="s">
        <v>7948</v>
      </c>
      <c r="F3066" t="s">
        <v>7948</v>
      </c>
      <c r="G3066" t="s">
        <v>4256</v>
      </c>
      <c r="H3066">
        <v>38</v>
      </c>
    </row>
    <row r="3067" spans="1:8" x14ac:dyDescent="0.25">
      <c r="A3067" t="s">
        <v>3006</v>
      </c>
      <c r="B3067">
        <v>1</v>
      </c>
      <c r="C3067">
        <v>1</v>
      </c>
      <c r="D3067">
        <v>1</v>
      </c>
      <c r="E3067" t="s">
        <v>7949</v>
      </c>
      <c r="F3067" t="s">
        <v>7949</v>
      </c>
      <c r="G3067" t="s">
        <v>7949</v>
      </c>
      <c r="H3067">
        <v>33</v>
      </c>
    </row>
    <row r="3068" spans="1:8" x14ac:dyDescent="0.25">
      <c r="A3068" t="s">
        <v>2964</v>
      </c>
      <c r="B3068">
        <v>2</v>
      </c>
      <c r="C3068">
        <v>2</v>
      </c>
      <c r="D3068">
        <v>2</v>
      </c>
      <c r="E3068" t="s">
        <v>7950</v>
      </c>
      <c r="F3068" t="s">
        <v>7950</v>
      </c>
      <c r="G3068" t="s">
        <v>4256</v>
      </c>
      <c r="H3068">
        <v>27</v>
      </c>
    </row>
    <row r="3069" spans="1:8" x14ac:dyDescent="0.25">
      <c r="A3069" t="s">
        <v>852</v>
      </c>
      <c r="B3069">
        <v>1</v>
      </c>
      <c r="C3069">
        <v>1</v>
      </c>
      <c r="D3069">
        <v>1</v>
      </c>
      <c r="E3069" t="s">
        <v>7951</v>
      </c>
      <c r="F3069" t="s">
        <v>7951</v>
      </c>
      <c r="G3069" t="s">
        <v>7951</v>
      </c>
      <c r="H3069">
        <v>233</v>
      </c>
    </row>
    <row r="3070" spans="1:8" x14ac:dyDescent="0.25">
      <c r="A3070" t="s">
        <v>1930</v>
      </c>
      <c r="B3070">
        <v>1</v>
      </c>
      <c r="C3070">
        <v>1</v>
      </c>
      <c r="D3070">
        <v>1</v>
      </c>
      <c r="E3070" t="s">
        <v>7952</v>
      </c>
      <c r="F3070" t="s">
        <v>7952</v>
      </c>
      <c r="G3070" t="s">
        <v>7952</v>
      </c>
      <c r="H3070">
        <v>80</v>
      </c>
    </row>
    <row r="3071" spans="1:8" x14ac:dyDescent="0.25">
      <c r="A3071" t="s">
        <v>2335</v>
      </c>
      <c r="B3071">
        <v>1</v>
      </c>
      <c r="C3071">
        <v>1</v>
      </c>
      <c r="D3071">
        <v>1</v>
      </c>
      <c r="E3071" t="s">
        <v>7953</v>
      </c>
      <c r="F3071" t="s">
        <v>7954</v>
      </c>
      <c r="G3071" t="s">
        <v>7954</v>
      </c>
      <c r="H3071">
        <v>52</v>
      </c>
    </row>
    <row r="3072" spans="1:8" x14ac:dyDescent="0.25">
      <c r="A3072" t="s">
        <v>2894</v>
      </c>
      <c r="B3072">
        <v>1</v>
      </c>
      <c r="C3072">
        <v>1</v>
      </c>
      <c r="D3072">
        <v>1</v>
      </c>
      <c r="E3072" t="s">
        <v>7955</v>
      </c>
      <c r="F3072" t="s">
        <v>7956</v>
      </c>
      <c r="G3072" t="s">
        <v>7956</v>
      </c>
      <c r="H3072">
        <v>23</v>
      </c>
    </row>
    <row r="3073" spans="1:8" x14ac:dyDescent="0.25">
      <c r="A3073" t="s">
        <v>7957</v>
      </c>
      <c r="B3073">
        <v>0</v>
      </c>
      <c r="C3073">
        <v>0</v>
      </c>
      <c r="D3073">
        <v>0</v>
      </c>
      <c r="G3073" t="s">
        <v>4256</v>
      </c>
      <c r="H3073">
        <v>1</v>
      </c>
    </row>
    <row r="3074" spans="1:8" x14ac:dyDescent="0.25">
      <c r="A3074" t="s">
        <v>1802</v>
      </c>
      <c r="B3074">
        <v>1</v>
      </c>
      <c r="C3074">
        <v>1</v>
      </c>
      <c r="D3074">
        <v>1</v>
      </c>
      <c r="E3074" t="s">
        <v>7958</v>
      </c>
      <c r="F3074" t="s">
        <v>7952</v>
      </c>
      <c r="G3074" t="s">
        <v>7952</v>
      </c>
      <c r="H3074">
        <v>66</v>
      </c>
    </row>
    <row r="3075" spans="1:8" x14ac:dyDescent="0.25">
      <c r="A3075" t="s">
        <v>1965</v>
      </c>
      <c r="B3075">
        <v>1</v>
      </c>
      <c r="C3075">
        <v>1</v>
      </c>
      <c r="D3075">
        <v>1</v>
      </c>
      <c r="E3075" t="s">
        <v>7951</v>
      </c>
      <c r="F3075" t="s">
        <v>7951</v>
      </c>
      <c r="G3075" t="s">
        <v>7951</v>
      </c>
      <c r="H3075">
        <v>68</v>
      </c>
    </row>
    <row r="3076" spans="1:8" x14ac:dyDescent="0.25">
      <c r="A3076" t="s">
        <v>3533</v>
      </c>
      <c r="B3076">
        <v>1</v>
      </c>
      <c r="C3076">
        <v>1</v>
      </c>
      <c r="D3076">
        <v>1</v>
      </c>
      <c r="E3076" t="s">
        <v>7952</v>
      </c>
      <c r="F3076" t="s">
        <v>7952</v>
      </c>
      <c r="G3076" t="s">
        <v>7952</v>
      </c>
      <c r="H3076">
        <v>4</v>
      </c>
    </row>
    <row r="3077" spans="1:8" x14ac:dyDescent="0.25">
      <c r="A3077" t="s">
        <v>2604</v>
      </c>
      <c r="B3077">
        <v>1</v>
      </c>
      <c r="C3077">
        <v>1</v>
      </c>
      <c r="D3077">
        <v>1</v>
      </c>
      <c r="E3077" t="s">
        <v>7953</v>
      </c>
      <c r="F3077" t="s">
        <v>7954</v>
      </c>
      <c r="G3077" t="s">
        <v>7954</v>
      </c>
      <c r="H3077">
        <v>27</v>
      </c>
    </row>
    <row r="3078" spans="1:8" x14ac:dyDescent="0.25">
      <c r="A3078" t="s">
        <v>3771</v>
      </c>
      <c r="B3078">
        <v>1</v>
      </c>
      <c r="C3078">
        <v>1</v>
      </c>
      <c r="D3078">
        <v>1</v>
      </c>
      <c r="E3078" t="s">
        <v>7958</v>
      </c>
      <c r="F3078" t="s">
        <v>7952</v>
      </c>
      <c r="G3078" t="s">
        <v>7952</v>
      </c>
      <c r="H3078">
        <v>2</v>
      </c>
    </row>
    <row r="3079" spans="1:8" x14ac:dyDescent="0.25">
      <c r="A3079" t="s">
        <v>1349</v>
      </c>
      <c r="B3079">
        <v>1</v>
      </c>
      <c r="C3079">
        <v>1</v>
      </c>
      <c r="D3079">
        <v>1</v>
      </c>
      <c r="E3079" t="s">
        <v>7959</v>
      </c>
      <c r="F3079" t="s">
        <v>7959</v>
      </c>
      <c r="G3079" t="s">
        <v>7959</v>
      </c>
      <c r="H3079">
        <v>247</v>
      </c>
    </row>
    <row r="3080" spans="1:8" x14ac:dyDescent="0.25">
      <c r="A3080" t="s">
        <v>2821</v>
      </c>
      <c r="B3080">
        <v>1</v>
      </c>
      <c r="C3080">
        <v>1</v>
      </c>
      <c r="D3080">
        <v>1</v>
      </c>
      <c r="E3080" t="s">
        <v>7960</v>
      </c>
      <c r="F3080" t="s">
        <v>7960</v>
      </c>
      <c r="G3080" t="s">
        <v>7960</v>
      </c>
      <c r="H3080">
        <v>56</v>
      </c>
    </row>
    <row r="3081" spans="1:8" x14ac:dyDescent="0.25">
      <c r="A3081" t="s">
        <v>3443</v>
      </c>
      <c r="B3081">
        <v>1</v>
      </c>
      <c r="C3081">
        <v>1</v>
      </c>
      <c r="D3081">
        <v>1</v>
      </c>
      <c r="E3081" t="s">
        <v>7961</v>
      </c>
      <c r="F3081" t="s">
        <v>7961</v>
      </c>
      <c r="G3081" t="s">
        <v>7961</v>
      </c>
      <c r="H3081">
        <v>16</v>
      </c>
    </row>
    <row r="3082" spans="1:8" x14ac:dyDescent="0.25">
      <c r="A3082" t="s">
        <v>3053</v>
      </c>
      <c r="B3082">
        <v>1</v>
      </c>
      <c r="C3082">
        <v>1</v>
      </c>
      <c r="D3082">
        <v>1</v>
      </c>
      <c r="E3082" t="s">
        <v>7959</v>
      </c>
      <c r="F3082" t="s">
        <v>7959</v>
      </c>
      <c r="G3082" t="s">
        <v>7959</v>
      </c>
      <c r="H3082">
        <v>40</v>
      </c>
    </row>
    <row r="3083" spans="1:8" x14ac:dyDescent="0.25">
      <c r="A3083" t="s">
        <v>3169</v>
      </c>
      <c r="B3083">
        <v>1</v>
      </c>
      <c r="C3083">
        <v>1</v>
      </c>
      <c r="D3083">
        <v>1</v>
      </c>
      <c r="E3083" t="s">
        <v>7960</v>
      </c>
      <c r="F3083" t="s">
        <v>7960</v>
      </c>
      <c r="G3083" t="s">
        <v>7960</v>
      </c>
      <c r="H3083">
        <v>23</v>
      </c>
    </row>
    <row r="3084" spans="1:8" x14ac:dyDescent="0.25">
      <c r="A3084" t="s">
        <v>4000</v>
      </c>
      <c r="B3084">
        <v>1</v>
      </c>
      <c r="C3084">
        <v>1</v>
      </c>
      <c r="D3084">
        <v>1</v>
      </c>
      <c r="E3084" t="s">
        <v>7961</v>
      </c>
      <c r="F3084" t="s">
        <v>7961</v>
      </c>
      <c r="G3084" t="s">
        <v>7961</v>
      </c>
      <c r="H3084">
        <v>1</v>
      </c>
    </row>
    <row r="3085" spans="1:8" x14ac:dyDescent="0.25">
      <c r="A3085" t="s">
        <v>1841</v>
      </c>
      <c r="B3085">
        <v>1</v>
      </c>
      <c r="C3085">
        <v>1</v>
      </c>
      <c r="D3085">
        <v>1</v>
      </c>
      <c r="E3085" t="s">
        <v>7962</v>
      </c>
      <c r="F3085" t="s">
        <v>7962</v>
      </c>
      <c r="G3085" t="s">
        <v>7962</v>
      </c>
      <c r="H3085">
        <v>88</v>
      </c>
    </row>
    <row r="3086" spans="1:8" x14ac:dyDescent="0.25">
      <c r="A3086" t="s">
        <v>1967</v>
      </c>
      <c r="B3086">
        <v>1</v>
      </c>
      <c r="C3086">
        <v>1</v>
      </c>
      <c r="D3086">
        <v>1</v>
      </c>
      <c r="E3086" t="s">
        <v>7963</v>
      </c>
      <c r="F3086" t="s">
        <v>7963</v>
      </c>
      <c r="G3086" t="s">
        <v>7963</v>
      </c>
      <c r="H3086">
        <v>128</v>
      </c>
    </row>
    <row r="3087" spans="1:8" x14ac:dyDescent="0.25">
      <c r="A3087" t="s">
        <v>2325</v>
      </c>
      <c r="B3087">
        <v>1</v>
      </c>
      <c r="C3087">
        <v>1</v>
      </c>
      <c r="D3087">
        <v>1</v>
      </c>
      <c r="E3087" t="s">
        <v>7964</v>
      </c>
      <c r="F3087" t="s">
        <v>7964</v>
      </c>
      <c r="G3087" t="s">
        <v>7964</v>
      </c>
      <c r="H3087">
        <v>82</v>
      </c>
    </row>
    <row r="3088" spans="1:8" x14ac:dyDescent="0.25">
      <c r="A3088" t="s">
        <v>3535</v>
      </c>
      <c r="B3088">
        <v>1</v>
      </c>
      <c r="C3088">
        <v>1</v>
      </c>
      <c r="D3088">
        <v>1</v>
      </c>
      <c r="E3088" t="s">
        <v>7965</v>
      </c>
      <c r="F3088" t="s">
        <v>7965</v>
      </c>
      <c r="G3088" t="s">
        <v>7965</v>
      </c>
      <c r="H3088">
        <v>13</v>
      </c>
    </row>
    <row r="3089" spans="1:8" x14ac:dyDescent="0.25">
      <c r="A3089" t="s">
        <v>7966</v>
      </c>
      <c r="B3089">
        <v>0</v>
      </c>
      <c r="C3089">
        <v>0</v>
      </c>
      <c r="D3089">
        <v>0</v>
      </c>
      <c r="G3089" t="s">
        <v>4256</v>
      </c>
      <c r="H3089">
        <v>1</v>
      </c>
    </row>
    <row r="3090" spans="1:8" x14ac:dyDescent="0.25">
      <c r="A3090" t="s">
        <v>3188</v>
      </c>
      <c r="B3090">
        <v>1</v>
      </c>
      <c r="C3090">
        <v>1</v>
      </c>
      <c r="D3090">
        <v>1</v>
      </c>
      <c r="E3090" t="s">
        <v>7967</v>
      </c>
      <c r="F3090" t="s">
        <v>7967</v>
      </c>
      <c r="G3090" t="s">
        <v>7967</v>
      </c>
      <c r="H3090">
        <v>8</v>
      </c>
    </row>
    <row r="3091" spans="1:8" x14ac:dyDescent="0.25">
      <c r="A3091" t="s">
        <v>3254</v>
      </c>
      <c r="B3091">
        <v>2</v>
      </c>
      <c r="C3091">
        <v>2</v>
      </c>
      <c r="D3091">
        <v>2</v>
      </c>
      <c r="E3091" t="s">
        <v>7968</v>
      </c>
      <c r="F3091" t="s">
        <v>7968</v>
      </c>
      <c r="G3091" t="s">
        <v>4256</v>
      </c>
      <c r="H3091">
        <v>32</v>
      </c>
    </row>
    <row r="3092" spans="1:8" x14ac:dyDescent="0.25">
      <c r="A3092" t="s">
        <v>3215</v>
      </c>
      <c r="B3092">
        <v>2</v>
      </c>
      <c r="C3092">
        <v>2</v>
      </c>
      <c r="D3092">
        <v>2</v>
      </c>
      <c r="E3092" t="s">
        <v>7969</v>
      </c>
      <c r="F3092" t="s">
        <v>7969</v>
      </c>
      <c r="G3092" t="s">
        <v>4256</v>
      </c>
      <c r="H3092">
        <v>31</v>
      </c>
    </row>
    <row r="3093" spans="1:8" x14ac:dyDescent="0.25">
      <c r="A3093" t="s">
        <v>3421</v>
      </c>
      <c r="B3093">
        <v>1</v>
      </c>
      <c r="C3093">
        <v>1</v>
      </c>
      <c r="D3093">
        <v>1</v>
      </c>
      <c r="E3093" t="s">
        <v>7970</v>
      </c>
      <c r="F3093" t="s">
        <v>7970</v>
      </c>
      <c r="G3093" t="s">
        <v>7970</v>
      </c>
      <c r="H3093">
        <v>14</v>
      </c>
    </row>
    <row r="3094" spans="1:8" x14ac:dyDescent="0.25">
      <c r="A3094" t="s">
        <v>3985</v>
      </c>
      <c r="B3094">
        <v>1</v>
      </c>
      <c r="C3094">
        <v>1</v>
      </c>
      <c r="D3094">
        <v>1</v>
      </c>
      <c r="E3094" t="s">
        <v>7970</v>
      </c>
      <c r="F3094" t="s">
        <v>7970</v>
      </c>
      <c r="G3094" t="s">
        <v>7970</v>
      </c>
      <c r="H3094">
        <v>2</v>
      </c>
    </row>
    <row r="3095" spans="1:8" x14ac:dyDescent="0.25">
      <c r="A3095" t="s">
        <v>2884</v>
      </c>
      <c r="B3095">
        <v>1</v>
      </c>
      <c r="C3095">
        <v>1</v>
      </c>
      <c r="D3095">
        <v>1</v>
      </c>
      <c r="E3095" t="s">
        <v>7971</v>
      </c>
      <c r="F3095" t="s">
        <v>7971</v>
      </c>
      <c r="G3095" t="s">
        <v>7971</v>
      </c>
      <c r="H3095">
        <v>24</v>
      </c>
    </row>
    <row r="3096" spans="1:8" x14ac:dyDescent="0.25">
      <c r="A3096" t="s">
        <v>1890</v>
      </c>
      <c r="B3096">
        <v>1</v>
      </c>
      <c r="C3096">
        <v>1</v>
      </c>
      <c r="D3096">
        <v>1</v>
      </c>
      <c r="E3096" t="s">
        <v>7972</v>
      </c>
      <c r="F3096" t="s">
        <v>7972</v>
      </c>
      <c r="G3096" t="s">
        <v>7972</v>
      </c>
      <c r="H3096">
        <v>159</v>
      </c>
    </row>
    <row r="3097" spans="1:8" x14ac:dyDescent="0.25">
      <c r="A3097" t="s">
        <v>1479</v>
      </c>
      <c r="B3097">
        <v>1</v>
      </c>
      <c r="C3097">
        <v>1</v>
      </c>
      <c r="D3097">
        <v>1</v>
      </c>
      <c r="E3097" t="s">
        <v>7973</v>
      </c>
      <c r="F3097" t="s">
        <v>7973</v>
      </c>
      <c r="G3097" t="s">
        <v>7973</v>
      </c>
      <c r="H3097">
        <v>346</v>
      </c>
    </row>
    <row r="3098" spans="1:8" x14ac:dyDescent="0.25">
      <c r="A3098" t="s">
        <v>1862</v>
      </c>
      <c r="B3098">
        <v>1</v>
      </c>
      <c r="C3098">
        <v>1</v>
      </c>
      <c r="D3098">
        <v>1</v>
      </c>
      <c r="E3098" t="s">
        <v>7974</v>
      </c>
      <c r="F3098" t="s">
        <v>7974</v>
      </c>
      <c r="G3098" t="s">
        <v>7974</v>
      </c>
      <c r="H3098">
        <v>181</v>
      </c>
    </row>
    <row r="3099" spans="1:8" x14ac:dyDescent="0.25">
      <c r="A3099" t="s">
        <v>3829</v>
      </c>
      <c r="B3099">
        <v>1</v>
      </c>
      <c r="C3099">
        <v>1</v>
      </c>
      <c r="D3099">
        <v>1</v>
      </c>
      <c r="E3099" t="s">
        <v>7973</v>
      </c>
      <c r="F3099" t="s">
        <v>7973</v>
      </c>
      <c r="G3099" t="s">
        <v>7973</v>
      </c>
      <c r="H3099">
        <v>4</v>
      </c>
    </row>
    <row r="3100" spans="1:8" x14ac:dyDescent="0.25">
      <c r="A3100" t="s">
        <v>3965</v>
      </c>
      <c r="B3100">
        <v>1</v>
      </c>
      <c r="C3100">
        <v>1</v>
      </c>
      <c r="D3100">
        <v>1</v>
      </c>
      <c r="E3100" t="s">
        <v>7974</v>
      </c>
      <c r="F3100" t="s">
        <v>7974</v>
      </c>
      <c r="G3100" t="s">
        <v>7974</v>
      </c>
      <c r="H3100">
        <v>1</v>
      </c>
    </row>
    <row r="3101" spans="1:8" x14ac:dyDescent="0.25">
      <c r="A3101" t="s">
        <v>3474</v>
      </c>
      <c r="B3101">
        <v>1</v>
      </c>
      <c r="C3101">
        <v>1</v>
      </c>
      <c r="D3101">
        <v>1</v>
      </c>
      <c r="E3101" t="s">
        <v>7975</v>
      </c>
      <c r="F3101" t="s">
        <v>7976</v>
      </c>
      <c r="G3101" t="s">
        <v>7976</v>
      </c>
      <c r="H3101">
        <v>3</v>
      </c>
    </row>
    <row r="3102" spans="1:8" x14ac:dyDescent="0.25">
      <c r="A3102" t="s">
        <v>7977</v>
      </c>
      <c r="B3102">
        <v>0</v>
      </c>
      <c r="C3102">
        <v>0</v>
      </c>
      <c r="D3102">
        <v>0</v>
      </c>
      <c r="G3102" t="s">
        <v>4256</v>
      </c>
      <c r="H3102">
        <v>1</v>
      </c>
    </row>
    <row r="3103" spans="1:8" x14ac:dyDescent="0.25">
      <c r="A3103" t="s">
        <v>3540</v>
      </c>
      <c r="B3103">
        <v>1</v>
      </c>
      <c r="C3103">
        <v>1</v>
      </c>
      <c r="D3103">
        <v>1</v>
      </c>
      <c r="E3103" t="s">
        <v>7978</v>
      </c>
      <c r="F3103" t="s">
        <v>7978</v>
      </c>
      <c r="G3103" t="s">
        <v>7978</v>
      </c>
      <c r="H3103">
        <v>8</v>
      </c>
    </row>
    <row r="3104" spans="1:8" x14ac:dyDescent="0.25">
      <c r="A3104" t="s">
        <v>3300</v>
      </c>
      <c r="B3104">
        <v>1</v>
      </c>
      <c r="C3104">
        <v>1</v>
      </c>
      <c r="D3104">
        <v>1</v>
      </c>
      <c r="E3104" t="s">
        <v>7979</v>
      </c>
      <c r="F3104" t="s">
        <v>7980</v>
      </c>
      <c r="G3104" t="s">
        <v>7980</v>
      </c>
      <c r="H3104">
        <v>7</v>
      </c>
    </row>
    <row r="3105" spans="1:8" x14ac:dyDescent="0.25">
      <c r="A3105" t="s">
        <v>4019</v>
      </c>
      <c r="B3105">
        <v>1</v>
      </c>
      <c r="C3105">
        <v>1</v>
      </c>
      <c r="D3105">
        <v>1</v>
      </c>
      <c r="E3105" t="s">
        <v>7981</v>
      </c>
      <c r="F3105" t="s">
        <v>7981</v>
      </c>
      <c r="G3105" t="s">
        <v>7981</v>
      </c>
      <c r="H3105">
        <v>1</v>
      </c>
    </row>
    <row r="3106" spans="1:8" x14ac:dyDescent="0.25">
      <c r="A3106" t="s">
        <v>3677</v>
      </c>
      <c r="B3106">
        <v>1</v>
      </c>
      <c r="C3106">
        <v>1</v>
      </c>
      <c r="D3106">
        <v>1</v>
      </c>
      <c r="E3106" t="s">
        <v>7982</v>
      </c>
      <c r="F3106" t="s">
        <v>7982</v>
      </c>
      <c r="G3106" t="s">
        <v>7982</v>
      </c>
      <c r="H3106">
        <v>2</v>
      </c>
    </row>
    <row r="3107" spans="1:8" x14ac:dyDescent="0.25">
      <c r="A3107" t="s">
        <v>1767</v>
      </c>
      <c r="B3107">
        <v>1</v>
      </c>
      <c r="C3107">
        <v>1</v>
      </c>
      <c r="D3107">
        <v>1</v>
      </c>
      <c r="E3107" t="s">
        <v>7983</v>
      </c>
      <c r="F3107" t="s">
        <v>7983</v>
      </c>
      <c r="G3107" t="s">
        <v>7983</v>
      </c>
      <c r="H3107">
        <v>85</v>
      </c>
    </row>
    <row r="3108" spans="1:8" x14ac:dyDescent="0.25">
      <c r="A3108" t="s">
        <v>3598</v>
      </c>
      <c r="B3108">
        <v>1</v>
      </c>
      <c r="C3108">
        <v>1</v>
      </c>
      <c r="D3108">
        <v>1</v>
      </c>
      <c r="E3108" t="s">
        <v>7983</v>
      </c>
      <c r="F3108" t="s">
        <v>7983</v>
      </c>
      <c r="G3108" t="s">
        <v>7983</v>
      </c>
      <c r="H3108">
        <v>5</v>
      </c>
    </row>
    <row r="3109" spans="1:8" x14ac:dyDescent="0.25">
      <c r="A3109" t="s">
        <v>2522</v>
      </c>
      <c r="B3109">
        <v>1</v>
      </c>
      <c r="C3109">
        <v>1</v>
      </c>
      <c r="D3109">
        <v>1</v>
      </c>
      <c r="E3109" t="s">
        <v>7984</v>
      </c>
      <c r="F3109" t="s">
        <v>7984</v>
      </c>
      <c r="G3109" t="s">
        <v>7984</v>
      </c>
      <c r="H3109">
        <v>94</v>
      </c>
    </row>
    <row r="3110" spans="1:8" x14ac:dyDescent="0.25">
      <c r="A3110" t="s">
        <v>2816</v>
      </c>
      <c r="B3110">
        <v>1</v>
      </c>
      <c r="C3110">
        <v>1</v>
      </c>
      <c r="D3110">
        <v>1</v>
      </c>
      <c r="E3110" t="s">
        <v>7985</v>
      </c>
      <c r="F3110" t="s">
        <v>7985</v>
      </c>
      <c r="G3110" t="s">
        <v>7985</v>
      </c>
      <c r="H3110">
        <v>58</v>
      </c>
    </row>
    <row r="3111" spans="1:8" x14ac:dyDescent="0.25">
      <c r="A3111" t="s">
        <v>7986</v>
      </c>
      <c r="B3111">
        <v>0</v>
      </c>
      <c r="C3111">
        <v>0</v>
      </c>
      <c r="D3111">
        <v>0</v>
      </c>
      <c r="G3111" t="s">
        <v>4256</v>
      </c>
      <c r="H3111">
        <v>1</v>
      </c>
    </row>
    <row r="3112" spans="1:8" x14ac:dyDescent="0.25">
      <c r="A3112" t="s">
        <v>3442</v>
      </c>
      <c r="B3112">
        <v>1</v>
      </c>
      <c r="C3112">
        <v>1</v>
      </c>
      <c r="D3112">
        <v>1</v>
      </c>
      <c r="E3112" t="s">
        <v>7984</v>
      </c>
      <c r="F3112" t="s">
        <v>7984</v>
      </c>
      <c r="G3112" t="s">
        <v>7984</v>
      </c>
      <c r="H3112">
        <v>22</v>
      </c>
    </row>
    <row r="3113" spans="1:8" x14ac:dyDescent="0.25">
      <c r="A3113" t="s">
        <v>3519</v>
      </c>
      <c r="B3113">
        <v>1</v>
      </c>
      <c r="C3113">
        <v>1</v>
      </c>
      <c r="D3113">
        <v>1</v>
      </c>
      <c r="E3113" t="s">
        <v>7985</v>
      </c>
      <c r="F3113" t="s">
        <v>7985</v>
      </c>
      <c r="G3113" t="s">
        <v>7985</v>
      </c>
      <c r="H3113">
        <v>20</v>
      </c>
    </row>
    <row r="3114" spans="1:8" x14ac:dyDescent="0.25">
      <c r="A3114" t="s">
        <v>3656</v>
      </c>
      <c r="B3114">
        <v>1</v>
      </c>
      <c r="C3114">
        <v>1</v>
      </c>
      <c r="D3114">
        <v>1</v>
      </c>
      <c r="E3114" t="s">
        <v>7987</v>
      </c>
      <c r="F3114" t="s">
        <v>7987</v>
      </c>
      <c r="G3114" t="s">
        <v>7987</v>
      </c>
      <c r="H3114">
        <v>5</v>
      </c>
    </row>
    <row r="3115" spans="1:8" x14ac:dyDescent="0.25">
      <c r="A3115" t="s">
        <v>2530</v>
      </c>
      <c r="B3115">
        <v>2</v>
      </c>
      <c r="C3115">
        <v>2</v>
      </c>
      <c r="D3115">
        <v>2</v>
      </c>
      <c r="E3115" t="s">
        <v>7988</v>
      </c>
      <c r="F3115" t="s">
        <v>7988</v>
      </c>
      <c r="G3115" t="s">
        <v>4256</v>
      </c>
      <c r="H3115">
        <v>37</v>
      </c>
    </row>
    <row r="3116" spans="1:8" x14ac:dyDescent="0.25">
      <c r="A3116" t="s">
        <v>2546</v>
      </c>
      <c r="B3116">
        <v>2</v>
      </c>
      <c r="C3116">
        <v>2</v>
      </c>
      <c r="D3116">
        <v>2</v>
      </c>
      <c r="E3116" t="s">
        <v>7989</v>
      </c>
      <c r="F3116" t="s">
        <v>7989</v>
      </c>
      <c r="G3116" t="s">
        <v>4256</v>
      </c>
      <c r="H3116">
        <v>42</v>
      </c>
    </row>
    <row r="3117" spans="1:8" x14ac:dyDescent="0.25">
      <c r="A3117" t="s">
        <v>931</v>
      </c>
      <c r="B3117">
        <v>1</v>
      </c>
      <c r="C3117">
        <v>1</v>
      </c>
      <c r="D3117">
        <v>1</v>
      </c>
      <c r="E3117" t="s">
        <v>7990</v>
      </c>
      <c r="F3117" t="s">
        <v>7991</v>
      </c>
      <c r="G3117" t="s">
        <v>7991</v>
      </c>
      <c r="H3117">
        <v>148</v>
      </c>
    </row>
    <row r="3118" spans="1:8" x14ac:dyDescent="0.25">
      <c r="A3118" t="s">
        <v>2554</v>
      </c>
      <c r="B3118">
        <v>1</v>
      </c>
      <c r="C3118">
        <v>1</v>
      </c>
      <c r="D3118">
        <v>1</v>
      </c>
      <c r="E3118" t="s">
        <v>7992</v>
      </c>
      <c r="F3118" t="s">
        <v>7992</v>
      </c>
      <c r="G3118" t="s">
        <v>7992</v>
      </c>
      <c r="H3118">
        <v>66</v>
      </c>
    </row>
    <row r="3119" spans="1:8" x14ac:dyDescent="0.25">
      <c r="A3119" t="s">
        <v>3092</v>
      </c>
      <c r="B3119">
        <v>1</v>
      </c>
      <c r="C3119">
        <v>1</v>
      </c>
      <c r="D3119">
        <v>1</v>
      </c>
      <c r="E3119" t="s">
        <v>7993</v>
      </c>
      <c r="F3119" t="s">
        <v>7993</v>
      </c>
      <c r="G3119" t="s">
        <v>7993</v>
      </c>
      <c r="H3119">
        <v>22</v>
      </c>
    </row>
    <row r="3120" spans="1:8" x14ac:dyDescent="0.25">
      <c r="A3120" t="s">
        <v>4025</v>
      </c>
      <c r="B3120">
        <v>1</v>
      </c>
      <c r="C3120">
        <v>1</v>
      </c>
      <c r="D3120">
        <v>1</v>
      </c>
      <c r="E3120" t="s">
        <v>7994</v>
      </c>
      <c r="F3120" t="s">
        <v>7994</v>
      </c>
      <c r="G3120" t="s">
        <v>7994</v>
      </c>
      <c r="H3120">
        <v>2</v>
      </c>
    </row>
    <row r="3121" spans="1:8" x14ac:dyDescent="0.25">
      <c r="A3121" t="s">
        <v>2248</v>
      </c>
      <c r="B3121">
        <v>1</v>
      </c>
      <c r="C3121">
        <v>1</v>
      </c>
      <c r="D3121">
        <v>1</v>
      </c>
      <c r="E3121" t="s">
        <v>7995</v>
      </c>
      <c r="F3121" t="s">
        <v>7995</v>
      </c>
      <c r="G3121" t="s">
        <v>7995</v>
      </c>
      <c r="H3121">
        <v>100</v>
      </c>
    </row>
    <row r="3122" spans="1:8" x14ac:dyDescent="0.25">
      <c r="A3122" t="s">
        <v>3511</v>
      </c>
      <c r="B3122">
        <v>1</v>
      </c>
      <c r="C3122">
        <v>1</v>
      </c>
      <c r="D3122">
        <v>1</v>
      </c>
      <c r="E3122" t="s">
        <v>7996</v>
      </c>
      <c r="F3122" t="s">
        <v>7996</v>
      </c>
      <c r="G3122" t="s">
        <v>7996</v>
      </c>
      <c r="H3122">
        <v>5</v>
      </c>
    </row>
    <row r="3123" spans="1:8" x14ac:dyDescent="0.25">
      <c r="A3123" t="s">
        <v>2996</v>
      </c>
      <c r="B3123">
        <v>2</v>
      </c>
      <c r="C3123">
        <v>2</v>
      </c>
      <c r="D3123">
        <v>2</v>
      </c>
      <c r="E3123" t="s">
        <v>7997</v>
      </c>
      <c r="F3123" t="s">
        <v>7997</v>
      </c>
      <c r="G3123" t="s">
        <v>4256</v>
      </c>
      <c r="H3123">
        <v>19</v>
      </c>
    </row>
    <row r="3124" spans="1:8" x14ac:dyDescent="0.25">
      <c r="A3124" t="s">
        <v>1436</v>
      </c>
      <c r="B3124">
        <v>1</v>
      </c>
      <c r="C3124">
        <v>1</v>
      </c>
      <c r="D3124">
        <v>1</v>
      </c>
      <c r="E3124" t="s">
        <v>7998</v>
      </c>
      <c r="F3124" t="s">
        <v>7998</v>
      </c>
      <c r="G3124" t="s">
        <v>7998</v>
      </c>
      <c r="H3124">
        <v>168</v>
      </c>
    </row>
    <row r="3125" spans="1:8" x14ac:dyDescent="0.25">
      <c r="A3125" t="s">
        <v>2044</v>
      </c>
      <c r="B3125">
        <v>2</v>
      </c>
      <c r="C3125">
        <v>2</v>
      </c>
      <c r="D3125">
        <v>2</v>
      </c>
      <c r="E3125" t="s">
        <v>7999</v>
      </c>
      <c r="F3125" t="s">
        <v>7999</v>
      </c>
      <c r="G3125" t="s">
        <v>4256</v>
      </c>
      <c r="H3125">
        <v>93</v>
      </c>
    </row>
    <row r="3126" spans="1:8" x14ac:dyDescent="0.25">
      <c r="A3126" t="s">
        <v>2627</v>
      </c>
      <c r="B3126">
        <v>2</v>
      </c>
      <c r="C3126">
        <v>2</v>
      </c>
      <c r="D3126">
        <v>2</v>
      </c>
      <c r="E3126" t="s">
        <v>8000</v>
      </c>
      <c r="F3126" t="s">
        <v>8000</v>
      </c>
      <c r="G3126" t="s">
        <v>4256</v>
      </c>
      <c r="H3126">
        <v>32</v>
      </c>
    </row>
    <row r="3127" spans="1:8" x14ac:dyDescent="0.25">
      <c r="A3127" t="s">
        <v>2764</v>
      </c>
      <c r="B3127">
        <v>1</v>
      </c>
      <c r="C3127">
        <v>1</v>
      </c>
      <c r="D3127">
        <v>1</v>
      </c>
      <c r="E3127" t="s">
        <v>8001</v>
      </c>
      <c r="F3127" t="s">
        <v>8001</v>
      </c>
      <c r="G3127" t="s">
        <v>8001</v>
      </c>
      <c r="H3127">
        <v>22</v>
      </c>
    </row>
    <row r="3128" spans="1:8" x14ac:dyDescent="0.25">
      <c r="A3128" t="s">
        <v>3775</v>
      </c>
      <c r="B3128">
        <v>1</v>
      </c>
      <c r="C3128">
        <v>1</v>
      </c>
      <c r="D3128">
        <v>1</v>
      </c>
      <c r="E3128" t="s">
        <v>8002</v>
      </c>
      <c r="F3128" t="s">
        <v>8002</v>
      </c>
      <c r="G3128" t="s">
        <v>8002</v>
      </c>
      <c r="H3128">
        <v>3</v>
      </c>
    </row>
    <row r="3129" spans="1:8" x14ac:dyDescent="0.25">
      <c r="A3129" t="s">
        <v>2973</v>
      </c>
      <c r="B3129">
        <v>1</v>
      </c>
      <c r="C3129">
        <v>1</v>
      </c>
      <c r="D3129">
        <v>1</v>
      </c>
      <c r="E3129" t="s">
        <v>8003</v>
      </c>
      <c r="F3129" t="s">
        <v>8003</v>
      </c>
      <c r="G3129" t="s">
        <v>8003</v>
      </c>
      <c r="H3129">
        <v>24</v>
      </c>
    </row>
    <row r="3130" spans="1:8" x14ac:dyDescent="0.25">
      <c r="A3130" t="s">
        <v>1018</v>
      </c>
      <c r="B3130">
        <v>1</v>
      </c>
      <c r="C3130">
        <v>1</v>
      </c>
      <c r="D3130">
        <v>1</v>
      </c>
      <c r="E3130" t="s">
        <v>8004</v>
      </c>
      <c r="F3130" t="s">
        <v>8004</v>
      </c>
      <c r="G3130" t="s">
        <v>8004</v>
      </c>
      <c r="H3130">
        <v>541</v>
      </c>
    </row>
    <row r="3131" spans="1:8" x14ac:dyDescent="0.25">
      <c r="A3131" t="s">
        <v>2474</v>
      </c>
      <c r="B3131">
        <v>1</v>
      </c>
      <c r="C3131">
        <v>1</v>
      </c>
      <c r="D3131">
        <v>1</v>
      </c>
      <c r="E3131" t="s">
        <v>8005</v>
      </c>
      <c r="F3131" t="s">
        <v>8005</v>
      </c>
      <c r="G3131" t="s">
        <v>8005</v>
      </c>
      <c r="H3131">
        <v>82</v>
      </c>
    </row>
    <row r="3132" spans="1:8" x14ac:dyDescent="0.25">
      <c r="A3132" t="s">
        <v>1220</v>
      </c>
      <c r="B3132">
        <v>1</v>
      </c>
      <c r="C3132">
        <v>1</v>
      </c>
      <c r="D3132">
        <v>1</v>
      </c>
      <c r="E3132" t="s">
        <v>8006</v>
      </c>
      <c r="F3132" t="s">
        <v>8006</v>
      </c>
      <c r="G3132" t="s">
        <v>8006</v>
      </c>
      <c r="H3132">
        <v>452</v>
      </c>
    </row>
    <row r="3133" spans="1:8" x14ac:dyDescent="0.25">
      <c r="A3133" t="s">
        <v>1803</v>
      </c>
      <c r="B3133">
        <v>2</v>
      </c>
      <c r="C3133">
        <v>2</v>
      </c>
      <c r="D3133">
        <v>2</v>
      </c>
      <c r="E3133" t="s">
        <v>8007</v>
      </c>
      <c r="F3133" t="s">
        <v>8007</v>
      </c>
      <c r="G3133" t="s">
        <v>4256</v>
      </c>
      <c r="H3133">
        <v>251</v>
      </c>
    </row>
    <row r="3134" spans="1:8" x14ac:dyDescent="0.25">
      <c r="A3134" t="s">
        <v>2651</v>
      </c>
      <c r="B3134">
        <v>1</v>
      </c>
      <c r="C3134">
        <v>1</v>
      </c>
      <c r="D3134">
        <v>1</v>
      </c>
      <c r="E3134" t="s">
        <v>8008</v>
      </c>
      <c r="F3134" t="s">
        <v>8008</v>
      </c>
      <c r="G3134" t="s">
        <v>8008</v>
      </c>
      <c r="H3134">
        <v>70</v>
      </c>
    </row>
    <row r="3135" spans="1:8" x14ac:dyDescent="0.25">
      <c r="A3135" t="s">
        <v>2152</v>
      </c>
      <c r="B3135">
        <v>1</v>
      </c>
      <c r="C3135">
        <v>1</v>
      </c>
      <c r="D3135">
        <v>1</v>
      </c>
      <c r="E3135" t="s">
        <v>8009</v>
      </c>
      <c r="F3135" t="s">
        <v>8009</v>
      </c>
      <c r="G3135" t="s">
        <v>8009</v>
      </c>
      <c r="H3135">
        <v>174</v>
      </c>
    </row>
    <row r="3136" spans="1:8" x14ac:dyDescent="0.25">
      <c r="A3136" t="s">
        <v>3718</v>
      </c>
      <c r="B3136">
        <v>1</v>
      </c>
      <c r="C3136">
        <v>1</v>
      </c>
      <c r="D3136">
        <v>1</v>
      </c>
      <c r="E3136" t="s">
        <v>8004</v>
      </c>
      <c r="F3136" t="s">
        <v>8004</v>
      </c>
      <c r="G3136" t="s">
        <v>8004</v>
      </c>
      <c r="H3136">
        <v>5</v>
      </c>
    </row>
    <row r="3137" spans="1:8" x14ac:dyDescent="0.25">
      <c r="A3137" t="s">
        <v>3638</v>
      </c>
      <c r="B3137">
        <v>1</v>
      </c>
      <c r="C3137">
        <v>1</v>
      </c>
      <c r="D3137">
        <v>1</v>
      </c>
      <c r="E3137" t="s">
        <v>8005</v>
      </c>
      <c r="F3137" t="s">
        <v>8005</v>
      </c>
      <c r="G3137" t="s">
        <v>8005</v>
      </c>
      <c r="H3137">
        <v>6</v>
      </c>
    </row>
    <row r="3138" spans="1:8" x14ac:dyDescent="0.25">
      <c r="A3138" t="s">
        <v>3510</v>
      </c>
      <c r="B3138">
        <v>1</v>
      </c>
      <c r="C3138">
        <v>1</v>
      </c>
      <c r="D3138">
        <v>1</v>
      </c>
      <c r="E3138" t="s">
        <v>8006</v>
      </c>
      <c r="F3138" t="s">
        <v>8006</v>
      </c>
      <c r="G3138" t="s">
        <v>8006</v>
      </c>
      <c r="H3138">
        <v>12</v>
      </c>
    </row>
    <row r="3139" spans="1:8" x14ac:dyDescent="0.25">
      <c r="A3139" t="s">
        <v>3896</v>
      </c>
      <c r="B3139">
        <v>1</v>
      </c>
      <c r="C3139">
        <v>1</v>
      </c>
      <c r="D3139">
        <v>1</v>
      </c>
      <c r="E3139" t="s">
        <v>8010</v>
      </c>
      <c r="F3139" t="s">
        <v>8010</v>
      </c>
      <c r="G3139" t="s">
        <v>8010</v>
      </c>
      <c r="H3139">
        <v>1</v>
      </c>
    </row>
    <row r="3140" spans="1:8" x14ac:dyDescent="0.25">
      <c r="A3140" t="s">
        <v>4001</v>
      </c>
      <c r="B3140">
        <v>1</v>
      </c>
      <c r="C3140">
        <v>1</v>
      </c>
      <c r="D3140">
        <v>1</v>
      </c>
      <c r="E3140" t="s">
        <v>8009</v>
      </c>
      <c r="F3140" t="s">
        <v>8009</v>
      </c>
      <c r="G3140" t="s">
        <v>8009</v>
      </c>
      <c r="H3140">
        <v>1</v>
      </c>
    </row>
    <row r="3141" spans="1:8" x14ac:dyDescent="0.25">
      <c r="A3141" t="s">
        <v>3419</v>
      </c>
      <c r="B3141">
        <v>2</v>
      </c>
      <c r="C3141">
        <v>2</v>
      </c>
      <c r="D3141">
        <v>2</v>
      </c>
      <c r="E3141" t="s">
        <v>8011</v>
      </c>
      <c r="F3141" t="s">
        <v>8012</v>
      </c>
      <c r="G3141" t="s">
        <v>4256</v>
      </c>
      <c r="H3141">
        <v>7</v>
      </c>
    </row>
    <row r="3142" spans="1:8" x14ac:dyDescent="0.25">
      <c r="A3142" t="s">
        <v>3376</v>
      </c>
      <c r="B3142">
        <v>1</v>
      </c>
      <c r="C3142">
        <v>1</v>
      </c>
      <c r="D3142">
        <v>1</v>
      </c>
      <c r="E3142" t="s">
        <v>8013</v>
      </c>
      <c r="F3142" t="s">
        <v>8014</v>
      </c>
      <c r="G3142" t="s">
        <v>8014</v>
      </c>
      <c r="H3142">
        <v>15</v>
      </c>
    </row>
    <row r="3143" spans="1:8" x14ac:dyDescent="0.25">
      <c r="A3143" t="s">
        <v>2281</v>
      </c>
      <c r="B3143">
        <v>2</v>
      </c>
      <c r="C3143">
        <v>2</v>
      </c>
      <c r="D3143">
        <v>2</v>
      </c>
      <c r="E3143" t="s">
        <v>8015</v>
      </c>
      <c r="F3143" t="s">
        <v>8015</v>
      </c>
      <c r="G3143" t="s">
        <v>4256</v>
      </c>
      <c r="H3143">
        <v>101</v>
      </c>
    </row>
    <row r="3144" spans="1:8" x14ac:dyDescent="0.25">
      <c r="A3144" t="s">
        <v>2416</v>
      </c>
      <c r="B3144">
        <v>1</v>
      </c>
      <c r="C3144">
        <v>1</v>
      </c>
      <c r="D3144">
        <v>1</v>
      </c>
      <c r="E3144" t="s">
        <v>8016</v>
      </c>
      <c r="F3144" t="s">
        <v>8017</v>
      </c>
      <c r="G3144" t="s">
        <v>8017</v>
      </c>
      <c r="H3144">
        <v>26</v>
      </c>
    </row>
    <row r="3145" spans="1:8" x14ac:dyDescent="0.25">
      <c r="A3145" t="s">
        <v>1973</v>
      </c>
      <c r="B3145">
        <v>2</v>
      </c>
      <c r="C3145">
        <v>2</v>
      </c>
      <c r="D3145">
        <v>2</v>
      </c>
      <c r="E3145" t="s">
        <v>8018</v>
      </c>
      <c r="F3145" t="s">
        <v>8018</v>
      </c>
      <c r="G3145" t="s">
        <v>4256</v>
      </c>
      <c r="H3145">
        <v>22</v>
      </c>
    </row>
    <row r="3146" spans="1:8" x14ac:dyDescent="0.25">
      <c r="A3146" t="s">
        <v>8019</v>
      </c>
      <c r="B3146">
        <v>1</v>
      </c>
      <c r="C3146">
        <v>1</v>
      </c>
      <c r="D3146">
        <v>1</v>
      </c>
      <c r="E3146" t="s">
        <v>7397</v>
      </c>
      <c r="F3146" t="s">
        <v>7397</v>
      </c>
      <c r="G3146" t="s">
        <v>7397</v>
      </c>
      <c r="H3146">
        <v>2</v>
      </c>
    </row>
    <row r="3147" spans="1:8" x14ac:dyDescent="0.25">
      <c r="A3147" t="s">
        <v>8020</v>
      </c>
      <c r="B3147">
        <v>1</v>
      </c>
      <c r="C3147">
        <v>1</v>
      </c>
      <c r="D3147">
        <v>1</v>
      </c>
      <c r="E3147" t="s">
        <v>7397</v>
      </c>
      <c r="F3147" t="s">
        <v>7397</v>
      </c>
      <c r="G3147" t="s">
        <v>7397</v>
      </c>
      <c r="H3147">
        <v>1</v>
      </c>
    </row>
    <row r="3148" spans="1:8" x14ac:dyDescent="0.25">
      <c r="A3148" t="s">
        <v>3612</v>
      </c>
      <c r="B3148">
        <v>2</v>
      </c>
      <c r="C3148">
        <v>2</v>
      </c>
      <c r="D3148">
        <v>2</v>
      </c>
      <c r="E3148" t="s">
        <v>8021</v>
      </c>
      <c r="F3148" t="s">
        <v>8021</v>
      </c>
      <c r="G3148" t="s">
        <v>4256</v>
      </c>
      <c r="H3148">
        <v>4</v>
      </c>
    </row>
    <row r="3149" spans="1:8" x14ac:dyDescent="0.25">
      <c r="A3149" t="s">
        <v>3951</v>
      </c>
      <c r="B3149">
        <v>1</v>
      </c>
      <c r="C3149">
        <v>1</v>
      </c>
      <c r="D3149">
        <v>1</v>
      </c>
      <c r="E3149" t="s">
        <v>8022</v>
      </c>
      <c r="F3149" t="s">
        <v>8022</v>
      </c>
      <c r="G3149" t="s">
        <v>8022</v>
      </c>
      <c r="H3149">
        <v>2</v>
      </c>
    </row>
    <row r="3150" spans="1:8" x14ac:dyDescent="0.25">
      <c r="A3150" t="s">
        <v>3815</v>
      </c>
      <c r="B3150">
        <v>2</v>
      </c>
      <c r="C3150">
        <v>2</v>
      </c>
      <c r="D3150">
        <v>2</v>
      </c>
      <c r="E3150" t="s">
        <v>8023</v>
      </c>
      <c r="F3150" t="s">
        <v>8023</v>
      </c>
      <c r="G3150" t="s">
        <v>4256</v>
      </c>
      <c r="H3150">
        <v>2</v>
      </c>
    </row>
    <row r="3151" spans="1:8" x14ac:dyDescent="0.25">
      <c r="A3151" t="s">
        <v>2333</v>
      </c>
      <c r="B3151">
        <v>1</v>
      </c>
      <c r="C3151">
        <v>1</v>
      </c>
      <c r="D3151">
        <v>1</v>
      </c>
      <c r="E3151" t="s">
        <v>8024</v>
      </c>
      <c r="F3151" t="s">
        <v>8024</v>
      </c>
      <c r="G3151" t="s">
        <v>8024</v>
      </c>
      <c r="H3151">
        <v>11</v>
      </c>
    </row>
    <row r="3152" spans="1:8" x14ac:dyDescent="0.25">
      <c r="A3152" t="s">
        <v>3521</v>
      </c>
      <c r="B3152">
        <v>1</v>
      </c>
      <c r="C3152">
        <v>1</v>
      </c>
      <c r="D3152">
        <v>1</v>
      </c>
      <c r="E3152" t="s">
        <v>8025</v>
      </c>
      <c r="F3152" t="s">
        <v>8025</v>
      </c>
      <c r="G3152" t="s">
        <v>8025</v>
      </c>
      <c r="H3152">
        <v>3</v>
      </c>
    </row>
    <row r="3153" spans="1:8" x14ac:dyDescent="0.25">
      <c r="A3153" t="s">
        <v>3816</v>
      </c>
      <c r="B3153">
        <v>1</v>
      </c>
      <c r="C3153">
        <v>1</v>
      </c>
      <c r="D3153">
        <v>1</v>
      </c>
      <c r="E3153" t="s">
        <v>8026</v>
      </c>
      <c r="F3153" t="s">
        <v>8026</v>
      </c>
      <c r="G3153" t="s">
        <v>8026</v>
      </c>
      <c r="H3153">
        <v>1</v>
      </c>
    </row>
    <row r="3154" spans="1:8" x14ac:dyDescent="0.25">
      <c r="A3154" t="s">
        <v>2189</v>
      </c>
      <c r="B3154">
        <v>1</v>
      </c>
      <c r="C3154">
        <v>1</v>
      </c>
      <c r="D3154">
        <v>1</v>
      </c>
      <c r="E3154" t="s">
        <v>8027</v>
      </c>
      <c r="F3154" t="s">
        <v>8027</v>
      </c>
      <c r="G3154" t="s">
        <v>8027</v>
      </c>
      <c r="H3154">
        <v>44</v>
      </c>
    </row>
    <row r="3155" spans="1:8" x14ac:dyDescent="0.25">
      <c r="A3155" t="s">
        <v>2287</v>
      </c>
      <c r="B3155">
        <v>1</v>
      </c>
      <c r="C3155">
        <v>1</v>
      </c>
      <c r="D3155">
        <v>1</v>
      </c>
      <c r="E3155" t="s">
        <v>8028</v>
      </c>
      <c r="F3155" t="s">
        <v>8028</v>
      </c>
      <c r="G3155" t="s">
        <v>8028</v>
      </c>
      <c r="H3155">
        <v>41</v>
      </c>
    </row>
    <row r="3156" spans="1:8" x14ac:dyDescent="0.25">
      <c r="A3156" t="s">
        <v>2989</v>
      </c>
      <c r="B3156">
        <v>1</v>
      </c>
      <c r="C3156">
        <v>1</v>
      </c>
      <c r="D3156">
        <v>1</v>
      </c>
      <c r="E3156" t="s">
        <v>8029</v>
      </c>
      <c r="F3156" t="s">
        <v>8030</v>
      </c>
      <c r="G3156" t="s">
        <v>8030</v>
      </c>
      <c r="H3156">
        <v>12</v>
      </c>
    </row>
    <row r="3157" spans="1:8" x14ac:dyDescent="0.25">
      <c r="A3157" t="s">
        <v>2569</v>
      </c>
      <c r="B3157">
        <v>1</v>
      </c>
      <c r="C3157">
        <v>1</v>
      </c>
      <c r="D3157">
        <v>1</v>
      </c>
      <c r="E3157" t="s">
        <v>8031</v>
      </c>
      <c r="F3157" t="s">
        <v>8031</v>
      </c>
      <c r="G3157" t="s">
        <v>8031</v>
      </c>
      <c r="H3157">
        <v>30</v>
      </c>
    </row>
    <row r="3158" spans="1:8" x14ac:dyDescent="0.25">
      <c r="A3158" t="s">
        <v>2543</v>
      </c>
      <c r="B3158">
        <v>1</v>
      </c>
      <c r="C3158">
        <v>1</v>
      </c>
      <c r="D3158">
        <v>1</v>
      </c>
      <c r="E3158" t="s">
        <v>8032</v>
      </c>
      <c r="F3158" t="s">
        <v>8032</v>
      </c>
      <c r="G3158" t="s">
        <v>8032</v>
      </c>
      <c r="H3158">
        <v>6</v>
      </c>
    </row>
    <row r="3159" spans="1:8" x14ac:dyDescent="0.25">
      <c r="A3159" t="s">
        <v>2172</v>
      </c>
      <c r="B3159">
        <v>1</v>
      </c>
      <c r="C3159">
        <v>1</v>
      </c>
      <c r="D3159">
        <v>1</v>
      </c>
      <c r="E3159" t="s">
        <v>8033</v>
      </c>
      <c r="F3159" t="s">
        <v>8033</v>
      </c>
      <c r="G3159" t="s">
        <v>8033</v>
      </c>
      <c r="H3159">
        <v>83</v>
      </c>
    </row>
    <row r="3160" spans="1:8" x14ac:dyDescent="0.25">
      <c r="A3160" t="s">
        <v>2591</v>
      </c>
      <c r="B3160">
        <v>1</v>
      </c>
      <c r="C3160">
        <v>1</v>
      </c>
      <c r="D3160">
        <v>1</v>
      </c>
      <c r="E3160" t="s">
        <v>8034</v>
      </c>
      <c r="F3160" t="s">
        <v>8034</v>
      </c>
      <c r="G3160" t="s">
        <v>8034</v>
      </c>
      <c r="H3160">
        <v>38</v>
      </c>
    </row>
    <row r="3161" spans="1:8" x14ac:dyDescent="0.25">
      <c r="A3161" t="s">
        <v>2446</v>
      </c>
      <c r="B3161">
        <v>1</v>
      </c>
      <c r="C3161">
        <v>1</v>
      </c>
      <c r="D3161">
        <v>1</v>
      </c>
      <c r="E3161" t="s">
        <v>8035</v>
      </c>
      <c r="F3161" t="s">
        <v>8035</v>
      </c>
      <c r="G3161" t="s">
        <v>8035</v>
      </c>
      <c r="H3161">
        <v>24</v>
      </c>
    </row>
    <row r="3162" spans="1:8" x14ac:dyDescent="0.25">
      <c r="A3162" t="s">
        <v>2093</v>
      </c>
      <c r="B3162">
        <v>2</v>
      </c>
      <c r="C3162">
        <v>2</v>
      </c>
      <c r="D3162">
        <v>2</v>
      </c>
      <c r="E3162" t="s">
        <v>8036</v>
      </c>
      <c r="F3162" t="s">
        <v>8036</v>
      </c>
      <c r="G3162" t="s">
        <v>4256</v>
      </c>
      <c r="H3162">
        <v>91</v>
      </c>
    </row>
    <row r="3163" spans="1:8" x14ac:dyDescent="0.25">
      <c r="A3163" t="s">
        <v>1956</v>
      </c>
      <c r="B3163">
        <v>2</v>
      </c>
      <c r="C3163">
        <v>2</v>
      </c>
      <c r="D3163">
        <v>2</v>
      </c>
      <c r="E3163" t="s">
        <v>8037</v>
      </c>
      <c r="F3163" t="s">
        <v>8037</v>
      </c>
      <c r="G3163" t="s">
        <v>4256</v>
      </c>
      <c r="H3163">
        <v>47</v>
      </c>
    </row>
    <row r="3164" spans="1:8" x14ac:dyDescent="0.25">
      <c r="A3164" t="s">
        <v>2021</v>
      </c>
      <c r="B3164">
        <v>1</v>
      </c>
      <c r="C3164">
        <v>1</v>
      </c>
      <c r="D3164">
        <v>1</v>
      </c>
      <c r="E3164" t="s">
        <v>8038</v>
      </c>
      <c r="F3164" t="s">
        <v>8038</v>
      </c>
      <c r="G3164" t="s">
        <v>8038</v>
      </c>
      <c r="H3164">
        <v>41</v>
      </c>
    </row>
    <row r="3165" spans="1:8" x14ac:dyDescent="0.25">
      <c r="A3165" t="s">
        <v>2071</v>
      </c>
      <c r="B3165">
        <v>1</v>
      </c>
      <c r="C3165">
        <v>1</v>
      </c>
      <c r="D3165">
        <v>1</v>
      </c>
      <c r="E3165" t="s">
        <v>8039</v>
      </c>
      <c r="F3165" t="s">
        <v>8039</v>
      </c>
      <c r="G3165" t="s">
        <v>8039</v>
      </c>
      <c r="H3165">
        <v>47</v>
      </c>
    </row>
    <row r="3166" spans="1:8" x14ac:dyDescent="0.25">
      <c r="A3166" t="s">
        <v>3586</v>
      </c>
      <c r="B3166">
        <v>1</v>
      </c>
      <c r="C3166">
        <v>1</v>
      </c>
      <c r="D3166">
        <v>1</v>
      </c>
      <c r="E3166" t="s">
        <v>8040</v>
      </c>
      <c r="F3166" t="s">
        <v>8040</v>
      </c>
      <c r="G3166" t="s">
        <v>8040</v>
      </c>
      <c r="H3166">
        <v>2</v>
      </c>
    </row>
    <row r="3167" spans="1:8" x14ac:dyDescent="0.25">
      <c r="A3167" t="s">
        <v>3759</v>
      </c>
      <c r="B3167">
        <v>1</v>
      </c>
      <c r="C3167">
        <v>1</v>
      </c>
      <c r="D3167">
        <v>1</v>
      </c>
      <c r="E3167" t="s">
        <v>8038</v>
      </c>
      <c r="F3167" t="s">
        <v>8038</v>
      </c>
      <c r="G3167" t="s">
        <v>8038</v>
      </c>
      <c r="H3167">
        <v>2</v>
      </c>
    </row>
    <row r="3168" spans="1:8" x14ac:dyDescent="0.25">
      <c r="A3168" t="s">
        <v>3036</v>
      </c>
      <c r="B3168">
        <v>1</v>
      </c>
      <c r="C3168">
        <v>1</v>
      </c>
      <c r="D3168">
        <v>1</v>
      </c>
      <c r="E3168" t="s">
        <v>8039</v>
      </c>
      <c r="F3168" t="s">
        <v>8039</v>
      </c>
      <c r="G3168" t="s">
        <v>8039</v>
      </c>
      <c r="H3168">
        <v>16</v>
      </c>
    </row>
    <row r="3169" spans="1:8" x14ac:dyDescent="0.25">
      <c r="A3169" t="s">
        <v>2934</v>
      </c>
      <c r="B3169">
        <v>1</v>
      </c>
      <c r="C3169">
        <v>1</v>
      </c>
      <c r="D3169">
        <v>1</v>
      </c>
      <c r="E3169" t="s">
        <v>8041</v>
      </c>
      <c r="F3169" t="s">
        <v>8041</v>
      </c>
      <c r="G3169" t="s">
        <v>8041</v>
      </c>
      <c r="H3169">
        <v>20</v>
      </c>
    </row>
    <row r="3170" spans="1:8" x14ac:dyDescent="0.25">
      <c r="A3170" t="s">
        <v>2645</v>
      </c>
      <c r="B3170">
        <v>1</v>
      </c>
      <c r="C3170">
        <v>1</v>
      </c>
      <c r="D3170">
        <v>1</v>
      </c>
      <c r="E3170" t="s">
        <v>8042</v>
      </c>
      <c r="F3170" t="s">
        <v>8042</v>
      </c>
      <c r="G3170" t="s">
        <v>8042</v>
      </c>
      <c r="H3170">
        <v>29</v>
      </c>
    </row>
    <row r="3171" spans="1:8" x14ac:dyDescent="0.25">
      <c r="A3171" t="s">
        <v>3149</v>
      </c>
      <c r="B3171">
        <v>1</v>
      </c>
      <c r="C3171">
        <v>1</v>
      </c>
      <c r="D3171">
        <v>1</v>
      </c>
      <c r="E3171" t="s">
        <v>8043</v>
      </c>
      <c r="F3171" t="s">
        <v>8043</v>
      </c>
      <c r="G3171" t="s">
        <v>8043</v>
      </c>
      <c r="H3171">
        <v>14</v>
      </c>
    </row>
    <row r="3172" spans="1:8" x14ac:dyDescent="0.25">
      <c r="A3172" t="s">
        <v>3941</v>
      </c>
      <c r="B3172">
        <v>1</v>
      </c>
      <c r="C3172">
        <v>1</v>
      </c>
      <c r="D3172">
        <v>1</v>
      </c>
      <c r="E3172" t="s">
        <v>8041</v>
      </c>
      <c r="F3172" t="s">
        <v>8041</v>
      </c>
      <c r="G3172" t="s">
        <v>8041</v>
      </c>
      <c r="H3172">
        <v>1</v>
      </c>
    </row>
    <row r="3173" spans="1:8" x14ac:dyDescent="0.25">
      <c r="A3173" t="s">
        <v>3942</v>
      </c>
      <c r="B3173">
        <v>1</v>
      </c>
      <c r="C3173">
        <v>1</v>
      </c>
      <c r="D3173">
        <v>1</v>
      </c>
      <c r="E3173" t="s">
        <v>8042</v>
      </c>
      <c r="F3173" t="s">
        <v>8042</v>
      </c>
      <c r="G3173" t="s">
        <v>8042</v>
      </c>
      <c r="H3173">
        <v>1</v>
      </c>
    </row>
    <row r="3174" spans="1:8" x14ac:dyDescent="0.25">
      <c r="A3174" t="s">
        <v>2524</v>
      </c>
      <c r="B3174">
        <v>1</v>
      </c>
      <c r="C3174">
        <v>1</v>
      </c>
      <c r="D3174">
        <v>1</v>
      </c>
      <c r="E3174" t="s">
        <v>8044</v>
      </c>
      <c r="F3174" t="s">
        <v>8045</v>
      </c>
      <c r="G3174" t="s">
        <v>8045</v>
      </c>
      <c r="H3174">
        <v>40</v>
      </c>
    </row>
    <row r="3175" spans="1:8" x14ac:dyDescent="0.25">
      <c r="A3175" t="s">
        <v>8046</v>
      </c>
      <c r="B3175">
        <v>0</v>
      </c>
      <c r="C3175">
        <v>0</v>
      </c>
      <c r="D3175">
        <v>0</v>
      </c>
      <c r="G3175" t="s">
        <v>4256</v>
      </c>
      <c r="H3175">
        <v>1</v>
      </c>
    </row>
    <row r="3176" spans="1:8" x14ac:dyDescent="0.25">
      <c r="A3176" t="s">
        <v>2162</v>
      </c>
      <c r="B3176">
        <v>2</v>
      </c>
      <c r="C3176">
        <v>2</v>
      </c>
      <c r="D3176">
        <v>2</v>
      </c>
      <c r="E3176" t="s">
        <v>8047</v>
      </c>
      <c r="F3176" t="s">
        <v>8047</v>
      </c>
      <c r="G3176" t="s">
        <v>4256</v>
      </c>
      <c r="H3176">
        <v>21</v>
      </c>
    </row>
    <row r="3177" spans="1:8" x14ac:dyDescent="0.25">
      <c r="A3177" t="s">
        <v>3189</v>
      </c>
      <c r="B3177">
        <v>1</v>
      </c>
      <c r="C3177">
        <v>1</v>
      </c>
      <c r="D3177">
        <v>1</v>
      </c>
      <c r="E3177" t="s">
        <v>8048</v>
      </c>
      <c r="F3177" t="s">
        <v>8048</v>
      </c>
      <c r="G3177" t="s">
        <v>8048</v>
      </c>
      <c r="H3177">
        <v>5</v>
      </c>
    </row>
    <row r="3178" spans="1:8" x14ac:dyDescent="0.25">
      <c r="A3178" t="s">
        <v>8049</v>
      </c>
      <c r="B3178">
        <v>0</v>
      </c>
      <c r="C3178">
        <v>0</v>
      </c>
      <c r="D3178">
        <v>0</v>
      </c>
      <c r="G3178" t="s">
        <v>4256</v>
      </c>
      <c r="H3178">
        <v>1</v>
      </c>
    </row>
    <row r="3179" spans="1:8" x14ac:dyDescent="0.25">
      <c r="A3179" t="s">
        <v>3335</v>
      </c>
      <c r="B3179">
        <v>1</v>
      </c>
      <c r="C3179">
        <v>1</v>
      </c>
      <c r="D3179">
        <v>1</v>
      </c>
      <c r="E3179" t="s">
        <v>8050</v>
      </c>
      <c r="F3179" t="s">
        <v>8050</v>
      </c>
      <c r="G3179" t="s">
        <v>8050</v>
      </c>
      <c r="H3179">
        <v>44</v>
      </c>
    </row>
    <row r="3180" spans="1:8" x14ac:dyDescent="0.25">
      <c r="A3180" t="s">
        <v>2969</v>
      </c>
      <c r="B3180">
        <v>1</v>
      </c>
      <c r="C3180">
        <v>1</v>
      </c>
      <c r="D3180">
        <v>1</v>
      </c>
      <c r="E3180" t="s">
        <v>8051</v>
      </c>
      <c r="F3180" t="s">
        <v>8051</v>
      </c>
      <c r="G3180" t="s">
        <v>8051</v>
      </c>
      <c r="H3180">
        <v>66</v>
      </c>
    </row>
    <row r="3181" spans="1:8" x14ac:dyDescent="0.25">
      <c r="A3181" t="s">
        <v>2380</v>
      </c>
      <c r="B3181">
        <v>1</v>
      </c>
      <c r="C3181">
        <v>1</v>
      </c>
      <c r="D3181">
        <v>1</v>
      </c>
      <c r="E3181" t="s">
        <v>8052</v>
      </c>
      <c r="F3181" t="s">
        <v>8052</v>
      </c>
      <c r="G3181" t="s">
        <v>8052</v>
      </c>
      <c r="H3181">
        <v>50</v>
      </c>
    </row>
    <row r="3182" spans="1:8" x14ac:dyDescent="0.25">
      <c r="A3182" t="s">
        <v>3622</v>
      </c>
      <c r="B3182">
        <v>1</v>
      </c>
      <c r="C3182">
        <v>1</v>
      </c>
      <c r="D3182">
        <v>1</v>
      </c>
      <c r="E3182" t="s">
        <v>8053</v>
      </c>
      <c r="F3182" t="s">
        <v>8053</v>
      </c>
      <c r="G3182" t="s">
        <v>8053</v>
      </c>
      <c r="H3182">
        <v>3</v>
      </c>
    </row>
    <row r="3183" spans="1:8" x14ac:dyDescent="0.25">
      <c r="A3183" t="s">
        <v>2751</v>
      </c>
      <c r="B3183">
        <v>1</v>
      </c>
      <c r="C3183">
        <v>1</v>
      </c>
      <c r="D3183">
        <v>1</v>
      </c>
      <c r="E3183" t="s">
        <v>8054</v>
      </c>
      <c r="F3183" t="s">
        <v>8054</v>
      </c>
      <c r="G3183" t="s">
        <v>8054</v>
      </c>
      <c r="H3183">
        <v>16</v>
      </c>
    </row>
    <row r="3184" spans="1:8" x14ac:dyDescent="0.25">
      <c r="A3184" t="s">
        <v>3386</v>
      </c>
      <c r="B3184">
        <v>1</v>
      </c>
      <c r="C3184">
        <v>1</v>
      </c>
      <c r="D3184">
        <v>1</v>
      </c>
      <c r="E3184" t="s">
        <v>8055</v>
      </c>
      <c r="F3184" t="s">
        <v>8055</v>
      </c>
      <c r="G3184" t="s">
        <v>8055</v>
      </c>
      <c r="H3184">
        <v>2</v>
      </c>
    </row>
    <row r="3185" spans="1:8" x14ac:dyDescent="0.25">
      <c r="A3185" t="s">
        <v>2951</v>
      </c>
      <c r="B3185">
        <v>1</v>
      </c>
      <c r="C3185">
        <v>1</v>
      </c>
      <c r="D3185">
        <v>1</v>
      </c>
      <c r="E3185" t="s">
        <v>8056</v>
      </c>
      <c r="F3185" t="s">
        <v>8056</v>
      </c>
      <c r="G3185" t="s">
        <v>8056</v>
      </c>
      <c r="H3185">
        <v>14</v>
      </c>
    </row>
    <row r="3186" spans="1:8" x14ac:dyDescent="0.25">
      <c r="A3186" t="s">
        <v>2910</v>
      </c>
      <c r="B3186">
        <v>1</v>
      </c>
      <c r="C3186">
        <v>1</v>
      </c>
      <c r="D3186">
        <v>1</v>
      </c>
      <c r="E3186" t="s">
        <v>8057</v>
      </c>
      <c r="F3186" t="s">
        <v>8057</v>
      </c>
      <c r="G3186" t="s">
        <v>8057</v>
      </c>
      <c r="H3186">
        <v>23</v>
      </c>
    </row>
    <row r="3187" spans="1:8" x14ac:dyDescent="0.25">
      <c r="A3187" t="s">
        <v>3318</v>
      </c>
      <c r="B3187">
        <v>1</v>
      </c>
      <c r="C3187">
        <v>1</v>
      </c>
      <c r="D3187">
        <v>1</v>
      </c>
      <c r="E3187" t="s">
        <v>8058</v>
      </c>
      <c r="F3187" t="s">
        <v>8058</v>
      </c>
      <c r="G3187" t="s">
        <v>8058</v>
      </c>
      <c r="H3187">
        <v>10</v>
      </c>
    </row>
    <row r="3188" spans="1:8" x14ac:dyDescent="0.25">
      <c r="A3188" t="s">
        <v>2332</v>
      </c>
      <c r="B3188">
        <v>1</v>
      </c>
      <c r="C3188">
        <v>1</v>
      </c>
      <c r="D3188">
        <v>1</v>
      </c>
      <c r="E3188" t="s">
        <v>8059</v>
      </c>
      <c r="F3188" t="s">
        <v>8059</v>
      </c>
      <c r="G3188" t="s">
        <v>8059</v>
      </c>
      <c r="H3188">
        <v>34</v>
      </c>
    </row>
    <row r="3189" spans="1:8" x14ac:dyDescent="0.25">
      <c r="A3189" t="s">
        <v>2841</v>
      </c>
      <c r="B3189">
        <v>1</v>
      </c>
      <c r="C3189">
        <v>1</v>
      </c>
      <c r="D3189">
        <v>1</v>
      </c>
      <c r="E3189" t="s">
        <v>8060</v>
      </c>
      <c r="F3189" t="s">
        <v>8060</v>
      </c>
      <c r="G3189" t="s">
        <v>8060</v>
      </c>
      <c r="H3189">
        <v>18</v>
      </c>
    </row>
    <row r="3190" spans="1:8" x14ac:dyDescent="0.25">
      <c r="A3190" t="s">
        <v>3845</v>
      </c>
      <c r="B3190">
        <v>1</v>
      </c>
      <c r="C3190">
        <v>1</v>
      </c>
      <c r="D3190">
        <v>1</v>
      </c>
      <c r="E3190" t="s">
        <v>8061</v>
      </c>
      <c r="F3190" t="s">
        <v>8061</v>
      </c>
      <c r="G3190" t="s">
        <v>8061</v>
      </c>
      <c r="H3190">
        <v>3</v>
      </c>
    </row>
    <row r="3191" spans="1:8" x14ac:dyDescent="0.25">
      <c r="A3191" t="s">
        <v>2916</v>
      </c>
      <c r="B3191">
        <v>1</v>
      </c>
      <c r="C3191">
        <v>1</v>
      </c>
      <c r="D3191">
        <v>1</v>
      </c>
      <c r="E3191" t="s">
        <v>8062</v>
      </c>
      <c r="F3191" t="s">
        <v>8062</v>
      </c>
      <c r="G3191" t="s">
        <v>8062</v>
      </c>
      <c r="H3191">
        <v>5</v>
      </c>
    </row>
    <row r="3192" spans="1:8" x14ac:dyDescent="0.25">
      <c r="A3192" t="s">
        <v>707</v>
      </c>
      <c r="B3192">
        <v>1</v>
      </c>
      <c r="C3192">
        <v>1</v>
      </c>
      <c r="D3192">
        <v>1</v>
      </c>
      <c r="E3192" t="s">
        <v>8063</v>
      </c>
      <c r="F3192" t="s">
        <v>8063</v>
      </c>
      <c r="G3192" t="s">
        <v>8063</v>
      </c>
      <c r="H3192">
        <v>603</v>
      </c>
    </row>
    <row r="3193" spans="1:8" x14ac:dyDescent="0.25">
      <c r="A3193" t="s">
        <v>3765</v>
      </c>
      <c r="B3193">
        <v>1</v>
      </c>
      <c r="C3193">
        <v>1</v>
      </c>
      <c r="D3193">
        <v>1</v>
      </c>
      <c r="E3193" t="s">
        <v>8064</v>
      </c>
      <c r="F3193" t="s">
        <v>8065</v>
      </c>
      <c r="G3193" t="s">
        <v>8065</v>
      </c>
      <c r="H3193">
        <v>1</v>
      </c>
    </row>
    <row r="3194" spans="1:8" x14ac:dyDescent="0.25">
      <c r="A3194" t="s">
        <v>3594</v>
      </c>
      <c r="B3194">
        <v>1</v>
      </c>
      <c r="C3194">
        <v>1</v>
      </c>
      <c r="D3194">
        <v>1</v>
      </c>
      <c r="E3194" t="s">
        <v>8066</v>
      </c>
      <c r="F3194" t="s">
        <v>8067</v>
      </c>
      <c r="G3194" t="s">
        <v>8067</v>
      </c>
      <c r="H3194">
        <v>5</v>
      </c>
    </row>
    <row r="3195" spans="1:8" x14ac:dyDescent="0.25">
      <c r="A3195" t="s">
        <v>3452</v>
      </c>
      <c r="B3195">
        <v>1</v>
      </c>
      <c r="C3195">
        <v>1</v>
      </c>
      <c r="D3195">
        <v>1</v>
      </c>
      <c r="E3195" t="s">
        <v>8068</v>
      </c>
      <c r="F3195" t="s">
        <v>8068</v>
      </c>
      <c r="G3195" t="s">
        <v>8068</v>
      </c>
      <c r="H3195">
        <v>10</v>
      </c>
    </row>
    <row r="3196" spans="1:8" x14ac:dyDescent="0.25">
      <c r="A3196" t="s">
        <v>2068</v>
      </c>
      <c r="B3196">
        <v>1</v>
      </c>
      <c r="C3196">
        <v>1</v>
      </c>
      <c r="D3196">
        <v>1</v>
      </c>
      <c r="E3196" t="s">
        <v>8069</v>
      </c>
      <c r="F3196" t="s">
        <v>8069</v>
      </c>
      <c r="G3196" t="s">
        <v>8069</v>
      </c>
      <c r="H3196">
        <v>45</v>
      </c>
    </row>
    <row r="3197" spans="1:8" x14ac:dyDescent="0.25">
      <c r="A3197" t="s">
        <v>2826</v>
      </c>
      <c r="B3197">
        <v>1</v>
      </c>
      <c r="C3197">
        <v>1</v>
      </c>
      <c r="D3197">
        <v>1</v>
      </c>
      <c r="E3197" t="s">
        <v>8070</v>
      </c>
      <c r="F3197" t="s">
        <v>8070</v>
      </c>
      <c r="G3197" t="s">
        <v>8070</v>
      </c>
      <c r="H3197">
        <v>18</v>
      </c>
    </row>
    <row r="3198" spans="1:8" x14ac:dyDescent="0.25">
      <c r="A3198" t="s">
        <v>2595</v>
      </c>
      <c r="B3198">
        <v>1</v>
      </c>
      <c r="C3198">
        <v>1</v>
      </c>
      <c r="D3198">
        <v>1</v>
      </c>
      <c r="E3198" t="s">
        <v>8071</v>
      </c>
      <c r="F3198" t="s">
        <v>8072</v>
      </c>
      <c r="G3198" t="s">
        <v>8072</v>
      </c>
      <c r="H3198">
        <v>20</v>
      </c>
    </row>
    <row r="3199" spans="1:8" x14ac:dyDescent="0.25">
      <c r="A3199" t="s">
        <v>3096</v>
      </c>
      <c r="B3199">
        <v>1</v>
      </c>
      <c r="C3199">
        <v>1</v>
      </c>
      <c r="D3199">
        <v>1</v>
      </c>
      <c r="E3199" t="s">
        <v>8073</v>
      </c>
      <c r="F3199" t="s">
        <v>8073</v>
      </c>
      <c r="G3199" t="s">
        <v>8073</v>
      </c>
      <c r="H3199">
        <v>12</v>
      </c>
    </row>
    <row r="3200" spans="1:8" x14ac:dyDescent="0.25">
      <c r="A3200" t="s">
        <v>2803</v>
      </c>
      <c r="B3200">
        <v>1</v>
      </c>
      <c r="C3200">
        <v>1</v>
      </c>
      <c r="D3200">
        <v>1</v>
      </c>
      <c r="E3200" t="s">
        <v>8074</v>
      </c>
      <c r="F3200" t="s">
        <v>8074</v>
      </c>
      <c r="G3200" t="s">
        <v>8074</v>
      </c>
      <c r="H3200">
        <v>17</v>
      </c>
    </row>
    <row r="3201" spans="1:8" x14ac:dyDescent="0.25">
      <c r="A3201" t="s">
        <v>2883</v>
      </c>
      <c r="B3201">
        <v>1</v>
      </c>
      <c r="C3201">
        <v>1</v>
      </c>
      <c r="D3201">
        <v>1</v>
      </c>
      <c r="E3201" t="s">
        <v>8075</v>
      </c>
      <c r="F3201" t="s">
        <v>8075</v>
      </c>
      <c r="G3201" t="s">
        <v>8075</v>
      </c>
      <c r="H3201">
        <v>13</v>
      </c>
    </row>
    <row r="3202" spans="1:8" x14ac:dyDescent="0.25">
      <c r="A3202" t="s">
        <v>2782</v>
      </c>
      <c r="B3202">
        <v>1</v>
      </c>
      <c r="C3202">
        <v>1</v>
      </c>
      <c r="D3202">
        <v>1</v>
      </c>
      <c r="E3202" t="s">
        <v>8072</v>
      </c>
      <c r="F3202" t="s">
        <v>8072</v>
      </c>
      <c r="G3202" t="s">
        <v>8072</v>
      </c>
      <c r="H3202">
        <v>20</v>
      </c>
    </row>
    <row r="3203" spans="1:8" x14ac:dyDescent="0.25">
      <c r="A3203" t="s">
        <v>3453</v>
      </c>
      <c r="B3203">
        <v>1</v>
      </c>
      <c r="C3203">
        <v>1</v>
      </c>
      <c r="D3203">
        <v>1</v>
      </c>
      <c r="E3203" t="s">
        <v>8076</v>
      </c>
      <c r="F3203" t="s">
        <v>8076</v>
      </c>
      <c r="G3203" t="s">
        <v>8076</v>
      </c>
      <c r="H3203">
        <v>4</v>
      </c>
    </row>
    <row r="3204" spans="1:8" x14ac:dyDescent="0.25">
      <c r="A3204" t="s">
        <v>3173</v>
      </c>
      <c r="B3204">
        <v>1</v>
      </c>
      <c r="C3204">
        <v>1</v>
      </c>
      <c r="D3204">
        <v>1</v>
      </c>
      <c r="E3204" t="s">
        <v>8077</v>
      </c>
      <c r="F3204" t="s">
        <v>8077</v>
      </c>
      <c r="G3204" t="s">
        <v>8077</v>
      </c>
      <c r="H3204">
        <v>6</v>
      </c>
    </row>
    <row r="3205" spans="1:8" x14ac:dyDescent="0.25">
      <c r="A3205" t="s">
        <v>3509</v>
      </c>
      <c r="B3205">
        <v>1</v>
      </c>
      <c r="C3205">
        <v>1</v>
      </c>
      <c r="D3205">
        <v>1</v>
      </c>
      <c r="E3205" t="s">
        <v>8078</v>
      </c>
      <c r="F3205" t="s">
        <v>8078</v>
      </c>
      <c r="G3205" t="s">
        <v>8078</v>
      </c>
      <c r="H3205">
        <v>19</v>
      </c>
    </row>
    <row r="3206" spans="1:8" x14ac:dyDescent="0.25">
      <c r="A3206" t="s">
        <v>8079</v>
      </c>
      <c r="B3206">
        <v>0</v>
      </c>
      <c r="C3206">
        <v>0</v>
      </c>
      <c r="D3206">
        <v>0</v>
      </c>
      <c r="G3206" t="s">
        <v>4256</v>
      </c>
      <c r="H3206">
        <v>1</v>
      </c>
    </row>
    <row r="3207" spans="1:8" x14ac:dyDescent="0.25">
      <c r="A3207" t="s">
        <v>4013</v>
      </c>
      <c r="B3207">
        <v>1</v>
      </c>
      <c r="C3207">
        <v>1</v>
      </c>
      <c r="D3207">
        <v>1</v>
      </c>
      <c r="E3207" t="s">
        <v>8080</v>
      </c>
      <c r="F3207" t="s">
        <v>8080</v>
      </c>
      <c r="G3207" t="s">
        <v>8080</v>
      </c>
      <c r="H3207">
        <v>2</v>
      </c>
    </row>
    <row r="3208" spans="1:8" x14ac:dyDescent="0.25">
      <c r="A3208" t="s">
        <v>3866</v>
      </c>
      <c r="B3208">
        <v>1</v>
      </c>
      <c r="C3208">
        <v>1</v>
      </c>
      <c r="D3208">
        <v>1</v>
      </c>
      <c r="E3208" t="s">
        <v>8081</v>
      </c>
      <c r="F3208" t="s">
        <v>8081</v>
      </c>
      <c r="G3208" t="s">
        <v>8081</v>
      </c>
      <c r="H3208">
        <v>2</v>
      </c>
    </row>
    <row r="3209" spans="1:8" x14ac:dyDescent="0.25">
      <c r="A3209" t="s">
        <v>3955</v>
      </c>
      <c r="B3209">
        <v>1</v>
      </c>
      <c r="C3209">
        <v>1</v>
      </c>
      <c r="D3209">
        <v>1</v>
      </c>
      <c r="E3209" t="s">
        <v>8082</v>
      </c>
      <c r="F3209" t="s">
        <v>8083</v>
      </c>
      <c r="G3209" t="s">
        <v>8083</v>
      </c>
      <c r="H3209">
        <v>2</v>
      </c>
    </row>
    <row r="3210" spans="1:8" x14ac:dyDescent="0.25">
      <c r="A3210" t="s">
        <v>3103</v>
      </c>
      <c r="B3210">
        <v>1</v>
      </c>
      <c r="C3210">
        <v>1</v>
      </c>
      <c r="D3210">
        <v>1</v>
      </c>
      <c r="E3210" t="s">
        <v>8084</v>
      </c>
      <c r="F3210" t="s">
        <v>8085</v>
      </c>
      <c r="G3210" t="s">
        <v>8085</v>
      </c>
      <c r="H3210">
        <v>16</v>
      </c>
    </row>
    <row r="3211" spans="1:8" x14ac:dyDescent="0.25">
      <c r="A3211" t="s">
        <v>4026</v>
      </c>
      <c r="B3211">
        <v>2</v>
      </c>
      <c r="C3211">
        <v>2</v>
      </c>
      <c r="D3211">
        <v>2</v>
      </c>
      <c r="E3211" t="s">
        <v>8086</v>
      </c>
      <c r="F3211" t="s">
        <v>8086</v>
      </c>
      <c r="G3211" t="s">
        <v>4256</v>
      </c>
      <c r="H3211">
        <v>3</v>
      </c>
    </row>
    <row r="3212" spans="1:8" x14ac:dyDescent="0.25">
      <c r="A3212" t="s">
        <v>3023</v>
      </c>
      <c r="B3212">
        <v>1</v>
      </c>
      <c r="C3212">
        <v>1</v>
      </c>
      <c r="D3212">
        <v>1</v>
      </c>
      <c r="E3212" t="s">
        <v>8087</v>
      </c>
      <c r="F3212" t="s">
        <v>8087</v>
      </c>
      <c r="G3212" t="s">
        <v>8087</v>
      </c>
      <c r="H3212">
        <v>20</v>
      </c>
    </row>
    <row r="3213" spans="1:8" x14ac:dyDescent="0.25">
      <c r="A3213" t="s">
        <v>3789</v>
      </c>
      <c r="B3213">
        <v>1</v>
      </c>
      <c r="C3213">
        <v>1</v>
      </c>
      <c r="D3213">
        <v>1</v>
      </c>
      <c r="E3213" t="s">
        <v>8088</v>
      </c>
      <c r="F3213" t="s">
        <v>8088</v>
      </c>
      <c r="G3213" t="s">
        <v>8088</v>
      </c>
      <c r="H3213">
        <v>5</v>
      </c>
    </row>
    <row r="3214" spans="1:8" x14ac:dyDescent="0.25">
      <c r="A3214" t="s">
        <v>3790</v>
      </c>
      <c r="B3214">
        <v>1</v>
      </c>
      <c r="C3214">
        <v>1</v>
      </c>
      <c r="D3214">
        <v>1</v>
      </c>
      <c r="E3214" t="s">
        <v>8089</v>
      </c>
      <c r="F3214" t="s">
        <v>8089</v>
      </c>
      <c r="G3214" t="s">
        <v>8089</v>
      </c>
      <c r="H3214">
        <v>5</v>
      </c>
    </row>
    <row r="3215" spans="1:8" x14ac:dyDescent="0.25">
      <c r="A3215" t="s">
        <v>3520</v>
      </c>
      <c r="B3215">
        <v>1</v>
      </c>
      <c r="C3215">
        <v>1</v>
      </c>
      <c r="D3215">
        <v>1</v>
      </c>
      <c r="E3215" t="s">
        <v>8090</v>
      </c>
      <c r="F3215" t="s">
        <v>8090</v>
      </c>
      <c r="G3215" t="s">
        <v>8090</v>
      </c>
      <c r="H3215">
        <v>10</v>
      </c>
    </row>
    <row r="3216" spans="1:8" x14ac:dyDescent="0.25">
      <c r="A3216" t="s">
        <v>2213</v>
      </c>
      <c r="B3216">
        <v>1</v>
      </c>
      <c r="C3216">
        <v>1</v>
      </c>
      <c r="D3216">
        <v>1</v>
      </c>
      <c r="E3216" t="s">
        <v>8091</v>
      </c>
      <c r="F3216" t="s">
        <v>8091</v>
      </c>
      <c r="G3216" t="s">
        <v>8091</v>
      </c>
      <c r="H3216">
        <v>65</v>
      </c>
    </row>
    <row r="3217" spans="1:8" x14ac:dyDescent="0.25">
      <c r="A3217" t="s">
        <v>3454</v>
      </c>
      <c r="B3217">
        <v>1</v>
      </c>
      <c r="C3217">
        <v>1</v>
      </c>
      <c r="D3217">
        <v>1</v>
      </c>
      <c r="E3217" t="s">
        <v>8092</v>
      </c>
      <c r="F3217" t="s">
        <v>8092</v>
      </c>
      <c r="G3217" t="s">
        <v>8092</v>
      </c>
      <c r="H3217">
        <v>4</v>
      </c>
    </row>
    <row r="3218" spans="1:8" x14ac:dyDescent="0.25">
      <c r="A3218" t="s">
        <v>3388</v>
      </c>
      <c r="B3218">
        <v>1</v>
      </c>
      <c r="C3218">
        <v>1</v>
      </c>
      <c r="D3218">
        <v>1</v>
      </c>
      <c r="E3218" t="s">
        <v>8093</v>
      </c>
      <c r="F3218" t="s">
        <v>8093</v>
      </c>
      <c r="G3218" t="s">
        <v>8093</v>
      </c>
      <c r="H3218">
        <v>14</v>
      </c>
    </row>
    <row r="3219" spans="1:8" x14ac:dyDescent="0.25">
      <c r="A3219" t="s">
        <v>3516</v>
      </c>
      <c r="B3219">
        <v>1</v>
      </c>
      <c r="C3219">
        <v>1</v>
      </c>
      <c r="D3219">
        <v>1</v>
      </c>
      <c r="E3219" t="s">
        <v>8094</v>
      </c>
      <c r="F3219" t="s">
        <v>8094</v>
      </c>
      <c r="G3219" t="s">
        <v>8094</v>
      </c>
      <c r="H3219">
        <v>11</v>
      </c>
    </row>
    <row r="3220" spans="1:8" x14ac:dyDescent="0.25">
      <c r="A3220" t="s">
        <v>2035</v>
      </c>
      <c r="B3220">
        <v>1</v>
      </c>
      <c r="C3220">
        <v>1</v>
      </c>
      <c r="D3220">
        <v>1</v>
      </c>
      <c r="E3220" t="s">
        <v>8095</v>
      </c>
      <c r="F3220" t="s">
        <v>8095</v>
      </c>
      <c r="G3220" t="s">
        <v>8095</v>
      </c>
      <c r="H3220">
        <v>65</v>
      </c>
    </row>
    <row r="3221" spans="1:8" x14ac:dyDescent="0.25">
      <c r="A3221" t="s">
        <v>339</v>
      </c>
      <c r="B3221">
        <v>1</v>
      </c>
      <c r="C3221">
        <v>1</v>
      </c>
      <c r="D3221">
        <v>1</v>
      </c>
      <c r="E3221" t="s">
        <v>8096</v>
      </c>
      <c r="F3221" t="s">
        <v>8096</v>
      </c>
      <c r="G3221" t="s">
        <v>8096</v>
      </c>
      <c r="H3221">
        <v>640</v>
      </c>
    </row>
    <row r="3222" spans="1:8" x14ac:dyDescent="0.25">
      <c r="A3222" t="s">
        <v>3344</v>
      </c>
      <c r="B3222">
        <v>1</v>
      </c>
      <c r="C3222">
        <v>1</v>
      </c>
      <c r="D3222">
        <v>1</v>
      </c>
      <c r="E3222" t="s">
        <v>8097</v>
      </c>
      <c r="F3222" t="s">
        <v>8097</v>
      </c>
      <c r="G3222" t="s">
        <v>8097</v>
      </c>
      <c r="H3222">
        <v>10</v>
      </c>
    </row>
    <row r="3223" spans="1:8" x14ac:dyDescent="0.25">
      <c r="A3223" t="s">
        <v>8098</v>
      </c>
      <c r="B3223">
        <v>0</v>
      </c>
      <c r="C3223">
        <v>0</v>
      </c>
      <c r="D3223">
        <v>0</v>
      </c>
      <c r="G3223" t="s">
        <v>4256</v>
      </c>
      <c r="H3223">
        <v>1</v>
      </c>
    </row>
    <row r="3224" spans="1:8" x14ac:dyDescent="0.25">
      <c r="A3224" t="s">
        <v>2006</v>
      </c>
      <c r="B3224">
        <v>2</v>
      </c>
      <c r="C3224">
        <v>2</v>
      </c>
      <c r="D3224">
        <v>2</v>
      </c>
      <c r="E3224" t="s">
        <v>8099</v>
      </c>
      <c r="F3224" t="s">
        <v>8099</v>
      </c>
      <c r="G3224" t="s">
        <v>4256</v>
      </c>
      <c r="H3224">
        <v>59</v>
      </c>
    </row>
    <row r="3225" spans="1:8" x14ac:dyDescent="0.25">
      <c r="A3225" t="s">
        <v>2579</v>
      </c>
      <c r="B3225">
        <v>1</v>
      </c>
      <c r="C3225">
        <v>1</v>
      </c>
      <c r="D3225">
        <v>1</v>
      </c>
      <c r="E3225" t="s">
        <v>8100</v>
      </c>
      <c r="F3225" t="s">
        <v>8100</v>
      </c>
      <c r="G3225" t="s">
        <v>8100</v>
      </c>
      <c r="H3225">
        <v>18</v>
      </c>
    </row>
    <row r="3226" spans="1:8" x14ac:dyDescent="0.25">
      <c r="A3226" t="s">
        <v>3859</v>
      </c>
      <c r="B3226">
        <v>1</v>
      </c>
      <c r="C3226">
        <v>1</v>
      </c>
      <c r="D3226">
        <v>1</v>
      </c>
      <c r="E3226" t="s">
        <v>8101</v>
      </c>
      <c r="F3226" t="s">
        <v>8101</v>
      </c>
      <c r="G3226" t="s">
        <v>8101</v>
      </c>
      <c r="H3226">
        <v>2</v>
      </c>
    </row>
    <row r="3227" spans="1:8" x14ac:dyDescent="0.25">
      <c r="A3227" t="s">
        <v>2131</v>
      </c>
      <c r="B3227">
        <v>1</v>
      </c>
      <c r="C3227">
        <v>1</v>
      </c>
      <c r="D3227">
        <v>1</v>
      </c>
      <c r="E3227" t="s">
        <v>8102</v>
      </c>
      <c r="F3227" t="s">
        <v>8102</v>
      </c>
      <c r="G3227" t="s">
        <v>8102</v>
      </c>
      <c r="H3227">
        <v>51</v>
      </c>
    </row>
    <row r="3228" spans="1:8" x14ac:dyDescent="0.25">
      <c r="A3228" t="s">
        <v>753</v>
      </c>
      <c r="B3228">
        <v>1</v>
      </c>
      <c r="C3228">
        <v>1</v>
      </c>
      <c r="D3228">
        <v>1</v>
      </c>
      <c r="E3228" t="s">
        <v>8103</v>
      </c>
      <c r="F3228" t="s">
        <v>8103</v>
      </c>
      <c r="G3228" t="s">
        <v>8103</v>
      </c>
      <c r="H3228">
        <v>248</v>
      </c>
    </row>
    <row r="3229" spans="1:8" x14ac:dyDescent="0.25">
      <c r="A3229" t="s">
        <v>1490</v>
      </c>
      <c r="B3229">
        <v>1</v>
      </c>
      <c r="C3229">
        <v>1</v>
      </c>
      <c r="D3229">
        <v>1</v>
      </c>
      <c r="E3229" t="s">
        <v>8104</v>
      </c>
      <c r="F3229" t="s">
        <v>8104</v>
      </c>
      <c r="G3229" t="s">
        <v>8104</v>
      </c>
      <c r="H3229">
        <v>48</v>
      </c>
    </row>
    <row r="3230" spans="1:8" x14ac:dyDescent="0.25">
      <c r="A3230" t="s">
        <v>3749</v>
      </c>
      <c r="B3230">
        <v>1</v>
      </c>
      <c r="C3230">
        <v>1</v>
      </c>
      <c r="D3230">
        <v>1</v>
      </c>
      <c r="E3230" t="s">
        <v>8105</v>
      </c>
      <c r="F3230" t="s">
        <v>8106</v>
      </c>
      <c r="G3230" t="s">
        <v>8106</v>
      </c>
      <c r="H3230">
        <v>2</v>
      </c>
    </row>
    <row r="3231" spans="1:8" x14ac:dyDescent="0.25">
      <c r="A3231" t="s">
        <v>2711</v>
      </c>
      <c r="B3231">
        <v>1</v>
      </c>
      <c r="C3231">
        <v>1</v>
      </c>
      <c r="D3231">
        <v>1</v>
      </c>
      <c r="E3231" t="s">
        <v>8104</v>
      </c>
      <c r="F3231" t="s">
        <v>8104</v>
      </c>
      <c r="G3231" t="s">
        <v>8104</v>
      </c>
      <c r="H3231">
        <v>14</v>
      </c>
    </row>
    <row r="3232" spans="1:8" x14ac:dyDescent="0.25">
      <c r="A3232" t="s">
        <v>2241</v>
      </c>
      <c r="B3232">
        <v>1</v>
      </c>
      <c r="C3232">
        <v>1</v>
      </c>
      <c r="D3232">
        <v>1</v>
      </c>
      <c r="E3232" t="s">
        <v>8107</v>
      </c>
      <c r="F3232" t="s">
        <v>8107</v>
      </c>
      <c r="G3232" t="s">
        <v>8107</v>
      </c>
      <c r="H3232">
        <v>43</v>
      </c>
    </row>
    <row r="3233" spans="1:8" x14ac:dyDescent="0.25">
      <c r="A3233" t="s">
        <v>1054</v>
      </c>
      <c r="B3233">
        <v>1</v>
      </c>
      <c r="C3233">
        <v>1</v>
      </c>
      <c r="D3233">
        <v>1</v>
      </c>
      <c r="E3233" t="s">
        <v>8108</v>
      </c>
      <c r="F3233" t="s">
        <v>8108</v>
      </c>
      <c r="G3233" t="s">
        <v>8108</v>
      </c>
      <c r="H3233">
        <v>126</v>
      </c>
    </row>
    <row r="3234" spans="1:8" x14ac:dyDescent="0.25">
      <c r="A3234" t="s">
        <v>3018</v>
      </c>
      <c r="B3234">
        <v>1</v>
      </c>
      <c r="C3234">
        <v>1</v>
      </c>
      <c r="D3234">
        <v>1</v>
      </c>
      <c r="E3234" t="s">
        <v>8107</v>
      </c>
      <c r="F3234" t="s">
        <v>8107</v>
      </c>
      <c r="G3234" t="s">
        <v>8107</v>
      </c>
      <c r="H3234">
        <v>12</v>
      </c>
    </row>
    <row r="3235" spans="1:8" x14ac:dyDescent="0.25">
      <c r="A3235" t="s">
        <v>8109</v>
      </c>
      <c r="B3235">
        <v>0</v>
      </c>
      <c r="C3235">
        <v>0</v>
      </c>
      <c r="D3235">
        <v>0</v>
      </c>
      <c r="G3235" t="s">
        <v>4256</v>
      </c>
      <c r="H3235">
        <v>1</v>
      </c>
    </row>
    <row r="3236" spans="1:8" x14ac:dyDescent="0.25">
      <c r="A3236" t="s">
        <v>3367</v>
      </c>
      <c r="B3236">
        <v>1</v>
      </c>
      <c r="C3236">
        <v>1</v>
      </c>
      <c r="D3236">
        <v>1</v>
      </c>
      <c r="E3236" t="s">
        <v>8110</v>
      </c>
      <c r="F3236" t="s">
        <v>8110</v>
      </c>
      <c r="G3236" t="s">
        <v>8110</v>
      </c>
      <c r="H3236">
        <v>5</v>
      </c>
    </row>
    <row r="3237" spans="1:8" x14ac:dyDescent="0.25">
      <c r="A3237" t="s">
        <v>3609</v>
      </c>
      <c r="B3237">
        <v>1</v>
      </c>
      <c r="C3237">
        <v>1</v>
      </c>
      <c r="D3237">
        <v>1</v>
      </c>
      <c r="E3237" t="s">
        <v>8111</v>
      </c>
      <c r="F3237" t="s">
        <v>8111</v>
      </c>
      <c r="G3237" t="s">
        <v>8111</v>
      </c>
      <c r="H3237">
        <v>5</v>
      </c>
    </row>
    <row r="3238" spans="1:8" x14ac:dyDescent="0.25">
      <c r="A3238" t="s">
        <v>2955</v>
      </c>
      <c r="B3238">
        <v>1</v>
      </c>
      <c r="C3238">
        <v>1</v>
      </c>
      <c r="D3238">
        <v>1</v>
      </c>
      <c r="E3238" t="s">
        <v>8112</v>
      </c>
      <c r="F3238" t="s">
        <v>8112</v>
      </c>
      <c r="G3238" t="s">
        <v>8112</v>
      </c>
      <c r="H3238">
        <v>13</v>
      </c>
    </row>
    <row r="3239" spans="1:8" x14ac:dyDescent="0.25">
      <c r="A3239" t="s">
        <v>2138</v>
      </c>
      <c r="B3239">
        <v>2</v>
      </c>
      <c r="C3239">
        <v>2</v>
      </c>
      <c r="D3239">
        <v>2</v>
      </c>
      <c r="E3239" t="s">
        <v>8113</v>
      </c>
      <c r="F3239" t="s">
        <v>8113</v>
      </c>
      <c r="G3239" t="s">
        <v>4256</v>
      </c>
      <c r="H3239">
        <v>25</v>
      </c>
    </row>
    <row r="3240" spans="1:8" x14ac:dyDescent="0.25">
      <c r="A3240" t="s">
        <v>2917</v>
      </c>
      <c r="B3240">
        <v>1</v>
      </c>
      <c r="C3240">
        <v>1</v>
      </c>
      <c r="D3240">
        <v>1</v>
      </c>
      <c r="E3240" t="s">
        <v>8114</v>
      </c>
      <c r="F3240" t="s">
        <v>8114</v>
      </c>
      <c r="G3240" t="s">
        <v>8114</v>
      </c>
      <c r="H3240">
        <v>13</v>
      </c>
    </row>
    <row r="3241" spans="1:8" x14ac:dyDescent="0.25">
      <c r="A3241" t="s">
        <v>3063</v>
      </c>
      <c r="B3241">
        <v>1</v>
      </c>
      <c r="C3241">
        <v>1</v>
      </c>
      <c r="D3241">
        <v>1</v>
      </c>
      <c r="E3241" t="s">
        <v>8115</v>
      </c>
      <c r="F3241" t="s">
        <v>8115</v>
      </c>
      <c r="G3241" t="s">
        <v>8115</v>
      </c>
      <c r="H3241">
        <v>11</v>
      </c>
    </row>
    <row r="3242" spans="1:8" x14ac:dyDescent="0.25">
      <c r="A3242" t="s">
        <v>3178</v>
      </c>
      <c r="B3242">
        <v>3</v>
      </c>
      <c r="C3242">
        <v>3</v>
      </c>
      <c r="D3242">
        <v>3</v>
      </c>
      <c r="E3242" t="s">
        <v>8116</v>
      </c>
      <c r="F3242" t="s">
        <v>8116</v>
      </c>
      <c r="G3242" t="s">
        <v>4256</v>
      </c>
      <c r="H3242">
        <v>7</v>
      </c>
    </row>
    <row r="3243" spans="1:8" x14ac:dyDescent="0.25">
      <c r="A3243" t="s">
        <v>3458</v>
      </c>
      <c r="B3243">
        <v>1</v>
      </c>
      <c r="C3243">
        <v>1</v>
      </c>
      <c r="D3243">
        <v>1</v>
      </c>
      <c r="E3243" t="s">
        <v>8117</v>
      </c>
      <c r="F3243" t="s">
        <v>8117</v>
      </c>
      <c r="G3243" t="s">
        <v>8117</v>
      </c>
      <c r="H3243">
        <v>4</v>
      </c>
    </row>
    <row r="3244" spans="1:8" x14ac:dyDescent="0.25">
      <c r="A3244" t="s">
        <v>3979</v>
      </c>
      <c r="B3244">
        <v>1</v>
      </c>
      <c r="C3244">
        <v>1</v>
      </c>
      <c r="D3244">
        <v>1</v>
      </c>
      <c r="E3244" t="s">
        <v>8118</v>
      </c>
      <c r="F3244" t="s">
        <v>8118</v>
      </c>
      <c r="G3244" t="s">
        <v>8118</v>
      </c>
      <c r="H3244">
        <v>2</v>
      </c>
    </row>
    <row r="3245" spans="1:8" x14ac:dyDescent="0.25">
      <c r="A3245" t="s">
        <v>3902</v>
      </c>
      <c r="B3245">
        <v>1</v>
      </c>
      <c r="C3245">
        <v>1</v>
      </c>
      <c r="D3245">
        <v>1</v>
      </c>
      <c r="E3245" t="s">
        <v>8119</v>
      </c>
      <c r="F3245" t="s">
        <v>8119</v>
      </c>
      <c r="G3245" t="s">
        <v>8119</v>
      </c>
      <c r="H3245">
        <v>2</v>
      </c>
    </row>
    <row r="3246" spans="1:8" x14ac:dyDescent="0.25">
      <c r="A3246" t="s">
        <v>3934</v>
      </c>
      <c r="B3246">
        <v>1</v>
      </c>
      <c r="C3246">
        <v>1</v>
      </c>
      <c r="D3246">
        <v>1</v>
      </c>
      <c r="E3246" t="s">
        <v>8120</v>
      </c>
      <c r="F3246" t="s">
        <v>8120</v>
      </c>
      <c r="G3246" t="s">
        <v>8120</v>
      </c>
      <c r="H3246">
        <v>1</v>
      </c>
    </row>
    <row r="3247" spans="1:8" x14ac:dyDescent="0.25">
      <c r="A3247" t="s">
        <v>3605</v>
      </c>
      <c r="B3247">
        <v>1</v>
      </c>
      <c r="C3247">
        <v>1</v>
      </c>
      <c r="D3247">
        <v>1</v>
      </c>
      <c r="E3247" t="s">
        <v>8121</v>
      </c>
      <c r="F3247" t="s">
        <v>8121</v>
      </c>
      <c r="G3247" t="s">
        <v>8121</v>
      </c>
      <c r="H3247">
        <v>5</v>
      </c>
    </row>
    <row r="3248" spans="1:8" x14ac:dyDescent="0.25">
      <c r="A3248" t="s">
        <v>2900</v>
      </c>
      <c r="B3248">
        <v>2</v>
      </c>
      <c r="C3248">
        <v>2</v>
      </c>
      <c r="D3248">
        <v>2</v>
      </c>
      <c r="E3248" t="s">
        <v>8122</v>
      </c>
      <c r="F3248" t="s">
        <v>8122</v>
      </c>
      <c r="G3248" t="s">
        <v>4256</v>
      </c>
      <c r="H3248">
        <v>9</v>
      </c>
    </row>
    <row r="3249" spans="1:8" x14ac:dyDescent="0.25">
      <c r="A3249" t="s">
        <v>2881</v>
      </c>
      <c r="B3249">
        <v>1</v>
      </c>
      <c r="C3249">
        <v>1</v>
      </c>
      <c r="D3249">
        <v>1</v>
      </c>
      <c r="E3249" t="s">
        <v>8123</v>
      </c>
      <c r="F3249" t="s">
        <v>8123</v>
      </c>
      <c r="G3249" t="s">
        <v>8123</v>
      </c>
      <c r="H3249">
        <v>7</v>
      </c>
    </row>
    <row r="3250" spans="1:8" x14ac:dyDescent="0.25">
      <c r="A3250" t="s">
        <v>3359</v>
      </c>
      <c r="B3250">
        <v>2</v>
      </c>
      <c r="C3250">
        <v>2</v>
      </c>
      <c r="D3250">
        <v>2</v>
      </c>
      <c r="E3250" t="s">
        <v>8124</v>
      </c>
      <c r="F3250" t="s">
        <v>8124</v>
      </c>
      <c r="G3250" t="s">
        <v>4256</v>
      </c>
      <c r="H3250">
        <v>5</v>
      </c>
    </row>
    <row r="3251" spans="1:8" x14ac:dyDescent="0.25">
      <c r="A3251" t="s">
        <v>3410</v>
      </c>
      <c r="B3251">
        <v>2</v>
      </c>
      <c r="C3251">
        <v>2</v>
      </c>
      <c r="D3251">
        <v>2</v>
      </c>
      <c r="E3251" t="s">
        <v>8125</v>
      </c>
      <c r="F3251" t="s">
        <v>8125</v>
      </c>
      <c r="G3251" t="s">
        <v>4256</v>
      </c>
      <c r="H3251">
        <v>4</v>
      </c>
    </row>
    <row r="3252" spans="1:8" x14ac:dyDescent="0.25">
      <c r="A3252" t="s">
        <v>3176</v>
      </c>
      <c r="B3252">
        <v>1</v>
      </c>
      <c r="C3252">
        <v>1</v>
      </c>
      <c r="D3252">
        <v>1</v>
      </c>
      <c r="E3252" t="s">
        <v>8126</v>
      </c>
      <c r="F3252" t="s">
        <v>8126</v>
      </c>
      <c r="G3252" t="s">
        <v>8126</v>
      </c>
      <c r="H3252">
        <v>11</v>
      </c>
    </row>
    <row r="3253" spans="1:8" x14ac:dyDescent="0.25">
      <c r="A3253" t="s">
        <v>2475</v>
      </c>
      <c r="B3253">
        <v>1</v>
      </c>
      <c r="C3253">
        <v>1</v>
      </c>
      <c r="D3253">
        <v>1</v>
      </c>
      <c r="E3253" t="s">
        <v>8127</v>
      </c>
      <c r="F3253" t="s">
        <v>8127</v>
      </c>
      <c r="G3253" t="s">
        <v>8127</v>
      </c>
      <c r="H3253">
        <v>20</v>
      </c>
    </row>
    <row r="3254" spans="1:8" x14ac:dyDescent="0.25">
      <c r="A3254" t="s">
        <v>3109</v>
      </c>
      <c r="B3254">
        <v>1</v>
      </c>
      <c r="C3254">
        <v>1</v>
      </c>
      <c r="D3254">
        <v>1</v>
      </c>
      <c r="E3254" t="s">
        <v>8128</v>
      </c>
      <c r="F3254" t="s">
        <v>8128</v>
      </c>
      <c r="G3254" t="s">
        <v>8128</v>
      </c>
      <c r="H3254">
        <v>10</v>
      </c>
    </row>
    <row r="3255" spans="1:8" x14ac:dyDescent="0.25">
      <c r="A3255" t="s">
        <v>3526</v>
      </c>
      <c r="B3255">
        <v>2</v>
      </c>
      <c r="C3255">
        <v>2</v>
      </c>
      <c r="D3255">
        <v>2</v>
      </c>
      <c r="E3255" t="s">
        <v>8129</v>
      </c>
      <c r="F3255" t="s">
        <v>8129</v>
      </c>
      <c r="G3255" t="s">
        <v>4256</v>
      </c>
      <c r="H3255">
        <v>2</v>
      </c>
    </row>
    <row r="3256" spans="1:8" x14ac:dyDescent="0.25">
      <c r="A3256" t="s">
        <v>1488</v>
      </c>
      <c r="B3256">
        <v>1</v>
      </c>
      <c r="C3256">
        <v>1</v>
      </c>
      <c r="D3256">
        <v>1</v>
      </c>
      <c r="E3256" t="s">
        <v>8130</v>
      </c>
      <c r="F3256" t="s">
        <v>8130</v>
      </c>
      <c r="G3256" t="s">
        <v>8130</v>
      </c>
      <c r="H3256">
        <v>39</v>
      </c>
    </row>
    <row r="3257" spans="1:8" x14ac:dyDescent="0.25">
      <c r="A3257" t="s">
        <v>2314</v>
      </c>
      <c r="B3257">
        <v>2</v>
      </c>
      <c r="C3257">
        <v>2</v>
      </c>
      <c r="D3257">
        <v>2</v>
      </c>
      <c r="E3257" t="s">
        <v>8131</v>
      </c>
      <c r="F3257" t="s">
        <v>8131</v>
      </c>
      <c r="G3257" t="s">
        <v>4256</v>
      </c>
      <c r="H3257">
        <v>16</v>
      </c>
    </row>
    <row r="3258" spans="1:8" x14ac:dyDescent="0.25">
      <c r="A3258" t="s">
        <v>2050</v>
      </c>
      <c r="B3258">
        <v>1</v>
      </c>
      <c r="C3258">
        <v>1</v>
      </c>
      <c r="D3258">
        <v>1</v>
      </c>
      <c r="E3258" t="s">
        <v>8132</v>
      </c>
      <c r="F3258" t="s">
        <v>8132</v>
      </c>
      <c r="G3258" t="s">
        <v>8132</v>
      </c>
      <c r="H3258">
        <v>62</v>
      </c>
    </row>
    <row r="3259" spans="1:8" x14ac:dyDescent="0.25">
      <c r="A3259" t="s">
        <v>1450</v>
      </c>
      <c r="B3259">
        <v>2</v>
      </c>
      <c r="C3259">
        <v>2</v>
      </c>
      <c r="D3259">
        <v>2</v>
      </c>
      <c r="E3259" t="s">
        <v>8133</v>
      </c>
      <c r="F3259" t="s">
        <v>8133</v>
      </c>
      <c r="G3259" t="s">
        <v>4256</v>
      </c>
      <c r="H3259">
        <v>108</v>
      </c>
    </row>
    <row r="3260" spans="1:8" x14ac:dyDescent="0.25">
      <c r="A3260" t="s">
        <v>1801</v>
      </c>
      <c r="B3260">
        <v>1</v>
      </c>
      <c r="C3260">
        <v>1</v>
      </c>
      <c r="D3260">
        <v>1</v>
      </c>
      <c r="E3260" t="s">
        <v>8134</v>
      </c>
      <c r="F3260" t="s">
        <v>8134</v>
      </c>
      <c r="G3260" t="s">
        <v>8134</v>
      </c>
      <c r="H3260">
        <v>64</v>
      </c>
    </row>
    <row r="3261" spans="1:8" x14ac:dyDescent="0.25">
      <c r="A3261" t="s">
        <v>2361</v>
      </c>
      <c r="B3261">
        <v>1</v>
      </c>
      <c r="C3261">
        <v>1</v>
      </c>
      <c r="D3261">
        <v>1</v>
      </c>
      <c r="E3261" t="s">
        <v>8135</v>
      </c>
      <c r="F3261" t="s">
        <v>8135</v>
      </c>
      <c r="G3261" t="s">
        <v>8135</v>
      </c>
      <c r="H3261">
        <v>33</v>
      </c>
    </row>
    <row r="3262" spans="1:8" x14ac:dyDescent="0.25">
      <c r="A3262" t="s">
        <v>2462</v>
      </c>
      <c r="B3262">
        <v>1</v>
      </c>
      <c r="C3262">
        <v>1</v>
      </c>
      <c r="D3262">
        <v>1</v>
      </c>
      <c r="E3262" t="s">
        <v>8136</v>
      </c>
      <c r="F3262" t="s">
        <v>8136</v>
      </c>
      <c r="G3262" t="s">
        <v>8136</v>
      </c>
      <c r="H3262">
        <v>43</v>
      </c>
    </row>
    <row r="3263" spans="1:8" x14ac:dyDescent="0.25">
      <c r="A3263" t="s">
        <v>1859</v>
      </c>
      <c r="B3263">
        <v>1</v>
      </c>
      <c r="C3263">
        <v>1</v>
      </c>
      <c r="D3263">
        <v>1</v>
      </c>
      <c r="E3263" t="s">
        <v>8137</v>
      </c>
      <c r="F3263" t="s">
        <v>8137</v>
      </c>
      <c r="G3263" t="s">
        <v>8137</v>
      </c>
      <c r="H3263">
        <v>27</v>
      </c>
    </row>
    <row r="3264" spans="1:8" x14ac:dyDescent="0.25">
      <c r="A3264" t="s">
        <v>3570</v>
      </c>
      <c r="B3264">
        <v>1</v>
      </c>
      <c r="C3264">
        <v>1</v>
      </c>
      <c r="D3264">
        <v>1</v>
      </c>
      <c r="E3264" t="s">
        <v>8138</v>
      </c>
      <c r="F3264" t="s">
        <v>8138</v>
      </c>
      <c r="G3264" t="s">
        <v>8138</v>
      </c>
      <c r="H3264">
        <v>2</v>
      </c>
    </row>
    <row r="3265" spans="1:8" x14ac:dyDescent="0.25">
      <c r="A3265" t="s">
        <v>2500</v>
      </c>
      <c r="B3265">
        <v>1</v>
      </c>
      <c r="C3265">
        <v>1</v>
      </c>
      <c r="D3265">
        <v>1</v>
      </c>
      <c r="E3265" t="s">
        <v>8139</v>
      </c>
      <c r="F3265" t="s">
        <v>8139</v>
      </c>
      <c r="G3265" t="s">
        <v>8139</v>
      </c>
      <c r="H3265">
        <v>38</v>
      </c>
    </row>
    <row r="3266" spans="1:8" x14ac:dyDescent="0.25">
      <c r="A3266" t="s">
        <v>2975</v>
      </c>
      <c r="B3266">
        <v>1</v>
      </c>
      <c r="C3266">
        <v>1</v>
      </c>
      <c r="D3266">
        <v>1</v>
      </c>
      <c r="E3266" t="s">
        <v>8140</v>
      </c>
      <c r="F3266" t="s">
        <v>8140</v>
      </c>
      <c r="G3266" t="s">
        <v>8140</v>
      </c>
      <c r="H3266">
        <v>18</v>
      </c>
    </row>
    <row r="3267" spans="1:8" x14ac:dyDescent="0.25">
      <c r="A3267" t="s">
        <v>1407</v>
      </c>
      <c r="B3267">
        <v>2</v>
      </c>
      <c r="C3267">
        <v>2</v>
      </c>
      <c r="D3267">
        <v>2</v>
      </c>
      <c r="E3267" t="s">
        <v>8141</v>
      </c>
      <c r="F3267" t="s">
        <v>8141</v>
      </c>
      <c r="G3267" t="s">
        <v>4256</v>
      </c>
      <c r="H3267">
        <v>189</v>
      </c>
    </row>
    <row r="3268" spans="1:8" x14ac:dyDescent="0.25">
      <c r="A3268" t="s">
        <v>979</v>
      </c>
      <c r="B3268">
        <v>1</v>
      </c>
      <c r="C3268">
        <v>1</v>
      </c>
      <c r="D3268">
        <v>1</v>
      </c>
      <c r="E3268" t="s">
        <v>8142</v>
      </c>
      <c r="F3268" t="s">
        <v>8142</v>
      </c>
      <c r="G3268" t="s">
        <v>8142</v>
      </c>
      <c r="H3268">
        <v>274</v>
      </c>
    </row>
    <row r="3269" spans="1:8" x14ac:dyDescent="0.25">
      <c r="A3269" t="s">
        <v>452</v>
      </c>
      <c r="B3269">
        <v>1</v>
      </c>
      <c r="C3269">
        <v>1</v>
      </c>
      <c r="D3269">
        <v>1</v>
      </c>
      <c r="E3269" t="s">
        <v>8143</v>
      </c>
      <c r="F3269" t="s">
        <v>8143</v>
      </c>
      <c r="G3269" t="s">
        <v>8143</v>
      </c>
      <c r="H3269">
        <v>552</v>
      </c>
    </row>
    <row r="3270" spans="1:8" x14ac:dyDescent="0.25">
      <c r="A3270" t="s">
        <v>4043</v>
      </c>
      <c r="B3270">
        <v>1</v>
      </c>
      <c r="C3270">
        <v>1</v>
      </c>
      <c r="D3270">
        <v>1</v>
      </c>
      <c r="E3270" t="s">
        <v>8144</v>
      </c>
      <c r="F3270" t="s">
        <v>8144</v>
      </c>
      <c r="G3270" t="s">
        <v>8144</v>
      </c>
      <c r="H3270">
        <v>1</v>
      </c>
    </row>
    <row r="3271" spans="1:8" x14ac:dyDescent="0.25">
      <c r="A3271" t="s">
        <v>3257</v>
      </c>
      <c r="B3271">
        <v>1</v>
      </c>
      <c r="C3271">
        <v>1</v>
      </c>
      <c r="D3271">
        <v>1</v>
      </c>
      <c r="E3271" t="s">
        <v>8145</v>
      </c>
      <c r="F3271" t="s">
        <v>8145</v>
      </c>
      <c r="G3271" t="s">
        <v>8145</v>
      </c>
      <c r="H3271">
        <v>10</v>
      </c>
    </row>
    <row r="3272" spans="1:8" x14ac:dyDescent="0.25">
      <c r="A3272" t="s">
        <v>3411</v>
      </c>
      <c r="B3272">
        <v>1</v>
      </c>
      <c r="C3272">
        <v>1</v>
      </c>
      <c r="D3272">
        <v>1</v>
      </c>
      <c r="E3272" t="s">
        <v>8146</v>
      </c>
      <c r="F3272" t="s">
        <v>8146</v>
      </c>
      <c r="G3272" t="s">
        <v>8146</v>
      </c>
      <c r="H3272">
        <v>9</v>
      </c>
    </row>
    <row r="3273" spans="1:8" x14ac:dyDescent="0.25">
      <c r="A3273" t="s">
        <v>1784</v>
      </c>
      <c r="B3273">
        <v>1</v>
      </c>
      <c r="C3273">
        <v>1</v>
      </c>
      <c r="D3273">
        <v>1</v>
      </c>
      <c r="E3273" t="s">
        <v>8147</v>
      </c>
      <c r="F3273" t="s">
        <v>8147</v>
      </c>
      <c r="G3273" t="s">
        <v>8147</v>
      </c>
      <c r="H3273">
        <v>50</v>
      </c>
    </row>
    <row r="3274" spans="1:8" x14ac:dyDescent="0.25">
      <c r="A3274" t="s">
        <v>8148</v>
      </c>
      <c r="B3274">
        <v>0</v>
      </c>
      <c r="C3274">
        <v>0</v>
      </c>
      <c r="D3274">
        <v>0</v>
      </c>
      <c r="G3274" t="s">
        <v>4256</v>
      </c>
      <c r="H3274">
        <v>1</v>
      </c>
    </row>
    <row r="3275" spans="1:8" x14ac:dyDescent="0.25">
      <c r="A3275" t="s">
        <v>3062</v>
      </c>
      <c r="B3275">
        <v>1</v>
      </c>
      <c r="C3275">
        <v>1</v>
      </c>
      <c r="D3275">
        <v>1</v>
      </c>
      <c r="E3275" t="s">
        <v>8149</v>
      </c>
      <c r="F3275" t="s">
        <v>8149</v>
      </c>
      <c r="G3275" t="s">
        <v>8149</v>
      </c>
      <c r="H3275">
        <v>15</v>
      </c>
    </row>
    <row r="3276" spans="1:8" x14ac:dyDescent="0.25">
      <c r="A3276" t="s">
        <v>3247</v>
      </c>
      <c r="B3276">
        <v>1</v>
      </c>
      <c r="C3276">
        <v>1</v>
      </c>
      <c r="D3276">
        <v>1</v>
      </c>
      <c r="E3276" t="s">
        <v>8150</v>
      </c>
      <c r="F3276" t="s">
        <v>8150</v>
      </c>
      <c r="G3276" t="s">
        <v>8150</v>
      </c>
      <c r="H3276">
        <v>14</v>
      </c>
    </row>
    <row r="3277" spans="1:8" x14ac:dyDescent="0.25">
      <c r="A3277" t="s">
        <v>2574</v>
      </c>
      <c r="B3277">
        <v>1</v>
      </c>
      <c r="C3277">
        <v>1</v>
      </c>
      <c r="D3277">
        <v>1</v>
      </c>
      <c r="E3277" t="s">
        <v>8151</v>
      </c>
      <c r="F3277" t="s">
        <v>8151</v>
      </c>
      <c r="G3277" t="s">
        <v>8151</v>
      </c>
      <c r="H3277">
        <v>54</v>
      </c>
    </row>
    <row r="3278" spans="1:8" x14ac:dyDescent="0.25">
      <c r="A3278" t="s">
        <v>2371</v>
      </c>
      <c r="B3278">
        <v>1</v>
      </c>
      <c r="C3278">
        <v>1</v>
      </c>
      <c r="D3278">
        <v>1</v>
      </c>
      <c r="E3278" t="s">
        <v>8152</v>
      </c>
      <c r="F3278" t="s">
        <v>8152</v>
      </c>
      <c r="G3278" t="s">
        <v>8152</v>
      </c>
      <c r="H3278">
        <v>77</v>
      </c>
    </row>
    <row r="3279" spans="1:8" x14ac:dyDescent="0.25">
      <c r="A3279" t="s">
        <v>1885</v>
      </c>
      <c r="B3279">
        <v>1</v>
      </c>
      <c r="C3279">
        <v>1</v>
      </c>
      <c r="D3279">
        <v>1</v>
      </c>
      <c r="E3279" t="s">
        <v>8153</v>
      </c>
      <c r="F3279" t="s">
        <v>8153</v>
      </c>
      <c r="G3279" t="s">
        <v>8153</v>
      </c>
      <c r="H3279">
        <v>119</v>
      </c>
    </row>
    <row r="3280" spans="1:8" x14ac:dyDescent="0.25">
      <c r="A3280" t="s">
        <v>3651</v>
      </c>
      <c r="B3280">
        <v>1</v>
      </c>
      <c r="C3280">
        <v>1</v>
      </c>
      <c r="D3280">
        <v>1</v>
      </c>
      <c r="E3280" t="s">
        <v>8154</v>
      </c>
      <c r="F3280" t="s">
        <v>8154</v>
      </c>
      <c r="G3280" t="s">
        <v>8154</v>
      </c>
      <c r="H3280">
        <v>2</v>
      </c>
    </row>
    <row r="3281" spans="1:8" x14ac:dyDescent="0.25">
      <c r="A3281" t="s">
        <v>3713</v>
      </c>
      <c r="B3281">
        <v>1</v>
      </c>
      <c r="C3281">
        <v>1</v>
      </c>
      <c r="D3281">
        <v>1</v>
      </c>
      <c r="E3281" t="s">
        <v>8155</v>
      </c>
      <c r="F3281" t="s">
        <v>8155</v>
      </c>
      <c r="G3281" t="s">
        <v>8155</v>
      </c>
      <c r="H3281">
        <v>3</v>
      </c>
    </row>
    <row r="3282" spans="1:8" x14ac:dyDescent="0.25">
      <c r="A3282" t="s">
        <v>3707</v>
      </c>
      <c r="B3282">
        <v>1</v>
      </c>
      <c r="C3282">
        <v>1</v>
      </c>
      <c r="D3282">
        <v>1</v>
      </c>
      <c r="E3282" t="s">
        <v>8156</v>
      </c>
      <c r="F3282" t="s">
        <v>8156</v>
      </c>
      <c r="G3282" t="s">
        <v>8156</v>
      </c>
      <c r="H3282">
        <v>3</v>
      </c>
    </row>
    <row r="3283" spans="1:8" x14ac:dyDescent="0.25">
      <c r="A3283" t="s">
        <v>8157</v>
      </c>
      <c r="B3283">
        <v>0</v>
      </c>
      <c r="C3283">
        <v>0</v>
      </c>
      <c r="D3283">
        <v>0</v>
      </c>
      <c r="G3283" t="s">
        <v>4256</v>
      </c>
      <c r="H3283">
        <v>1</v>
      </c>
    </row>
    <row r="3284" spans="1:8" x14ac:dyDescent="0.25">
      <c r="A3284" t="s">
        <v>3455</v>
      </c>
      <c r="B3284">
        <v>1</v>
      </c>
      <c r="C3284">
        <v>1</v>
      </c>
      <c r="D3284">
        <v>1</v>
      </c>
      <c r="E3284" t="s">
        <v>8158</v>
      </c>
      <c r="F3284" t="s">
        <v>8158</v>
      </c>
      <c r="G3284" t="s">
        <v>8158</v>
      </c>
      <c r="H3284">
        <v>3</v>
      </c>
    </row>
    <row r="3285" spans="1:8" x14ac:dyDescent="0.25">
      <c r="A3285" t="s">
        <v>2779</v>
      </c>
      <c r="B3285">
        <v>1</v>
      </c>
      <c r="C3285">
        <v>1</v>
      </c>
      <c r="D3285">
        <v>1</v>
      </c>
      <c r="E3285" t="s">
        <v>8159</v>
      </c>
      <c r="F3285" t="s">
        <v>8159</v>
      </c>
      <c r="G3285" t="s">
        <v>8159</v>
      </c>
      <c r="H3285">
        <v>13</v>
      </c>
    </row>
    <row r="3286" spans="1:8" x14ac:dyDescent="0.25">
      <c r="A3286" t="s">
        <v>2723</v>
      </c>
      <c r="B3286">
        <v>1</v>
      </c>
      <c r="C3286">
        <v>1</v>
      </c>
      <c r="D3286">
        <v>1</v>
      </c>
      <c r="E3286" t="s">
        <v>8160</v>
      </c>
      <c r="F3286" t="s">
        <v>8160</v>
      </c>
      <c r="G3286" t="s">
        <v>8160</v>
      </c>
      <c r="H3286">
        <v>8</v>
      </c>
    </row>
    <row r="3287" spans="1:8" x14ac:dyDescent="0.25">
      <c r="A3287" t="s">
        <v>2691</v>
      </c>
      <c r="B3287">
        <v>1</v>
      </c>
      <c r="C3287">
        <v>1</v>
      </c>
      <c r="D3287">
        <v>1</v>
      </c>
      <c r="E3287" t="s">
        <v>8161</v>
      </c>
      <c r="F3287" t="s">
        <v>8161</v>
      </c>
      <c r="G3287" t="s">
        <v>8161</v>
      </c>
      <c r="H3287">
        <v>36</v>
      </c>
    </row>
    <row r="3288" spans="1:8" x14ac:dyDescent="0.25">
      <c r="A3288" t="s">
        <v>3315</v>
      </c>
      <c r="B3288">
        <v>1</v>
      </c>
      <c r="C3288">
        <v>1</v>
      </c>
      <c r="D3288">
        <v>1</v>
      </c>
      <c r="E3288" t="s">
        <v>8162</v>
      </c>
      <c r="F3288" t="s">
        <v>8162</v>
      </c>
      <c r="G3288" t="s">
        <v>8162</v>
      </c>
      <c r="H3288">
        <v>12</v>
      </c>
    </row>
    <row r="3289" spans="1:8" x14ac:dyDescent="0.25">
      <c r="A3289" t="s">
        <v>2901</v>
      </c>
      <c r="B3289">
        <v>2</v>
      </c>
      <c r="C3289">
        <v>2</v>
      </c>
      <c r="D3289">
        <v>2</v>
      </c>
      <c r="E3289" t="s">
        <v>8163</v>
      </c>
      <c r="F3289" t="s">
        <v>8163</v>
      </c>
      <c r="G3289" t="s">
        <v>4256</v>
      </c>
      <c r="H3289">
        <v>23</v>
      </c>
    </row>
    <row r="3290" spans="1:8" x14ac:dyDescent="0.25">
      <c r="A3290" t="s">
        <v>8164</v>
      </c>
      <c r="B3290">
        <v>0</v>
      </c>
      <c r="C3290">
        <v>0</v>
      </c>
      <c r="D3290">
        <v>0</v>
      </c>
      <c r="G3290" t="s">
        <v>4256</v>
      </c>
      <c r="H3290">
        <v>1</v>
      </c>
    </row>
    <row r="3291" spans="1:8" x14ac:dyDescent="0.25">
      <c r="A3291" t="s">
        <v>2980</v>
      </c>
      <c r="B3291">
        <v>2</v>
      </c>
      <c r="C3291">
        <v>2</v>
      </c>
      <c r="D3291">
        <v>2</v>
      </c>
      <c r="E3291" t="s">
        <v>8165</v>
      </c>
      <c r="F3291" t="s">
        <v>8165</v>
      </c>
      <c r="G3291" t="s">
        <v>4256</v>
      </c>
      <c r="H3291">
        <v>16</v>
      </c>
    </row>
    <row r="3292" spans="1:8" x14ac:dyDescent="0.25">
      <c r="A3292" t="s">
        <v>3002</v>
      </c>
      <c r="B3292">
        <v>1</v>
      </c>
      <c r="C3292">
        <v>1</v>
      </c>
      <c r="D3292">
        <v>1</v>
      </c>
      <c r="E3292" t="s">
        <v>8166</v>
      </c>
      <c r="F3292" t="s">
        <v>8167</v>
      </c>
      <c r="G3292" t="s">
        <v>8167</v>
      </c>
      <c r="H3292">
        <v>26</v>
      </c>
    </row>
    <row r="3293" spans="1:8" x14ac:dyDescent="0.25">
      <c r="A3293" t="s">
        <v>3003</v>
      </c>
      <c r="B3293">
        <v>1</v>
      </c>
      <c r="C3293">
        <v>1</v>
      </c>
      <c r="D3293">
        <v>1</v>
      </c>
      <c r="E3293" t="s">
        <v>8168</v>
      </c>
      <c r="F3293" t="s">
        <v>8169</v>
      </c>
      <c r="G3293" t="s">
        <v>8169</v>
      </c>
      <c r="H3293">
        <v>28</v>
      </c>
    </row>
    <row r="3294" spans="1:8" x14ac:dyDescent="0.25">
      <c r="A3294" t="s">
        <v>2410</v>
      </c>
      <c r="B3294">
        <v>1</v>
      </c>
      <c r="C3294">
        <v>1</v>
      </c>
      <c r="D3294">
        <v>1</v>
      </c>
      <c r="E3294" t="s">
        <v>8170</v>
      </c>
      <c r="F3294" t="s">
        <v>8170</v>
      </c>
      <c r="G3294" t="s">
        <v>8170</v>
      </c>
      <c r="H3294">
        <v>36</v>
      </c>
    </row>
    <row r="3295" spans="1:8" x14ac:dyDescent="0.25">
      <c r="A3295" t="s">
        <v>2676</v>
      </c>
      <c r="B3295">
        <v>1</v>
      </c>
      <c r="C3295">
        <v>1</v>
      </c>
      <c r="D3295">
        <v>1</v>
      </c>
      <c r="E3295" t="s">
        <v>8170</v>
      </c>
      <c r="F3295" t="s">
        <v>8170</v>
      </c>
      <c r="G3295" t="s">
        <v>8170</v>
      </c>
      <c r="H3295">
        <v>21</v>
      </c>
    </row>
    <row r="3296" spans="1:8" x14ac:dyDescent="0.25">
      <c r="A3296" t="s">
        <v>3558</v>
      </c>
      <c r="B3296">
        <v>1</v>
      </c>
      <c r="C3296">
        <v>1</v>
      </c>
      <c r="D3296">
        <v>1</v>
      </c>
      <c r="E3296" t="s">
        <v>8171</v>
      </c>
      <c r="F3296" t="s">
        <v>8171</v>
      </c>
      <c r="G3296" t="s">
        <v>8171</v>
      </c>
      <c r="H3296">
        <v>3</v>
      </c>
    </row>
    <row r="3297" spans="1:8" x14ac:dyDescent="0.25">
      <c r="A3297" t="s">
        <v>3308</v>
      </c>
      <c r="B3297">
        <v>1</v>
      </c>
      <c r="C3297">
        <v>1</v>
      </c>
      <c r="D3297">
        <v>1</v>
      </c>
      <c r="E3297" t="s">
        <v>8172</v>
      </c>
      <c r="F3297" t="s">
        <v>8172</v>
      </c>
      <c r="G3297" t="s">
        <v>8172</v>
      </c>
      <c r="H3297">
        <v>15</v>
      </c>
    </row>
    <row r="3298" spans="1:8" x14ac:dyDescent="0.25">
      <c r="A3298" t="s">
        <v>8173</v>
      </c>
      <c r="B3298">
        <v>0</v>
      </c>
      <c r="C3298">
        <v>0</v>
      </c>
      <c r="D3298">
        <v>0</v>
      </c>
      <c r="G3298" t="s">
        <v>4256</v>
      </c>
      <c r="H3298">
        <v>1</v>
      </c>
    </row>
    <row r="3299" spans="1:8" x14ac:dyDescent="0.25">
      <c r="A3299" t="s">
        <v>2838</v>
      </c>
      <c r="B3299">
        <v>1</v>
      </c>
      <c r="C3299">
        <v>1</v>
      </c>
      <c r="D3299">
        <v>1</v>
      </c>
      <c r="E3299" t="s">
        <v>8174</v>
      </c>
      <c r="F3299" t="s">
        <v>8174</v>
      </c>
      <c r="G3299" t="s">
        <v>8174</v>
      </c>
      <c r="H3299">
        <v>20</v>
      </c>
    </row>
    <row r="3300" spans="1:8" x14ac:dyDescent="0.25">
      <c r="A3300" t="s">
        <v>3334</v>
      </c>
      <c r="B3300">
        <v>2</v>
      </c>
      <c r="C3300">
        <v>2</v>
      </c>
      <c r="D3300">
        <v>2</v>
      </c>
      <c r="E3300" t="s">
        <v>8175</v>
      </c>
      <c r="F3300" t="s">
        <v>8175</v>
      </c>
      <c r="G3300" t="s">
        <v>4256</v>
      </c>
      <c r="H3300">
        <v>9</v>
      </c>
    </row>
    <row r="3301" spans="1:8" x14ac:dyDescent="0.25">
      <c r="A3301" t="s">
        <v>2616</v>
      </c>
      <c r="B3301">
        <v>2</v>
      </c>
      <c r="C3301">
        <v>2</v>
      </c>
      <c r="D3301">
        <v>2</v>
      </c>
      <c r="E3301" t="s">
        <v>8176</v>
      </c>
      <c r="F3301" t="s">
        <v>8176</v>
      </c>
      <c r="G3301" t="s">
        <v>4256</v>
      </c>
      <c r="H3301">
        <v>38</v>
      </c>
    </row>
    <row r="3302" spans="1:8" x14ac:dyDescent="0.25">
      <c r="A3302" t="s">
        <v>8177</v>
      </c>
      <c r="B3302">
        <v>0</v>
      </c>
      <c r="C3302">
        <v>0</v>
      </c>
      <c r="D3302">
        <v>0</v>
      </c>
      <c r="G3302" t="s">
        <v>4256</v>
      </c>
      <c r="H3302">
        <v>1</v>
      </c>
    </row>
    <row r="3303" spans="1:8" x14ac:dyDescent="0.25">
      <c r="A3303" t="s">
        <v>2805</v>
      </c>
      <c r="B3303">
        <v>2</v>
      </c>
      <c r="C3303">
        <v>2</v>
      </c>
      <c r="D3303">
        <v>2</v>
      </c>
      <c r="E3303" t="s">
        <v>8178</v>
      </c>
      <c r="F3303" t="s">
        <v>8178</v>
      </c>
      <c r="G3303" t="s">
        <v>4256</v>
      </c>
      <c r="H3303">
        <v>18</v>
      </c>
    </row>
    <row r="3304" spans="1:8" x14ac:dyDescent="0.25">
      <c r="A3304" t="s">
        <v>3370</v>
      </c>
      <c r="B3304">
        <v>1</v>
      </c>
      <c r="C3304">
        <v>1</v>
      </c>
      <c r="D3304">
        <v>1</v>
      </c>
      <c r="E3304" t="s">
        <v>8179</v>
      </c>
      <c r="F3304" t="s">
        <v>8179</v>
      </c>
      <c r="G3304" t="s">
        <v>8179</v>
      </c>
      <c r="H3304">
        <v>5</v>
      </c>
    </row>
    <row r="3305" spans="1:8" x14ac:dyDescent="0.25">
      <c r="A3305" t="s">
        <v>2825</v>
      </c>
      <c r="B3305">
        <v>1</v>
      </c>
      <c r="C3305">
        <v>1</v>
      </c>
      <c r="D3305">
        <v>1</v>
      </c>
      <c r="E3305" t="s">
        <v>8180</v>
      </c>
      <c r="F3305" t="s">
        <v>8180</v>
      </c>
      <c r="G3305" t="s">
        <v>8180</v>
      </c>
      <c r="H3305">
        <v>22</v>
      </c>
    </row>
    <row r="3306" spans="1:8" x14ac:dyDescent="0.25">
      <c r="A3306" t="s">
        <v>2979</v>
      </c>
      <c r="B3306">
        <v>3</v>
      </c>
      <c r="C3306">
        <v>3</v>
      </c>
      <c r="D3306">
        <v>3</v>
      </c>
      <c r="E3306" t="s">
        <v>8181</v>
      </c>
      <c r="F3306" t="s">
        <v>8181</v>
      </c>
      <c r="G3306" t="s">
        <v>4256</v>
      </c>
      <c r="H3306">
        <v>22</v>
      </c>
    </row>
    <row r="3307" spans="1:8" x14ac:dyDescent="0.25">
      <c r="A3307" t="s">
        <v>136</v>
      </c>
      <c r="B3307">
        <v>2</v>
      </c>
      <c r="C3307">
        <v>2</v>
      </c>
      <c r="D3307">
        <v>2</v>
      </c>
      <c r="E3307" t="s">
        <v>8182</v>
      </c>
      <c r="F3307" t="s">
        <v>8182</v>
      </c>
      <c r="G3307" t="s">
        <v>4256</v>
      </c>
      <c r="H3307">
        <v>1502</v>
      </c>
    </row>
    <row r="3308" spans="1:8" x14ac:dyDescent="0.25">
      <c r="A3308" t="s">
        <v>1181</v>
      </c>
      <c r="B3308">
        <v>1</v>
      </c>
      <c r="C3308">
        <v>1</v>
      </c>
      <c r="D3308">
        <v>1</v>
      </c>
      <c r="E3308" t="s">
        <v>8183</v>
      </c>
      <c r="F3308" t="s">
        <v>8183</v>
      </c>
      <c r="G3308" t="s">
        <v>8183</v>
      </c>
      <c r="H3308">
        <v>82</v>
      </c>
    </row>
    <row r="3309" spans="1:8" x14ac:dyDescent="0.25">
      <c r="A3309" t="s">
        <v>3231</v>
      </c>
      <c r="B3309">
        <v>1</v>
      </c>
      <c r="C3309">
        <v>1</v>
      </c>
      <c r="D3309">
        <v>1</v>
      </c>
      <c r="E3309" t="s">
        <v>8184</v>
      </c>
      <c r="F3309" t="s">
        <v>8184</v>
      </c>
      <c r="G3309" t="s">
        <v>8184</v>
      </c>
      <c r="H3309">
        <v>8</v>
      </c>
    </row>
    <row r="3310" spans="1:8" x14ac:dyDescent="0.25">
      <c r="A3310" t="s">
        <v>2966</v>
      </c>
      <c r="B3310">
        <v>1</v>
      </c>
      <c r="C3310">
        <v>1</v>
      </c>
      <c r="D3310">
        <v>1</v>
      </c>
      <c r="E3310" t="s">
        <v>8185</v>
      </c>
      <c r="F3310" t="s">
        <v>8185</v>
      </c>
      <c r="G3310" t="s">
        <v>8185</v>
      </c>
      <c r="H3310">
        <v>18</v>
      </c>
    </row>
    <row r="3311" spans="1:8" x14ac:dyDescent="0.25">
      <c r="A3311" t="s">
        <v>1597</v>
      </c>
      <c r="B3311">
        <v>1</v>
      </c>
      <c r="C3311">
        <v>1</v>
      </c>
      <c r="D3311">
        <v>1</v>
      </c>
      <c r="E3311" t="s">
        <v>8186</v>
      </c>
      <c r="F3311" t="s">
        <v>8186</v>
      </c>
      <c r="G3311" t="s">
        <v>8186</v>
      </c>
      <c r="H3311">
        <v>79</v>
      </c>
    </row>
    <row r="3312" spans="1:8" x14ac:dyDescent="0.25">
      <c r="A3312" t="s">
        <v>2618</v>
      </c>
      <c r="B3312">
        <v>1</v>
      </c>
      <c r="C3312">
        <v>1</v>
      </c>
      <c r="D3312">
        <v>1</v>
      </c>
      <c r="E3312" t="s">
        <v>8186</v>
      </c>
      <c r="F3312" t="s">
        <v>8186</v>
      </c>
      <c r="G3312" t="s">
        <v>8186</v>
      </c>
      <c r="H3312">
        <v>26</v>
      </c>
    </row>
    <row r="3313" spans="1:8" x14ac:dyDescent="0.25">
      <c r="A3313" t="s">
        <v>3170</v>
      </c>
      <c r="B3313">
        <v>1</v>
      </c>
      <c r="C3313">
        <v>1</v>
      </c>
      <c r="D3313">
        <v>1</v>
      </c>
      <c r="E3313" t="s">
        <v>8187</v>
      </c>
      <c r="F3313" t="s">
        <v>8187</v>
      </c>
      <c r="G3313" t="s">
        <v>8187</v>
      </c>
      <c r="H3313">
        <v>21</v>
      </c>
    </row>
    <row r="3314" spans="1:8" x14ac:dyDescent="0.25">
      <c r="A3314" t="s">
        <v>8188</v>
      </c>
      <c r="B3314">
        <v>0</v>
      </c>
      <c r="C3314">
        <v>0</v>
      </c>
      <c r="D3314">
        <v>0</v>
      </c>
      <c r="G3314" t="s">
        <v>4256</v>
      </c>
      <c r="H3314">
        <v>1</v>
      </c>
    </row>
    <row r="3315" spans="1:8" x14ac:dyDescent="0.25">
      <c r="A3315" t="s">
        <v>2919</v>
      </c>
      <c r="B3315">
        <v>1</v>
      </c>
      <c r="C3315">
        <v>1</v>
      </c>
      <c r="D3315">
        <v>1</v>
      </c>
      <c r="E3315" t="s">
        <v>8189</v>
      </c>
      <c r="F3315" t="s">
        <v>8190</v>
      </c>
      <c r="G3315" t="s">
        <v>8190</v>
      </c>
      <c r="H3315">
        <v>22</v>
      </c>
    </row>
    <row r="3316" spans="1:8" x14ac:dyDescent="0.25">
      <c r="A3316" t="s">
        <v>3079</v>
      </c>
      <c r="B3316">
        <v>2</v>
      </c>
      <c r="C3316">
        <v>2</v>
      </c>
      <c r="D3316">
        <v>2</v>
      </c>
      <c r="E3316" t="s">
        <v>8191</v>
      </c>
      <c r="F3316" t="s">
        <v>8191</v>
      </c>
      <c r="G3316" t="s">
        <v>4256</v>
      </c>
      <c r="H3316">
        <v>15</v>
      </c>
    </row>
    <row r="3317" spans="1:8" x14ac:dyDescent="0.25">
      <c r="A3317" t="s">
        <v>2897</v>
      </c>
      <c r="B3317">
        <v>1</v>
      </c>
      <c r="C3317">
        <v>1</v>
      </c>
      <c r="D3317">
        <v>1</v>
      </c>
      <c r="E3317" t="s">
        <v>8192</v>
      </c>
      <c r="F3317" t="s">
        <v>8192</v>
      </c>
      <c r="G3317" t="s">
        <v>8192</v>
      </c>
      <c r="H3317">
        <v>24</v>
      </c>
    </row>
    <row r="3318" spans="1:8" x14ac:dyDescent="0.25">
      <c r="A3318" t="s">
        <v>2869</v>
      </c>
      <c r="B3318">
        <v>1</v>
      </c>
      <c r="C3318">
        <v>1</v>
      </c>
      <c r="D3318">
        <v>1</v>
      </c>
      <c r="E3318" t="s">
        <v>8193</v>
      </c>
      <c r="F3318" t="s">
        <v>8194</v>
      </c>
      <c r="G3318" t="s">
        <v>8194</v>
      </c>
      <c r="H3318">
        <v>18</v>
      </c>
    </row>
    <row r="3319" spans="1:8" x14ac:dyDescent="0.25">
      <c r="A3319" t="s">
        <v>2252</v>
      </c>
      <c r="B3319">
        <v>1</v>
      </c>
      <c r="C3319">
        <v>1</v>
      </c>
      <c r="D3319">
        <v>1</v>
      </c>
      <c r="E3319" t="s">
        <v>8195</v>
      </c>
      <c r="F3319" t="s">
        <v>8195</v>
      </c>
      <c r="G3319" t="s">
        <v>8195</v>
      </c>
      <c r="H3319">
        <v>76</v>
      </c>
    </row>
    <row r="3320" spans="1:8" x14ac:dyDescent="0.25">
      <c r="A3320" t="s">
        <v>1648</v>
      </c>
      <c r="B3320">
        <v>2</v>
      </c>
      <c r="C3320">
        <v>2</v>
      </c>
      <c r="D3320">
        <v>2</v>
      </c>
      <c r="E3320" t="s">
        <v>8196</v>
      </c>
      <c r="F3320" t="s">
        <v>8196</v>
      </c>
      <c r="G3320" t="s">
        <v>4256</v>
      </c>
      <c r="H3320">
        <v>165</v>
      </c>
    </row>
    <row r="3321" spans="1:8" x14ac:dyDescent="0.25">
      <c r="A3321" t="s">
        <v>1800</v>
      </c>
      <c r="B3321">
        <v>1</v>
      </c>
      <c r="C3321">
        <v>1</v>
      </c>
      <c r="D3321">
        <v>1</v>
      </c>
      <c r="E3321" t="s">
        <v>8197</v>
      </c>
      <c r="F3321" t="s">
        <v>8198</v>
      </c>
      <c r="G3321" t="s">
        <v>8198</v>
      </c>
      <c r="H3321">
        <v>125</v>
      </c>
    </row>
    <row r="3322" spans="1:8" x14ac:dyDescent="0.25">
      <c r="A3322" t="s">
        <v>1998</v>
      </c>
      <c r="B3322">
        <v>1</v>
      </c>
      <c r="C3322">
        <v>1</v>
      </c>
      <c r="D3322">
        <v>1</v>
      </c>
      <c r="E3322" t="s">
        <v>8199</v>
      </c>
      <c r="F3322" t="s">
        <v>8199</v>
      </c>
      <c r="G3322" t="s">
        <v>8199</v>
      </c>
      <c r="H3322">
        <v>86</v>
      </c>
    </row>
    <row r="3323" spans="1:8" x14ac:dyDescent="0.25">
      <c r="A3323" t="s">
        <v>2528</v>
      </c>
      <c r="B3323">
        <v>1</v>
      </c>
      <c r="C3323">
        <v>1</v>
      </c>
      <c r="D3323">
        <v>1</v>
      </c>
      <c r="E3323" t="s">
        <v>8200</v>
      </c>
      <c r="F3323" t="s">
        <v>8200</v>
      </c>
      <c r="G3323" t="s">
        <v>8200</v>
      </c>
      <c r="H3323">
        <v>23</v>
      </c>
    </row>
    <row r="3324" spans="1:8" x14ac:dyDescent="0.25">
      <c r="A3324" t="s">
        <v>2403</v>
      </c>
      <c r="B3324">
        <v>1</v>
      </c>
      <c r="C3324">
        <v>1</v>
      </c>
      <c r="D3324">
        <v>1</v>
      </c>
      <c r="E3324" t="s">
        <v>8201</v>
      </c>
      <c r="F3324" t="s">
        <v>8201</v>
      </c>
      <c r="G3324" t="s">
        <v>8201</v>
      </c>
      <c r="H3324">
        <v>30</v>
      </c>
    </row>
    <row r="3325" spans="1:8" x14ac:dyDescent="0.25">
      <c r="A3325" t="s">
        <v>2385</v>
      </c>
      <c r="B3325">
        <v>1</v>
      </c>
      <c r="C3325">
        <v>1</v>
      </c>
      <c r="D3325">
        <v>1</v>
      </c>
      <c r="E3325" t="s">
        <v>8202</v>
      </c>
      <c r="F3325" t="s">
        <v>8202</v>
      </c>
      <c r="G3325" t="s">
        <v>8202</v>
      </c>
      <c r="H3325">
        <v>30</v>
      </c>
    </row>
    <row r="3326" spans="1:8" x14ac:dyDescent="0.25">
      <c r="A3326" t="s">
        <v>2510</v>
      </c>
      <c r="B3326">
        <v>1</v>
      </c>
      <c r="C3326">
        <v>1</v>
      </c>
      <c r="D3326">
        <v>1</v>
      </c>
      <c r="E3326" t="s">
        <v>8203</v>
      </c>
      <c r="F3326" t="s">
        <v>8203</v>
      </c>
      <c r="G3326" t="s">
        <v>8203</v>
      </c>
      <c r="H3326">
        <v>30</v>
      </c>
    </row>
    <row r="3327" spans="1:8" x14ac:dyDescent="0.25">
      <c r="A3327" t="s">
        <v>2402</v>
      </c>
      <c r="B3327">
        <v>1</v>
      </c>
      <c r="C3327">
        <v>1</v>
      </c>
      <c r="D3327">
        <v>1</v>
      </c>
      <c r="E3327" t="s">
        <v>8204</v>
      </c>
      <c r="F3327" t="s">
        <v>8204</v>
      </c>
      <c r="G3327" t="s">
        <v>8204</v>
      </c>
      <c r="H3327">
        <v>51</v>
      </c>
    </row>
    <row r="3328" spans="1:8" x14ac:dyDescent="0.25">
      <c r="A3328" t="s">
        <v>3494</v>
      </c>
      <c r="B3328">
        <v>1</v>
      </c>
      <c r="C3328">
        <v>1</v>
      </c>
      <c r="D3328">
        <v>1</v>
      </c>
      <c r="E3328" t="s">
        <v>8205</v>
      </c>
      <c r="F3328" t="s">
        <v>8206</v>
      </c>
      <c r="G3328" t="s">
        <v>8206</v>
      </c>
      <c r="H3328">
        <v>8</v>
      </c>
    </row>
    <row r="3329" spans="1:8" x14ac:dyDescent="0.25">
      <c r="A3329" t="s">
        <v>3478</v>
      </c>
      <c r="B3329">
        <v>1</v>
      </c>
      <c r="C3329">
        <v>1</v>
      </c>
      <c r="D3329">
        <v>1</v>
      </c>
      <c r="E3329" t="s">
        <v>8207</v>
      </c>
      <c r="F3329" t="s">
        <v>8207</v>
      </c>
      <c r="G3329" t="s">
        <v>8207</v>
      </c>
      <c r="H3329">
        <v>6</v>
      </c>
    </row>
    <row r="3330" spans="1:8" x14ac:dyDescent="0.25">
      <c r="A3330" t="s">
        <v>2101</v>
      </c>
      <c r="B3330">
        <v>1</v>
      </c>
      <c r="C3330">
        <v>1</v>
      </c>
      <c r="D3330">
        <v>1</v>
      </c>
      <c r="E3330" t="s">
        <v>8208</v>
      </c>
      <c r="F3330" t="s">
        <v>8208</v>
      </c>
      <c r="G3330" t="s">
        <v>8208</v>
      </c>
      <c r="H3330">
        <v>98</v>
      </c>
    </row>
    <row r="3331" spans="1:8" x14ac:dyDescent="0.25">
      <c r="A3331" t="s">
        <v>2568</v>
      </c>
      <c r="B3331">
        <v>1</v>
      </c>
      <c r="C3331">
        <v>1</v>
      </c>
      <c r="D3331">
        <v>1</v>
      </c>
      <c r="E3331" t="s">
        <v>8209</v>
      </c>
      <c r="F3331" t="s">
        <v>8210</v>
      </c>
      <c r="G3331" t="s">
        <v>8210</v>
      </c>
      <c r="H3331">
        <v>33</v>
      </c>
    </row>
    <row r="3332" spans="1:8" x14ac:dyDescent="0.25">
      <c r="A3332" t="s">
        <v>3881</v>
      </c>
      <c r="B3332">
        <v>1</v>
      </c>
      <c r="C3332">
        <v>1</v>
      </c>
      <c r="D3332">
        <v>1</v>
      </c>
      <c r="E3332" t="s">
        <v>8211</v>
      </c>
      <c r="F3332" t="s">
        <v>8211</v>
      </c>
      <c r="G3332" t="s">
        <v>8211</v>
      </c>
      <c r="H3332">
        <v>3</v>
      </c>
    </row>
    <row r="3333" spans="1:8" x14ac:dyDescent="0.25">
      <c r="A3333" t="s">
        <v>3522</v>
      </c>
      <c r="B3333">
        <v>1</v>
      </c>
      <c r="C3333">
        <v>1</v>
      </c>
      <c r="D3333">
        <v>1</v>
      </c>
      <c r="E3333" t="s">
        <v>8212</v>
      </c>
      <c r="F3333" t="s">
        <v>8212</v>
      </c>
      <c r="G3333" t="s">
        <v>8212</v>
      </c>
      <c r="H3333">
        <v>11</v>
      </c>
    </row>
    <row r="3334" spans="1:8" x14ac:dyDescent="0.25">
      <c r="A3334" t="s">
        <v>3118</v>
      </c>
      <c r="B3334">
        <v>1</v>
      </c>
      <c r="C3334">
        <v>1</v>
      </c>
      <c r="D3334">
        <v>1</v>
      </c>
      <c r="E3334" t="s">
        <v>8213</v>
      </c>
      <c r="F3334" t="s">
        <v>8213</v>
      </c>
      <c r="G3334" t="s">
        <v>8213</v>
      </c>
      <c r="H3334">
        <v>16</v>
      </c>
    </row>
    <row r="3335" spans="1:8" x14ac:dyDescent="0.25">
      <c r="A3335" t="s">
        <v>2827</v>
      </c>
      <c r="B3335">
        <v>1</v>
      </c>
      <c r="C3335">
        <v>1</v>
      </c>
      <c r="D3335">
        <v>1</v>
      </c>
      <c r="E3335" t="s">
        <v>8214</v>
      </c>
      <c r="F3335" t="s">
        <v>8214</v>
      </c>
      <c r="G3335" t="s">
        <v>8214</v>
      </c>
      <c r="H3335">
        <v>35</v>
      </c>
    </row>
    <row r="3336" spans="1:8" x14ac:dyDescent="0.25">
      <c r="A3336" t="s">
        <v>2684</v>
      </c>
      <c r="B3336">
        <v>1</v>
      </c>
      <c r="C3336">
        <v>1</v>
      </c>
      <c r="D3336">
        <v>1</v>
      </c>
      <c r="E3336" t="s">
        <v>8215</v>
      </c>
      <c r="F3336" t="s">
        <v>8215</v>
      </c>
      <c r="G3336" t="s">
        <v>8215</v>
      </c>
      <c r="H3336">
        <v>35</v>
      </c>
    </row>
    <row r="3337" spans="1:8" x14ac:dyDescent="0.25">
      <c r="A3337" t="s">
        <v>2585</v>
      </c>
      <c r="B3337">
        <v>1</v>
      </c>
      <c r="C3337">
        <v>1</v>
      </c>
      <c r="D3337">
        <v>1</v>
      </c>
      <c r="E3337" t="s">
        <v>8216</v>
      </c>
      <c r="F3337" t="s">
        <v>8216</v>
      </c>
      <c r="G3337" t="s">
        <v>8216</v>
      </c>
      <c r="H3337">
        <v>40</v>
      </c>
    </row>
    <row r="3338" spans="1:8" x14ac:dyDescent="0.25">
      <c r="A3338" t="s">
        <v>2861</v>
      </c>
      <c r="B3338">
        <v>1</v>
      </c>
      <c r="C3338">
        <v>1</v>
      </c>
      <c r="D3338">
        <v>1</v>
      </c>
      <c r="E3338" t="s">
        <v>8217</v>
      </c>
      <c r="F3338" t="s">
        <v>8217</v>
      </c>
      <c r="G3338" t="s">
        <v>8217</v>
      </c>
      <c r="H3338">
        <v>29</v>
      </c>
    </row>
    <row r="3339" spans="1:8" x14ac:dyDescent="0.25">
      <c r="A3339" t="s">
        <v>3291</v>
      </c>
      <c r="B3339">
        <v>1</v>
      </c>
      <c r="C3339">
        <v>1</v>
      </c>
      <c r="D3339">
        <v>1</v>
      </c>
      <c r="E3339" t="s">
        <v>8218</v>
      </c>
      <c r="F3339" t="s">
        <v>8218</v>
      </c>
      <c r="G3339" t="s">
        <v>8218</v>
      </c>
      <c r="H3339">
        <v>20</v>
      </c>
    </row>
    <row r="3340" spans="1:8" x14ac:dyDescent="0.25">
      <c r="A3340" t="s">
        <v>3415</v>
      </c>
      <c r="B3340">
        <v>1</v>
      </c>
      <c r="C3340">
        <v>1</v>
      </c>
      <c r="D3340">
        <v>1</v>
      </c>
      <c r="E3340" t="s">
        <v>8219</v>
      </c>
      <c r="F3340" t="s">
        <v>8219</v>
      </c>
      <c r="G3340" t="s">
        <v>8219</v>
      </c>
      <c r="H3340">
        <v>17</v>
      </c>
    </row>
    <row r="3341" spans="1:8" x14ac:dyDescent="0.25">
      <c r="A3341" t="s">
        <v>3241</v>
      </c>
      <c r="B3341">
        <v>1</v>
      </c>
      <c r="C3341">
        <v>1</v>
      </c>
      <c r="D3341">
        <v>1</v>
      </c>
      <c r="E3341" t="s">
        <v>8220</v>
      </c>
      <c r="F3341" t="s">
        <v>8220</v>
      </c>
      <c r="G3341" t="s">
        <v>8220</v>
      </c>
      <c r="H3341">
        <v>16</v>
      </c>
    </row>
    <row r="3342" spans="1:8" x14ac:dyDescent="0.25">
      <c r="A3342" t="s">
        <v>2895</v>
      </c>
      <c r="B3342">
        <v>1</v>
      </c>
      <c r="C3342">
        <v>1</v>
      </c>
      <c r="D3342">
        <v>1</v>
      </c>
      <c r="E3342" t="s">
        <v>8221</v>
      </c>
      <c r="F3342" t="s">
        <v>8221</v>
      </c>
      <c r="G3342" t="s">
        <v>8221</v>
      </c>
      <c r="H3342">
        <v>47</v>
      </c>
    </row>
    <row r="3343" spans="1:8" x14ac:dyDescent="0.25">
      <c r="A3343" t="s">
        <v>2139</v>
      </c>
      <c r="B3343">
        <v>3</v>
      </c>
      <c r="C3343">
        <v>3</v>
      </c>
      <c r="D3343">
        <v>3</v>
      </c>
      <c r="E3343" t="s">
        <v>8222</v>
      </c>
      <c r="F3343" t="s">
        <v>8222</v>
      </c>
      <c r="G3343" t="s">
        <v>4256</v>
      </c>
      <c r="H3343">
        <v>72</v>
      </c>
    </row>
    <row r="3344" spans="1:8" x14ac:dyDescent="0.25">
      <c r="A3344" t="s">
        <v>2603</v>
      </c>
      <c r="B3344">
        <v>1</v>
      </c>
      <c r="C3344">
        <v>1</v>
      </c>
      <c r="D3344">
        <v>1</v>
      </c>
      <c r="E3344" t="s">
        <v>8223</v>
      </c>
      <c r="F3344" t="s">
        <v>8223</v>
      </c>
      <c r="G3344" t="s">
        <v>8223</v>
      </c>
      <c r="H3344">
        <v>52</v>
      </c>
    </row>
    <row r="3345" spans="1:8" x14ac:dyDescent="0.25">
      <c r="A3345" t="s">
        <v>2438</v>
      </c>
      <c r="B3345">
        <v>1</v>
      </c>
      <c r="C3345">
        <v>1</v>
      </c>
      <c r="D3345">
        <v>1</v>
      </c>
      <c r="E3345" t="s">
        <v>8224</v>
      </c>
      <c r="F3345" t="s">
        <v>8224</v>
      </c>
      <c r="G3345" t="s">
        <v>8224</v>
      </c>
      <c r="H3345">
        <v>52</v>
      </c>
    </row>
    <row r="3346" spans="1:8" x14ac:dyDescent="0.25">
      <c r="A3346" t="s">
        <v>1659</v>
      </c>
      <c r="B3346">
        <v>3</v>
      </c>
      <c r="C3346">
        <v>3</v>
      </c>
      <c r="D3346">
        <v>3</v>
      </c>
      <c r="E3346" t="s">
        <v>8225</v>
      </c>
      <c r="F3346" t="s">
        <v>8225</v>
      </c>
      <c r="G3346" t="s">
        <v>4256</v>
      </c>
      <c r="H3346">
        <v>93</v>
      </c>
    </row>
    <row r="3347" spans="1:8" x14ac:dyDescent="0.25">
      <c r="A3347" t="s">
        <v>397</v>
      </c>
      <c r="B3347">
        <v>1</v>
      </c>
      <c r="C3347">
        <v>1</v>
      </c>
      <c r="D3347">
        <v>1</v>
      </c>
      <c r="E3347" t="s">
        <v>8226</v>
      </c>
      <c r="F3347" t="s">
        <v>8226</v>
      </c>
      <c r="G3347" t="s">
        <v>8226</v>
      </c>
      <c r="H3347">
        <v>372</v>
      </c>
    </row>
    <row r="3348" spans="1:8" x14ac:dyDescent="0.25">
      <c r="A3348" t="s">
        <v>173</v>
      </c>
      <c r="B3348">
        <v>2</v>
      </c>
      <c r="C3348">
        <v>2</v>
      </c>
      <c r="D3348">
        <v>2</v>
      </c>
      <c r="E3348" t="s">
        <v>8227</v>
      </c>
      <c r="F3348" t="s">
        <v>8227</v>
      </c>
      <c r="G3348" t="s">
        <v>4256</v>
      </c>
      <c r="H3348">
        <v>946</v>
      </c>
    </row>
    <row r="3349" spans="1:8" x14ac:dyDescent="0.25">
      <c r="A3349" t="s">
        <v>345</v>
      </c>
      <c r="B3349">
        <v>1</v>
      </c>
      <c r="C3349">
        <v>1</v>
      </c>
      <c r="D3349">
        <v>1</v>
      </c>
      <c r="E3349" t="s">
        <v>8228</v>
      </c>
      <c r="F3349" t="s">
        <v>8228</v>
      </c>
      <c r="G3349" t="s">
        <v>8228</v>
      </c>
      <c r="H3349">
        <v>371</v>
      </c>
    </row>
    <row r="3350" spans="1:8" x14ac:dyDescent="0.25">
      <c r="A3350" t="s">
        <v>442</v>
      </c>
      <c r="B3350">
        <v>1</v>
      </c>
      <c r="C3350">
        <v>1</v>
      </c>
      <c r="D3350">
        <v>1</v>
      </c>
      <c r="E3350" t="s">
        <v>8229</v>
      </c>
      <c r="F3350" t="s">
        <v>8229</v>
      </c>
      <c r="G3350" t="s">
        <v>8229</v>
      </c>
      <c r="H3350">
        <v>329</v>
      </c>
    </row>
    <row r="3351" spans="1:8" x14ac:dyDescent="0.25">
      <c r="A3351" t="s">
        <v>1082</v>
      </c>
      <c r="B3351">
        <v>1</v>
      </c>
      <c r="C3351">
        <v>1</v>
      </c>
      <c r="D3351">
        <v>1</v>
      </c>
      <c r="E3351" t="s">
        <v>8230</v>
      </c>
      <c r="F3351" t="s">
        <v>8230</v>
      </c>
      <c r="G3351" t="s">
        <v>8230</v>
      </c>
      <c r="H3351">
        <v>126</v>
      </c>
    </row>
    <row r="3352" spans="1:8" x14ac:dyDescent="0.25">
      <c r="A3352" t="s">
        <v>2266</v>
      </c>
      <c r="B3352">
        <v>1</v>
      </c>
      <c r="C3352">
        <v>1</v>
      </c>
      <c r="D3352">
        <v>1</v>
      </c>
      <c r="E3352" t="s">
        <v>8231</v>
      </c>
      <c r="F3352" t="s">
        <v>8231</v>
      </c>
      <c r="G3352" t="s">
        <v>8231</v>
      </c>
      <c r="H3352">
        <v>95</v>
      </c>
    </row>
    <row r="3353" spans="1:8" x14ac:dyDescent="0.25">
      <c r="A3353" t="s">
        <v>2264</v>
      </c>
      <c r="B3353">
        <v>1</v>
      </c>
      <c r="C3353">
        <v>1</v>
      </c>
      <c r="D3353">
        <v>1</v>
      </c>
      <c r="E3353" t="s">
        <v>8232</v>
      </c>
      <c r="F3353" t="s">
        <v>8232</v>
      </c>
      <c r="G3353" t="s">
        <v>8232</v>
      </c>
      <c r="H3353">
        <v>83</v>
      </c>
    </row>
    <row r="3354" spans="1:8" x14ac:dyDescent="0.25">
      <c r="A3354" t="s">
        <v>2719</v>
      </c>
      <c r="B3354">
        <v>1</v>
      </c>
      <c r="C3354">
        <v>1</v>
      </c>
      <c r="D3354">
        <v>1</v>
      </c>
      <c r="E3354" t="s">
        <v>8233</v>
      </c>
      <c r="F3354" t="s">
        <v>8233</v>
      </c>
      <c r="G3354" t="s">
        <v>8233</v>
      </c>
      <c r="H3354">
        <v>26</v>
      </c>
    </row>
    <row r="3355" spans="1:8" x14ac:dyDescent="0.25">
      <c r="A3355" t="s">
        <v>2590</v>
      </c>
      <c r="B3355">
        <v>1</v>
      </c>
      <c r="C3355">
        <v>1</v>
      </c>
      <c r="D3355">
        <v>1</v>
      </c>
      <c r="E3355" t="s">
        <v>8234</v>
      </c>
      <c r="F3355" t="s">
        <v>8234</v>
      </c>
      <c r="G3355" t="s">
        <v>8234</v>
      </c>
      <c r="H3355">
        <v>30</v>
      </c>
    </row>
    <row r="3356" spans="1:8" x14ac:dyDescent="0.25">
      <c r="A3356" t="s">
        <v>2734</v>
      </c>
      <c r="B3356">
        <v>1</v>
      </c>
      <c r="C3356">
        <v>1</v>
      </c>
      <c r="D3356">
        <v>1</v>
      </c>
      <c r="E3356" t="s">
        <v>8235</v>
      </c>
      <c r="F3356" t="s">
        <v>8235</v>
      </c>
      <c r="G3356" t="s">
        <v>8235</v>
      </c>
      <c r="H3356">
        <v>15</v>
      </c>
    </row>
    <row r="3357" spans="1:8" x14ac:dyDescent="0.25">
      <c r="A3357" t="s">
        <v>2926</v>
      </c>
      <c r="B3357">
        <v>1</v>
      </c>
      <c r="C3357">
        <v>1</v>
      </c>
      <c r="D3357">
        <v>1</v>
      </c>
      <c r="E3357" t="s">
        <v>8236</v>
      </c>
      <c r="F3357" t="s">
        <v>8236</v>
      </c>
      <c r="G3357" t="s">
        <v>8236</v>
      </c>
      <c r="H3357">
        <v>1</v>
      </c>
    </row>
    <row r="3358" spans="1:8" x14ac:dyDescent="0.25">
      <c r="A3358" t="s">
        <v>2990</v>
      </c>
      <c r="B3358">
        <v>1</v>
      </c>
      <c r="C3358">
        <v>1</v>
      </c>
      <c r="D3358">
        <v>1</v>
      </c>
      <c r="E3358" t="s">
        <v>8237</v>
      </c>
      <c r="F3358" t="s">
        <v>8237</v>
      </c>
      <c r="G3358" t="s">
        <v>8237</v>
      </c>
      <c r="H3358">
        <v>1</v>
      </c>
    </row>
    <row r="3359" spans="1:8" x14ac:dyDescent="0.25">
      <c r="A3359" t="s">
        <v>8238</v>
      </c>
      <c r="B3359">
        <v>0</v>
      </c>
      <c r="C3359">
        <v>0</v>
      </c>
      <c r="D3359">
        <v>0</v>
      </c>
      <c r="G3359" t="s">
        <v>4256</v>
      </c>
      <c r="H3359">
        <v>1</v>
      </c>
    </row>
    <row r="3360" spans="1:8" x14ac:dyDescent="0.25">
      <c r="A3360" t="s">
        <v>8239</v>
      </c>
      <c r="B3360">
        <v>0</v>
      </c>
      <c r="C3360">
        <v>0</v>
      </c>
      <c r="D3360">
        <v>0</v>
      </c>
      <c r="G3360" t="s">
        <v>4256</v>
      </c>
      <c r="H3360">
        <v>1</v>
      </c>
    </row>
    <row r="3361" spans="1:8" x14ac:dyDescent="0.25">
      <c r="A3361" t="s">
        <v>8240</v>
      </c>
      <c r="B3361">
        <v>0</v>
      </c>
      <c r="C3361">
        <v>0</v>
      </c>
      <c r="D3361">
        <v>0</v>
      </c>
      <c r="G3361" t="s">
        <v>4256</v>
      </c>
      <c r="H3361">
        <v>1</v>
      </c>
    </row>
    <row r="3362" spans="1:8" x14ac:dyDescent="0.25">
      <c r="A3362" t="s">
        <v>8241</v>
      </c>
      <c r="B3362">
        <v>0</v>
      </c>
      <c r="C3362">
        <v>0</v>
      </c>
      <c r="D3362">
        <v>0</v>
      </c>
      <c r="G3362" t="s">
        <v>4256</v>
      </c>
      <c r="H3362">
        <v>1</v>
      </c>
    </row>
    <row r="3363" spans="1:8" x14ac:dyDescent="0.25">
      <c r="A3363" t="s">
        <v>8242</v>
      </c>
      <c r="B3363">
        <v>0</v>
      </c>
      <c r="C3363">
        <v>0</v>
      </c>
      <c r="D3363">
        <v>0</v>
      </c>
      <c r="G3363" t="s">
        <v>4256</v>
      </c>
      <c r="H3363">
        <v>1</v>
      </c>
    </row>
    <row r="3364" spans="1:8" x14ac:dyDescent="0.25">
      <c r="A3364" t="s">
        <v>893</v>
      </c>
      <c r="B3364">
        <v>1</v>
      </c>
      <c r="C3364">
        <v>1</v>
      </c>
      <c r="D3364">
        <v>1</v>
      </c>
      <c r="E3364" t="s">
        <v>8243</v>
      </c>
      <c r="F3364" t="s">
        <v>8243</v>
      </c>
      <c r="G3364" t="s">
        <v>8243</v>
      </c>
      <c r="H3364">
        <v>102</v>
      </c>
    </row>
    <row r="3365" spans="1:8" x14ac:dyDescent="0.25">
      <c r="A3365" t="s">
        <v>3630</v>
      </c>
      <c r="B3365">
        <v>1</v>
      </c>
      <c r="C3365">
        <v>1</v>
      </c>
      <c r="D3365">
        <v>1</v>
      </c>
      <c r="E3365" t="s">
        <v>8244</v>
      </c>
      <c r="F3365" t="s">
        <v>8244</v>
      </c>
      <c r="G3365" t="s">
        <v>8244</v>
      </c>
      <c r="H3365">
        <v>4</v>
      </c>
    </row>
    <row r="3366" spans="1:8" x14ac:dyDescent="0.25">
      <c r="A3366" t="s">
        <v>811</v>
      </c>
      <c r="B3366">
        <v>1</v>
      </c>
      <c r="C3366">
        <v>1</v>
      </c>
      <c r="D3366">
        <v>1</v>
      </c>
      <c r="E3366" t="s">
        <v>8245</v>
      </c>
      <c r="F3366" t="s">
        <v>8245</v>
      </c>
      <c r="G3366" t="s">
        <v>8245</v>
      </c>
      <c r="H3366">
        <v>106</v>
      </c>
    </row>
    <row r="3367" spans="1:8" x14ac:dyDescent="0.25">
      <c r="A3367" t="s">
        <v>1334</v>
      </c>
      <c r="B3367">
        <v>1</v>
      </c>
      <c r="C3367">
        <v>1</v>
      </c>
      <c r="D3367">
        <v>1</v>
      </c>
      <c r="E3367" t="s">
        <v>8246</v>
      </c>
      <c r="F3367" t="s">
        <v>8246</v>
      </c>
      <c r="G3367" t="s">
        <v>8246</v>
      </c>
      <c r="H3367">
        <v>56</v>
      </c>
    </row>
    <row r="3368" spans="1:8" x14ac:dyDescent="0.25">
      <c r="A3368" t="s">
        <v>1416</v>
      </c>
      <c r="B3368">
        <v>2</v>
      </c>
      <c r="C3368">
        <v>2</v>
      </c>
      <c r="D3368">
        <v>2</v>
      </c>
      <c r="E3368" t="s">
        <v>8247</v>
      </c>
      <c r="F3368" t="s">
        <v>8247</v>
      </c>
      <c r="G3368" t="s">
        <v>4256</v>
      </c>
      <c r="H3368">
        <v>47</v>
      </c>
    </row>
    <row r="3369" spans="1:8" x14ac:dyDescent="0.25">
      <c r="A3369" t="s">
        <v>1233</v>
      </c>
      <c r="B3369">
        <v>2</v>
      </c>
      <c r="C3369">
        <v>2</v>
      </c>
      <c r="D3369">
        <v>2</v>
      </c>
      <c r="E3369" t="s">
        <v>8248</v>
      </c>
      <c r="F3369" t="s">
        <v>8248</v>
      </c>
      <c r="G3369" t="s">
        <v>4256</v>
      </c>
      <c r="H3369">
        <v>66</v>
      </c>
    </row>
    <row r="3370" spans="1:8" x14ac:dyDescent="0.25">
      <c r="A3370" t="s">
        <v>3072</v>
      </c>
      <c r="B3370">
        <v>1</v>
      </c>
      <c r="C3370">
        <v>1</v>
      </c>
      <c r="D3370">
        <v>1</v>
      </c>
      <c r="E3370" t="s">
        <v>8243</v>
      </c>
      <c r="F3370" t="s">
        <v>8243</v>
      </c>
      <c r="G3370" t="s">
        <v>8243</v>
      </c>
      <c r="H3370">
        <v>3</v>
      </c>
    </row>
    <row r="3371" spans="1:8" x14ac:dyDescent="0.25">
      <c r="A3371" t="s">
        <v>3265</v>
      </c>
      <c r="B3371">
        <v>1</v>
      </c>
      <c r="C3371">
        <v>1</v>
      </c>
      <c r="D3371">
        <v>1</v>
      </c>
      <c r="E3371" t="s">
        <v>8246</v>
      </c>
      <c r="F3371" t="s">
        <v>8246</v>
      </c>
      <c r="G3371" t="s">
        <v>8246</v>
      </c>
      <c r="H3371">
        <v>3</v>
      </c>
    </row>
    <row r="3372" spans="1:8" x14ac:dyDescent="0.25">
      <c r="A3372" t="s">
        <v>2848</v>
      </c>
      <c r="B3372">
        <v>1</v>
      </c>
      <c r="C3372">
        <v>1</v>
      </c>
      <c r="D3372">
        <v>1</v>
      </c>
      <c r="E3372" t="s">
        <v>8249</v>
      </c>
      <c r="F3372" t="s">
        <v>8249</v>
      </c>
      <c r="G3372" t="s">
        <v>8249</v>
      </c>
      <c r="H3372">
        <v>6</v>
      </c>
    </row>
    <row r="3373" spans="1:8" x14ac:dyDescent="0.25">
      <c r="A3373" t="s">
        <v>3632</v>
      </c>
      <c r="B3373">
        <v>1</v>
      </c>
      <c r="C3373">
        <v>1</v>
      </c>
      <c r="D3373">
        <v>1</v>
      </c>
      <c r="E3373" t="s">
        <v>8250</v>
      </c>
      <c r="F3373" t="s">
        <v>8250</v>
      </c>
      <c r="G3373" t="s">
        <v>8250</v>
      </c>
      <c r="H3373">
        <v>1</v>
      </c>
    </row>
    <row r="3374" spans="1:8" x14ac:dyDescent="0.25">
      <c r="A3374" t="s">
        <v>1055</v>
      </c>
      <c r="B3374">
        <v>2</v>
      </c>
      <c r="C3374">
        <v>2</v>
      </c>
      <c r="D3374">
        <v>2</v>
      </c>
      <c r="E3374" t="s">
        <v>8251</v>
      </c>
      <c r="F3374" t="s">
        <v>8251</v>
      </c>
      <c r="G3374" t="s">
        <v>4256</v>
      </c>
      <c r="H3374">
        <v>214</v>
      </c>
    </row>
    <row r="3375" spans="1:8" x14ac:dyDescent="0.25">
      <c r="A3375" t="s">
        <v>526</v>
      </c>
      <c r="B3375">
        <v>1</v>
      </c>
      <c r="C3375">
        <v>1</v>
      </c>
      <c r="D3375">
        <v>1</v>
      </c>
      <c r="E3375" t="s">
        <v>8252</v>
      </c>
      <c r="F3375" t="s">
        <v>8252</v>
      </c>
      <c r="G3375" t="s">
        <v>8252</v>
      </c>
      <c r="H3375">
        <v>460</v>
      </c>
    </row>
    <row r="3376" spans="1:8" x14ac:dyDescent="0.25">
      <c r="A3376" t="s">
        <v>440</v>
      </c>
      <c r="B3376">
        <v>1</v>
      </c>
      <c r="C3376">
        <v>1</v>
      </c>
      <c r="D3376">
        <v>1</v>
      </c>
      <c r="E3376" t="s">
        <v>8253</v>
      </c>
      <c r="F3376" t="s">
        <v>8253</v>
      </c>
      <c r="G3376" t="s">
        <v>8253</v>
      </c>
      <c r="H3376">
        <v>546</v>
      </c>
    </row>
    <row r="3377" spans="1:8" x14ac:dyDescent="0.25">
      <c r="A3377" t="s">
        <v>2459</v>
      </c>
      <c r="B3377">
        <v>1</v>
      </c>
      <c r="C3377">
        <v>1</v>
      </c>
      <c r="D3377">
        <v>1</v>
      </c>
      <c r="E3377" t="s">
        <v>8252</v>
      </c>
      <c r="F3377" t="s">
        <v>8252</v>
      </c>
      <c r="G3377" t="s">
        <v>8252</v>
      </c>
      <c r="H3377">
        <v>50</v>
      </c>
    </row>
    <row r="3378" spans="1:8" x14ac:dyDescent="0.25">
      <c r="A3378" t="s">
        <v>2349</v>
      </c>
      <c r="B3378">
        <v>1</v>
      </c>
      <c r="C3378">
        <v>1</v>
      </c>
      <c r="D3378">
        <v>1</v>
      </c>
      <c r="E3378" t="s">
        <v>8253</v>
      </c>
      <c r="F3378" t="s">
        <v>8253</v>
      </c>
      <c r="G3378" t="s">
        <v>8253</v>
      </c>
      <c r="H3378">
        <v>66</v>
      </c>
    </row>
    <row r="3379" spans="1:8" x14ac:dyDescent="0.25">
      <c r="A3379" t="s">
        <v>8254</v>
      </c>
      <c r="B3379">
        <v>0</v>
      </c>
      <c r="C3379">
        <v>0</v>
      </c>
      <c r="D3379">
        <v>0</v>
      </c>
      <c r="G3379" t="s">
        <v>4256</v>
      </c>
      <c r="H3379">
        <v>1</v>
      </c>
    </row>
    <row r="3380" spans="1:8" x14ac:dyDescent="0.25">
      <c r="A3380" t="s">
        <v>1397</v>
      </c>
      <c r="B3380">
        <v>1</v>
      </c>
      <c r="C3380">
        <v>1</v>
      </c>
      <c r="D3380">
        <v>1</v>
      </c>
      <c r="E3380" t="s">
        <v>8255</v>
      </c>
      <c r="F3380" t="s">
        <v>8256</v>
      </c>
      <c r="G3380" t="s">
        <v>8256</v>
      </c>
      <c r="H3380">
        <v>176</v>
      </c>
    </row>
    <row r="3381" spans="1:8" x14ac:dyDescent="0.25">
      <c r="A3381" t="s">
        <v>3946</v>
      </c>
      <c r="B3381">
        <v>1</v>
      </c>
      <c r="C3381">
        <v>1</v>
      </c>
      <c r="D3381">
        <v>1</v>
      </c>
      <c r="E3381" t="s">
        <v>8257</v>
      </c>
      <c r="F3381" t="s">
        <v>8258</v>
      </c>
      <c r="G3381" t="s">
        <v>8258</v>
      </c>
      <c r="H3381">
        <v>1</v>
      </c>
    </row>
    <row r="3382" spans="1:8" x14ac:dyDescent="0.25">
      <c r="A3382" t="s">
        <v>2490</v>
      </c>
      <c r="B3382">
        <v>1</v>
      </c>
      <c r="C3382">
        <v>1</v>
      </c>
      <c r="D3382">
        <v>1</v>
      </c>
      <c r="E3382" t="s">
        <v>8259</v>
      </c>
      <c r="F3382" t="s">
        <v>8259</v>
      </c>
      <c r="G3382" t="s">
        <v>8259</v>
      </c>
      <c r="H3382">
        <v>29</v>
      </c>
    </row>
    <row r="3383" spans="1:8" x14ac:dyDescent="0.25">
      <c r="A3383" t="s">
        <v>3875</v>
      </c>
      <c r="B3383">
        <v>1</v>
      </c>
      <c r="C3383">
        <v>1</v>
      </c>
      <c r="D3383">
        <v>1</v>
      </c>
      <c r="E3383" t="s">
        <v>8260</v>
      </c>
      <c r="F3383" t="s">
        <v>8260</v>
      </c>
      <c r="G3383" t="s">
        <v>8260</v>
      </c>
      <c r="H3383">
        <v>3</v>
      </c>
    </row>
    <row r="3384" spans="1:8" x14ac:dyDescent="0.25">
      <c r="A3384" t="s">
        <v>2418</v>
      </c>
      <c r="B3384">
        <v>1</v>
      </c>
      <c r="C3384">
        <v>1</v>
      </c>
      <c r="D3384">
        <v>1</v>
      </c>
      <c r="E3384" t="s">
        <v>8261</v>
      </c>
      <c r="F3384" t="s">
        <v>8261</v>
      </c>
      <c r="G3384" t="s">
        <v>8261</v>
      </c>
      <c r="H3384">
        <v>40</v>
      </c>
    </row>
    <row r="3385" spans="1:8" x14ac:dyDescent="0.25">
      <c r="A3385" t="s">
        <v>4027</v>
      </c>
      <c r="B3385">
        <v>1</v>
      </c>
      <c r="C3385">
        <v>1</v>
      </c>
      <c r="D3385">
        <v>1</v>
      </c>
      <c r="E3385" t="s">
        <v>8262</v>
      </c>
      <c r="F3385" t="s">
        <v>8262</v>
      </c>
      <c r="G3385" t="s">
        <v>8262</v>
      </c>
      <c r="H3385">
        <v>3</v>
      </c>
    </row>
    <row r="3386" spans="1:8" x14ac:dyDescent="0.25">
      <c r="A3386" t="s">
        <v>247</v>
      </c>
      <c r="B3386">
        <v>1</v>
      </c>
      <c r="C3386">
        <v>1</v>
      </c>
      <c r="D3386">
        <v>1</v>
      </c>
      <c r="E3386" t="s">
        <v>8263</v>
      </c>
      <c r="F3386" t="s">
        <v>8263</v>
      </c>
      <c r="G3386" t="s">
        <v>8263</v>
      </c>
      <c r="H3386">
        <v>767</v>
      </c>
    </row>
    <row r="3387" spans="1:8" x14ac:dyDescent="0.25">
      <c r="A3387" t="s">
        <v>3211</v>
      </c>
      <c r="B3387">
        <v>1</v>
      </c>
      <c r="C3387">
        <v>1</v>
      </c>
      <c r="D3387">
        <v>1</v>
      </c>
      <c r="E3387" t="s">
        <v>8264</v>
      </c>
      <c r="F3387" t="s">
        <v>8264</v>
      </c>
      <c r="G3387" t="s">
        <v>8264</v>
      </c>
      <c r="H3387">
        <v>6</v>
      </c>
    </row>
    <row r="3388" spans="1:8" x14ac:dyDescent="0.25">
      <c r="A3388" t="s">
        <v>3245</v>
      </c>
      <c r="B3388">
        <v>1</v>
      </c>
      <c r="C3388">
        <v>1</v>
      </c>
      <c r="D3388">
        <v>1</v>
      </c>
      <c r="E3388" t="s">
        <v>8265</v>
      </c>
      <c r="F3388" t="s">
        <v>8266</v>
      </c>
      <c r="G3388" t="s">
        <v>8266</v>
      </c>
      <c r="H3388">
        <v>5</v>
      </c>
    </row>
    <row r="3389" spans="1:8" x14ac:dyDescent="0.25">
      <c r="A3389" t="s">
        <v>3358</v>
      </c>
      <c r="B3389">
        <v>1</v>
      </c>
      <c r="C3389">
        <v>1</v>
      </c>
      <c r="D3389">
        <v>1</v>
      </c>
      <c r="E3389" t="s">
        <v>8267</v>
      </c>
      <c r="F3389" t="s">
        <v>8268</v>
      </c>
      <c r="G3389" t="s">
        <v>8268</v>
      </c>
      <c r="H3389">
        <v>4</v>
      </c>
    </row>
    <row r="3390" spans="1:8" x14ac:dyDescent="0.25">
      <c r="A3390" t="s">
        <v>3354</v>
      </c>
      <c r="B3390">
        <v>1</v>
      </c>
      <c r="C3390">
        <v>1</v>
      </c>
      <c r="D3390">
        <v>1</v>
      </c>
      <c r="E3390" t="s">
        <v>8269</v>
      </c>
      <c r="F3390" t="s">
        <v>8269</v>
      </c>
      <c r="G3390" t="s">
        <v>8269</v>
      </c>
      <c r="H3390">
        <v>21</v>
      </c>
    </row>
    <row r="3391" spans="1:8" x14ac:dyDescent="0.25">
      <c r="A3391" t="s">
        <v>695</v>
      </c>
      <c r="B3391">
        <v>1</v>
      </c>
      <c r="C3391">
        <v>1</v>
      </c>
      <c r="D3391">
        <v>1</v>
      </c>
      <c r="E3391" t="s">
        <v>8270</v>
      </c>
      <c r="F3391" t="s">
        <v>8270</v>
      </c>
      <c r="G3391" t="s">
        <v>8270</v>
      </c>
      <c r="H3391">
        <v>339</v>
      </c>
    </row>
    <row r="3392" spans="1:8" x14ac:dyDescent="0.25">
      <c r="A3392" t="s">
        <v>510</v>
      </c>
      <c r="B3392">
        <v>2</v>
      </c>
      <c r="C3392">
        <v>2</v>
      </c>
      <c r="D3392">
        <v>2</v>
      </c>
      <c r="E3392" t="s">
        <v>8271</v>
      </c>
      <c r="F3392" t="s">
        <v>8271</v>
      </c>
      <c r="G3392" t="s">
        <v>4256</v>
      </c>
      <c r="H3392">
        <v>515</v>
      </c>
    </row>
    <row r="3393" spans="1:8" x14ac:dyDescent="0.25">
      <c r="A3393" t="s">
        <v>3755</v>
      </c>
      <c r="B3393">
        <v>1</v>
      </c>
      <c r="C3393">
        <v>1</v>
      </c>
      <c r="D3393">
        <v>1</v>
      </c>
      <c r="E3393" t="s">
        <v>8272</v>
      </c>
      <c r="F3393" t="s">
        <v>8272</v>
      </c>
      <c r="G3393" t="s">
        <v>8272</v>
      </c>
      <c r="H3393">
        <v>20</v>
      </c>
    </row>
    <row r="3394" spans="1:8" x14ac:dyDescent="0.25">
      <c r="A3394" t="s">
        <v>3216</v>
      </c>
      <c r="B3394">
        <v>1</v>
      </c>
      <c r="C3394">
        <v>1</v>
      </c>
      <c r="D3394">
        <v>1</v>
      </c>
      <c r="E3394" t="s">
        <v>8272</v>
      </c>
      <c r="F3394" t="s">
        <v>8272</v>
      </c>
      <c r="G3394" t="s">
        <v>8272</v>
      </c>
      <c r="H3394">
        <v>25</v>
      </c>
    </row>
    <row r="3395" spans="1:8" x14ac:dyDescent="0.25">
      <c r="A3395" t="s">
        <v>4028</v>
      </c>
      <c r="B3395">
        <v>1</v>
      </c>
      <c r="C3395">
        <v>1</v>
      </c>
      <c r="D3395">
        <v>1</v>
      </c>
      <c r="E3395" t="s">
        <v>8273</v>
      </c>
      <c r="F3395" t="s">
        <v>8273</v>
      </c>
      <c r="G3395" t="s">
        <v>8273</v>
      </c>
      <c r="H3395">
        <v>5</v>
      </c>
    </row>
    <row r="3396" spans="1:8" x14ac:dyDescent="0.25">
      <c r="A3396" t="s">
        <v>383</v>
      </c>
      <c r="B3396">
        <v>1</v>
      </c>
      <c r="C3396">
        <v>1</v>
      </c>
      <c r="D3396">
        <v>1</v>
      </c>
      <c r="E3396" t="s">
        <v>8274</v>
      </c>
      <c r="F3396" t="s">
        <v>8274</v>
      </c>
      <c r="G3396" t="s">
        <v>8274</v>
      </c>
      <c r="H3396">
        <v>871</v>
      </c>
    </row>
    <row r="3397" spans="1:8" x14ac:dyDescent="0.25">
      <c r="A3397" t="s">
        <v>514</v>
      </c>
      <c r="B3397">
        <v>1</v>
      </c>
      <c r="C3397">
        <v>1</v>
      </c>
      <c r="D3397">
        <v>1</v>
      </c>
      <c r="E3397" t="s">
        <v>8275</v>
      </c>
      <c r="F3397" t="s">
        <v>8275</v>
      </c>
      <c r="G3397" t="s">
        <v>8275</v>
      </c>
      <c r="H3397">
        <v>650</v>
      </c>
    </row>
    <row r="3398" spans="1:8" x14ac:dyDescent="0.25">
      <c r="A3398" t="s">
        <v>2958</v>
      </c>
      <c r="B3398">
        <v>1</v>
      </c>
      <c r="C3398">
        <v>1</v>
      </c>
      <c r="D3398">
        <v>1</v>
      </c>
      <c r="E3398" t="s">
        <v>8276</v>
      </c>
      <c r="F3398" t="s">
        <v>8276</v>
      </c>
      <c r="G3398" t="s">
        <v>8276</v>
      </c>
      <c r="H3398">
        <v>55</v>
      </c>
    </row>
    <row r="3399" spans="1:8" x14ac:dyDescent="0.25">
      <c r="A3399" t="s">
        <v>3653</v>
      </c>
      <c r="B3399">
        <v>1</v>
      </c>
      <c r="C3399">
        <v>1</v>
      </c>
      <c r="D3399">
        <v>1</v>
      </c>
      <c r="E3399" t="s">
        <v>8277</v>
      </c>
      <c r="F3399" t="s">
        <v>8277</v>
      </c>
      <c r="G3399" t="s">
        <v>8277</v>
      </c>
      <c r="H3399">
        <v>19</v>
      </c>
    </row>
    <row r="3400" spans="1:8" x14ac:dyDescent="0.25">
      <c r="A3400" t="s">
        <v>3620</v>
      </c>
      <c r="B3400">
        <v>1</v>
      </c>
      <c r="C3400">
        <v>1</v>
      </c>
      <c r="D3400">
        <v>1</v>
      </c>
      <c r="E3400" t="s">
        <v>8276</v>
      </c>
      <c r="F3400" t="s">
        <v>8276</v>
      </c>
      <c r="G3400" t="s">
        <v>8276</v>
      </c>
      <c r="H3400">
        <v>19</v>
      </c>
    </row>
    <row r="3401" spans="1:8" x14ac:dyDescent="0.25">
      <c r="A3401" t="s">
        <v>359</v>
      </c>
      <c r="B3401">
        <v>2</v>
      </c>
      <c r="C3401">
        <v>2</v>
      </c>
      <c r="D3401">
        <v>2</v>
      </c>
      <c r="E3401" t="s">
        <v>8278</v>
      </c>
      <c r="F3401" t="s">
        <v>8279</v>
      </c>
      <c r="G3401" t="s">
        <v>4256</v>
      </c>
      <c r="H3401">
        <v>263</v>
      </c>
    </row>
    <row r="3402" spans="1:8" x14ac:dyDescent="0.25">
      <c r="A3402" t="s">
        <v>252</v>
      </c>
      <c r="B3402">
        <v>2</v>
      </c>
      <c r="C3402">
        <v>2</v>
      </c>
      <c r="D3402">
        <v>2</v>
      </c>
      <c r="E3402" t="s">
        <v>8280</v>
      </c>
      <c r="F3402" t="s">
        <v>8281</v>
      </c>
      <c r="G3402" t="s">
        <v>4256</v>
      </c>
      <c r="H3402">
        <v>377</v>
      </c>
    </row>
    <row r="3403" spans="1:8" x14ac:dyDescent="0.25">
      <c r="A3403" t="s">
        <v>260</v>
      </c>
      <c r="B3403">
        <v>3</v>
      </c>
      <c r="C3403">
        <v>3</v>
      </c>
      <c r="D3403">
        <v>3</v>
      </c>
      <c r="E3403" t="s">
        <v>8282</v>
      </c>
      <c r="F3403" t="s">
        <v>8282</v>
      </c>
      <c r="G3403" t="s">
        <v>4256</v>
      </c>
      <c r="H3403">
        <v>339</v>
      </c>
    </row>
    <row r="3404" spans="1:8" x14ac:dyDescent="0.25">
      <c r="A3404" t="s">
        <v>220</v>
      </c>
      <c r="B3404">
        <v>2</v>
      </c>
      <c r="C3404">
        <v>2</v>
      </c>
      <c r="D3404">
        <v>2</v>
      </c>
      <c r="E3404" t="s">
        <v>8283</v>
      </c>
      <c r="F3404" t="s">
        <v>8283</v>
      </c>
      <c r="G3404" t="s">
        <v>4256</v>
      </c>
      <c r="H3404">
        <v>481</v>
      </c>
    </row>
    <row r="3405" spans="1:8" x14ac:dyDescent="0.25">
      <c r="A3405" t="s">
        <v>1870</v>
      </c>
      <c r="B3405">
        <v>2</v>
      </c>
      <c r="C3405">
        <v>2</v>
      </c>
      <c r="D3405">
        <v>2</v>
      </c>
      <c r="E3405" t="s">
        <v>8278</v>
      </c>
      <c r="F3405" t="s">
        <v>8279</v>
      </c>
      <c r="G3405" t="s">
        <v>4256</v>
      </c>
      <c r="H3405">
        <v>65</v>
      </c>
    </row>
    <row r="3406" spans="1:8" x14ac:dyDescent="0.25">
      <c r="A3406" t="s">
        <v>904</v>
      </c>
      <c r="B3406">
        <v>2</v>
      </c>
      <c r="C3406">
        <v>2</v>
      </c>
      <c r="D3406">
        <v>2</v>
      </c>
      <c r="E3406" t="s">
        <v>8280</v>
      </c>
      <c r="F3406" t="s">
        <v>8281</v>
      </c>
      <c r="G3406" t="s">
        <v>4256</v>
      </c>
      <c r="H3406">
        <v>70</v>
      </c>
    </row>
    <row r="3407" spans="1:8" x14ac:dyDescent="0.25">
      <c r="A3407" t="s">
        <v>1064</v>
      </c>
      <c r="B3407">
        <v>2</v>
      </c>
      <c r="C3407">
        <v>2</v>
      </c>
      <c r="D3407">
        <v>2</v>
      </c>
      <c r="E3407" t="s">
        <v>8284</v>
      </c>
      <c r="F3407" t="s">
        <v>8284</v>
      </c>
      <c r="G3407" t="s">
        <v>4256</v>
      </c>
      <c r="H3407">
        <v>66</v>
      </c>
    </row>
    <row r="3408" spans="1:8" x14ac:dyDescent="0.25">
      <c r="A3408" t="s">
        <v>997</v>
      </c>
      <c r="B3408">
        <v>2</v>
      </c>
      <c r="C3408">
        <v>2</v>
      </c>
      <c r="D3408">
        <v>2</v>
      </c>
      <c r="E3408" t="s">
        <v>8283</v>
      </c>
      <c r="F3408" t="s">
        <v>8283</v>
      </c>
      <c r="G3408" t="s">
        <v>4256</v>
      </c>
      <c r="H3408">
        <v>75</v>
      </c>
    </row>
    <row r="3409" spans="1:8" x14ac:dyDescent="0.25">
      <c r="A3409" t="s">
        <v>3377</v>
      </c>
      <c r="B3409">
        <v>1</v>
      </c>
      <c r="C3409">
        <v>1</v>
      </c>
      <c r="D3409">
        <v>1</v>
      </c>
      <c r="E3409" t="s">
        <v>8285</v>
      </c>
      <c r="F3409" t="s">
        <v>8285</v>
      </c>
      <c r="G3409" t="s">
        <v>8285</v>
      </c>
      <c r="H3409">
        <v>10</v>
      </c>
    </row>
    <row r="3410" spans="1:8" x14ac:dyDescent="0.25">
      <c r="A3410" t="s">
        <v>3322</v>
      </c>
      <c r="B3410">
        <v>1</v>
      </c>
      <c r="C3410">
        <v>1</v>
      </c>
      <c r="D3410">
        <v>1</v>
      </c>
      <c r="E3410" t="s">
        <v>8286</v>
      </c>
      <c r="F3410" t="s">
        <v>8286</v>
      </c>
      <c r="G3410" t="s">
        <v>8286</v>
      </c>
      <c r="H3410">
        <v>11</v>
      </c>
    </row>
    <row r="3411" spans="1:8" x14ac:dyDescent="0.25">
      <c r="A3411" t="s">
        <v>508</v>
      </c>
      <c r="B3411">
        <v>1</v>
      </c>
      <c r="C3411">
        <v>1</v>
      </c>
      <c r="D3411">
        <v>1</v>
      </c>
      <c r="E3411" t="s">
        <v>8287</v>
      </c>
      <c r="F3411" t="s">
        <v>8287</v>
      </c>
      <c r="G3411" t="s">
        <v>8287</v>
      </c>
      <c r="H3411">
        <v>280</v>
      </c>
    </row>
    <row r="3412" spans="1:8" x14ac:dyDescent="0.25">
      <c r="A3412" t="s">
        <v>330</v>
      </c>
      <c r="B3412">
        <v>1</v>
      </c>
      <c r="C3412">
        <v>1</v>
      </c>
      <c r="D3412">
        <v>1</v>
      </c>
      <c r="E3412" t="s">
        <v>8288</v>
      </c>
      <c r="F3412" t="s">
        <v>8288</v>
      </c>
      <c r="G3412" t="s">
        <v>8288</v>
      </c>
      <c r="H3412">
        <v>355</v>
      </c>
    </row>
    <row r="3413" spans="1:8" x14ac:dyDescent="0.25">
      <c r="A3413" t="s">
        <v>2797</v>
      </c>
      <c r="B3413">
        <v>1</v>
      </c>
      <c r="C3413">
        <v>1</v>
      </c>
      <c r="D3413">
        <v>1</v>
      </c>
      <c r="E3413" t="s">
        <v>8287</v>
      </c>
      <c r="F3413" t="s">
        <v>8287</v>
      </c>
      <c r="G3413" t="s">
        <v>8287</v>
      </c>
      <c r="H3413">
        <v>14</v>
      </c>
    </row>
    <row r="3414" spans="1:8" x14ac:dyDescent="0.25">
      <c r="A3414" t="s">
        <v>2630</v>
      </c>
      <c r="B3414">
        <v>1</v>
      </c>
      <c r="C3414">
        <v>1</v>
      </c>
      <c r="D3414">
        <v>1</v>
      </c>
      <c r="E3414" t="s">
        <v>8288</v>
      </c>
      <c r="F3414" t="s">
        <v>8288</v>
      </c>
      <c r="G3414" t="s">
        <v>8288</v>
      </c>
      <c r="H3414">
        <v>23</v>
      </c>
    </row>
    <row r="3415" spans="1:8" x14ac:dyDescent="0.25">
      <c r="A3415" t="s">
        <v>1307</v>
      </c>
      <c r="B3415">
        <v>1</v>
      </c>
      <c r="C3415">
        <v>1</v>
      </c>
      <c r="D3415">
        <v>1</v>
      </c>
      <c r="E3415" t="s">
        <v>8289</v>
      </c>
      <c r="F3415" t="s">
        <v>8289</v>
      </c>
      <c r="G3415" t="s">
        <v>8289</v>
      </c>
      <c r="H3415">
        <v>145</v>
      </c>
    </row>
    <row r="3416" spans="1:8" x14ac:dyDescent="0.25">
      <c r="A3416" t="s">
        <v>2253</v>
      </c>
      <c r="B3416">
        <v>1</v>
      </c>
      <c r="C3416">
        <v>1</v>
      </c>
      <c r="D3416">
        <v>1</v>
      </c>
      <c r="E3416" t="s">
        <v>8290</v>
      </c>
      <c r="F3416" t="s">
        <v>8290</v>
      </c>
      <c r="G3416" t="s">
        <v>8290</v>
      </c>
      <c r="H3416">
        <v>44</v>
      </c>
    </row>
    <row r="3417" spans="1:8" x14ac:dyDescent="0.25">
      <c r="A3417" t="s">
        <v>3786</v>
      </c>
      <c r="B3417">
        <v>1</v>
      </c>
      <c r="C3417">
        <v>1</v>
      </c>
      <c r="D3417">
        <v>1</v>
      </c>
      <c r="E3417" t="s">
        <v>8291</v>
      </c>
      <c r="F3417" t="s">
        <v>8291</v>
      </c>
      <c r="G3417" t="s">
        <v>8291</v>
      </c>
      <c r="H3417">
        <v>12</v>
      </c>
    </row>
    <row r="3418" spans="1:8" x14ac:dyDescent="0.25">
      <c r="A3418" t="s">
        <v>2196</v>
      </c>
      <c r="B3418">
        <v>1</v>
      </c>
      <c r="C3418">
        <v>1</v>
      </c>
      <c r="D3418">
        <v>1</v>
      </c>
      <c r="E3418" t="s">
        <v>8292</v>
      </c>
      <c r="F3418" t="s">
        <v>8292</v>
      </c>
      <c r="G3418" t="s">
        <v>8292</v>
      </c>
      <c r="H3418">
        <v>163</v>
      </c>
    </row>
    <row r="3419" spans="1:8" x14ac:dyDescent="0.25">
      <c r="A3419" t="s">
        <v>3617</v>
      </c>
      <c r="B3419">
        <v>3</v>
      </c>
      <c r="C3419">
        <v>3</v>
      </c>
      <c r="D3419">
        <v>3</v>
      </c>
      <c r="E3419" t="s">
        <v>8293</v>
      </c>
      <c r="F3419" t="s">
        <v>8293</v>
      </c>
      <c r="G3419" t="s">
        <v>4256</v>
      </c>
      <c r="H3419">
        <v>14</v>
      </c>
    </row>
    <row r="3420" spans="1:8" x14ac:dyDescent="0.25">
      <c r="A3420" t="s">
        <v>8294</v>
      </c>
      <c r="B3420">
        <v>0</v>
      </c>
      <c r="C3420">
        <v>0</v>
      </c>
      <c r="D3420">
        <v>0</v>
      </c>
      <c r="G3420" t="s">
        <v>4256</v>
      </c>
      <c r="H3420">
        <v>1</v>
      </c>
    </row>
    <row r="3421" spans="1:8" x14ac:dyDescent="0.25">
      <c r="A3421" t="s">
        <v>8295</v>
      </c>
      <c r="B3421">
        <v>0</v>
      </c>
      <c r="C3421">
        <v>0</v>
      </c>
      <c r="D3421">
        <v>0</v>
      </c>
      <c r="G3421" t="s">
        <v>4256</v>
      </c>
      <c r="H3421">
        <v>1</v>
      </c>
    </row>
    <row r="3422" spans="1:8" x14ac:dyDescent="0.25">
      <c r="A3422" t="s">
        <v>3575</v>
      </c>
      <c r="B3422">
        <v>1</v>
      </c>
      <c r="C3422">
        <v>1</v>
      </c>
      <c r="D3422">
        <v>1</v>
      </c>
      <c r="E3422" t="s">
        <v>8296</v>
      </c>
      <c r="F3422" t="s">
        <v>8296</v>
      </c>
      <c r="G3422" t="s">
        <v>8296</v>
      </c>
      <c r="H3422">
        <v>7</v>
      </c>
    </row>
    <row r="3423" spans="1:8" x14ac:dyDescent="0.25">
      <c r="A3423" t="s">
        <v>2246</v>
      </c>
      <c r="B3423">
        <v>1</v>
      </c>
      <c r="C3423">
        <v>1</v>
      </c>
      <c r="D3423">
        <v>1</v>
      </c>
      <c r="E3423" t="s">
        <v>8297</v>
      </c>
      <c r="F3423" t="s">
        <v>8297</v>
      </c>
      <c r="G3423" t="s">
        <v>8297</v>
      </c>
      <c r="H3423">
        <v>33</v>
      </c>
    </row>
    <row r="3424" spans="1:8" x14ac:dyDescent="0.25">
      <c r="A3424" t="s">
        <v>2086</v>
      </c>
      <c r="B3424">
        <v>2</v>
      </c>
      <c r="C3424">
        <v>2</v>
      </c>
      <c r="D3424">
        <v>2</v>
      </c>
      <c r="E3424" t="s">
        <v>8298</v>
      </c>
      <c r="F3424" t="s">
        <v>8298</v>
      </c>
      <c r="G3424" t="s">
        <v>4256</v>
      </c>
      <c r="H3424">
        <v>37</v>
      </c>
    </row>
    <row r="3425" spans="1:8" x14ac:dyDescent="0.25">
      <c r="A3425" t="s">
        <v>2699</v>
      </c>
      <c r="B3425">
        <v>2</v>
      </c>
      <c r="C3425">
        <v>2</v>
      </c>
      <c r="D3425">
        <v>2</v>
      </c>
      <c r="E3425" t="s">
        <v>8299</v>
      </c>
      <c r="F3425" t="s">
        <v>8299</v>
      </c>
      <c r="G3425" t="s">
        <v>4256</v>
      </c>
      <c r="H3425">
        <v>13</v>
      </c>
    </row>
    <row r="3426" spans="1:8" x14ac:dyDescent="0.25">
      <c r="A3426" t="s">
        <v>2880</v>
      </c>
      <c r="B3426">
        <v>1</v>
      </c>
      <c r="C3426">
        <v>1</v>
      </c>
      <c r="D3426">
        <v>1</v>
      </c>
      <c r="E3426" t="s">
        <v>8300</v>
      </c>
      <c r="F3426" t="s">
        <v>8300</v>
      </c>
      <c r="G3426" t="s">
        <v>8300</v>
      </c>
      <c r="H3426">
        <v>22</v>
      </c>
    </row>
    <row r="3427" spans="1:8" x14ac:dyDescent="0.25">
      <c r="A3427" t="s">
        <v>2772</v>
      </c>
      <c r="B3427">
        <v>1</v>
      </c>
      <c r="C3427">
        <v>1</v>
      </c>
      <c r="D3427">
        <v>1</v>
      </c>
      <c r="E3427" t="s">
        <v>8301</v>
      </c>
      <c r="F3427" t="s">
        <v>8301</v>
      </c>
      <c r="G3427" t="s">
        <v>8301</v>
      </c>
      <c r="H3427">
        <v>15</v>
      </c>
    </row>
    <row r="3428" spans="1:8" x14ac:dyDescent="0.25">
      <c r="A3428" t="s">
        <v>4044</v>
      </c>
      <c r="B3428">
        <v>1</v>
      </c>
      <c r="C3428">
        <v>1</v>
      </c>
      <c r="D3428">
        <v>1</v>
      </c>
      <c r="E3428" t="s">
        <v>8302</v>
      </c>
      <c r="F3428" t="s">
        <v>8302</v>
      </c>
      <c r="G3428" t="s">
        <v>8302</v>
      </c>
      <c r="H3428">
        <v>1</v>
      </c>
    </row>
    <row r="3429" spans="1:8" x14ac:dyDescent="0.25">
      <c r="A3429" t="s">
        <v>2663</v>
      </c>
      <c r="B3429">
        <v>1</v>
      </c>
      <c r="C3429">
        <v>1</v>
      </c>
      <c r="D3429">
        <v>1</v>
      </c>
      <c r="E3429" t="s">
        <v>8301</v>
      </c>
      <c r="F3429" t="s">
        <v>8301</v>
      </c>
      <c r="G3429" t="s">
        <v>8301</v>
      </c>
      <c r="H3429">
        <v>12</v>
      </c>
    </row>
    <row r="3430" spans="1:8" x14ac:dyDescent="0.25">
      <c r="A3430" t="s">
        <v>3698</v>
      </c>
      <c r="B3430">
        <v>1</v>
      </c>
      <c r="C3430">
        <v>1</v>
      </c>
      <c r="D3430">
        <v>1</v>
      </c>
      <c r="E3430" t="s">
        <v>8303</v>
      </c>
      <c r="F3430" t="s">
        <v>8303</v>
      </c>
      <c r="G3430" t="s">
        <v>8303</v>
      </c>
      <c r="H3430">
        <v>10</v>
      </c>
    </row>
    <row r="3431" spans="1:8" x14ac:dyDescent="0.25">
      <c r="A3431" t="s">
        <v>2256</v>
      </c>
      <c r="B3431">
        <v>1</v>
      </c>
      <c r="C3431">
        <v>1</v>
      </c>
      <c r="D3431">
        <v>1</v>
      </c>
      <c r="E3431" t="s">
        <v>8304</v>
      </c>
      <c r="F3431" t="s">
        <v>8304</v>
      </c>
      <c r="G3431" t="s">
        <v>8304</v>
      </c>
      <c r="H3431">
        <v>40</v>
      </c>
    </row>
    <row r="3432" spans="1:8" x14ac:dyDescent="0.25">
      <c r="A3432" t="s">
        <v>2311</v>
      </c>
      <c r="B3432">
        <v>2</v>
      </c>
      <c r="C3432">
        <v>2</v>
      </c>
      <c r="D3432">
        <v>2</v>
      </c>
      <c r="E3432" t="s">
        <v>8305</v>
      </c>
      <c r="F3432" t="s">
        <v>8305</v>
      </c>
      <c r="G3432" t="s">
        <v>4256</v>
      </c>
      <c r="H3432">
        <v>44</v>
      </c>
    </row>
    <row r="3433" spans="1:8" x14ac:dyDescent="0.25">
      <c r="A3433" t="s">
        <v>3292</v>
      </c>
      <c r="B3433">
        <v>1</v>
      </c>
      <c r="C3433">
        <v>1</v>
      </c>
      <c r="D3433">
        <v>1</v>
      </c>
      <c r="E3433" t="s">
        <v>8306</v>
      </c>
      <c r="F3433" t="s">
        <v>8306</v>
      </c>
      <c r="G3433" t="s">
        <v>8306</v>
      </c>
      <c r="H3433">
        <v>11</v>
      </c>
    </row>
    <row r="3434" spans="1:8" x14ac:dyDescent="0.25">
      <c r="A3434" t="s">
        <v>2954</v>
      </c>
      <c r="B3434">
        <v>1</v>
      </c>
      <c r="C3434">
        <v>1</v>
      </c>
      <c r="D3434">
        <v>1</v>
      </c>
      <c r="E3434" t="s">
        <v>8307</v>
      </c>
      <c r="F3434" t="s">
        <v>8308</v>
      </c>
      <c r="G3434" t="s">
        <v>8308</v>
      </c>
      <c r="H3434">
        <v>20</v>
      </c>
    </row>
    <row r="3435" spans="1:8" x14ac:dyDescent="0.25">
      <c r="A3435" t="s">
        <v>3701</v>
      </c>
      <c r="B3435">
        <v>1</v>
      </c>
      <c r="C3435">
        <v>1</v>
      </c>
      <c r="D3435">
        <v>1</v>
      </c>
      <c r="E3435" t="s">
        <v>8309</v>
      </c>
      <c r="F3435" t="s">
        <v>8310</v>
      </c>
      <c r="G3435" t="s">
        <v>8310</v>
      </c>
      <c r="H3435">
        <v>7</v>
      </c>
    </row>
    <row r="3436" spans="1:8" x14ac:dyDescent="0.25">
      <c r="A3436" t="s">
        <v>3417</v>
      </c>
      <c r="B3436">
        <v>1</v>
      </c>
      <c r="C3436">
        <v>1</v>
      </c>
      <c r="D3436">
        <v>1</v>
      </c>
      <c r="E3436" t="s">
        <v>8311</v>
      </c>
      <c r="F3436" t="s">
        <v>8311</v>
      </c>
      <c r="G3436" t="s">
        <v>8311</v>
      </c>
      <c r="H3436">
        <v>10</v>
      </c>
    </row>
    <row r="3437" spans="1:8" x14ac:dyDescent="0.25">
      <c r="A3437" t="s">
        <v>3599</v>
      </c>
      <c r="B3437">
        <v>1</v>
      </c>
      <c r="C3437">
        <v>1</v>
      </c>
      <c r="D3437">
        <v>1</v>
      </c>
      <c r="E3437" t="s">
        <v>8312</v>
      </c>
      <c r="F3437" t="s">
        <v>8312</v>
      </c>
      <c r="G3437" t="s">
        <v>8312</v>
      </c>
      <c r="H3437">
        <v>7</v>
      </c>
    </row>
    <row r="3438" spans="1:8" x14ac:dyDescent="0.25">
      <c r="A3438" t="s">
        <v>3459</v>
      </c>
      <c r="B3438">
        <v>1</v>
      </c>
      <c r="C3438">
        <v>1</v>
      </c>
      <c r="D3438">
        <v>1</v>
      </c>
      <c r="E3438" t="s">
        <v>8313</v>
      </c>
      <c r="F3438" t="s">
        <v>8313</v>
      </c>
      <c r="G3438" t="s">
        <v>8313</v>
      </c>
      <c r="H3438">
        <v>7</v>
      </c>
    </row>
    <row r="3439" spans="1:8" x14ac:dyDescent="0.25">
      <c r="A3439" t="s">
        <v>3944</v>
      </c>
      <c r="B3439">
        <v>1</v>
      </c>
      <c r="C3439">
        <v>1</v>
      </c>
      <c r="D3439">
        <v>1</v>
      </c>
      <c r="E3439" t="s">
        <v>8314</v>
      </c>
      <c r="F3439" t="s">
        <v>8314</v>
      </c>
      <c r="G3439" t="s">
        <v>8314</v>
      </c>
      <c r="H3439">
        <v>1</v>
      </c>
    </row>
    <row r="3440" spans="1:8" x14ac:dyDescent="0.25">
      <c r="A3440" t="s">
        <v>3772</v>
      </c>
      <c r="B3440">
        <v>1</v>
      </c>
      <c r="C3440">
        <v>1</v>
      </c>
      <c r="D3440">
        <v>1</v>
      </c>
      <c r="E3440" t="s">
        <v>8315</v>
      </c>
      <c r="F3440" t="s">
        <v>8315</v>
      </c>
      <c r="G3440" t="s">
        <v>8315</v>
      </c>
      <c r="H3440">
        <v>2</v>
      </c>
    </row>
    <row r="3441" spans="1:8" x14ac:dyDescent="0.25">
      <c r="A3441" t="s">
        <v>1963</v>
      </c>
      <c r="B3441">
        <v>1</v>
      </c>
      <c r="C3441">
        <v>1</v>
      </c>
      <c r="D3441">
        <v>1</v>
      </c>
      <c r="E3441" t="s">
        <v>8316</v>
      </c>
      <c r="F3441" t="s">
        <v>8316</v>
      </c>
      <c r="G3441" t="s">
        <v>8316</v>
      </c>
      <c r="H3441">
        <v>136</v>
      </c>
    </row>
    <row r="3442" spans="1:8" x14ac:dyDescent="0.25">
      <c r="A3442" t="s">
        <v>2009</v>
      </c>
      <c r="B3442">
        <v>1</v>
      </c>
      <c r="C3442">
        <v>1</v>
      </c>
      <c r="D3442">
        <v>1</v>
      </c>
      <c r="E3442" t="s">
        <v>8317</v>
      </c>
      <c r="F3442" t="s">
        <v>8317</v>
      </c>
      <c r="G3442" t="s">
        <v>8317</v>
      </c>
      <c r="H3442">
        <v>134</v>
      </c>
    </row>
    <row r="3443" spans="1:8" x14ac:dyDescent="0.25">
      <c r="A3443" t="s">
        <v>2040</v>
      </c>
      <c r="B3443">
        <v>1</v>
      </c>
      <c r="C3443">
        <v>1</v>
      </c>
      <c r="D3443">
        <v>1</v>
      </c>
      <c r="E3443" t="s">
        <v>8318</v>
      </c>
      <c r="F3443" t="s">
        <v>8318</v>
      </c>
      <c r="G3443" t="s">
        <v>8318</v>
      </c>
      <c r="H3443">
        <v>144</v>
      </c>
    </row>
    <row r="3444" spans="1:8" x14ac:dyDescent="0.25">
      <c r="A3444" t="s">
        <v>2250</v>
      </c>
      <c r="B3444">
        <v>2</v>
      </c>
      <c r="C3444">
        <v>2</v>
      </c>
      <c r="D3444">
        <v>2</v>
      </c>
      <c r="E3444" t="s">
        <v>8319</v>
      </c>
      <c r="F3444" t="s">
        <v>8319</v>
      </c>
      <c r="G3444" t="s">
        <v>4256</v>
      </c>
      <c r="H3444">
        <v>97</v>
      </c>
    </row>
    <row r="3445" spans="1:8" x14ac:dyDescent="0.25">
      <c r="A3445" t="s">
        <v>1834</v>
      </c>
      <c r="B3445">
        <v>3</v>
      </c>
      <c r="C3445">
        <v>3</v>
      </c>
      <c r="D3445">
        <v>3</v>
      </c>
      <c r="E3445" t="s">
        <v>8320</v>
      </c>
      <c r="F3445" t="s">
        <v>8320</v>
      </c>
      <c r="G3445" t="s">
        <v>4256</v>
      </c>
      <c r="H3445">
        <v>88</v>
      </c>
    </row>
    <row r="3446" spans="1:8" x14ac:dyDescent="0.25">
      <c r="A3446" t="s">
        <v>1352</v>
      </c>
      <c r="B3446">
        <v>1</v>
      </c>
      <c r="C3446">
        <v>1</v>
      </c>
      <c r="D3446">
        <v>1</v>
      </c>
      <c r="E3446" t="s">
        <v>8321</v>
      </c>
      <c r="F3446" t="s">
        <v>8321</v>
      </c>
      <c r="G3446" t="s">
        <v>8321</v>
      </c>
      <c r="H3446">
        <v>124</v>
      </c>
    </row>
    <row r="3447" spans="1:8" x14ac:dyDescent="0.25">
      <c r="A3447" t="s">
        <v>1275</v>
      </c>
      <c r="B3447">
        <v>1</v>
      </c>
      <c r="C3447">
        <v>1</v>
      </c>
      <c r="D3447">
        <v>1</v>
      </c>
      <c r="E3447" t="s">
        <v>8322</v>
      </c>
      <c r="F3447" t="s">
        <v>8322</v>
      </c>
      <c r="G3447" t="s">
        <v>8322</v>
      </c>
      <c r="H3447">
        <v>174</v>
      </c>
    </row>
    <row r="3448" spans="1:8" x14ac:dyDescent="0.25">
      <c r="A3448" t="s">
        <v>3643</v>
      </c>
      <c r="B3448">
        <v>1</v>
      </c>
      <c r="C3448">
        <v>1</v>
      </c>
      <c r="D3448">
        <v>1</v>
      </c>
      <c r="E3448" t="s">
        <v>8323</v>
      </c>
      <c r="F3448" t="s">
        <v>8323</v>
      </c>
      <c r="G3448" t="s">
        <v>8323</v>
      </c>
      <c r="H3448">
        <v>3</v>
      </c>
    </row>
    <row r="3449" spans="1:8" x14ac:dyDescent="0.25">
      <c r="A3449" t="s">
        <v>3880</v>
      </c>
      <c r="B3449">
        <v>1</v>
      </c>
      <c r="C3449">
        <v>1</v>
      </c>
      <c r="D3449">
        <v>1</v>
      </c>
      <c r="E3449" t="s">
        <v>8321</v>
      </c>
      <c r="F3449" t="s">
        <v>8321</v>
      </c>
      <c r="G3449" t="s">
        <v>8321</v>
      </c>
      <c r="H3449">
        <v>1</v>
      </c>
    </row>
    <row r="3450" spans="1:8" x14ac:dyDescent="0.25">
      <c r="A3450" t="s">
        <v>1939</v>
      </c>
      <c r="B3450">
        <v>2</v>
      </c>
      <c r="C3450">
        <v>2</v>
      </c>
      <c r="D3450">
        <v>2</v>
      </c>
      <c r="E3450" t="s">
        <v>8324</v>
      </c>
      <c r="F3450" t="s">
        <v>8324</v>
      </c>
      <c r="G3450" t="s">
        <v>4256</v>
      </c>
      <c r="H3450">
        <v>91</v>
      </c>
    </row>
    <row r="3451" spans="1:8" x14ac:dyDescent="0.25">
      <c r="A3451" t="s">
        <v>1712</v>
      </c>
      <c r="B3451">
        <v>2</v>
      </c>
      <c r="C3451">
        <v>2</v>
      </c>
      <c r="D3451">
        <v>2</v>
      </c>
      <c r="E3451" t="s">
        <v>8325</v>
      </c>
      <c r="F3451" t="s">
        <v>8325</v>
      </c>
      <c r="G3451" t="s">
        <v>4256</v>
      </c>
      <c r="H3451">
        <v>72</v>
      </c>
    </row>
    <row r="3452" spans="1:8" x14ac:dyDescent="0.25">
      <c r="A3452" t="s">
        <v>1282</v>
      </c>
      <c r="B3452">
        <v>2</v>
      </c>
      <c r="C3452">
        <v>2</v>
      </c>
      <c r="D3452">
        <v>2</v>
      </c>
      <c r="E3452" t="s">
        <v>8326</v>
      </c>
      <c r="F3452" t="s">
        <v>8326</v>
      </c>
      <c r="G3452" t="s">
        <v>4256</v>
      </c>
      <c r="H3452">
        <v>138</v>
      </c>
    </row>
    <row r="3453" spans="1:8" x14ac:dyDescent="0.25">
      <c r="A3453" t="s">
        <v>3732</v>
      </c>
      <c r="B3453">
        <v>1</v>
      </c>
      <c r="C3453">
        <v>1</v>
      </c>
      <c r="D3453">
        <v>1</v>
      </c>
      <c r="E3453" t="s">
        <v>8327</v>
      </c>
      <c r="F3453" t="s">
        <v>8327</v>
      </c>
      <c r="G3453" t="s">
        <v>8327</v>
      </c>
      <c r="H3453">
        <v>2</v>
      </c>
    </row>
    <row r="3454" spans="1:8" x14ac:dyDescent="0.25">
      <c r="A3454" t="s">
        <v>3872</v>
      </c>
      <c r="B3454">
        <v>1</v>
      </c>
      <c r="C3454">
        <v>1</v>
      </c>
      <c r="D3454">
        <v>1</v>
      </c>
      <c r="E3454" t="s">
        <v>8328</v>
      </c>
      <c r="F3454" t="s">
        <v>8328</v>
      </c>
      <c r="G3454" t="s">
        <v>8328</v>
      </c>
      <c r="H3454">
        <v>1</v>
      </c>
    </row>
    <row r="3455" spans="1:8" x14ac:dyDescent="0.25">
      <c r="A3455" t="s">
        <v>3873</v>
      </c>
      <c r="B3455">
        <v>1</v>
      </c>
      <c r="C3455">
        <v>1</v>
      </c>
      <c r="D3455">
        <v>1</v>
      </c>
      <c r="E3455" t="s">
        <v>8329</v>
      </c>
      <c r="F3455" t="s">
        <v>8329</v>
      </c>
      <c r="G3455" t="s">
        <v>8329</v>
      </c>
      <c r="H3455">
        <v>1</v>
      </c>
    </row>
    <row r="3456" spans="1:8" x14ac:dyDescent="0.25">
      <c r="A3456" t="s">
        <v>1992</v>
      </c>
      <c r="B3456">
        <v>1</v>
      </c>
      <c r="C3456">
        <v>1</v>
      </c>
      <c r="D3456">
        <v>1</v>
      </c>
      <c r="E3456" t="s">
        <v>8330</v>
      </c>
      <c r="F3456" t="s">
        <v>8330</v>
      </c>
      <c r="G3456" t="s">
        <v>8330</v>
      </c>
      <c r="H3456">
        <v>72</v>
      </c>
    </row>
    <row r="3457" spans="1:8" x14ac:dyDescent="0.25">
      <c r="A3457" t="s">
        <v>2181</v>
      </c>
      <c r="B3457">
        <v>3</v>
      </c>
      <c r="C3457">
        <v>3</v>
      </c>
      <c r="D3457">
        <v>3</v>
      </c>
      <c r="E3457" t="s">
        <v>8331</v>
      </c>
      <c r="F3457" t="s">
        <v>8331</v>
      </c>
      <c r="G3457" t="s">
        <v>4256</v>
      </c>
      <c r="H3457">
        <v>55</v>
      </c>
    </row>
    <row r="3458" spans="1:8" x14ac:dyDescent="0.25">
      <c r="A3458" t="s">
        <v>1680</v>
      </c>
      <c r="B3458">
        <v>3</v>
      </c>
      <c r="C3458">
        <v>3</v>
      </c>
      <c r="D3458">
        <v>3</v>
      </c>
      <c r="E3458" t="s">
        <v>8332</v>
      </c>
      <c r="F3458" t="s">
        <v>8332</v>
      </c>
      <c r="G3458" t="s">
        <v>4256</v>
      </c>
      <c r="H3458">
        <v>97</v>
      </c>
    </row>
    <row r="3459" spans="1:8" x14ac:dyDescent="0.25">
      <c r="A3459" t="s">
        <v>3741</v>
      </c>
      <c r="B3459">
        <v>1</v>
      </c>
      <c r="C3459">
        <v>1</v>
      </c>
      <c r="D3459">
        <v>1</v>
      </c>
      <c r="E3459" t="s">
        <v>8330</v>
      </c>
      <c r="F3459" t="s">
        <v>8330</v>
      </c>
      <c r="G3459" t="s">
        <v>8330</v>
      </c>
      <c r="H3459">
        <v>1</v>
      </c>
    </row>
    <row r="3460" spans="1:8" x14ac:dyDescent="0.25">
      <c r="A3460" t="s">
        <v>3874</v>
      </c>
      <c r="B3460">
        <v>1</v>
      </c>
      <c r="C3460">
        <v>1</v>
      </c>
      <c r="D3460">
        <v>1</v>
      </c>
      <c r="E3460" t="s">
        <v>8333</v>
      </c>
      <c r="F3460" t="s">
        <v>8333</v>
      </c>
      <c r="G3460" t="s">
        <v>8333</v>
      </c>
      <c r="H3460">
        <v>1</v>
      </c>
    </row>
    <row r="3461" spans="1:8" x14ac:dyDescent="0.25">
      <c r="A3461" t="s">
        <v>1121</v>
      </c>
      <c r="B3461">
        <v>1</v>
      </c>
      <c r="C3461">
        <v>1</v>
      </c>
      <c r="D3461">
        <v>1</v>
      </c>
      <c r="E3461" t="s">
        <v>8334</v>
      </c>
      <c r="F3461" t="s">
        <v>8334</v>
      </c>
      <c r="G3461" t="s">
        <v>8334</v>
      </c>
      <c r="H3461">
        <v>149</v>
      </c>
    </row>
    <row r="3462" spans="1:8" x14ac:dyDescent="0.25">
      <c r="A3462" t="s">
        <v>1749</v>
      </c>
      <c r="B3462">
        <v>1</v>
      </c>
      <c r="C3462">
        <v>1</v>
      </c>
      <c r="D3462">
        <v>1</v>
      </c>
      <c r="E3462" t="s">
        <v>8335</v>
      </c>
      <c r="F3462" t="s">
        <v>8335</v>
      </c>
      <c r="G3462" t="s">
        <v>8335</v>
      </c>
      <c r="H3462">
        <v>165</v>
      </c>
    </row>
    <row r="3463" spans="1:8" x14ac:dyDescent="0.25">
      <c r="A3463" t="s">
        <v>1611</v>
      </c>
      <c r="B3463">
        <v>1</v>
      </c>
      <c r="C3463">
        <v>1</v>
      </c>
      <c r="D3463">
        <v>1</v>
      </c>
      <c r="E3463" t="s">
        <v>8336</v>
      </c>
      <c r="F3463" t="s">
        <v>8336</v>
      </c>
      <c r="G3463" t="s">
        <v>8336</v>
      </c>
      <c r="H3463">
        <v>173</v>
      </c>
    </row>
    <row r="3464" spans="1:8" x14ac:dyDescent="0.25">
      <c r="A3464" t="s">
        <v>2714</v>
      </c>
      <c r="B3464">
        <v>1</v>
      </c>
      <c r="C3464">
        <v>1</v>
      </c>
      <c r="D3464">
        <v>1</v>
      </c>
      <c r="E3464" t="s">
        <v>8337</v>
      </c>
      <c r="F3464" t="s">
        <v>8337</v>
      </c>
      <c r="G3464" t="s">
        <v>8337</v>
      </c>
      <c r="H3464">
        <v>68</v>
      </c>
    </row>
    <row r="3465" spans="1:8" x14ac:dyDescent="0.25">
      <c r="A3465" t="s">
        <v>3049</v>
      </c>
      <c r="B3465">
        <v>1</v>
      </c>
      <c r="C3465">
        <v>1</v>
      </c>
      <c r="D3465">
        <v>1</v>
      </c>
      <c r="E3465" t="s">
        <v>8335</v>
      </c>
      <c r="F3465" t="s">
        <v>8335</v>
      </c>
      <c r="G3465" t="s">
        <v>8335</v>
      </c>
      <c r="H3465">
        <v>29</v>
      </c>
    </row>
    <row r="3466" spans="1:8" x14ac:dyDescent="0.25">
      <c r="A3466" t="s">
        <v>1365</v>
      </c>
      <c r="B3466">
        <v>1</v>
      </c>
      <c r="C3466">
        <v>1</v>
      </c>
      <c r="D3466">
        <v>1</v>
      </c>
      <c r="E3466" t="s">
        <v>8338</v>
      </c>
      <c r="F3466" t="s">
        <v>8338</v>
      </c>
      <c r="G3466" t="s">
        <v>8338</v>
      </c>
      <c r="H3466">
        <v>179</v>
      </c>
    </row>
    <row r="3467" spans="1:8" x14ac:dyDescent="0.25">
      <c r="A3467" t="s">
        <v>2789</v>
      </c>
      <c r="B3467">
        <v>1</v>
      </c>
      <c r="C3467">
        <v>1</v>
      </c>
      <c r="D3467">
        <v>1</v>
      </c>
      <c r="E3467" t="s">
        <v>8339</v>
      </c>
      <c r="F3467" t="s">
        <v>8339</v>
      </c>
      <c r="G3467" t="s">
        <v>8339</v>
      </c>
      <c r="H3467">
        <v>40</v>
      </c>
    </row>
    <row r="3468" spans="1:8" x14ac:dyDescent="0.25">
      <c r="A3468" t="s">
        <v>3145</v>
      </c>
      <c r="B3468">
        <v>1</v>
      </c>
      <c r="C3468">
        <v>1</v>
      </c>
      <c r="D3468">
        <v>1</v>
      </c>
      <c r="E3468" t="s">
        <v>8338</v>
      </c>
      <c r="F3468" t="s">
        <v>8338</v>
      </c>
      <c r="G3468" t="s">
        <v>8338</v>
      </c>
      <c r="H3468">
        <v>21</v>
      </c>
    </row>
    <row r="3469" spans="1:8" x14ac:dyDescent="0.25">
      <c r="A3469" t="s">
        <v>4045</v>
      </c>
      <c r="B3469">
        <v>1</v>
      </c>
      <c r="C3469">
        <v>1</v>
      </c>
      <c r="D3469">
        <v>1</v>
      </c>
      <c r="E3469" t="s">
        <v>8340</v>
      </c>
      <c r="F3469" t="s">
        <v>8340</v>
      </c>
      <c r="G3469" t="s">
        <v>8340</v>
      </c>
      <c r="H3469">
        <v>2</v>
      </c>
    </row>
    <row r="3470" spans="1:8" x14ac:dyDescent="0.25">
      <c r="A3470" t="s">
        <v>8341</v>
      </c>
      <c r="B3470">
        <v>0</v>
      </c>
      <c r="C3470">
        <v>0</v>
      </c>
      <c r="D3470">
        <v>0</v>
      </c>
      <c r="G3470" t="s">
        <v>4256</v>
      </c>
      <c r="H3470">
        <v>1</v>
      </c>
    </row>
    <row r="3471" spans="1:8" x14ac:dyDescent="0.25">
      <c r="A3471" t="s">
        <v>2872</v>
      </c>
      <c r="B3471">
        <v>1</v>
      </c>
      <c r="C3471">
        <v>1</v>
      </c>
      <c r="D3471">
        <v>1</v>
      </c>
      <c r="E3471" t="s">
        <v>8342</v>
      </c>
      <c r="F3471" t="s">
        <v>8342</v>
      </c>
      <c r="G3471" t="s">
        <v>8342</v>
      </c>
      <c r="H3471">
        <v>14</v>
      </c>
    </row>
    <row r="3472" spans="1:8" x14ac:dyDescent="0.25">
      <c r="A3472" t="s">
        <v>3703</v>
      </c>
      <c r="B3472">
        <v>1</v>
      </c>
      <c r="C3472">
        <v>1</v>
      </c>
      <c r="D3472">
        <v>1</v>
      </c>
      <c r="E3472" t="s">
        <v>8343</v>
      </c>
      <c r="F3472" t="s">
        <v>8343</v>
      </c>
      <c r="G3472" t="s">
        <v>8343</v>
      </c>
      <c r="H3472">
        <v>4</v>
      </c>
    </row>
    <row r="3473" spans="1:8" x14ac:dyDescent="0.25">
      <c r="A3473" t="s">
        <v>332</v>
      </c>
      <c r="B3473">
        <v>1</v>
      </c>
      <c r="C3473">
        <v>1</v>
      </c>
      <c r="D3473">
        <v>1</v>
      </c>
      <c r="E3473" t="s">
        <v>8344</v>
      </c>
      <c r="F3473" t="s">
        <v>8344</v>
      </c>
      <c r="G3473" t="s">
        <v>8344</v>
      </c>
      <c r="H3473">
        <v>285</v>
      </c>
    </row>
    <row r="3474" spans="1:8" x14ac:dyDescent="0.25">
      <c r="A3474" t="s">
        <v>770</v>
      </c>
      <c r="B3474">
        <v>1</v>
      </c>
      <c r="C3474">
        <v>1</v>
      </c>
      <c r="D3474">
        <v>1</v>
      </c>
      <c r="E3474" t="s">
        <v>8345</v>
      </c>
      <c r="F3474" t="s">
        <v>8345</v>
      </c>
      <c r="G3474" t="s">
        <v>8345</v>
      </c>
      <c r="H3474">
        <v>332</v>
      </c>
    </row>
    <row r="3475" spans="1:8" x14ac:dyDescent="0.25">
      <c r="A3475" t="s">
        <v>3310</v>
      </c>
      <c r="B3475">
        <v>2</v>
      </c>
      <c r="C3475">
        <v>2</v>
      </c>
      <c r="D3475">
        <v>2</v>
      </c>
      <c r="E3475" t="s">
        <v>8346</v>
      </c>
      <c r="F3475" t="s">
        <v>8346</v>
      </c>
      <c r="G3475" t="s">
        <v>4256</v>
      </c>
      <c r="H3475">
        <v>16</v>
      </c>
    </row>
    <row r="3476" spans="1:8" x14ac:dyDescent="0.25">
      <c r="A3476" t="s">
        <v>1417</v>
      </c>
      <c r="B3476">
        <v>1</v>
      </c>
      <c r="C3476">
        <v>1</v>
      </c>
      <c r="D3476">
        <v>1</v>
      </c>
      <c r="E3476" t="s">
        <v>8347</v>
      </c>
      <c r="F3476" t="s">
        <v>8348</v>
      </c>
      <c r="G3476" t="s">
        <v>8348</v>
      </c>
      <c r="H3476">
        <v>231</v>
      </c>
    </row>
    <row r="3477" spans="1:8" x14ac:dyDescent="0.25">
      <c r="A3477" t="s">
        <v>2065</v>
      </c>
      <c r="B3477">
        <v>2</v>
      </c>
      <c r="C3477">
        <v>2</v>
      </c>
      <c r="D3477">
        <v>2</v>
      </c>
      <c r="E3477" t="s">
        <v>8349</v>
      </c>
      <c r="F3477" t="s">
        <v>8350</v>
      </c>
      <c r="G3477" t="s">
        <v>4256</v>
      </c>
      <c r="H3477">
        <v>116</v>
      </c>
    </row>
    <row r="3478" spans="1:8" x14ac:dyDescent="0.25">
      <c r="A3478" t="s">
        <v>780</v>
      </c>
      <c r="B3478">
        <v>1</v>
      </c>
      <c r="C3478">
        <v>1</v>
      </c>
      <c r="D3478">
        <v>1</v>
      </c>
      <c r="E3478" t="s">
        <v>8351</v>
      </c>
      <c r="F3478" t="s">
        <v>8351</v>
      </c>
      <c r="G3478" t="s">
        <v>8351</v>
      </c>
      <c r="H3478">
        <v>423</v>
      </c>
    </row>
    <row r="3479" spans="1:8" x14ac:dyDescent="0.25">
      <c r="A3479" t="s">
        <v>2374</v>
      </c>
      <c r="B3479">
        <v>1</v>
      </c>
      <c r="C3479">
        <v>1</v>
      </c>
      <c r="D3479">
        <v>1</v>
      </c>
      <c r="E3479" t="s">
        <v>8352</v>
      </c>
      <c r="F3479" t="s">
        <v>8353</v>
      </c>
      <c r="G3479" t="s">
        <v>8353</v>
      </c>
      <c r="H3479">
        <v>92</v>
      </c>
    </row>
    <row r="3480" spans="1:8" x14ac:dyDescent="0.25">
      <c r="A3480" t="s">
        <v>1197</v>
      </c>
      <c r="B3480">
        <v>1</v>
      </c>
      <c r="C3480">
        <v>1</v>
      </c>
      <c r="D3480">
        <v>1</v>
      </c>
      <c r="E3480" t="s">
        <v>8354</v>
      </c>
      <c r="F3480" t="s">
        <v>8355</v>
      </c>
      <c r="G3480" t="s">
        <v>8355</v>
      </c>
      <c r="H3480">
        <v>277</v>
      </c>
    </row>
    <row r="3481" spans="1:8" x14ac:dyDescent="0.25">
      <c r="A3481" t="s">
        <v>1879</v>
      </c>
      <c r="B3481">
        <v>1</v>
      </c>
      <c r="C3481">
        <v>1</v>
      </c>
      <c r="D3481">
        <v>1</v>
      </c>
      <c r="E3481" t="s">
        <v>8356</v>
      </c>
      <c r="F3481" t="s">
        <v>8357</v>
      </c>
      <c r="G3481" t="s">
        <v>8357</v>
      </c>
      <c r="H3481">
        <v>188</v>
      </c>
    </row>
    <row r="3482" spans="1:8" x14ac:dyDescent="0.25">
      <c r="A3482" t="s">
        <v>1926</v>
      </c>
      <c r="B3482">
        <v>1</v>
      </c>
      <c r="C3482">
        <v>1</v>
      </c>
      <c r="D3482">
        <v>1</v>
      </c>
      <c r="E3482" t="s">
        <v>8345</v>
      </c>
      <c r="F3482" t="s">
        <v>8345</v>
      </c>
      <c r="G3482" t="s">
        <v>8345</v>
      </c>
      <c r="H3482">
        <v>36</v>
      </c>
    </row>
    <row r="3483" spans="1:8" x14ac:dyDescent="0.25">
      <c r="A3483" t="s">
        <v>3947</v>
      </c>
      <c r="B3483">
        <v>1</v>
      </c>
      <c r="C3483">
        <v>1</v>
      </c>
      <c r="D3483">
        <v>1</v>
      </c>
      <c r="E3483" t="s">
        <v>8358</v>
      </c>
      <c r="F3483" t="s">
        <v>8358</v>
      </c>
      <c r="G3483" t="s">
        <v>8358</v>
      </c>
      <c r="H3483">
        <v>2</v>
      </c>
    </row>
    <row r="3484" spans="1:8" x14ac:dyDescent="0.25">
      <c r="A3484" t="s">
        <v>4002</v>
      </c>
      <c r="B3484">
        <v>1</v>
      </c>
      <c r="C3484">
        <v>1</v>
      </c>
      <c r="D3484">
        <v>1</v>
      </c>
      <c r="E3484" t="s">
        <v>8347</v>
      </c>
      <c r="F3484" t="s">
        <v>8348</v>
      </c>
      <c r="G3484" t="s">
        <v>8348</v>
      </c>
      <c r="H3484">
        <v>1</v>
      </c>
    </row>
    <row r="3485" spans="1:8" x14ac:dyDescent="0.25">
      <c r="A3485" t="s">
        <v>3948</v>
      </c>
      <c r="B3485">
        <v>1</v>
      </c>
      <c r="C3485">
        <v>1</v>
      </c>
      <c r="D3485">
        <v>1</v>
      </c>
      <c r="E3485" t="s">
        <v>8359</v>
      </c>
      <c r="F3485" t="s">
        <v>8360</v>
      </c>
      <c r="G3485" t="s">
        <v>8360</v>
      </c>
      <c r="H3485">
        <v>2</v>
      </c>
    </row>
    <row r="3486" spans="1:8" x14ac:dyDescent="0.25">
      <c r="A3486" t="s">
        <v>2542</v>
      </c>
      <c r="B3486">
        <v>1</v>
      </c>
      <c r="C3486">
        <v>1</v>
      </c>
      <c r="D3486">
        <v>1</v>
      </c>
      <c r="E3486" t="s">
        <v>8351</v>
      </c>
      <c r="F3486" t="s">
        <v>8351</v>
      </c>
      <c r="G3486" t="s">
        <v>8351</v>
      </c>
      <c r="H3486">
        <v>42</v>
      </c>
    </row>
    <row r="3487" spans="1:8" x14ac:dyDescent="0.25">
      <c r="A3487" t="s">
        <v>2685</v>
      </c>
      <c r="B3487">
        <v>1</v>
      </c>
      <c r="C3487">
        <v>1</v>
      </c>
      <c r="D3487">
        <v>1</v>
      </c>
      <c r="E3487" t="s">
        <v>8354</v>
      </c>
      <c r="F3487" t="s">
        <v>8355</v>
      </c>
      <c r="G3487" t="s">
        <v>8355</v>
      </c>
      <c r="H3487">
        <v>51</v>
      </c>
    </row>
    <row r="3488" spans="1:8" x14ac:dyDescent="0.25">
      <c r="A3488" t="s">
        <v>800</v>
      </c>
      <c r="B3488">
        <v>1</v>
      </c>
      <c r="C3488">
        <v>1</v>
      </c>
      <c r="D3488">
        <v>1</v>
      </c>
      <c r="E3488" t="s">
        <v>8361</v>
      </c>
      <c r="F3488" t="s">
        <v>8361</v>
      </c>
      <c r="G3488" t="s">
        <v>8361</v>
      </c>
      <c r="H3488">
        <v>344</v>
      </c>
    </row>
    <row r="3489" spans="1:8" x14ac:dyDescent="0.25">
      <c r="A3489" t="s">
        <v>1461</v>
      </c>
      <c r="B3489">
        <v>3</v>
      </c>
      <c r="C3489">
        <v>3</v>
      </c>
      <c r="D3489">
        <v>3</v>
      </c>
      <c r="E3489" t="s">
        <v>8362</v>
      </c>
      <c r="F3489" t="s">
        <v>8362</v>
      </c>
      <c r="G3489" t="s">
        <v>4256</v>
      </c>
      <c r="H3489">
        <v>123</v>
      </c>
    </row>
    <row r="3490" spans="1:8" x14ac:dyDescent="0.25">
      <c r="A3490" t="s">
        <v>2893</v>
      </c>
      <c r="B3490">
        <v>1</v>
      </c>
      <c r="C3490">
        <v>1</v>
      </c>
      <c r="D3490">
        <v>1</v>
      </c>
      <c r="E3490" t="s">
        <v>8363</v>
      </c>
      <c r="F3490" t="s">
        <v>8363</v>
      </c>
      <c r="G3490" t="s">
        <v>8363</v>
      </c>
      <c r="H3490">
        <v>16</v>
      </c>
    </row>
    <row r="3491" spans="1:8" x14ac:dyDescent="0.25">
      <c r="A3491" t="s">
        <v>1562</v>
      </c>
      <c r="B3491">
        <v>1</v>
      </c>
      <c r="C3491">
        <v>1</v>
      </c>
      <c r="D3491">
        <v>1</v>
      </c>
      <c r="E3491" t="s">
        <v>8364</v>
      </c>
      <c r="F3491" t="s">
        <v>8364</v>
      </c>
      <c r="G3491" t="s">
        <v>8364</v>
      </c>
      <c r="H3491">
        <v>131</v>
      </c>
    </row>
    <row r="3492" spans="1:8" x14ac:dyDescent="0.25">
      <c r="A3492" t="s">
        <v>8365</v>
      </c>
      <c r="B3492">
        <v>0</v>
      </c>
      <c r="C3492">
        <v>0</v>
      </c>
      <c r="D3492">
        <v>0</v>
      </c>
      <c r="G3492" t="s">
        <v>4256</v>
      </c>
      <c r="H3492">
        <v>1</v>
      </c>
    </row>
    <row r="3493" spans="1:8" x14ac:dyDescent="0.25">
      <c r="A3493" t="s">
        <v>1235</v>
      </c>
      <c r="B3493">
        <v>1</v>
      </c>
      <c r="C3493">
        <v>1</v>
      </c>
      <c r="D3493">
        <v>1</v>
      </c>
      <c r="E3493" t="s">
        <v>8366</v>
      </c>
      <c r="F3493" t="s">
        <v>8366</v>
      </c>
      <c r="G3493" t="s">
        <v>8366</v>
      </c>
      <c r="H3493">
        <v>178</v>
      </c>
    </row>
    <row r="3494" spans="1:8" x14ac:dyDescent="0.25">
      <c r="A3494" t="s">
        <v>1038</v>
      </c>
      <c r="B3494">
        <v>1</v>
      </c>
      <c r="C3494">
        <v>1</v>
      </c>
      <c r="D3494">
        <v>1</v>
      </c>
      <c r="E3494" t="s">
        <v>8367</v>
      </c>
      <c r="F3494" t="s">
        <v>8367</v>
      </c>
      <c r="G3494" t="s">
        <v>8367</v>
      </c>
      <c r="H3494">
        <v>164</v>
      </c>
    </row>
    <row r="3495" spans="1:8" x14ac:dyDescent="0.25">
      <c r="A3495" t="s">
        <v>4046</v>
      </c>
      <c r="B3495">
        <v>1</v>
      </c>
      <c r="C3495">
        <v>1</v>
      </c>
      <c r="D3495">
        <v>1</v>
      </c>
      <c r="E3495" t="s">
        <v>8368</v>
      </c>
      <c r="F3495" t="s">
        <v>8368</v>
      </c>
      <c r="G3495" t="s">
        <v>8368</v>
      </c>
      <c r="H3495">
        <v>2</v>
      </c>
    </row>
    <row r="3496" spans="1:8" x14ac:dyDescent="0.25">
      <c r="A3496" t="s">
        <v>1782</v>
      </c>
      <c r="B3496">
        <v>1</v>
      </c>
      <c r="C3496">
        <v>1</v>
      </c>
      <c r="D3496">
        <v>1</v>
      </c>
      <c r="E3496" t="s">
        <v>8369</v>
      </c>
      <c r="F3496" t="s">
        <v>8369</v>
      </c>
      <c r="G3496" t="s">
        <v>8369</v>
      </c>
      <c r="H3496">
        <v>35</v>
      </c>
    </row>
    <row r="3497" spans="1:8" x14ac:dyDescent="0.25">
      <c r="A3497" t="s">
        <v>4047</v>
      </c>
      <c r="B3497">
        <v>1</v>
      </c>
      <c r="C3497">
        <v>1</v>
      </c>
      <c r="D3497">
        <v>1</v>
      </c>
      <c r="E3497" t="s">
        <v>8370</v>
      </c>
      <c r="F3497" t="s">
        <v>8370</v>
      </c>
      <c r="G3497" t="s">
        <v>8370</v>
      </c>
      <c r="H3497">
        <v>1</v>
      </c>
    </row>
    <row r="3498" spans="1:8" x14ac:dyDescent="0.25">
      <c r="A3498" t="s">
        <v>198</v>
      </c>
      <c r="B3498">
        <v>1</v>
      </c>
      <c r="C3498">
        <v>1</v>
      </c>
      <c r="D3498">
        <v>1</v>
      </c>
      <c r="E3498" t="s">
        <v>8371</v>
      </c>
      <c r="F3498" t="s">
        <v>8371</v>
      </c>
      <c r="G3498" t="s">
        <v>8371</v>
      </c>
      <c r="H3498">
        <v>555</v>
      </c>
    </row>
    <row r="3499" spans="1:8" x14ac:dyDescent="0.25">
      <c r="A3499" t="s">
        <v>3069</v>
      </c>
      <c r="B3499">
        <v>1</v>
      </c>
      <c r="C3499">
        <v>1</v>
      </c>
      <c r="D3499">
        <v>1</v>
      </c>
      <c r="E3499" t="s">
        <v>8372</v>
      </c>
      <c r="F3499" t="s">
        <v>8372</v>
      </c>
      <c r="G3499" t="s">
        <v>8372</v>
      </c>
      <c r="H3499">
        <v>7</v>
      </c>
    </row>
    <row r="3500" spans="1:8" x14ac:dyDescent="0.25">
      <c r="A3500" t="s">
        <v>4048</v>
      </c>
      <c r="B3500">
        <v>1</v>
      </c>
      <c r="C3500">
        <v>1</v>
      </c>
      <c r="D3500">
        <v>1</v>
      </c>
      <c r="E3500" t="s">
        <v>8373</v>
      </c>
      <c r="F3500" t="s">
        <v>8373</v>
      </c>
      <c r="G3500" t="s">
        <v>8373</v>
      </c>
      <c r="H3500">
        <v>2</v>
      </c>
    </row>
    <row r="3501" spans="1:8" x14ac:dyDescent="0.25">
      <c r="A3501" t="s">
        <v>2217</v>
      </c>
      <c r="B3501">
        <v>1</v>
      </c>
      <c r="C3501">
        <v>1</v>
      </c>
      <c r="D3501">
        <v>1</v>
      </c>
      <c r="E3501" t="s">
        <v>8374</v>
      </c>
      <c r="F3501" t="s">
        <v>8374</v>
      </c>
      <c r="G3501" t="s">
        <v>8374</v>
      </c>
      <c r="H3501">
        <v>115</v>
      </c>
    </row>
    <row r="3502" spans="1:8" x14ac:dyDescent="0.25">
      <c r="A3502" t="s">
        <v>2079</v>
      </c>
      <c r="B3502">
        <v>1</v>
      </c>
      <c r="C3502">
        <v>1</v>
      </c>
      <c r="D3502">
        <v>1</v>
      </c>
      <c r="E3502" t="s">
        <v>8375</v>
      </c>
      <c r="F3502" t="s">
        <v>8375</v>
      </c>
      <c r="G3502" t="s">
        <v>8375</v>
      </c>
      <c r="H3502">
        <v>133</v>
      </c>
    </row>
    <row r="3503" spans="1:8" x14ac:dyDescent="0.25">
      <c r="A3503" t="s">
        <v>2444</v>
      </c>
      <c r="B3503">
        <v>1</v>
      </c>
      <c r="C3503">
        <v>1</v>
      </c>
      <c r="D3503">
        <v>1</v>
      </c>
      <c r="E3503" t="s">
        <v>8376</v>
      </c>
      <c r="F3503" t="s">
        <v>8376</v>
      </c>
      <c r="G3503" t="s">
        <v>8376</v>
      </c>
      <c r="H3503">
        <v>106</v>
      </c>
    </row>
    <row r="3504" spans="1:8" x14ac:dyDescent="0.25">
      <c r="A3504" t="s">
        <v>2745</v>
      </c>
      <c r="B3504">
        <v>1</v>
      </c>
      <c r="C3504">
        <v>1</v>
      </c>
      <c r="D3504">
        <v>1</v>
      </c>
      <c r="E3504" t="s">
        <v>8377</v>
      </c>
      <c r="F3504" t="s">
        <v>8377</v>
      </c>
      <c r="G3504" t="s">
        <v>8377</v>
      </c>
      <c r="H3504">
        <v>86</v>
      </c>
    </row>
    <row r="3505" spans="1:8" x14ac:dyDescent="0.25">
      <c r="A3505" t="s">
        <v>2066</v>
      </c>
      <c r="B3505">
        <v>2</v>
      </c>
      <c r="C3505">
        <v>2</v>
      </c>
      <c r="D3505">
        <v>2</v>
      </c>
      <c r="E3505" t="s">
        <v>8378</v>
      </c>
      <c r="F3505" t="s">
        <v>8378</v>
      </c>
      <c r="G3505" t="s">
        <v>4256</v>
      </c>
      <c r="H3505">
        <v>125</v>
      </c>
    </row>
    <row r="3506" spans="1:8" x14ac:dyDescent="0.25">
      <c r="A3506" t="s">
        <v>3727</v>
      </c>
      <c r="B3506">
        <v>1</v>
      </c>
      <c r="C3506">
        <v>1</v>
      </c>
      <c r="D3506">
        <v>1</v>
      </c>
      <c r="E3506" t="s">
        <v>8379</v>
      </c>
      <c r="F3506" t="s">
        <v>8379</v>
      </c>
      <c r="G3506" t="s">
        <v>8379</v>
      </c>
      <c r="H3506">
        <v>9</v>
      </c>
    </row>
    <row r="3507" spans="1:8" x14ac:dyDescent="0.25">
      <c r="A3507" t="s">
        <v>3082</v>
      </c>
      <c r="B3507">
        <v>1</v>
      </c>
      <c r="C3507">
        <v>1</v>
      </c>
      <c r="D3507">
        <v>1</v>
      </c>
      <c r="E3507" t="s">
        <v>8380</v>
      </c>
      <c r="F3507" t="s">
        <v>8380</v>
      </c>
      <c r="G3507" t="s">
        <v>8380</v>
      </c>
      <c r="H3507">
        <v>53</v>
      </c>
    </row>
    <row r="3508" spans="1:8" x14ac:dyDescent="0.25">
      <c r="A3508" t="s">
        <v>1654</v>
      </c>
      <c r="B3508">
        <v>1</v>
      </c>
      <c r="C3508">
        <v>1</v>
      </c>
      <c r="D3508">
        <v>1</v>
      </c>
      <c r="E3508" t="s">
        <v>8381</v>
      </c>
      <c r="F3508" t="s">
        <v>8381</v>
      </c>
      <c r="G3508" t="s">
        <v>8381</v>
      </c>
      <c r="H3508">
        <v>127</v>
      </c>
    </row>
    <row r="3509" spans="1:8" x14ac:dyDescent="0.25">
      <c r="A3509" t="s">
        <v>2290</v>
      </c>
      <c r="B3509">
        <v>1</v>
      </c>
      <c r="C3509">
        <v>1</v>
      </c>
      <c r="D3509">
        <v>1</v>
      </c>
      <c r="E3509" t="s">
        <v>8382</v>
      </c>
      <c r="F3509" t="s">
        <v>8382</v>
      </c>
      <c r="G3509" t="s">
        <v>8382</v>
      </c>
      <c r="H3509">
        <v>53</v>
      </c>
    </row>
    <row r="3510" spans="1:8" x14ac:dyDescent="0.25">
      <c r="A3510" t="s">
        <v>3490</v>
      </c>
      <c r="B3510">
        <v>1</v>
      </c>
      <c r="C3510">
        <v>1</v>
      </c>
      <c r="D3510">
        <v>1</v>
      </c>
      <c r="E3510" t="s">
        <v>8383</v>
      </c>
      <c r="F3510" t="s">
        <v>8383</v>
      </c>
      <c r="G3510" t="s">
        <v>8383</v>
      </c>
      <c r="H3510">
        <v>6</v>
      </c>
    </row>
    <row r="3511" spans="1:8" x14ac:dyDescent="0.25">
      <c r="A3511" t="s">
        <v>3504</v>
      </c>
      <c r="B3511">
        <v>1</v>
      </c>
      <c r="C3511">
        <v>1</v>
      </c>
      <c r="D3511">
        <v>1</v>
      </c>
      <c r="E3511" t="s">
        <v>8384</v>
      </c>
      <c r="F3511" t="s">
        <v>8384</v>
      </c>
      <c r="G3511" t="s">
        <v>8384</v>
      </c>
      <c r="H3511">
        <v>3</v>
      </c>
    </row>
    <row r="3512" spans="1:8" x14ac:dyDescent="0.25">
      <c r="A3512" t="s">
        <v>2377</v>
      </c>
      <c r="B3512">
        <v>1</v>
      </c>
      <c r="C3512">
        <v>1</v>
      </c>
      <c r="D3512">
        <v>1</v>
      </c>
      <c r="E3512" t="s">
        <v>8385</v>
      </c>
      <c r="F3512" t="s">
        <v>8385</v>
      </c>
      <c r="G3512" t="s">
        <v>8385</v>
      </c>
      <c r="H3512">
        <v>89</v>
      </c>
    </row>
    <row r="3513" spans="1:8" x14ac:dyDescent="0.25">
      <c r="A3513" t="s">
        <v>2761</v>
      </c>
      <c r="B3513">
        <v>1</v>
      </c>
      <c r="C3513">
        <v>1</v>
      </c>
      <c r="D3513">
        <v>1</v>
      </c>
      <c r="E3513" t="s">
        <v>8386</v>
      </c>
      <c r="F3513" t="s">
        <v>8386</v>
      </c>
      <c r="G3513" t="s">
        <v>8386</v>
      </c>
      <c r="H3513">
        <v>91</v>
      </c>
    </row>
    <row r="3514" spans="1:8" x14ac:dyDescent="0.25">
      <c r="A3514" t="s">
        <v>2760</v>
      </c>
      <c r="B3514">
        <v>1</v>
      </c>
      <c r="C3514">
        <v>1</v>
      </c>
      <c r="D3514">
        <v>1</v>
      </c>
      <c r="E3514" t="s">
        <v>8387</v>
      </c>
      <c r="F3514" t="s">
        <v>8387</v>
      </c>
      <c r="G3514" t="s">
        <v>8387</v>
      </c>
      <c r="H3514">
        <v>48</v>
      </c>
    </row>
    <row r="3515" spans="1:8" x14ac:dyDescent="0.25">
      <c r="A3515" t="s">
        <v>3131</v>
      </c>
      <c r="B3515">
        <v>2</v>
      </c>
      <c r="C3515">
        <v>2</v>
      </c>
      <c r="D3515">
        <v>2</v>
      </c>
      <c r="E3515" t="s">
        <v>8388</v>
      </c>
      <c r="F3515" t="s">
        <v>8388</v>
      </c>
      <c r="G3515" t="s">
        <v>4256</v>
      </c>
      <c r="H3515">
        <v>19</v>
      </c>
    </row>
    <row r="3516" spans="1:8" x14ac:dyDescent="0.25">
      <c r="A3516" t="s">
        <v>4049</v>
      </c>
      <c r="B3516">
        <v>1</v>
      </c>
      <c r="C3516">
        <v>1</v>
      </c>
      <c r="D3516">
        <v>1</v>
      </c>
      <c r="E3516" t="s">
        <v>8389</v>
      </c>
      <c r="F3516" t="s">
        <v>8389</v>
      </c>
      <c r="G3516" t="s">
        <v>8389</v>
      </c>
      <c r="H3516">
        <v>2</v>
      </c>
    </row>
    <row r="3517" spans="1:8" x14ac:dyDescent="0.25">
      <c r="A3517" t="s">
        <v>132</v>
      </c>
      <c r="B3517">
        <v>1</v>
      </c>
      <c r="C3517">
        <v>1</v>
      </c>
      <c r="D3517">
        <v>1</v>
      </c>
      <c r="E3517" t="s">
        <v>8390</v>
      </c>
      <c r="F3517" t="s">
        <v>8390</v>
      </c>
      <c r="G3517" t="s">
        <v>8390</v>
      </c>
      <c r="H3517">
        <v>2159</v>
      </c>
    </row>
    <row r="3518" spans="1:8" x14ac:dyDescent="0.25">
      <c r="A3518" t="s">
        <v>165</v>
      </c>
      <c r="B3518">
        <v>1</v>
      </c>
      <c r="C3518">
        <v>1</v>
      </c>
      <c r="D3518">
        <v>1</v>
      </c>
      <c r="E3518" t="s">
        <v>8391</v>
      </c>
      <c r="F3518" t="s">
        <v>8391</v>
      </c>
      <c r="G3518" t="s">
        <v>8391</v>
      </c>
      <c r="H3518">
        <v>960</v>
      </c>
    </row>
    <row r="3519" spans="1:8" x14ac:dyDescent="0.25">
      <c r="A3519" t="s">
        <v>153</v>
      </c>
      <c r="B3519">
        <v>1</v>
      </c>
      <c r="C3519">
        <v>1</v>
      </c>
      <c r="D3519">
        <v>1</v>
      </c>
      <c r="E3519" t="s">
        <v>8392</v>
      </c>
      <c r="F3519" t="s">
        <v>8392</v>
      </c>
      <c r="G3519" t="s">
        <v>8392</v>
      </c>
      <c r="H3519">
        <v>842</v>
      </c>
    </row>
    <row r="3520" spans="1:8" x14ac:dyDescent="0.25">
      <c r="A3520" t="s">
        <v>2780</v>
      </c>
      <c r="B3520">
        <v>1</v>
      </c>
      <c r="C3520">
        <v>1</v>
      </c>
      <c r="D3520">
        <v>1</v>
      </c>
      <c r="E3520" t="s">
        <v>8392</v>
      </c>
      <c r="F3520" t="s">
        <v>8392</v>
      </c>
      <c r="G3520" t="s">
        <v>8392</v>
      </c>
      <c r="H3520">
        <v>10</v>
      </c>
    </row>
    <row r="3521" spans="1:8" x14ac:dyDescent="0.25">
      <c r="A3521" t="s">
        <v>1826</v>
      </c>
      <c r="B3521">
        <v>2</v>
      </c>
      <c r="C3521">
        <v>2</v>
      </c>
      <c r="D3521">
        <v>2</v>
      </c>
      <c r="E3521" t="s">
        <v>8393</v>
      </c>
      <c r="F3521" t="s">
        <v>8393</v>
      </c>
      <c r="G3521" t="s">
        <v>4256</v>
      </c>
      <c r="H3521">
        <v>30</v>
      </c>
    </row>
    <row r="3522" spans="1:8" x14ac:dyDescent="0.25">
      <c r="A3522" t="s">
        <v>2307</v>
      </c>
      <c r="B3522">
        <v>2</v>
      </c>
      <c r="C3522">
        <v>2</v>
      </c>
      <c r="D3522">
        <v>2</v>
      </c>
      <c r="E3522" t="s">
        <v>8394</v>
      </c>
      <c r="F3522" t="s">
        <v>8394</v>
      </c>
      <c r="G3522" t="s">
        <v>4256</v>
      </c>
      <c r="H3522">
        <v>19</v>
      </c>
    </row>
    <row r="3523" spans="1:8" x14ac:dyDescent="0.25">
      <c r="A3523" t="s">
        <v>1636</v>
      </c>
      <c r="B3523">
        <v>1</v>
      </c>
      <c r="C3523">
        <v>1</v>
      </c>
      <c r="D3523">
        <v>1</v>
      </c>
      <c r="E3523" t="s">
        <v>8395</v>
      </c>
      <c r="F3523" t="s">
        <v>8395</v>
      </c>
      <c r="G3523" t="s">
        <v>8395</v>
      </c>
      <c r="H3523">
        <v>24</v>
      </c>
    </row>
    <row r="3524" spans="1:8" x14ac:dyDescent="0.25">
      <c r="A3524" t="s">
        <v>2280</v>
      </c>
      <c r="B3524">
        <v>2</v>
      </c>
      <c r="C3524">
        <v>2</v>
      </c>
      <c r="D3524">
        <v>2</v>
      </c>
      <c r="E3524" t="s">
        <v>8396</v>
      </c>
      <c r="F3524" t="s">
        <v>8396</v>
      </c>
      <c r="G3524" t="s">
        <v>4256</v>
      </c>
      <c r="H3524">
        <v>33</v>
      </c>
    </row>
    <row r="3525" spans="1:8" x14ac:dyDescent="0.25">
      <c r="A3525" t="s">
        <v>3837</v>
      </c>
      <c r="B3525">
        <v>1</v>
      </c>
      <c r="C3525">
        <v>1</v>
      </c>
      <c r="D3525">
        <v>1</v>
      </c>
      <c r="E3525" t="s">
        <v>8397</v>
      </c>
      <c r="F3525" t="s">
        <v>8397</v>
      </c>
      <c r="G3525" t="s">
        <v>8397</v>
      </c>
      <c r="H3525">
        <v>1</v>
      </c>
    </row>
    <row r="3526" spans="1:8" x14ac:dyDescent="0.25">
      <c r="A3526" t="s">
        <v>8398</v>
      </c>
      <c r="B3526">
        <v>0</v>
      </c>
      <c r="C3526">
        <v>0</v>
      </c>
      <c r="D3526">
        <v>0</v>
      </c>
      <c r="G3526" t="s">
        <v>4256</v>
      </c>
      <c r="H3526">
        <v>1</v>
      </c>
    </row>
    <row r="3527" spans="1:8" x14ac:dyDescent="0.25">
      <c r="A3527" t="s">
        <v>2426</v>
      </c>
      <c r="B3527">
        <v>2</v>
      </c>
      <c r="C3527">
        <v>2</v>
      </c>
      <c r="D3527">
        <v>2</v>
      </c>
      <c r="E3527" t="s">
        <v>8399</v>
      </c>
      <c r="F3527" t="s">
        <v>8399</v>
      </c>
      <c r="G3527" t="s">
        <v>4256</v>
      </c>
      <c r="H3527">
        <v>61</v>
      </c>
    </row>
    <row r="3528" spans="1:8" x14ac:dyDescent="0.25">
      <c r="A3528" t="s">
        <v>1679</v>
      </c>
      <c r="B3528">
        <v>1</v>
      </c>
      <c r="C3528">
        <v>1</v>
      </c>
      <c r="D3528">
        <v>1</v>
      </c>
      <c r="E3528" t="s">
        <v>8400</v>
      </c>
      <c r="F3528" t="s">
        <v>8400</v>
      </c>
      <c r="G3528" t="s">
        <v>8400</v>
      </c>
      <c r="H3528">
        <v>56</v>
      </c>
    </row>
    <row r="3529" spans="1:8" x14ac:dyDescent="0.25">
      <c r="A3529" t="s">
        <v>1842</v>
      </c>
      <c r="B3529">
        <v>1</v>
      </c>
      <c r="C3529">
        <v>1</v>
      </c>
      <c r="D3529">
        <v>1</v>
      </c>
      <c r="E3529" t="s">
        <v>8401</v>
      </c>
      <c r="F3529" t="s">
        <v>8401</v>
      </c>
      <c r="G3529" t="s">
        <v>8401</v>
      </c>
      <c r="H3529">
        <v>79</v>
      </c>
    </row>
    <row r="3530" spans="1:8" x14ac:dyDescent="0.25">
      <c r="A3530" t="s">
        <v>1830</v>
      </c>
      <c r="B3530">
        <v>1</v>
      </c>
      <c r="C3530">
        <v>1</v>
      </c>
      <c r="D3530">
        <v>1</v>
      </c>
      <c r="E3530" t="s">
        <v>8402</v>
      </c>
      <c r="F3530" t="s">
        <v>8402</v>
      </c>
      <c r="G3530" t="s">
        <v>8402</v>
      </c>
      <c r="H3530">
        <v>78</v>
      </c>
    </row>
    <row r="3531" spans="1:8" x14ac:dyDescent="0.25">
      <c r="A3531" t="s">
        <v>2952</v>
      </c>
      <c r="B3531">
        <v>1</v>
      </c>
      <c r="C3531">
        <v>1</v>
      </c>
      <c r="D3531">
        <v>1</v>
      </c>
      <c r="E3531" t="s">
        <v>8400</v>
      </c>
      <c r="F3531" t="s">
        <v>8400</v>
      </c>
      <c r="G3531" t="s">
        <v>8400</v>
      </c>
      <c r="H3531">
        <v>15</v>
      </c>
    </row>
    <row r="3532" spans="1:8" x14ac:dyDescent="0.25">
      <c r="A3532" t="s">
        <v>3097</v>
      </c>
      <c r="B3532">
        <v>1</v>
      </c>
      <c r="C3532">
        <v>1</v>
      </c>
      <c r="D3532">
        <v>1</v>
      </c>
      <c r="E3532" t="s">
        <v>8401</v>
      </c>
      <c r="F3532" t="s">
        <v>8401</v>
      </c>
      <c r="G3532" t="s">
        <v>8401</v>
      </c>
      <c r="H3532">
        <v>14</v>
      </c>
    </row>
    <row r="3533" spans="1:8" x14ac:dyDescent="0.25">
      <c r="A3533" t="s">
        <v>2292</v>
      </c>
      <c r="B3533">
        <v>1</v>
      </c>
      <c r="C3533">
        <v>1</v>
      </c>
      <c r="D3533">
        <v>1</v>
      </c>
      <c r="E3533" t="s">
        <v>8402</v>
      </c>
      <c r="F3533" t="s">
        <v>8402</v>
      </c>
      <c r="G3533" t="s">
        <v>8402</v>
      </c>
      <c r="H3533">
        <v>35</v>
      </c>
    </row>
    <row r="3534" spans="1:8" x14ac:dyDescent="0.25">
      <c r="A3534" t="s">
        <v>3644</v>
      </c>
      <c r="B3534">
        <v>1</v>
      </c>
      <c r="C3534">
        <v>1</v>
      </c>
      <c r="D3534">
        <v>1</v>
      </c>
      <c r="E3534" t="s">
        <v>8403</v>
      </c>
      <c r="F3534" t="s">
        <v>8403</v>
      </c>
      <c r="G3534" t="s">
        <v>8403</v>
      </c>
      <c r="H3534">
        <v>1</v>
      </c>
    </row>
    <row r="3535" spans="1:8" x14ac:dyDescent="0.25">
      <c r="A3535" t="s">
        <v>1676</v>
      </c>
      <c r="B3535">
        <v>1</v>
      </c>
      <c r="C3535">
        <v>1</v>
      </c>
      <c r="D3535">
        <v>1</v>
      </c>
      <c r="E3535" t="s">
        <v>8404</v>
      </c>
      <c r="F3535" t="s">
        <v>8404</v>
      </c>
      <c r="G3535" t="s">
        <v>8404</v>
      </c>
      <c r="H3535">
        <v>92</v>
      </c>
    </row>
    <row r="3536" spans="1:8" x14ac:dyDescent="0.25">
      <c r="A3536" t="s">
        <v>3008</v>
      </c>
      <c r="B3536">
        <v>1</v>
      </c>
      <c r="C3536">
        <v>1</v>
      </c>
      <c r="D3536">
        <v>1</v>
      </c>
      <c r="E3536" t="s">
        <v>5285</v>
      </c>
      <c r="F3536" t="s">
        <v>5285</v>
      </c>
      <c r="G3536" t="s">
        <v>5285</v>
      </c>
      <c r="H3536">
        <v>14</v>
      </c>
    </row>
    <row r="3537" spans="1:8" x14ac:dyDescent="0.25">
      <c r="A3537" t="s">
        <v>3982</v>
      </c>
      <c r="B3537">
        <v>1</v>
      </c>
      <c r="C3537">
        <v>1</v>
      </c>
      <c r="D3537">
        <v>1</v>
      </c>
      <c r="E3537" t="s">
        <v>8405</v>
      </c>
      <c r="F3537" t="s">
        <v>8405</v>
      </c>
      <c r="G3537" t="s">
        <v>8405</v>
      </c>
      <c r="H3537">
        <v>2</v>
      </c>
    </row>
    <row r="3538" spans="1:8" x14ac:dyDescent="0.25">
      <c r="A3538" t="s">
        <v>130</v>
      </c>
      <c r="B3538">
        <v>4</v>
      </c>
      <c r="C3538">
        <v>4</v>
      </c>
      <c r="D3538">
        <v>4</v>
      </c>
      <c r="E3538" t="s">
        <v>8406</v>
      </c>
      <c r="F3538" t="s">
        <v>8406</v>
      </c>
      <c r="G3538" t="s">
        <v>4256</v>
      </c>
      <c r="H3538">
        <v>2313</v>
      </c>
    </row>
    <row r="3539" spans="1:8" x14ac:dyDescent="0.25">
      <c r="A3539" t="s">
        <v>1219</v>
      </c>
      <c r="B3539">
        <v>1</v>
      </c>
      <c r="C3539">
        <v>1</v>
      </c>
      <c r="D3539">
        <v>1</v>
      </c>
      <c r="E3539" t="s">
        <v>8407</v>
      </c>
      <c r="F3539" t="s">
        <v>8407</v>
      </c>
      <c r="G3539" t="s">
        <v>8407</v>
      </c>
      <c r="H3539">
        <v>67</v>
      </c>
    </row>
    <row r="3540" spans="1:8" x14ac:dyDescent="0.25">
      <c r="A3540" t="s">
        <v>2720</v>
      </c>
      <c r="B3540">
        <v>1</v>
      </c>
      <c r="C3540">
        <v>1</v>
      </c>
      <c r="D3540">
        <v>1</v>
      </c>
      <c r="E3540" t="s">
        <v>8408</v>
      </c>
      <c r="F3540" t="s">
        <v>8408</v>
      </c>
      <c r="G3540" t="s">
        <v>8408</v>
      </c>
      <c r="H3540">
        <v>40</v>
      </c>
    </row>
    <row r="3541" spans="1:8" x14ac:dyDescent="0.25">
      <c r="A3541" t="s">
        <v>2722</v>
      </c>
      <c r="B3541">
        <v>1</v>
      </c>
      <c r="C3541">
        <v>1</v>
      </c>
      <c r="D3541">
        <v>1</v>
      </c>
      <c r="E3541" t="s">
        <v>8409</v>
      </c>
      <c r="F3541" t="s">
        <v>8409</v>
      </c>
      <c r="G3541" t="s">
        <v>8409</v>
      </c>
      <c r="H3541">
        <v>40</v>
      </c>
    </row>
    <row r="3542" spans="1:8" x14ac:dyDescent="0.25">
      <c r="A3542" t="s">
        <v>1975</v>
      </c>
      <c r="B3542">
        <v>2</v>
      </c>
      <c r="C3542">
        <v>2</v>
      </c>
      <c r="D3542">
        <v>2</v>
      </c>
      <c r="E3542" t="s">
        <v>8410</v>
      </c>
      <c r="F3542" t="s">
        <v>8410</v>
      </c>
      <c r="G3542" t="s">
        <v>4256</v>
      </c>
      <c r="H3542">
        <v>36</v>
      </c>
    </row>
    <row r="3543" spans="1:8" x14ac:dyDescent="0.25">
      <c r="A3543" t="s">
        <v>3616</v>
      </c>
      <c r="B3543">
        <v>1</v>
      </c>
      <c r="C3543">
        <v>1</v>
      </c>
      <c r="D3543">
        <v>1</v>
      </c>
      <c r="E3543" t="s">
        <v>8411</v>
      </c>
      <c r="F3543" t="s">
        <v>8411</v>
      </c>
      <c r="G3543" t="s">
        <v>8411</v>
      </c>
      <c r="H3543">
        <v>4</v>
      </c>
    </row>
    <row r="3544" spans="1:8" x14ac:dyDescent="0.25">
      <c r="A3544" t="s">
        <v>1677</v>
      </c>
      <c r="B3544">
        <v>2</v>
      </c>
      <c r="C3544">
        <v>2</v>
      </c>
      <c r="D3544">
        <v>2</v>
      </c>
      <c r="E3544" t="s">
        <v>8412</v>
      </c>
      <c r="F3544" t="s">
        <v>8412</v>
      </c>
      <c r="G3544" t="s">
        <v>4256</v>
      </c>
      <c r="H3544">
        <v>55</v>
      </c>
    </row>
    <row r="3545" spans="1:8" x14ac:dyDescent="0.25">
      <c r="A3545" t="s">
        <v>2931</v>
      </c>
      <c r="B3545">
        <v>1</v>
      </c>
      <c r="C3545">
        <v>1</v>
      </c>
      <c r="D3545">
        <v>1</v>
      </c>
      <c r="E3545" t="s">
        <v>8413</v>
      </c>
      <c r="F3545" t="s">
        <v>8413</v>
      </c>
      <c r="G3545" t="s">
        <v>8413</v>
      </c>
      <c r="H3545">
        <v>31</v>
      </c>
    </row>
    <row r="3546" spans="1:8" x14ac:dyDescent="0.25">
      <c r="A3546" t="s">
        <v>3136</v>
      </c>
      <c r="B3546">
        <v>1</v>
      </c>
      <c r="C3546">
        <v>1</v>
      </c>
      <c r="D3546">
        <v>1</v>
      </c>
      <c r="E3546" t="s">
        <v>8414</v>
      </c>
      <c r="F3546" t="s">
        <v>8414</v>
      </c>
      <c r="G3546" t="s">
        <v>8414</v>
      </c>
      <c r="H3546">
        <v>15</v>
      </c>
    </row>
    <row r="3547" spans="1:8" x14ac:dyDescent="0.25">
      <c r="A3547" t="s">
        <v>2575</v>
      </c>
      <c r="B3547">
        <v>1</v>
      </c>
      <c r="C3547">
        <v>1</v>
      </c>
      <c r="D3547">
        <v>1</v>
      </c>
      <c r="E3547" t="s">
        <v>8415</v>
      </c>
      <c r="F3547" t="s">
        <v>8415</v>
      </c>
      <c r="G3547" t="s">
        <v>8415</v>
      </c>
      <c r="H3547">
        <v>66</v>
      </c>
    </row>
    <row r="3548" spans="1:8" x14ac:dyDescent="0.25">
      <c r="A3548" t="s">
        <v>3065</v>
      </c>
      <c r="B3548">
        <v>1</v>
      </c>
      <c r="C3548">
        <v>1</v>
      </c>
      <c r="D3548">
        <v>1</v>
      </c>
      <c r="E3548" t="s">
        <v>8416</v>
      </c>
      <c r="F3548" t="s">
        <v>8416</v>
      </c>
      <c r="G3548" t="s">
        <v>8416</v>
      </c>
      <c r="H3548">
        <v>11</v>
      </c>
    </row>
    <row r="3549" spans="1:8" x14ac:dyDescent="0.25">
      <c r="A3549" t="s">
        <v>1986</v>
      </c>
      <c r="B3549">
        <v>1</v>
      </c>
      <c r="C3549">
        <v>1</v>
      </c>
      <c r="D3549">
        <v>1</v>
      </c>
      <c r="E3549" t="s">
        <v>8417</v>
      </c>
      <c r="F3549" t="s">
        <v>8417</v>
      </c>
      <c r="G3549" t="s">
        <v>8417</v>
      </c>
      <c r="H3549">
        <v>62</v>
      </c>
    </row>
    <row r="3550" spans="1:8" x14ac:dyDescent="0.25">
      <c r="A3550" t="s">
        <v>2430</v>
      </c>
      <c r="B3550">
        <v>1</v>
      </c>
      <c r="C3550">
        <v>1</v>
      </c>
      <c r="D3550">
        <v>1</v>
      </c>
      <c r="E3550" t="s">
        <v>8418</v>
      </c>
      <c r="F3550" t="s">
        <v>8418</v>
      </c>
      <c r="G3550" t="s">
        <v>8418</v>
      </c>
      <c r="H3550">
        <v>48</v>
      </c>
    </row>
    <row r="3551" spans="1:8" x14ac:dyDescent="0.25">
      <c r="A3551" t="s">
        <v>2236</v>
      </c>
      <c r="B3551">
        <v>1</v>
      </c>
      <c r="C3551">
        <v>1</v>
      </c>
      <c r="D3551">
        <v>1</v>
      </c>
      <c r="E3551" t="s">
        <v>8419</v>
      </c>
      <c r="F3551" t="s">
        <v>8419</v>
      </c>
      <c r="G3551" t="s">
        <v>8419</v>
      </c>
      <c r="H3551">
        <v>63</v>
      </c>
    </row>
    <row r="3552" spans="1:8" x14ac:dyDescent="0.25">
      <c r="A3552" t="s">
        <v>1844</v>
      </c>
      <c r="B3552">
        <v>1</v>
      </c>
      <c r="C3552">
        <v>1</v>
      </c>
      <c r="D3552">
        <v>1</v>
      </c>
      <c r="E3552" t="s">
        <v>8420</v>
      </c>
      <c r="F3552" t="s">
        <v>8420</v>
      </c>
      <c r="G3552" t="s">
        <v>8420</v>
      </c>
      <c r="H3552">
        <v>122</v>
      </c>
    </row>
    <row r="3553" spans="1:8" x14ac:dyDescent="0.25">
      <c r="A3553" t="s">
        <v>2313</v>
      </c>
      <c r="B3553">
        <v>1</v>
      </c>
      <c r="C3553">
        <v>1</v>
      </c>
      <c r="D3553">
        <v>1</v>
      </c>
      <c r="E3553" t="s">
        <v>8421</v>
      </c>
      <c r="F3553" t="s">
        <v>8421</v>
      </c>
      <c r="G3553" t="s">
        <v>8421</v>
      </c>
      <c r="H3553">
        <v>172</v>
      </c>
    </row>
    <row r="3554" spans="1:8" x14ac:dyDescent="0.25">
      <c r="A3554" t="s">
        <v>2908</v>
      </c>
      <c r="B3554">
        <v>1</v>
      </c>
      <c r="C3554">
        <v>1</v>
      </c>
      <c r="D3554">
        <v>1</v>
      </c>
      <c r="E3554" t="s">
        <v>8422</v>
      </c>
      <c r="F3554" t="s">
        <v>8422</v>
      </c>
      <c r="G3554" t="s">
        <v>8422</v>
      </c>
      <c r="H3554">
        <v>50</v>
      </c>
    </row>
    <row r="3555" spans="1:8" x14ac:dyDescent="0.25">
      <c r="A3555" t="s">
        <v>2037</v>
      </c>
      <c r="B3555">
        <v>1</v>
      </c>
      <c r="C3555">
        <v>1</v>
      </c>
      <c r="D3555">
        <v>1</v>
      </c>
      <c r="E3555" t="s">
        <v>8423</v>
      </c>
      <c r="F3555" t="s">
        <v>8423</v>
      </c>
      <c r="G3555" t="s">
        <v>8423</v>
      </c>
      <c r="H3555">
        <v>206</v>
      </c>
    </row>
    <row r="3556" spans="1:8" x14ac:dyDescent="0.25">
      <c r="A3556" t="s">
        <v>1394</v>
      </c>
      <c r="B3556">
        <v>2</v>
      </c>
      <c r="C3556">
        <v>2</v>
      </c>
      <c r="D3556">
        <v>2</v>
      </c>
      <c r="E3556" t="s">
        <v>8424</v>
      </c>
      <c r="F3556" t="s">
        <v>8424</v>
      </c>
      <c r="G3556" t="s">
        <v>4256</v>
      </c>
      <c r="H3556">
        <v>114</v>
      </c>
    </row>
    <row r="3557" spans="1:8" x14ac:dyDescent="0.25">
      <c r="A3557" t="s">
        <v>1629</v>
      </c>
      <c r="B3557">
        <v>1</v>
      </c>
      <c r="C3557">
        <v>1</v>
      </c>
      <c r="D3557">
        <v>1</v>
      </c>
      <c r="E3557" t="s">
        <v>8425</v>
      </c>
      <c r="F3557" t="s">
        <v>8425</v>
      </c>
      <c r="G3557" t="s">
        <v>8425</v>
      </c>
      <c r="H3557">
        <v>76</v>
      </c>
    </row>
    <row r="3558" spans="1:8" x14ac:dyDescent="0.25">
      <c r="A3558" t="s">
        <v>819</v>
      </c>
      <c r="B3558">
        <v>2</v>
      </c>
      <c r="C3558">
        <v>2</v>
      </c>
      <c r="D3558">
        <v>2</v>
      </c>
      <c r="E3558" t="s">
        <v>8426</v>
      </c>
      <c r="F3558" t="s">
        <v>8426</v>
      </c>
      <c r="G3558" t="s">
        <v>4256</v>
      </c>
      <c r="H3558">
        <v>217</v>
      </c>
    </row>
    <row r="3559" spans="1:8" x14ac:dyDescent="0.25">
      <c r="A3559" t="s">
        <v>3196</v>
      </c>
      <c r="B3559">
        <v>1</v>
      </c>
      <c r="C3559">
        <v>1</v>
      </c>
      <c r="D3559">
        <v>1</v>
      </c>
      <c r="E3559" t="s">
        <v>8427</v>
      </c>
      <c r="F3559" t="s">
        <v>8427</v>
      </c>
      <c r="G3559" t="s">
        <v>8427</v>
      </c>
      <c r="H3559">
        <v>8</v>
      </c>
    </row>
    <row r="3560" spans="1:8" x14ac:dyDescent="0.25">
      <c r="A3560" t="s">
        <v>3269</v>
      </c>
      <c r="B3560">
        <v>1</v>
      </c>
      <c r="C3560">
        <v>1</v>
      </c>
      <c r="D3560">
        <v>1</v>
      </c>
      <c r="E3560" t="s">
        <v>8425</v>
      </c>
      <c r="F3560" t="s">
        <v>8425</v>
      </c>
      <c r="G3560" t="s">
        <v>8425</v>
      </c>
      <c r="H3560">
        <v>9</v>
      </c>
    </row>
    <row r="3561" spans="1:8" x14ac:dyDescent="0.25">
      <c r="A3561" t="s">
        <v>3645</v>
      </c>
      <c r="B3561">
        <v>1</v>
      </c>
      <c r="C3561">
        <v>1</v>
      </c>
      <c r="D3561">
        <v>1</v>
      </c>
      <c r="E3561" t="s">
        <v>8428</v>
      </c>
      <c r="F3561" t="s">
        <v>8428</v>
      </c>
      <c r="G3561" t="s">
        <v>8428</v>
      </c>
      <c r="H3561">
        <v>3</v>
      </c>
    </row>
    <row r="3562" spans="1:8" x14ac:dyDescent="0.25">
      <c r="A3562" t="s">
        <v>2984</v>
      </c>
      <c r="B3562">
        <v>1</v>
      </c>
      <c r="C3562">
        <v>1</v>
      </c>
      <c r="D3562">
        <v>1</v>
      </c>
      <c r="E3562" t="s">
        <v>8429</v>
      </c>
      <c r="F3562" t="s">
        <v>8429</v>
      </c>
      <c r="G3562" t="s">
        <v>8429</v>
      </c>
      <c r="H3562">
        <v>11</v>
      </c>
    </row>
    <row r="3563" spans="1:8" x14ac:dyDescent="0.25">
      <c r="A3563" t="s">
        <v>2308</v>
      </c>
      <c r="B3563">
        <v>3</v>
      </c>
      <c r="C3563">
        <v>3</v>
      </c>
      <c r="D3563">
        <v>3</v>
      </c>
      <c r="E3563" t="s">
        <v>8430</v>
      </c>
      <c r="F3563" t="s">
        <v>8430</v>
      </c>
      <c r="G3563" t="s">
        <v>4256</v>
      </c>
      <c r="H3563">
        <v>52</v>
      </c>
    </row>
    <row r="3564" spans="1:8" x14ac:dyDescent="0.25">
      <c r="A3564" t="s">
        <v>1887</v>
      </c>
      <c r="B3564">
        <v>3</v>
      </c>
      <c r="C3564">
        <v>3</v>
      </c>
      <c r="D3564">
        <v>3</v>
      </c>
      <c r="E3564" t="s">
        <v>8431</v>
      </c>
      <c r="F3564" t="s">
        <v>8431</v>
      </c>
      <c r="G3564" t="s">
        <v>4256</v>
      </c>
      <c r="H3564">
        <v>71</v>
      </c>
    </row>
    <row r="3565" spans="1:8" x14ac:dyDescent="0.25">
      <c r="A3565" t="s">
        <v>2222</v>
      </c>
      <c r="B3565">
        <v>2</v>
      </c>
      <c r="C3565">
        <v>2</v>
      </c>
      <c r="D3565">
        <v>2</v>
      </c>
      <c r="E3565" t="s">
        <v>8432</v>
      </c>
      <c r="F3565" t="s">
        <v>8432</v>
      </c>
      <c r="G3565" t="s">
        <v>4256</v>
      </c>
      <c r="H3565">
        <v>56</v>
      </c>
    </row>
    <row r="3566" spans="1:8" x14ac:dyDescent="0.25">
      <c r="A3566" t="s">
        <v>3750</v>
      </c>
      <c r="B3566">
        <v>1</v>
      </c>
      <c r="C3566">
        <v>1</v>
      </c>
      <c r="D3566">
        <v>1</v>
      </c>
      <c r="E3566" t="s">
        <v>8433</v>
      </c>
      <c r="F3566" t="s">
        <v>8433</v>
      </c>
      <c r="G3566" t="s">
        <v>8433</v>
      </c>
      <c r="H3566">
        <v>3</v>
      </c>
    </row>
    <row r="3567" spans="1:8" x14ac:dyDescent="0.25">
      <c r="A3567" t="s">
        <v>2453</v>
      </c>
      <c r="B3567">
        <v>2</v>
      </c>
      <c r="C3567">
        <v>2</v>
      </c>
      <c r="D3567">
        <v>2</v>
      </c>
      <c r="E3567" t="s">
        <v>8434</v>
      </c>
      <c r="F3567" t="s">
        <v>8434</v>
      </c>
      <c r="G3567" t="s">
        <v>4256</v>
      </c>
      <c r="H3567">
        <v>37</v>
      </c>
    </row>
    <row r="3568" spans="1:8" x14ac:dyDescent="0.25">
      <c r="A3568" t="s">
        <v>2140</v>
      </c>
      <c r="B3568">
        <v>1</v>
      </c>
      <c r="C3568">
        <v>1</v>
      </c>
      <c r="D3568">
        <v>1</v>
      </c>
      <c r="E3568" t="s">
        <v>8435</v>
      </c>
      <c r="F3568" t="s">
        <v>8435</v>
      </c>
      <c r="G3568" t="s">
        <v>8435</v>
      </c>
      <c r="H3568">
        <v>48</v>
      </c>
    </row>
    <row r="3569" spans="1:8" x14ac:dyDescent="0.25">
      <c r="A3569" t="s">
        <v>2211</v>
      </c>
      <c r="B3569">
        <v>2</v>
      </c>
      <c r="C3569">
        <v>2</v>
      </c>
      <c r="D3569">
        <v>2</v>
      </c>
      <c r="E3569" t="s">
        <v>8436</v>
      </c>
      <c r="F3569" t="s">
        <v>8436</v>
      </c>
      <c r="G3569" t="s">
        <v>4256</v>
      </c>
      <c r="H3569">
        <v>45</v>
      </c>
    </row>
    <row r="3570" spans="1:8" x14ac:dyDescent="0.25">
      <c r="A3570" t="s">
        <v>2935</v>
      </c>
      <c r="B3570">
        <v>1</v>
      </c>
      <c r="C3570">
        <v>1</v>
      </c>
      <c r="D3570">
        <v>1</v>
      </c>
      <c r="E3570" t="s">
        <v>8437</v>
      </c>
      <c r="F3570" t="s">
        <v>8437</v>
      </c>
      <c r="G3570" t="s">
        <v>8437</v>
      </c>
      <c r="H3570">
        <v>15</v>
      </c>
    </row>
    <row r="3571" spans="1:8" x14ac:dyDescent="0.25">
      <c r="A3571" t="s">
        <v>2929</v>
      </c>
      <c r="B3571">
        <v>1</v>
      </c>
      <c r="C3571">
        <v>1</v>
      </c>
      <c r="D3571">
        <v>1</v>
      </c>
      <c r="E3571" t="s">
        <v>8438</v>
      </c>
      <c r="F3571" t="s">
        <v>8438</v>
      </c>
      <c r="G3571" t="s">
        <v>8438</v>
      </c>
      <c r="H3571">
        <v>11</v>
      </c>
    </row>
    <row r="3572" spans="1:8" x14ac:dyDescent="0.25">
      <c r="A3572" t="s">
        <v>378</v>
      </c>
      <c r="B3572">
        <v>1</v>
      </c>
      <c r="C3572">
        <v>1</v>
      </c>
      <c r="D3572">
        <v>1</v>
      </c>
      <c r="E3572" t="s">
        <v>8439</v>
      </c>
      <c r="F3572" t="s">
        <v>8439</v>
      </c>
      <c r="G3572" t="s">
        <v>8439</v>
      </c>
      <c r="H3572">
        <v>486</v>
      </c>
    </row>
    <row r="3573" spans="1:8" x14ac:dyDescent="0.25">
      <c r="A3573" t="s">
        <v>253</v>
      </c>
      <c r="B3573">
        <v>1</v>
      </c>
      <c r="C3573">
        <v>1</v>
      </c>
      <c r="D3573">
        <v>1</v>
      </c>
      <c r="E3573" t="s">
        <v>8440</v>
      </c>
      <c r="F3573" t="s">
        <v>8441</v>
      </c>
      <c r="G3573" t="s">
        <v>8441</v>
      </c>
      <c r="H3573">
        <v>688</v>
      </c>
    </row>
    <row r="3574" spans="1:8" x14ac:dyDescent="0.25">
      <c r="A3574" t="s">
        <v>1957</v>
      </c>
      <c r="B3574">
        <v>1</v>
      </c>
      <c r="C3574">
        <v>1</v>
      </c>
      <c r="D3574">
        <v>1</v>
      </c>
      <c r="E3574" t="s">
        <v>8442</v>
      </c>
      <c r="F3574" t="s">
        <v>8442</v>
      </c>
      <c r="G3574" t="s">
        <v>8442</v>
      </c>
      <c r="H3574">
        <v>53</v>
      </c>
    </row>
    <row r="3575" spans="1:8" x14ac:dyDescent="0.25">
      <c r="A3575" t="s">
        <v>1650</v>
      </c>
      <c r="B3575">
        <v>1</v>
      </c>
      <c r="C3575">
        <v>1</v>
      </c>
      <c r="D3575">
        <v>1</v>
      </c>
      <c r="E3575" t="s">
        <v>8443</v>
      </c>
      <c r="F3575" t="s">
        <v>8443</v>
      </c>
      <c r="G3575" t="s">
        <v>8443</v>
      </c>
      <c r="H3575">
        <v>72</v>
      </c>
    </row>
    <row r="3576" spans="1:8" x14ac:dyDescent="0.25">
      <c r="A3576" t="s">
        <v>3890</v>
      </c>
      <c r="B3576">
        <v>1</v>
      </c>
      <c r="C3576">
        <v>1</v>
      </c>
      <c r="D3576">
        <v>1</v>
      </c>
      <c r="E3576" t="s">
        <v>8444</v>
      </c>
      <c r="F3576" t="s">
        <v>8444</v>
      </c>
      <c r="G3576" t="s">
        <v>8444</v>
      </c>
      <c r="H3576">
        <v>2</v>
      </c>
    </row>
    <row r="3577" spans="1:8" x14ac:dyDescent="0.25">
      <c r="A3577" t="s">
        <v>3346</v>
      </c>
      <c r="B3577">
        <v>1</v>
      </c>
      <c r="C3577">
        <v>1</v>
      </c>
      <c r="D3577">
        <v>1</v>
      </c>
      <c r="E3577" t="s">
        <v>8445</v>
      </c>
      <c r="F3577" t="s">
        <v>8445</v>
      </c>
      <c r="G3577" t="s">
        <v>8445</v>
      </c>
      <c r="H3577">
        <v>18</v>
      </c>
    </row>
    <row r="3578" spans="1:8" x14ac:dyDescent="0.25">
      <c r="A3578" t="s">
        <v>3746</v>
      </c>
      <c r="B3578">
        <v>1</v>
      </c>
      <c r="C3578">
        <v>1</v>
      </c>
      <c r="D3578">
        <v>1</v>
      </c>
      <c r="E3578" t="s">
        <v>8444</v>
      </c>
      <c r="F3578" t="s">
        <v>8444</v>
      </c>
      <c r="G3578" t="s">
        <v>8444</v>
      </c>
      <c r="H3578">
        <v>1</v>
      </c>
    </row>
    <row r="3579" spans="1:8" x14ac:dyDescent="0.25">
      <c r="A3579" t="s">
        <v>2239</v>
      </c>
      <c r="B3579">
        <v>2</v>
      </c>
      <c r="C3579">
        <v>2</v>
      </c>
      <c r="D3579">
        <v>2</v>
      </c>
      <c r="E3579" t="s">
        <v>8446</v>
      </c>
      <c r="F3579" t="s">
        <v>8446</v>
      </c>
      <c r="G3579" t="s">
        <v>4256</v>
      </c>
      <c r="H3579">
        <v>22</v>
      </c>
    </row>
    <row r="3580" spans="1:8" x14ac:dyDescent="0.25">
      <c r="A3580" t="s">
        <v>2254</v>
      </c>
      <c r="B3580">
        <v>1</v>
      </c>
      <c r="C3580">
        <v>1</v>
      </c>
      <c r="D3580">
        <v>1</v>
      </c>
      <c r="E3580" t="s">
        <v>8447</v>
      </c>
      <c r="F3580" t="s">
        <v>8448</v>
      </c>
      <c r="G3580" t="s">
        <v>8448</v>
      </c>
      <c r="H3580">
        <v>32</v>
      </c>
    </row>
    <row r="3581" spans="1:8" x14ac:dyDescent="0.25">
      <c r="A3581" t="s">
        <v>1954</v>
      </c>
      <c r="B3581">
        <v>1</v>
      </c>
      <c r="C3581">
        <v>1</v>
      </c>
      <c r="D3581">
        <v>1</v>
      </c>
      <c r="E3581" t="s">
        <v>8449</v>
      </c>
      <c r="F3581" t="s">
        <v>8450</v>
      </c>
      <c r="G3581" t="s">
        <v>8450</v>
      </c>
      <c r="H3581">
        <v>37</v>
      </c>
    </row>
    <row r="3582" spans="1:8" x14ac:dyDescent="0.25">
      <c r="A3582" t="s">
        <v>3127</v>
      </c>
      <c r="B3582">
        <v>2</v>
      </c>
      <c r="C3582">
        <v>2</v>
      </c>
      <c r="D3582">
        <v>2</v>
      </c>
      <c r="E3582" t="s">
        <v>8451</v>
      </c>
      <c r="F3582" t="s">
        <v>8451</v>
      </c>
      <c r="G3582" t="s">
        <v>4256</v>
      </c>
      <c r="H3582">
        <v>10</v>
      </c>
    </row>
    <row r="3583" spans="1:8" x14ac:dyDescent="0.25">
      <c r="A3583" t="s">
        <v>2436</v>
      </c>
      <c r="B3583">
        <v>1</v>
      </c>
      <c r="C3583">
        <v>1</v>
      </c>
      <c r="D3583">
        <v>1</v>
      </c>
      <c r="E3583" t="s">
        <v>8452</v>
      </c>
      <c r="F3583" t="s">
        <v>8452</v>
      </c>
      <c r="G3583" t="s">
        <v>8452</v>
      </c>
      <c r="H3583">
        <v>35</v>
      </c>
    </row>
    <row r="3584" spans="1:8" x14ac:dyDescent="0.25">
      <c r="A3584" t="s">
        <v>1925</v>
      </c>
      <c r="B3584">
        <v>1</v>
      </c>
      <c r="C3584">
        <v>1</v>
      </c>
      <c r="D3584">
        <v>1</v>
      </c>
      <c r="E3584" t="s">
        <v>8453</v>
      </c>
      <c r="F3584" t="s">
        <v>8453</v>
      </c>
      <c r="G3584" t="s">
        <v>8453</v>
      </c>
      <c r="H3584">
        <v>90</v>
      </c>
    </row>
    <row r="3585" spans="1:8" x14ac:dyDescent="0.25">
      <c r="A3585" t="s">
        <v>2553</v>
      </c>
      <c r="B3585">
        <v>1</v>
      </c>
      <c r="C3585">
        <v>1</v>
      </c>
      <c r="D3585">
        <v>1</v>
      </c>
      <c r="E3585" t="s">
        <v>8454</v>
      </c>
      <c r="F3585" t="s">
        <v>8454</v>
      </c>
      <c r="G3585" t="s">
        <v>8454</v>
      </c>
      <c r="H3585">
        <v>62</v>
      </c>
    </row>
    <row r="3586" spans="1:8" x14ac:dyDescent="0.25">
      <c r="A3586" t="s">
        <v>2404</v>
      </c>
      <c r="B3586">
        <v>1</v>
      </c>
      <c r="C3586">
        <v>1</v>
      </c>
      <c r="D3586">
        <v>1</v>
      </c>
      <c r="E3586" t="s">
        <v>8455</v>
      </c>
      <c r="F3586" t="s">
        <v>8455</v>
      </c>
      <c r="G3586" t="s">
        <v>8455</v>
      </c>
      <c r="H3586">
        <v>47</v>
      </c>
    </row>
    <row r="3587" spans="1:8" x14ac:dyDescent="0.25">
      <c r="A3587" t="s">
        <v>2552</v>
      </c>
      <c r="B3587">
        <v>1</v>
      </c>
      <c r="C3587">
        <v>1</v>
      </c>
      <c r="D3587">
        <v>1</v>
      </c>
      <c r="E3587" t="s">
        <v>8456</v>
      </c>
      <c r="F3587" t="s">
        <v>8456</v>
      </c>
      <c r="G3587" t="s">
        <v>8456</v>
      </c>
      <c r="H3587">
        <v>51</v>
      </c>
    </row>
    <row r="3588" spans="1:8" x14ac:dyDescent="0.25">
      <c r="A3588" t="s">
        <v>4010</v>
      </c>
      <c r="B3588">
        <v>1</v>
      </c>
      <c r="C3588">
        <v>1</v>
      </c>
      <c r="D3588">
        <v>1</v>
      </c>
      <c r="E3588" t="s">
        <v>8457</v>
      </c>
      <c r="F3588" t="s">
        <v>8457</v>
      </c>
      <c r="G3588" t="s">
        <v>8457</v>
      </c>
      <c r="H3588">
        <v>2</v>
      </c>
    </row>
    <row r="3589" spans="1:8" x14ac:dyDescent="0.25">
      <c r="A3589" t="s">
        <v>2621</v>
      </c>
      <c r="B3589">
        <v>1</v>
      </c>
      <c r="C3589">
        <v>1</v>
      </c>
      <c r="D3589">
        <v>1</v>
      </c>
      <c r="E3589" t="s">
        <v>8458</v>
      </c>
      <c r="F3589" t="s">
        <v>8458</v>
      </c>
      <c r="G3589" t="s">
        <v>8458</v>
      </c>
      <c r="H3589">
        <v>40</v>
      </c>
    </row>
    <row r="3590" spans="1:8" x14ac:dyDescent="0.25">
      <c r="A3590" t="s">
        <v>2184</v>
      </c>
      <c r="B3590">
        <v>1</v>
      </c>
      <c r="C3590">
        <v>1</v>
      </c>
      <c r="D3590">
        <v>1</v>
      </c>
      <c r="E3590" t="s">
        <v>8459</v>
      </c>
      <c r="F3590" t="s">
        <v>8459</v>
      </c>
      <c r="G3590" t="s">
        <v>8459</v>
      </c>
      <c r="H3590">
        <v>72</v>
      </c>
    </row>
    <row r="3591" spans="1:8" x14ac:dyDescent="0.25">
      <c r="A3591" t="s">
        <v>1937</v>
      </c>
      <c r="B3591">
        <v>1</v>
      </c>
      <c r="C3591">
        <v>1</v>
      </c>
      <c r="D3591">
        <v>1</v>
      </c>
      <c r="E3591" t="s">
        <v>8460</v>
      </c>
      <c r="F3591" t="s">
        <v>8460</v>
      </c>
      <c r="G3591" t="s">
        <v>8460</v>
      </c>
      <c r="H3591">
        <v>102</v>
      </c>
    </row>
    <row r="3592" spans="1:8" x14ac:dyDescent="0.25">
      <c r="A3592" t="s">
        <v>2218</v>
      </c>
      <c r="B3592">
        <v>5</v>
      </c>
      <c r="C3592">
        <v>5</v>
      </c>
      <c r="D3592">
        <v>5</v>
      </c>
      <c r="E3592" t="s">
        <v>8461</v>
      </c>
      <c r="F3592" t="s">
        <v>8461</v>
      </c>
      <c r="G3592" t="s">
        <v>4256</v>
      </c>
      <c r="H3592">
        <v>53</v>
      </c>
    </row>
    <row r="3593" spans="1:8" x14ac:dyDescent="0.25">
      <c r="A3593" t="s">
        <v>1940</v>
      </c>
      <c r="B3593">
        <v>1</v>
      </c>
      <c r="C3593">
        <v>1</v>
      </c>
      <c r="D3593">
        <v>1</v>
      </c>
      <c r="E3593" t="s">
        <v>8462</v>
      </c>
      <c r="F3593" t="s">
        <v>8462</v>
      </c>
      <c r="G3593" t="s">
        <v>8462</v>
      </c>
      <c r="H3593">
        <v>88</v>
      </c>
    </row>
    <row r="3594" spans="1:8" x14ac:dyDescent="0.25">
      <c r="A3594" t="s">
        <v>927</v>
      </c>
      <c r="B3594">
        <v>1</v>
      </c>
      <c r="C3594">
        <v>1</v>
      </c>
      <c r="D3594">
        <v>1</v>
      </c>
      <c r="E3594" t="s">
        <v>8463</v>
      </c>
      <c r="F3594" t="s">
        <v>8463</v>
      </c>
      <c r="G3594" t="s">
        <v>8463</v>
      </c>
      <c r="H3594">
        <v>164</v>
      </c>
    </row>
    <row r="3595" spans="1:8" x14ac:dyDescent="0.25">
      <c r="A3595" t="s">
        <v>1088</v>
      </c>
      <c r="B3595">
        <v>6</v>
      </c>
      <c r="C3595">
        <v>6</v>
      </c>
      <c r="D3595">
        <v>6</v>
      </c>
      <c r="E3595" t="s">
        <v>8464</v>
      </c>
      <c r="F3595" t="s">
        <v>8464</v>
      </c>
      <c r="G3595" t="s">
        <v>4256</v>
      </c>
      <c r="H3595">
        <v>154</v>
      </c>
    </row>
    <row r="3596" spans="1:8" x14ac:dyDescent="0.25">
      <c r="A3596" t="s">
        <v>1868</v>
      </c>
      <c r="B3596">
        <v>1</v>
      </c>
      <c r="C3596">
        <v>1</v>
      </c>
      <c r="D3596">
        <v>1</v>
      </c>
      <c r="E3596" t="s">
        <v>8465</v>
      </c>
      <c r="F3596" t="s">
        <v>8465</v>
      </c>
      <c r="G3596" t="s">
        <v>8465</v>
      </c>
      <c r="H3596">
        <v>173</v>
      </c>
    </row>
    <row r="3597" spans="1:8" x14ac:dyDescent="0.25">
      <c r="A3597" t="s">
        <v>2129</v>
      </c>
      <c r="B3597">
        <v>1</v>
      </c>
      <c r="C3597">
        <v>1</v>
      </c>
      <c r="D3597">
        <v>1</v>
      </c>
      <c r="E3597" t="s">
        <v>8466</v>
      </c>
      <c r="F3597" t="s">
        <v>8466</v>
      </c>
      <c r="G3597" t="s">
        <v>8466</v>
      </c>
      <c r="H3597">
        <v>65</v>
      </c>
    </row>
    <row r="3598" spans="1:8" x14ac:dyDescent="0.25">
      <c r="A3598" t="s">
        <v>953</v>
      </c>
      <c r="B3598">
        <v>1</v>
      </c>
      <c r="C3598">
        <v>1</v>
      </c>
      <c r="D3598">
        <v>1</v>
      </c>
      <c r="E3598" t="s">
        <v>8467</v>
      </c>
      <c r="F3598" t="s">
        <v>8467</v>
      </c>
      <c r="G3598" t="s">
        <v>8467</v>
      </c>
      <c r="H3598">
        <v>147</v>
      </c>
    </row>
    <row r="3599" spans="1:8" x14ac:dyDescent="0.25">
      <c r="A3599" t="s">
        <v>2512</v>
      </c>
      <c r="B3599">
        <v>1</v>
      </c>
      <c r="C3599">
        <v>1</v>
      </c>
      <c r="D3599">
        <v>1</v>
      </c>
      <c r="E3599" t="s">
        <v>8468</v>
      </c>
      <c r="F3599" t="s">
        <v>8468</v>
      </c>
      <c r="G3599" t="s">
        <v>8468</v>
      </c>
      <c r="H3599">
        <v>59</v>
      </c>
    </row>
    <row r="3600" spans="1:8" x14ac:dyDescent="0.25">
      <c r="A3600" t="s">
        <v>8469</v>
      </c>
      <c r="B3600">
        <v>0</v>
      </c>
      <c r="C3600">
        <v>0</v>
      </c>
      <c r="D3600">
        <v>0</v>
      </c>
      <c r="G3600" t="s">
        <v>4256</v>
      </c>
      <c r="H3600">
        <v>1</v>
      </c>
    </row>
    <row r="3601" spans="1:8" x14ac:dyDescent="0.25">
      <c r="A3601" t="s">
        <v>2845</v>
      </c>
      <c r="B3601">
        <v>1</v>
      </c>
      <c r="C3601">
        <v>1</v>
      </c>
      <c r="D3601">
        <v>1</v>
      </c>
      <c r="E3601" t="s">
        <v>8470</v>
      </c>
      <c r="F3601" t="s">
        <v>8470</v>
      </c>
      <c r="G3601" t="s">
        <v>8470</v>
      </c>
      <c r="H3601">
        <v>36</v>
      </c>
    </row>
    <row r="3602" spans="1:8" x14ac:dyDescent="0.25">
      <c r="A3602" t="s">
        <v>4003</v>
      </c>
      <c r="B3602">
        <v>1</v>
      </c>
      <c r="C3602">
        <v>1</v>
      </c>
      <c r="D3602">
        <v>1</v>
      </c>
      <c r="E3602" t="s">
        <v>8468</v>
      </c>
      <c r="F3602" t="s">
        <v>8468</v>
      </c>
      <c r="G3602" t="s">
        <v>8468</v>
      </c>
      <c r="H3602">
        <v>1</v>
      </c>
    </row>
    <row r="3603" spans="1:8" x14ac:dyDescent="0.25">
      <c r="A3603" t="s">
        <v>1724</v>
      </c>
      <c r="B3603">
        <v>1</v>
      </c>
      <c r="C3603">
        <v>1</v>
      </c>
      <c r="D3603">
        <v>1</v>
      </c>
      <c r="E3603" t="s">
        <v>8471</v>
      </c>
      <c r="F3603" t="s">
        <v>8472</v>
      </c>
      <c r="G3603" t="s">
        <v>8472</v>
      </c>
      <c r="H3603">
        <v>65</v>
      </c>
    </row>
    <row r="3604" spans="1:8" x14ac:dyDescent="0.25">
      <c r="A3604" t="s">
        <v>2209</v>
      </c>
      <c r="B3604">
        <v>1</v>
      </c>
      <c r="C3604">
        <v>1</v>
      </c>
      <c r="D3604">
        <v>1</v>
      </c>
      <c r="E3604" t="s">
        <v>8473</v>
      </c>
      <c r="F3604" t="s">
        <v>8474</v>
      </c>
      <c r="G3604" t="s">
        <v>8474</v>
      </c>
      <c r="H3604">
        <v>48</v>
      </c>
    </row>
    <row r="3605" spans="1:8" x14ac:dyDescent="0.25">
      <c r="A3605" t="s">
        <v>1889</v>
      </c>
      <c r="B3605">
        <v>1</v>
      </c>
      <c r="C3605">
        <v>1</v>
      </c>
      <c r="D3605">
        <v>1</v>
      </c>
      <c r="E3605" t="s">
        <v>8475</v>
      </c>
      <c r="F3605" t="s">
        <v>8475</v>
      </c>
      <c r="G3605" t="s">
        <v>8475</v>
      </c>
      <c r="H3605">
        <v>90</v>
      </c>
    </row>
    <row r="3606" spans="1:8" x14ac:dyDescent="0.25">
      <c r="A3606" t="s">
        <v>1533</v>
      </c>
      <c r="B3606">
        <v>1</v>
      </c>
      <c r="C3606">
        <v>1</v>
      </c>
      <c r="D3606">
        <v>1</v>
      </c>
      <c r="E3606" t="s">
        <v>8476</v>
      </c>
      <c r="F3606" t="s">
        <v>8476</v>
      </c>
      <c r="G3606" t="s">
        <v>8476</v>
      </c>
      <c r="H3606">
        <v>119</v>
      </c>
    </row>
    <row r="3607" spans="1:8" x14ac:dyDescent="0.25">
      <c r="A3607" t="s">
        <v>917</v>
      </c>
      <c r="B3607">
        <v>2</v>
      </c>
      <c r="C3607">
        <v>2</v>
      </c>
      <c r="D3607">
        <v>2</v>
      </c>
      <c r="E3607" t="s">
        <v>8477</v>
      </c>
      <c r="F3607" t="s">
        <v>8477</v>
      </c>
      <c r="G3607" t="s">
        <v>4256</v>
      </c>
      <c r="H3607">
        <v>197</v>
      </c>
    </row>
    <row r="3608" spans="1:8" x14ac:dyDescent="0.25">
      <c r="A3608" t="s">
        <v>3824</v>
      </c>
      <c r="B3608">
        <v>1</v>
      </c>
      <c r="C3608">
        <v>1</v>
      </c>
      <c r="D3608">
        <v>1</v>
      </c>
      <c r="E3608" t="s">
        <v>8478</v>
      </c>
      <c r="F3608" t="s">
        <v>8478</v>
      </c>
      <c r="G3608" t="s">
        <v>8478</v>
      </c>
      <c r="H3608">
        <v>2</v>
      </c>
    </row>
    <row r="3609" spans="1:8" x14ac:dyDescent="0.25">
      <c r="A3609" t="s">
        <v>1823</v>
      </c>
      <c r="B3609">
        <v>4</v>
      </c>
      <c r="C3609">
        <v>4</v>
      </c>
      <c r="D3609">
        <v>4</v>
      </c>
      <c r="E3609" t="s">
        <v>8479</v>
      </c>
      <c r="F3609" t="s">
        <v>8479</v>
      </c>
      <c r="G3609" t="s">
        <v>4256</v>
      </c>
      <c r="H3609">
        <v>85</v>
      </c>
    </row>
    <row r="3610" spans="1:8" x14ac:dyDescent="0.25">
      <c r="A3610" t="s">
        <v>3464</v>
      </c>
      <c r="B3610">
        <v>1</v>
      </c>
      <c r="C3610">
        <v>1</v>
      </c>
      <c r="D3610">
        <v>1</v>
      </c>
      <c r="E3610" t="s">
        <v>8480</v>
      </c>
      <c r="F3610" t="s">
        <v>8480</v>
      </c>
      <c r="G3610" t="s">
        <v>8480</v>
      </c>
      <c r="H3610">
        <v>11</v>
      </c>
    </row>
    <row r="3611" spans="1:8" x14ac:dyDescent="0.25">
      <c r="A3611" t="s">
        <v>2653</v>
      </c>
      <c r="B3611">
        <v>1</v>
      </c>
      <c r="C3611">
        <v>1</v>
      </c>
      <c r="D3611">
        <v>1</v>
      </c>
      <c r="E3611" t="s">
        <v>8481</v>
      </c>
      <c r="F3611" t="s">
        <v>8481</v>
      </c>
      <c r="G3611" t="s">
        <v>8481</v>
      </c>
      <c r="H3611">
        <v>81</v>
      </c>
    </row>
    <row r="3612" spans="1:8" x14ac:dyDescent="0.25">
      <c r="A3612" t="s">
        <v>2704</v>
      </c>
      <c r="B3612">
        <v>1</v>
      </c>
      <c r="C3612">
        <v>1</v>
      </c>
      <c r="D3612">
        <v>1</v>
      </c>
      <c r="E3612" t="s">
        <v>8482</v>
      </c>
      <c r="F3612" t="s">
        <v>8482</v>
      </c>
      <c r="G3612" t="s">
        <v>8482</v>
      </c>
      <c r="H3612">
        <v>80</v>
      </c>
    </row>
    <row r="3613" spans="1:8" x14ac:dyDescent="0.25">
      <c r="A3613" t="s">
        <v>2261</v>
      </c>
      <c r="B3613">
        <v>1</v>
      </c>
      <c r="C3613">
        <v>1</v>
      </c>
      <c r="D3613">
        <v>1</v>
      </c>
      <c r="E3613" t="s">
        <v>8483</v>
      </c>
      <c r="F3613" t="s">
        <v>8483</v>
      </c>
      <c r="G3613" t="s">
        <v>8483</v>
      </c>
      <c r="H3613">
        <v>71</v>
      </c>
    </row>
    <row r="3614" spans="1:8" x14ac:dyDescent="0.25">
      <c r="A3614" t="s">
        <v>2680</v>
      </c>
      <c r="B3614">
        <v>1</v>
      </c>
      <c r="C3614">
        <v>1</v>
      </c>
      <c r="D3614">
        <v>1</v>
      </c>
      <c r="E3614" t="s">
        <v>8484</v>
      </c>
      <c r="F3614" t="s">
        <v>8484</v>
      </c>
      <c r="G3614" t="s">
        <v>8484</v>
      </c>
      <c r="H3614">
        <v>43</v>
      </c>
    </row>
    <row r="3615" spans="1:8" x14ac:dyDescent="0.25">
      <c r="A3615" t="s">
        <v>3302</v>
      </c>
      <c r="B3615">
        <v>1</v>
      </c>
      <c r="C3615">
        <v>1</v>
      </c>
      <c r="D3615">
        <v>1</v>
      </c>
      <c r="E3615" t="s">
        <v>8485</v>
      </c>
      <c r="F3615" t="s">
        <v>8485</v>
      </c>
      <c r="G3615" t="s">
        <v>8485</v>
      </c>
      <c r="H3615">
        <v>11</v>
      </c>
    </row>
    <row r="3616" spans="1:8" x14ac:dyDescent="0.25">
      <c r="A3616" t="s">
        <v>3884</v>
      </c>
      <c r="B3616">
        <v>1</v>
      </c>
      <c r="C3616">
        <v>1</v>
      </c>
      <c r="D3616">
        <v>1</v>
      </c>
      <c r="E3616" t="s">
        <v>8486</v>
      </c>
      <c r="F3616" t="s">
        <v>8486</v>
      </c>
      <c r="G3616" t="s">
        <v>8486</v>
      </c>
      <c r="H3616">
        <v>5</v>
      </c>
    </row>
    <row r="3617" spans="1:8" x14ac:dyDescent="0.25">
      <c r="A3617" t="s">
        <v>1918</v>
      </c>
      <c r="B3617">
        <v>1</v>
      </c>
      <c r="C3617">
        <v>1</v>
      </c>
      <c r="D3617">
        <v>1</v>
      </c>
      <c r="E3617" t="s">
        <v>8487</v>
      </c>
      <c r="F3617" t="s">
        <v>8487</v>
      </c>
      <c r="G3617" t="s">
        <v>8487</v>
      </c>
      <c r="H3617">
        <v>77</v>
      </c>
    </row>
    <row r="3618" spans="1:8" x14ac:dyDescent="0.25">
      <c r="A3618" t="s">
        <v>2356</v>
      </c>
      <c r="B3618">
        <v>1</v>
      </c>
      <c r="C3618">
        <v>1</v>
      </c>
      <c r="D3618">
        <v>1</v>
      </c>
      <c r="E3618" t="s">
        <v>8488</v>
      </c>
      <c r="F3618" t="s">
        <v>8488</v>
      </c>
      <c r="G3618" t="s">
        <v>8488</v>
      </c>
      <c r="H3618">
        <v>75</v>
      </c>
    </row>
    <row r="3619" spans="1:8" x14ac:dyDescent="0.25">
      <c r="A3619" t="s">
        <v>3665</v>
      </c>
      <c r="B3619">
        <v>1</v>
      </c>
      <c r="C3619">
        <v>1</v>
      </c>
      <c r="D3619">
        <v>1</v>
      </c>
      <c r="E3619" t="s">
        <v>8489</v>
      </c>
      <c r="F3619" t="s">
        <v>8489</v>
      </c>
      <c r="G3619" t="s">
        <v>8489</v>
      </c>
      <c r="H3619">
        <v>4</v>
      </c>
    </row>
    <row r="3620" spans="1:8" x14ac:dyDescent="0.25">
      <c r="A3620" t="s">
        <v>3276</v>
      </c>
      <c r="B3620">
        <v>1</v>
      </c>
      <c r="C3620">
        <v>1</v>
      </c>
      <c r="D3620">
        <v>1</v>
      </c>
      <c r="E3620" t="s">
        <v>8490</v>
      </c>
      <c r="F3620" t="s">
        <v>8490</v>
      </c>
      <c r="G3620" t="s">
        <v>8490</v>
      </c>
      <c r="H3620">
        <v>23</v>
      </c>
    </row>
    <row r="3621" spans="1:8" x14ac:dyDescent="0.25">
      <c r="A3621" t="s">
        <v>3270</v>
      </c>
      <c r="B3621">
        <v>1</v>
      </c>
      <c r="C3621">
        <v>1</v>
      </c>
      <c r="D3621">
        <v>1</v>
      </c>
      <c r="E3621" t="s">
        <v>8491</v>
      </c>
      <c r="F3621" t="s">
        <v>8491</v>
      </c>
      <c r="G3621" t="s">
        <v>8491</v>
      </c>
      <c r="H3621">
        <v>10</v>
      </c>
    </row>
    <row r="3622" spans="1:8" x14ac:dyDescent="0.25">
      <c r="A3622" t="s">
        <v>2109</v>
      </c>
      <c r="B3622">
        <v>2</v>
      </c>
      <c r="C3622">
        <v>2</v>
      </c>
      <c r="D3622">
        <v>2</v>
      </c>
      <c r="E3622" t="s">
        <v>8492</v>
      </c>
      <c r="F3622" t="s">
        <v>8492</v>
      </c>
      <c r="G3622" t="s">
        <v>4256</v>
      </c>
      <c r="H3622">
        <v>98</v>
      </c>
    </row>
    <row r="3623" spans="1:8" x14ac:dyDescent="0.25">
      <c r="A3623" t="s">
        <v>1544</v>
      </c>
      <c r="B3623">
        <v>1</v>
      </c>
      <c r="C3623">
        <v>1</v>
      </c>
      <c r="D3623">
        <v>1</v>
      </c>
      <c r="E3623" t="s">
        <v>8493</v>
      </c>
      <c r="F3623" t="s">
        <v>8493</v>
      </c>
      <c r="G3623" t="s">
        <v>8493</v>
      </c>
      <c r="H3623">
        <v>275</v>
      </c>
    </row>
    <row r="3624" spans="1:8" x14ac:dyDescent="0.25">
      <c r="A3624" t="s">
        <v>2791</v>
      </c>
      <c r="B3624">
        <v>1</v>
      </c>
      <c r="C3624">
        <v>1</v>
      </c>
      <c r="D3624">
        <v>1</v>
      </c>
      <c r="E3624" t="s">
        <v>8494</v>
      </c>
      <c r="F3624" t="s">
        <v>8494</v>
      </c>
      <c r="G3624" t="s">
        <v>8494</v>
      </c>
      <c r="H3624">
        <v>28</v>
      </c>
    </row>
    <row r="3625" spans="1:8" x14ac:dyDescent="0.25">
      <c r="A3625" t="s">
        <v>2625</v>
      </c>
      <c r="B3625">
        <v>1</v>
      </c>
      <c r="C3625">
        <v>1</v>
      </c>
      <c r="D3625">
        <v>1</v>
      </c>
      <c r="E3625" t="s">
        <v>8495</v>
      </c>
      <c r="F3625" t="s">
        <v>8495</v>
      </c>
      <c r="G3625" t="s">
        <v>8495</v>
      </c>
      <c r="H3625">
        <v>116</v>
      </c>
    </row>
    <row r="3626" spans="1:8" x14ac:dyDescent="0.25">
      <c r="A3626" t="s">
        <v>2478</v>
      </c>
      <c r="B3626">
        <v>1</v>
      </c>
      <c r="C3626">
        <v>1</v>
      </c>
      <c r="D3626">
        <v>1</v>
      </c>
      <c r="E3626" t="s">
        <v>8496</v>
      </c>
      <c r="F3626" t="s">
        <v>8497</v>
      </c>
      <c r="G3626" t="s">
        <v>8497</v>
      </c>
      <c r="H3626">
        <v>133</v>
      </c>
    </row>
    <row r="3627" spans="1:8" x14ac:dyDescent="0.25">
      <c r="A3627" t="s">
        <v>2596</v>
      </c>
      <c r="B3627">
        <v>2</v>
      </c>
      <c r="C3627">
        <v>2</v>
      </c>
      <c r="D3627">
        <v>2</v>
      </c>
      <c r="E3627" t="s">
        <v>8498</v>
      </c>
      <c r="F3627" t="s">
        <v>8498</v>
      </c>
      <c r="G3627" t="s">
        <v>4256</v>
      </c>
      <c r="H3627">
        <v>108</v>
      </c>
    </row>
    <row r="3628" spans="1:8" x14ac:dyDescent="0.25">
      <c r="A3628" t="s">
        <v>2601</v>
      </c>
      <c r="B3628">
        <v>1</v>
      </c>
      <c r="C3628">
        <v>1</v>
      </c>
      <c r="D3628">
        <v>1</v>
      </c>
      <c r="E3628" t="s">
        <v>8499</v>
      </c>
      <c r="F3628" t="s">
        <v>8499</v>
      </c>
      <c r="G3628" t="s">
        <v>8499</v>
      </c>
      <c r="H3628">
        <v>30</v>
      </c>
    </row>
    <row r="3629" spans="1:8" x14ac:dyDescent="0.25">
      <c r="A3629" t="s">
        <v>1391</v>
      </c>
      <c r="B3629">
        <v>1</v>
      </c>
      <c r="C3629">
        <v>1</v>
      </c>
      <c r="D3629">
        <v>1</v>
      </c>
      <c r="E3629" t="s">
        <v>8500</v>
      </c>
      <c r="F3629" t="s">
        <v>8500</v>
      </c>
      <c r="G3629" t="s">
        <v>8500</v>
      </c>
      <c r="H3629">
        <v>119</v>
      </c>
    </row>
    <row r="3630" spans="1:8" x14ac:dyDescent="0.25">
      <c r="A3630" t="s">
        <v>3666</v>
      </c>
      <c r="B3630">
        <v>1</v>
      </c>
      <c r="C3630">
        <v>1</v>
      </c>
      <c r="D3630">
        <v>1</v>
      </c>
      <c r="E3630" t="s">
        <v>8501</v>
      </c>
      <c r="F3630" t="s">
        <v>8501</v>
      </c>
      <c r="G3630" t="s">
        <v>8501</v>
      </c>
      <c r="H3630">
        <v>4</v>
      </c>
    </row>
    <row r="3631" spans="1:8" x14ac:dyDescent="0.25">
      <c r="A3631" t="s">
        <v>2458</v>
      </c>
      <c r="B3631">
        <v>2</v>
      </c>
      <c r="C3631">
        <v>2</v>
      </c>
      <c r="D3631">
        <v>2</v>
      </c>
      <c r="E3631" t="s">
        <v>8502</v>
      </c>
      <c r="F3631" t="s">
        <v>8502</v>
      </c>
      <c r="G3631" t="s">
        <v>4256</v>
      </c>
      <c r="H3631">
        <v>50</v>
      </c>
    </row>
    <row r="3632" spans="1:8" x14ac:dyDescent="0.25">
      <c r="A3632" t="s">
        <v>2913</v>
      </c>
      <c r="B3632">
        <v>1</v>
      </c>
      <c r="C3632">
        <v>1</v>
      </c>
      <c r="D3632">
        <v>1</v>
      </c>
      <c r="E3632" t="s">
        <v>8503</v>
      </c>
      <c r="F3632" t="s">
        <v>8503</v>
      </c>
      <c r="G3632" t="s">
        <v>8503</v>
      </c>
      <c r="H3632">
        <v>30</v>
      </c>
    </row>
    <row r="3633" spans="1:8" x14ac:dyDescent="0.25">
      <c r="A3633" t="s">
        <v>1984</v>
      </c>
      <c r="B3633">
        <v>1</v>
      </c>
      <c r="C3633">
        <v>1</v>
      </c>
      <c r="D3633">
        <v>1</v>
      </c>
      <c r="E3633" t="s">
        <v>8504</v>
      </c>
      <c r="F3633" t="s">
        <v>8505</v>
      </c>
      <c r="G3633" t="s">
        <v>8505</v>
      </c>
      <c r="H3633">
        <v>82</v>
      </c>
    </row>
    <row r="3634" spans="1:8" x14ac:dyDescent="0.25">
      <c r="A3634" t="s">
        <v>2586</v>
      </c>
      <c r="B3634">
        <v>1</v>
      </c>
      <c r="C3634">
        <v>1</v>
      </c>
      <c r="D3634">
        <v>1</v>
      </c>
      <c r="E3634" t="s">
        <v>8506</v>
      </c>
      <c r="F3634" t="s">
        <v>8507</v>
      </c>
      <c r="G3634" t="s">
        <v>8507</v>
      </c>
      <c r="H3634">
        <v>38</v>
      </c>
    </row>
    <row r="3635" spans="1:8" x14ac:dyDescent="0.25">
      <c r="A3635" t="s">
        <v>2697</v>
      </c>
      <c r="B3635">
        <v>1</v>
      </c>
      <c r="C3635">
        <v>1</v>
      </c>
      <c r="D3635">
        <v>1</v>
      </c>
      <c r="E3635" t="s">
        <v>8508</v>
      </c>
      <c r="F3635" t="s">
        <v>8508</v>
      </c>
      <c r="G3635" t="s">
        <v>8508</v>
      </c>
      <c r="H3635">
        <v>60</v>
      </c>
    </row>
    <row r="3636" spans="1:8" x14ac:dyDescent="0.25">
      <c r="A3636" t="s">
        <v>2898</v>
      </c>
      <c r="B3636">
        <v>2</v>
      </c>
      <c r="C3636">
        <v>2</v>
      </c>
      <c r="D3636">
        <v>2</v>
      </c>
      <c r="E3636" t="s">
        <v>8509</v>
      </c>
      <c r="F3636" t="s">
        <v>8509</v>
      </c>
      <c r="G3636" t="s">
        <v>4256</v>
      </c>
      <c r="H3636">
        <v>20</v>
      </c>
    </row>
    <row r="3637" spans="1:8" x14ac:dyDescent="0.25">
      <c r="A3637" t="s">
        <v>3543</v>
      </c>
      <c r="B3637">
        <v>1</v>
      </c>
      <c r="C3637">
        <v>1</v>
      </c>
      <c r="D3637">
        <v>1</v>
      </c>
      <c r="E3637" t="s">
        <v>8510</v>
      </c>
      <c r="F3637" t="s">
        <v>8510</v>
      </c>
      <c r="G3637" t="s">
        <v>8510</v>
      </c>
      <c r="H3637">
        <v>8</v>
      </c>
    </row>
    <row r="3638" spans="1:8" x14ac:dyDescent="0.25">
      <c r="A3638" t="s">
        <v>3912</v>
      </c>
      <c r="B3638">
        <v>1</v>
      </c>
      <c r="C3638">
        <v>1</v>
      </c>
      <c r="D3638">
        <v>1</v>
      </c>
      <c r="E3638" t="s">
        <v>8511</v>
      </c>
      <c r="F3638" t="s">
        <v>8511</v>
      </c>
      <c r="G3638" t="s">
        <v>8511</v>
      </c>
      <c r="H3638">
        <v>2</v>
      </c>
    </row>
    <row r="3639" spans="1:8" x14ac:dyDescent="0.25">
      <c r="A3639" t="s">
        <v>3915</v>
      </c>
      <c r="B3639">
        <v>1</v>
      </c>
      <c r="C3639">
        <v>1</v>
      </c>
      <c r="D3639">
        <v>1</v>
      </c>
      <c r="E3639" t="s">
        <v>8512</v>
      </c>
      <c r="F3639" t="s">
        <v>8512</v>
      </c>
      <c r="G3639" t="s">
        <v>8512</v>
      </c>
      <c r="H3639">
        <v>3</v>
      </c>
    </row>
    <row r="3640" spans="1:8" x14ac:dyDescent="0.25">
      <c r="A3640" t="s">
        <v>8513</v>
      </c>
      <c r="B3640">
        <v>0</v>
      </c>
      <c r="C3640">
        <v>0</v>
      </c>
      <c r="D3640">
        <v>0</v>
      </c>
      <c r="G3640" t="s">
        <v>4256</v>
      </c>
      <c r="H3640">
        <v>1</v>
      </c>
    </row>
    <row r="3641" spans="1:8" x14ac:dyDescent="0.25">
      <c r="A3641" t="s">
        <v>8514</v>
      </c>
      <c r="B3641">
        <v>0</v>
      </c>
      <c r="C3641">
        <v>0</v>
      </c>
      <c r="D3641">
        <v>0</v>
      </c>
      <c r="G3641" t="s">
        <v>4256</v>
      </c>
      <c r="H3641">
        <v>1</v>
      </c>
    </row>
    <row r="3642" spans="1:8" x14ac:dyDescent="0.25">
      <c r="A3642" t="s">
        <v>1507</v>
      </c>
      <c r="B3642">
        <v>1</v>
      </c>
      <c r="C3642">
        <v>1</v>
      </c>
      <c r="D3642">
        <v>1</v>
      </c>
      <c r="E3642" t="s">
        <v>8515</v>
      </c>
      <c r="F3642" t="s">
        <v>8515</v>
      </c>
      <c r="G3642" t="s">
        <v>8515</v>
      </c>
      <c r="H3642">
        <v>237</v>
      </c>
    </row>
    <row r="3643" spans="1:8" x14ac:dyDescent="0.25">
      <c r="A3643" t="s">
        <v>2839</v>
      </c>
      <c r="B3643">
        <v>1</v>
      </c>
      <c r="C3643">
        <v>1</v>
      </c>
      <c r="D3643">
        <v>1</v>
      </c>
      <c r="E3643" t="s">
        <v>8516</v>
      </c>
      <c r="F3643" t="s">
        <v>8516</v>
      </c>
      <c r="G3643" t="s">
        <v>8516</v>
      </c>
      <c r="H3643">
        <v>18</v>
      </c>
    </row>
    <row r="3644" spans="1:8" x14ac:dyDescent="0.25">
      <c r="A3644" t="s">
        <v>2588</v>
      </c>
      <c r="B3644">
        <v>1</v>
      </c>
      <c r="C3644">
        <v>1</v>
      </c>
      <c r="D3644">
        <v>1</v>
      </c>
      <c r="E3644" t="s">
        <v>8517</v>
      </c>
      <c r="F3644" t="s">
        <v>8517</v>
      </c>
      <c r="G3644" t="s">
        <v>8517</v>
      </c>
      <c r="H3644">
        <v>39</v>
      </c>
    </row>
    <row r="3645" spans="1:8" x14ac:dyDescent="0.25">
      <c r="A3645" t="s">
        <v>2709</v>
      </c>
      <c r="B3645">
        <v>2</v>
      </c>
      <c r="C3645">
        <v>2</v>
      </c>
      <c r="D3645">
        <v>2</v>
      </c>
      <c r="E3645" t="s">
        <v>8518</v>
      </c>
      <c r="F3645" t="s">
        <v>8518</v>
      </c>
      <c r="G3645" t="s">
        <v>4256</v>
      </c>
      <c r="H3645">
        <v>26</v>
      </c>
    </row>
    <row r="3646" spans="1:8" x14ac:dyDescent="0.25">
      <c r="A3646" t="s">
        <v>3202</v>
      </c>
      <c r="B3646">
        <v>1</v>
      </c>
      <c r="C3646">
        <v>1</v>
      </c>
      <c r="D3646">
        <v>1</v>
      </c>
      <c r="E3646" t="s">
        <v>8519</v>
      </c>
      <c r="F3646" t="s">
        <v>8519</v>
      </c>
      <c r="G3646" t="s">
        <v>8519</v>
      </c>
      <c r="H3646">
        <v>13</v>
      </c>
    </row>
    <row r="3647" spans="1:8" x14ac:dyDescent="0.25">
      <c r="A3647" t="s">
        <v>2731</v>
      </c>
      <c r="B3647">
        <v>1</v>
      </c>
      <c r="C3647">
        <v>1</v>
      </c>
      <c r="D3647">
        <v>1</v>
      </c>
      <c r="E3647" t="s">
        <v>8520</v>
      </c>
      <c r="F3647" t="s">
        <v>8520</v>
      </c>
      <c r="G3647" t="s">
        <v>8520</v>
      </c>
      <c r="H3647">
        <v>26</v>
      </c>
    </row>
    <row r="3648" spans="1:8" x14ac:dyDescent="0.25">
      <c r="A3648" t="s">
        <v>1962</v>
      </c>
      <c r="B3648">
        <v>1</v>
      </c>
      <c r="C3648">
        <v>1</v>
      </c>
      <c r="D3648">
        <v>1</v>
      </c>
      <c r="E3648" t="s">
        <v>8521</v>
      </c>
      <c r="F3648" t="s">
        <v>8521</v>
      </c>
      <c r="G3648" t="s">
        <v>8521</v>
      </c>
      <c r="H3648">
        <v>155</v>
      </c>
    </row>
    <row r="3649" spans="1:8" x14ac:dyDescent="0.25">
      <c r="A3649" t="s">
        <v>2340</v>
      </c>
      <c r="B3649">
        <v>3</v>
      </c>
      <c r="C3649">
        <v>3</v>
      </c>
      <c r="D3649">
        <v>3</v>
      </c>
      <c r="E3649" t="s">
        <v>8522</v>
      </c>
      <c r="F3649" t="s">
        <v>8522</v>
      </c>
      <c r="G3649" t="s">
        <v>4256</v>
      </c>
      <c r="H3649">
        <v>85</v>
      </c>
    </row>
    <row r="3650" spans="1:8" x14ac:dyDescent="0.25">
      <c r="A3650" t="s">
        <v>3949</v>
      </c>
      <c r="B3650">
        <v>1</v>
      </c>
      <c r="C3650">
        <v>1</v>
      </c>
      <c r="D3650">
        <v>1</v>
      </c>
      <c r="E3650" t="s">
        <v>8521</v>
      </c>
      <c r="F3650" t="s">
        <v>8521</v>
      </c>
      <c r="G3650" t="s">
        <v>8521</v>
      </c>
      <c r="H3650">
        <v>3</v>
      </c>
    </row>
    <row r="3651" spans="1:8" x14ac:dyDescent="0.25">
      <c r="A3651" t="s">
        <v>3849</v>
      </c>
      <c r="B3651">
        <v>1</v>
      </c>
      <c r="C3651">
        <v>1</v>
      </c>
      <c r="D3651">
        <v>1</v>
      </c>
      <c r="E3651" t="s">
        <v>8523</v>
      </c>
      <c r="F3651" t="s">
        <v>8523</v>
      </c>
      <c r="G3651" t="s">
        <v>8523</v>
      </c>
      <c r="H3651">
        <v>6</v>
      </c>
    </row>
    <row r="3652" spans="1:8" x14ac:dyDescent="0.25">
      <c r="A3652" t="s">
        <v>2502</v>
      </c>
      <c r="B3652">
        <v>1</v>
      </c>
      <c r="C3652">
        <v>1</v>
      </c>
      <c r="D3652">
        <v>1</v>
      </c>
      <c r="E3652" t="s">
        <v>8524</v>
      </c>
      <c r="F3652" t="s">
        <v>8524</v>
      </c>
      <c r="G3652" t="s">
        <v>8524</v>
      </c>
      <c r="H3652">
        <v>31</v>
      </c>
    </row>
    <row r="3653" spans="1:8" x14ac:dyDescent="0.25">
      <c r="A3653" t="s">
        <v>1511</v>
      </c>
      <c r="B3653">
        <v>1</v>
      </c>
      <c r="C3653">
        <v>1</v>
      </c>
      <c r="D3653">
        <v>1</v>
      </c>
      <c r="E3653" t="s">
        <v>8525</v>
      </c>
      <c r="F3653" t="s">
        <v>8525</v>
      </c>
      <c r="G3653" t="s">
        <v>8525</v>
      </c>
      <c r="H3653">
        <v>22</v>
      </c>
    </row>
    <row r="3654" spans="1:8" x14ac:dyDescent="0.25">
      <c r="A3654" t="s">
        <v>1764</v>
      </c>
      <c r="B3654">
        <v>2</v>
      </c>
      <c r="C3654">
        <v>2</v>
      </c>
      <c r="D3654">
        <v>2</v>
      </c>
      <c r="E3654" t="s">
        <v>8526</v>
      </c>
      <c r="F3654" t="s">
        <v>8526</v>
      </c>
      <c r="G3654" t="s">
        <v>4256</v>
      </c>
      <c r="H3654">
        <v>74</v>
      </c>
    </row>
    <row r="3655" spans="1:8" x14ac:dyDescent="0.25">
      <c r="A3655" t="s">
        <v>3250</v>
      </c>
      <c r="B3655">
        <v>1</v>
      </c>
      <c r="C3655">
        <v>1</v>
      </c>
      <c r="D3655">
        <v>1</v>
      </c>
      <c r="E3655" t="s">
        <v>8527</v>
      </c>
      <c r="F3655" t="s">
        <v>8527</v>
      </c>
      <c r="G3655" t="s">
        <v>8527</v>
      </c>
      <c r="H3655">
        <v>8</v>
      </c>
    </row>
    <row r="3656" spans="1:8" x14ac:dyDescent="0.25">
      <c r="A3656" t="s">
        <v>3306</v>
      </c>
      <c r="B3656">
        <v>1</v>
      </c>
      <c r="C3656">
        <v>1</v>
      </c>
      <c r="D3656">
        <v>1</v>
      </c>
      <c r="E3656" t="s">
        <v>8528</v>
      </c>
      <c r="F3656" t="s">
        <v>8528</v>
      </c>
      <c r="G3656" t="s">
        <v>8528</v>
      </c>
      <c r="H3656">
        <v>7</v>
      </c>
    </row>
    <row r="3657" spans="1:8" x14ac:dyDescent="0.25">
      <c r="A3657" t="s">
        <v>8529</v>
      </c>
      <c r="B3657">
        <v>0</v>
      </c>
      <c r="C3657">
        <v>0</v>
      </c>
      <c r="D3657">
        <v>0</v>
      </c>
      <c r="G3657" t="s">
        <v>4256</v>
      </c>
      <c r="H3657">
        <v>1</v>
      </c>
    </row>
    <row r="3658" spans="1:8" x14ac:dyDescent="0.25">
      <c r="A3658" t="s">
        <v>3055</v>
      </c>
      <c r="B3658">
        <v>1</v>
      </c>
      <c r="C3658">
        <v>1</v>
      </c>
      <c r="D3658">
        <v>1</v>
      </c>
      <c r="E3658" t="s">
        <v>8530</v>
      </c>
      <c r="F3658" t="s">
        <v>8530</v>
      </c>
      <c r="G3658" t="s">
        <v>8530</v>
      </c>
      <c r="H3658">
        <v>14</v>
      </c>
    </row>
    <row r="3659" spans="1:8" x14ac:dyDescent="0.25">
      <c r="A3659" t="s">
        <v>3684</v>
      </c>
      <c r="B3659">
        <v>1</v>
      </c>
      <c r="C3659">
        <v>1</v>
      </c>
      <c r="D3659">
        <v>1</v>
      </c>
      <c r="E3659" t="s">
        <v>8531</v>
      </c>
      <c r="F3659" t="s">
        <v>8531</v>
      </c>
      <c r="G3659" t="s">
        <v>8531</v>
      </c>
      <c r="H3659">
        <v>4</v>
      </c>
    </row>
    <row r="3660" spans="1:8" x14ac:dyDescent="0.25">
      <c r="A3660" t="s">
        <v>3679</v>
      </c>
      <c r="B3660">
        <v>1</v>
      </c>
      <c r="C3660">
        <v>1</v>
      </c>
      <c r="D3660">
        <v>1</v>
      </c>
      <c r="E3660" t="s">
        <v>8532</v>
      </c>
      <c r="F3660" t="s">
        <v>8532</v>
      </c>
      <c r="G3660" t="s">
        <v>8532</v>
      </c>
      <c r="H3660">
        <v>3</v>
      </c>
    </row>
    <row r="3661" spans="1:8" x14ac:dyDescent="0.25">
      <c r="A3661" t="s">
        <v>3680</v>
      </c>
      <c r="B3661">
        <v>1</v>
      </c>
      <c r="C3661">
        <v>1</v>
      </c>
      <c r="D3661">
        <v>1</v>
      </c>
      <c r="E3661" t="s">
        <v>8533</v>
      </c>
      <c r="F3661" t="s">
        <v>8533</v>
      </c>
      <c r="G3661" t="s">
        <v>8533</v>
      </c>
      <c r="H3661">
        <v>5</v>
      </c>
    </row>
    <row r="3662" spans="1:8" x14ac:dyDescent="0.25">
      <c r="A3662" t="s">
        <v>3588</v>
      </c>
      <c r="B3662">
        <v>1</v>
      </c>
      <c r="C3662">
        <v>1</v>
      </c>
      <c r="D3662">
        <v>1</v>
      </c>
      <c r="E3662" t="s">
        <v>8534</v>
      </c>
      <c r="F3662" t="s">
        <v>8534</v>
      </c>
      <c r="G3662" t="s">
        <v>8534</v>
      </c>
      <c r="H3662">
        <v>5</v>
      </c>
    </row>
    <row r="3663" spans="1:8" x14ac:dyDescent="0.25">
      <c r="A3663" t="s">
        <v>3439</v>
      </c>
      <c r="B3663">
        <v>1</v>
      </c>
      <c r="C3663">
        <v>1</v>
      </c>
      <c r="D3663">
        <v>1</v>
      </c>
      <c r="E3663" t="s">
        <v>8535</v>
      </c>
      <c r="F3663" t="s">
        <v>8535</v>
      </c>
      <c r="G3663" t="s">
        <v>8535</v>
      </c>
      <c r="H3663">
        <v>10</v>
      </c>
    </row>
    <row r="3664" spans="1:8" x14ac:dyDescent="0.25">
      <c r="A3664" t="s">
        <v>3382</v>
      </c>
      <c r="B3664">
        <v>1</v>
      </c>
      <c r="C3664">
        <v>1</v>
      </c>
      <c r="D3664">
        <v>1</v>
      </c>
      <c r="E3664" t="s">
        <v>8536</v>
      </c>
      <c r="F3664" t="s">
        <v>8536</v>
      </c>
      <c r="G3664" t="s">
        <v>8536</v>
      </c>
      <c r="H3664">
        <v>11</v>
      </c>
    </row>
    <row r="3665" spans="1:8" x14ac:dyDescent="0.25">
      <c r="A3665" t="s">
        <v>3091</v>
      </c>
      <c r="B3665">
        <v>1</v>
      </c>
      <c r="C3665">
        <v>1</v>
      </c>
      <c r="D3665">
        <v>1</v>
      </c>
      <c r="E3665" t="s">
        <v>8537</v>
      </c>
      <c r="F3665" t="s">
        <v>8537</v>
      </c>
      <c r="G3665" t="s">
        <v>8537</v>
      </c>
      <c r="H3665">
        <v>25</v>
      </c>
    </row>
    <row r="3666" spans="1:8" x14ac:dyDescent="0.25">
      <c r="A3666" t="s">
        <v>3119</v>
      </c>
      <c r="B3666">
        <v>1</v>
      </c>
      <c r="C3666">
        <v>1</v>
      </c>
      <c r="D3666">
        <v>1</v>
      </c>
      <c r="E3666" t="s">
        <v>8538</v>
      </c>
      <c r="F3666" t="s">
        <v>8538</v>
      </c>
      <c r="G3666" t="s">
        <v>8538</v>
      </c>
      <c r="H3666">
        <v>17</v>
      </c>
    </row>
    <row r="3667" spans="1:8" x14ac:dyDescent="0.25">
      <c r="A3667" t="s">
        <v>3221</v>
      </c>
      <c r="B3667">
        <v>1</v>
      </c>
      <c r="C3667">
        <v>1</v>
      </c>
      <c r="D3667">
        <v>1</v>
      </c>
      <c r="E3667" t="s">
        <v>8539</v>
      </c>
      <c r="F3667" t="s">
        <v>8539</v>
      </c>
      <c r="G3667" t="s">
        <v>8539</v>
      </c>
      <c r="H3667">
        <v>15</v>
      </c>
    </row>
    <row r="3668" spans="1:8" x14ac:dyDescent="0.25">
      <c r="A3668" t="s">
        <v>3610</v>
      </c>
      <c r="B3668">
        <v>1</v>
      </c>
      <c r="C3668">
        <v>1</v>
      </c>
      <c r="D3668">
        <v>1</v>
      </c>
      <c r="E3668" t="s">
        <v>8540</v>
      </c>
      <c r="F3668" t="s">
        <v>8540</v>
      </c>
      <c r="G3668" t="s">
        <v>8540</v>
      </c>
      <c r="H3668">
        <v>12</v>
      </c>
    </row>
    <row r="3669" spans="1:8" x14ac:dyDescent="0.25">
      <c r="A3669" t="s">
        <v>2936</v>
      </c>
      <c r="B3669">
        <v>1</v>
      </c>
      <c r="C3669">
        <v>1</v>
      </c>
      <c r="D3669">
        <v>1</v>
      </c>
      <c r="E3669" t="s">
        <v>8541</v>
      </c>
      <c r="F3669" t="s">
        <v>8541</v>
      </c>
      <c r="G3669" t="s">
        <v>8541</v>
      </c>
      <c r="H3669">
        <v>16</v>
      </c>
    </row>
    <row r="3670" spans="1:8" x14ac:dyDescent="0.25">
      <c r="A3670" t="s">
        <v>3164</v>
      </c>
      <c r="B3670">
        <v>1</v>
      </c>
      <c r="C3670">
        <v>1</v>
      </c>
      <c r="D3670">
        <v>1</v>
      </c>
      <c r="E3670" t="s">
        <v>8542</v>
      </c>
      <c r="F3670" t="s">
        <v>8542</v>
      </c>
      <c r="G3670" t="s">
        <v>8542</v>
      </c>
      <c r="H3670">
        <v>8</v>
      </c>
    </row>
    <row r="3671" spans="1:8" x14ac:dyDescent="0.25">
      <c r="A3671" t="s">
        <v>2792</v>
      </c>
      <c r="B3671">
        <v>1</v>
      </c>
      <c r="C3671">
        <v>1</v>
      </c>
      <c r="D3671">
        <v>1</v>
      </c>
      <c r="E3671" t="s">
        <v>8543</v>
      </c>
      <c r="F3671" t="s">
        <v>8543</v>
      </c>
      <c r="G3671" t="s">
        <v>8543</v>
      </c>
      <c r="H3671">
        <v>16</v>
      </c>
    </row>
    <row r="3672" spans="1:8" x14ac:dyDescent="0.25">
      <c r="A3672" t="s">
        <v>3719</v>
      </c>
      <c r="B3672">
        <v>1</v>
      </c>
      <c r="C3672">
        <v>1</v>
      </c>
      <c r="D3672">
        <v>1</v>
      </c>
      <c r="E3672" t="s">
        <v>8544</v>
      </c>
      <c r="F3672" t="s">
        <v>8544</v>
      </c>
      <c r="G3672" t="s">
        <v>8544</v>
      </c>
      <c r="H3672">
        <v>6</v>
      </c>
    </row>
    <row r="3673" spans="1:8" x14ac:dyDescent="0.25">
      <c r="A3673" t="s">
        <v>3549</v>
      </c>
      <c r="B3673">
        <v>1</v>
      </c>
      <c r="C3673">
        <v>1</v>
      </c>
      <c r="D3673">
        <v>1</v>
      </c>
      <c r="E3673" t="s">
        <v>8545</v>
      </c>
      <c r="F3673" t="s">
        <v>8545</v>
      </c>
      <c r="G3673" t="s">
        <v>8545</v>
      </c>
      <c r="H3673">
        <v>7</v>
      </c>
    </row>
    <row r="3674" spans="1:8" x14ac:dyDescent="0.25">
      <c r="A3674" t="s">
        <v>3925</v>
      </c>
      <c r="B3674">
        <v>1</v>
      </c>
      <c r="C3674">
        <v>1</v>
      </c>
      <c r="D3674">
        <v>1</v>
      </c>
      <c r="E3674" t="s">
        <v>8546</v>
      </c>
      <c r="F3674" t="s">
        <v>8546</v>
      </c>
      <c r="G3674" t="s">
        <v>8546</v>
      </c>
      <c r="H3674">
        <v>2</v>
      </c>
    </row>
    <row r="3675" spans="1:8" x14ac:dyDescent="0.25">
      <c r="A3675" t="s">
        <v>3861</v>
      </c>
      <c r="B3675">
        <v>1</v>
      </c>
      <c r="C3675">
        <v>1</v>
      </c>
      <c r="D3675">
        <v>1</v>
      </c>
      <c r="E3675" t="s">
        <v>8547</v>
      </c>
      <c r="F3675" t="s">
        <v>8547</v>
      </c>
      <c r="G3675" t="s">
        <v>8547</v>
      </c>
      <c r="H3675">
        <v>3</v>
      </c>
    </row>
    <row r="3676" spans="1:8" x14ac:dyDescent="0.25">
      <c r="A3676" t="s">
        <v>3862</v>
      </c>
      <c r="B3676">
        <v>1</v>
      </c>
      <c r="C3676">
        <v>1</v>
      </c>
      <c r="D3676">
        <v>1</v>
      </c>
      <c r="E3676" t="s">
        <v>8548</v>
      </c>
      <c r="F3676" t="s">
        <v>8548</v>
      </c>
      <c r="G3676" t="s">
        <v>8548</v>
      </c>
      <c r="H3676">
        <v>3</v>
      </c>
    </row>
    <row r="3677" spans="1:8" x14ac:dyDescent="0.25">
      <c r="A3677" t="s">
        <v>3398</v>
      </c>
      <c r="B3677">
        <v>2</v>
      </c>
      <c r="C3677">
        <v>2</v>
      </c>
      <c r="D3677">
        <v>2</v>
      </c>
      <c r="E3677" t="s">
        <v>8549</v>
      </c>
      <c r="F3677" t="s">
        <v>8549</v>
      </c>
      <c r="G3677" t="s">
        <v>4256</v>
      </c>
      <c r="H3677">
        <v>6</v>
      </c>
    </row>
    <row r="3678" spans="1:8" x14ac:dyDescent="0.25">
      <c r="A3678" t="s">
        <v>3460</v>
      </c>
      <c r="B3678">
        <v>2</v>
      </c>
      <c r="C3678">
        <v>2</v>
      </c>
      <c r="D3678">
        <v>2</v>
      </c>
      <c r="E3678" t="s">
        <v>8550</v>
      </c>
      <c r="F3678" t="s">
        <v>8550</v>
      </c>
      <c r="G3678" t="s">
        <v>4256</v>
      </c>
      <c r="H3678">
        <v>4</v>
      </c>
    </row>
    <row r="3679" spans="1:8" x14ac:dyDescent="0.25">
      <c r="A3679" t="s">
        <v>2860</v>
      </c>
      <c r="B3679">
        <v>1</v>
      </c>
      <c r="C3679">
        <v>1</v>
      </c>
      <c r="D3679">
        <v>1</v>
      </c>
      <c r="E3679" t="s">
        <v>8551</v>
      </c>
      <c r="F3679" t="s">
        <v>8551</v>
      </c>
      <c r="G3679" t="s">
        <v>8551</v>
      </c>
      <c r="H3679">
        <v>33</v>
      </c>
    </row>
    <row r="3680" spans="1:8" x14ac:dyDescent="0.25">
      <c r="A3680" t="s">
        <v>2991</v>
      </c>
      <c r="B3680">
        <v>1</v>
      </c>
      <c r="C3680">
        <v>1</v>
      </c>
      <c r="D3680">
        <v>1</v>
      </c>
      <c r="E3680" t="s">
        <v>8552</v>
      </c>
      <c r="F3680" t="s">
        <v>8552</v>
      </c>
      <c r="G3680" t="s">
        <v>8552</v>
      </c>
      <c r="H3680">
        <v>31</v>
      </c>
    </row>
    <row r="3681" spans="1:8" x14ac:dyDescent="0.25">
      <c r="A3681" t="s">
        <v>2961</v>
      </c>
      <c r="B3681">
        <v>1</v>
      </c>
      <c r="C3681">
        <v>1</v>
      </c>
      <c r="D3681">
        <v>1</v>
      </c>
      <c r="E3681" t="s">
        <v>8553</v>
      </c>
      <c r="F3681" t="s">
        <v>8554</v>
      </c>
      <c r="G3681" t="s">
        <v>8554</v>
      </c>
      <c r="H3681">
        <v>28</v>
      </c>
    </row>
    <row r="3682" spans="1:8" x14ac:dyDescent="0.25">
      <c r="A3682" t="s">
        <v>3636</v>
      </c>
      <c r="B3682">
        <v>1</v>
      </c>
      <c r="C3682">
        <v>1</v>
      </c>
      <c r="D3682">
        <v>1</v>
      </c>
      <c r="E3682" t="s">
        <v>8555</v>
      </c>
      <c r="F3682" t="s">
        <v>8555</v>
      </c>
      <c r="G3682" t="s">
        <v>8555</v>
      </c>
      <c r="H3682">
        <v>3</v>
      </c>
    </row>
    <row r="3683" spans="1:8" x14ac:dyDescent="0.25">
      <c r="A3683" t="s">
        <v>2812</v>
      </c>
      <c r="B3683">
        <v>3</v>
      </c>
      <c r="C3683">
        <v>3</v>
      </c>
      <c r="D3683">
        <v>3</v>
      </c>
      <c r="E3683" t="s">
        <v>8556</v>
      </c>
      <c r="F3683" t="s">
        <v>8556</v>
      </c>
      <c r="G3683" t="s">
        <v>4256</v>
      </c>
      <c r="H3683">
        <v>22</v>
      </c>
    </row>
    <row r="3684" spans="1:8" x14ac:dyDescent="0.25">
      <c r="A3684" t="s">
        <v>2959</v>
      </c>
      <c r="B3684">
        <v>2</v>
      </c>
      <c r="C3684">
        <v>2</v>
      </c>
      <c r="D3684">
        <v>2</v>
      </c>
      <c r="E3684" t="s">
        <v>8557</v>
      </c>
      <c r="F3684" t="s">
        <v>8557</v>
      </c>
      <c r="G3684" t="s">
        <v>4256</v>
      </c>
      <c r="H3684">
        <v>16</v>
      </c>
    </row>
    <row r="3685" spans="1:8" x14ac:dyDescent="0.25">
      <c r="A3685" t="s">
        <v>3470</v>
      </c>
      <c r="B3685">
        <v>2</v>
      </c>
      <c r="C3685">
        <v>2</v>
      </c>
      <c r="D3685">
        <v>2</v>
      </c>
      <c r="E3685" t="s">
        <v>8558</v>
      </c>
      <c r="F3685" t="s">
        <v>8558</v>
      </c>
      <c r="G3685" t="s">
        <v>4256</v>
      </c>
      <c r="H3685">
        <v>5</v>
      </c>
    </row>
    <row r="3686" spans="1:8" x14ac:dyDescent="0.25">
      <c r="A3686" t="s">
        <v>3144</v>
      </c>
      <c r="B3686">
        <v>1</v>
      </c>
      <c r="C3686">
        <v>1</v>
      </c>
      <c r="D3686">
        <v>1</v>
      </c>
      <c r="E3686" t="s">
        <v>8559</v>
      </c>
      <c r="F3686" t="s">
        <v>8559</v>
      </c>
      <c r="G3686" t="s">
        <v>8559</v>
      </c>
      <c r="H3686">
        <v>7</v>
      </c>
    </row>
    <row r="3687" spans="1:8" x14ac:dyDescent="0.25">
      <c r="A3687" t="s">
        <v>2892</v>
      </c>
      <c r="B3687">
        <v>1</v>
      </c>
      <c r="C3687">
        <v>1</v>
      </c>
      <c r="D3687">
        <v>1</v>
      </c>
      <c r="E3687" t="s">
        <v>8560</v>
      </c>
      <c r="F3687" t="s">
        <v>8560</v>
      </c>
      <c r="G3687" t="s">
        <v>8560</v>
      </c>
      <c r="H3687">
        <v>19</v>
      </c>
    </row>
    <row r="3688" spans="1:8" x14ac:dyDescent="0.25">
      <c r="A3688" t="s">
        <v>3640</v>
      </c>
      <c r="B3688">
        <v>1</v>
      </c>
      <c r="C3688">
        <v>1</v>
      </c>
      <c r="D3688">
        <v>1</v>
      </c>
      <c r="E3688" t="s">
        <v>8561</v>
      </c>
      <c r="F3688" t="s">
        <v>8561</v>
      </c>
      <c r="G3688" t="s">
        <v>8561</v>
      </c>
      <c r="H3688">
        <v>3</v>
      </c>
    </row>
    <row r="3689" spans="1:8" x14ac:dyDescent="0.25">
      <c r="A3689" t="s">
        <v>2866</v>
      </c>
      <c r="B3689">
        <v>1</v>
      </c>
      <c r="C3689">
        <v>1</v>
      </c>
      <c r="D3689">
        <v>1</v>
      </c>
      <c r="E3689" t="s">
        <v>8562</v>
      </c>
      <c r="F3689" t="s">
        <v>8562</v>
      </c>
      <c r="G3689" t="s">
        <v>8562</v>
      </c>
      <c r="H3689">
        <v>38</v>
      </c>
    </row>
    <row r="3690" spans="1:8" x14ac:dyDescent="0.25">
      <c r="A3690" t="s">
        <v>3194</v>
      </c>
      <c r="B3690">
        <v>1</v>
      </c>
      <c r="C3690">
        <v>1</v>
      </c>
      <c r="D3690">
        <v>1</v>
      </c>
      <c r="E3690" t="s">
        <v>8563</v>
      </c>
      <c r="F3690" t="s">
        <v>8563</v>
      </c>
      <c r="G3690" t="s">
        <v>8563</v>
      </c>
      <c r="H3690">
        <v>17</v>
      </c>
    </row>
    <row r="3691" spans="1:8" x14ac:dyDescent="0.25">
      <c r="A3691" t="s">
        <v>3423</v>
      </c>
      <c r="B3691">
        <v>1</v>
      </c>
      <c r="C3691">
        <v>1</v>
      </c>
      <c r="D3691">
        <v>1</v>
      </c>
      <c r="E3691" t="s">
        <v>8564</v>
      </c>
      <c r="F3691" t="s">
        <v>8564</v>
      </c>
      <c r="G3691" t="s">
        <v>8564</v>
      </c>
      <c r="H3691">
        <v>10</v>
      </c>
    </row>
    <row r="3692" spans="1:8" x14ac:dyDescent="0.25">
      <c r="A3692" t="s">
        <v>2856</v>
      </c>
      <c r="B3692">
        <v>1</v>
      </c>
      <c r="C3692">
        <v>1</v>
      </c>
      <c r="D3692">
        <v>1</v>
      </c>
      <c r="E3692" t="s">
        <v>8565</v>
      </c>
      <c r="F3692" t="s">
        <v>8565</v>
      </c>
      <c r="G3692" t="s">
        <v>8565</v>
      </c>
      <c r="H3692">
        <v>27</v>
      </c>
    </row>
    <row r="3693" spans="1:8" x14ac:dyDescent="0.25">
      <c r="A3693" t="s">
        <v>3179</v>
      </c>
      <c r="B3693">
        <v>1</v>
      </c>
      <c r="C3693">
        <v>1</v>
      </c>
      <c r="D3693">
        <v>1</v>
      </c>
      <c r="E3693" t="s">
        <v>8566</v>
      </c>
      <c r="F3693" t="s">
        <v>8566</v>
      </c>
      <c r="G3693" t="s">
        <v>8566</v>
      </c>
      <c r="H3693">
        <v>18</v>
      </c>
    </row>
    <row r="3694" spans="1:8" x14ac:dyDescent="0.25">
      <c r="A3694" t="s">
        <v>3301</v>
      </c>
      <c r="B3694">
        <v>1</v>
      </c>
      <c r="C3694">
        <v>1</v>
      </c>
      <c r="D3694">
        <v>1</v>
      </c>
      <c r="E3694" t="s">
        <v>8567</v>
      </c>
      <c r="F3694" t="s">
        <v>8567</v>
      </c>
      <c r="G3694" t="s">
        <v>8567</v>
      </c>
      <c r="H3694">
        <v>11</v>
      </c>
    </row>
    <row r="3695" spans="1:8" x14ac:dyDescent="0.25">
      <c r="A3695" t="s">
        <v>3806</v>
      </c>
      <c r="B3695">
        <v>1</v>
      </c>
      <c r="C3695">
        <v>1</v>
      </c>
      <c r="D3695">
        <v>1</v>
      </c>
      <c r="E3695" t="s">
        <v>8568</v>
      </c>
      <c r="F3695" t="s">
        <v>8568</v>
      </c>
      <c r="G3695" t="s">
        <v>8568</v>
      </c>
      <c r="H3695">
        <v>1</v>
      </c>
    </row>
    <row r="3696" spans="1:8" x14ac:dyDescent="0.25">
      <c r="A3696" t="s">
        <v>3812</v>
      </c>
      <c r="B3696">
        <v>1</v>
      </c>
      <c r="C3696">
        <v>1</v>
      </c>
      <c r="D3696">
        <v>1</v>
      </c>
      <c r="E3696" t="s">
        <v>8569</v>
      </c>
      <c r="F3696" t="s">
        <v>8569</v>
      </c>
      <c r="G3696" t="s">
        <v>8569</v>
      </c>
      <c r="H3696">
        <v>1</v>
      </c>
    </row>
    <row r="3697" spans="1:8" x14ac:dyDescent="0.25">
      <c r="A3697" t="s">
        <v>3204</v>
      </c>
      <c r="B3697">
        <v>1</v>
      </c>
      <c r="C3697">
        <v>1</v>
      </c>
      <c r="D3697">
        <v>1</v>
      </c>
      <c r="E3697" t="s">
        <v>8570</v>
      </c>
      <c r="F3697" t="s">
        <v>8570</v>
      </c>
      <c r="G3697" t="s">
        <v>8570</v>
      </c>
      <c r="H3697">
        <v>21</v>
      </c>
    </row>
    <row r="3698" spans="1:8" x14ac:dyDescent="0.25">
      <c r="A3698" t="s">
        <v>3387</v>
      </c>
      <c r="B3698">
        <v>1</v>
      </c>
      <c r="C3698">
        <v>1</v>
      </c>
      <c r="D3698">
        <v>1</v>
      </c>
      <c r="E3698" t="s">
        <v>8571</v>
      </c>
      <c r="F3698" t="s">
        <v>8571</v>
      </c>
      <c r="G3698" t="s">
        <v>8571</v>
      </c>
      <c r="H3698">
        <v>9</v>
      </c>
    </row>
    <row r="3699" spans="1:8" x14ac:dyDescent="0.25">
      <c r="A3699" t="s">
        <v>3313</v>
      </c>
      <c r="B3699">
        <v>1</v>
      </c>
      <c r="C3699">
        <v>1</v>
      </c>
      <c r="D3699">
        <v>1</v>
      </c>
      <c r="E3699" t="s">
        <v>8572</v>
      </c>
      <c r="F3699" t="s">
        <v>8572</v>
      </c>
      <c r="G3699" t="s">
        <v>8572</v>
      </c>
      <c r="H3699">
        <v>7</v>
      </c>
    </row>
    <row r="3700" spans="1:8" x14ac:dyDescent="0.25">
      <c r="A3700" t="s">
        <v>3560</v>
      </c>
      <c r="B3700">
        <v>1</v>
      </c>
      <c r="C3700">
        <v>1</v>
      </c>
      <c r="D3700">
        <v>1</v>
      </c>
      <c r="E3700" t="s">
        <v>8573</v>
      </c>
      <c r="F3700" t="s">
        <v>8573</v>
      </c>
      <c r="G3700" t="s">
        <v>8573</v>
      </c>
      <c r="H3700">
        <v>3</v>
      </c>
    </row>
    <row r="3701" spans="1:8" x14ac:dyDescent="0.25">
      <c r="A3701" t="s">
        <v>3733</v>
      </c>
      <c r="B3701">
        <v>1</v>
      </c>
      <c r="C3701">
        <v>1</v>
      </c>
      <c r="D3701">
        <v>1</v>
      </c>
      <c r="E3701" t="s">
        <v>8574</v>
      </c>
      <c r="F3701" t="s">
        <v>8574</v>
      </c>
      <c r="G3701" t="s">
        <v>8574</v>
      </c>
      <c r="H3701">
        <v>2</v>
      </c>
    </row>
    <row r="3702" spans="1:8" x14ac:dyDescent="0.25">
      <c r="A3702" t="s">
        <v>3734</v>
      </c>
      <c r="B3702">
        <v>1</v>
      </c>
      <c r="C3702">
        <v>1</v>
      </c>
      <c r="D3702">
        <v>1</v>
      </c>
      <c r="E3702" t="s">
        <v>8575</v>
      </c>
      <c r="F3702" t="s">
        <v>8575</v>
      </c>
      <c r="G3702" t="s">
        <v>8575</v>
      </c>
      <c r="H3702">
        <v>2</v>
      </c>
    </row>
    <row r="3703" spans="1:8" x14ac:dyDescent="0.25">
      <c r="A3703" t="s">
        <v>3480</v>
      </c>
      <c r="B3703">
        <v>1</v>
      </c>
      <c r="C3703">
        <v>1</v>
      </c>
      <c r="D3703">
        <v>1</v>
      </c>
      <c r="E3703" t="s">
        <v>8576</v>
      </c>
      <c r="F3703" t="s">
        <v>8576</v>
      </c>
      <c r="G3703" t="s">
        <v>8576</v>
      </c>
      <c r="H3703">
        <v>4</v>
      </c>
    </row>
    <row r="3704" spans="1:8" x14ac:dyDescent="0.25">
      <c r="A3704" t="s">
        <v>3891</v>
      </c>
      <c r="B3704">
        <v>1</v>
      </c>
      <c r="C3704">
        <v>1</v>
      </c>
      <c r="D3704">
        <v>1</v>
      </c>
      <c r="E3704" t="s">
        <v>8577</v>
      </c>
      <c r="F3704" t="s">
        <v>8577</v>
      </c>
      <c r="G3704" t="s">
        <v>8577</v>
      </c>
      <c r="H3704">
        <v>2</v>
      </c>
    </row>
    <row r="3705" spans="1:8" x14ac:dyDescent="0.25">
      <c r="A3705" t="s">
        <v>3971</v>
      </c>
      <c r="B3705">
        <v>1</v>
      </c>
      <c r="C3705">
        <v>1</v>
      </c>
      <c r="D3705">
        <v>1</v>
      </c>
      <c r="E3705" t="s">
        <v>8578</v>
      </c>
      <c r="F3705" t="s">
        <v>8578</v>
      </c>
      <c r="G3705" t="s">
        <v>8578</v>
      </c>
      <c r="H3705">
        <v>1</v>
      </c>
    </row>
    <row r="3706" spans="1:8" x14ac:dyDescent="0.25">
      <c r="A3706" t="s">
        <v>3828</v>
      </c>
      <c r="B3706">
        <v>1</v>
      </c>
      <c r="C3706">
        <v>1</v>
      </c>
      <c r="D3706">
        <v>1</v>
      </c>
      <c r="E3706" t="s">
        <v>8579</v>
      </c>
      <c r="F3706" t="s">
        <v>8579</v>
      </c>
      <c r="G3706" t="s">
        <v>8579</v>
      </c>
      <c r="H3706">
        <v>3</v>
      </c>
    </row>
    <row r="3707" spans="1:8" x14ac:dyDescent="0.25">
      <c r="A3707" t="s">
        <v>3972</v>
      </c>
      <c r="B3707">
        <v>1</v>
      </c>
      <c r="C3707">
        <v>1</v>
      </c>
      <c r="D3707">
        <v>1</v>
      </c>
      <c r="E3707" t="s">
        <v>8580</v>
      </c>
      <c r="F3707" t="s">
        <v>8580</v>
      </c>
      <c r="G3707" t="s">
        <v>8580</v>
      </c>
      <c r="H3707">
        <v>1</v>
      </c>
    </row>
    <row r="3708" spans="1:8" x14ac:dyDescent="0.25">
      <c r="A3708" t="s">
        <v>3769</v>
      </c>
      <c r="B3708">
        <v>1</v>
      </c>
      <c r="C3708">
        <v>1</v>
      </c>
      <c r="D3708">
        <v>1</v>
      </c>
      <c r="E3708" t="s">
        <v>8581</v>
      </c>
      <c r="F3708" t="s">
        <v>8581</v>
      </c>
      <c r="G3708" t="s">
        <v>8581</v>
      </c>
      <c r="H3708">
        <v>4</v>
      </c>
    </row>
    <row r="3709" spans="1:8" x14ac:dyDescent="0.25">
      <c r="A3709" t="s">
        <v>3728</v>
      </c>
      <c r="B3709">
        <v>1</v>
      </c>
      <c r="C3709">
        <v>1</v>
      </c>
      <c r="D3709">
        <v>1</v>
      </c>
      <c r="E3709" t="s">
        <v>8582</v>
      </c>
      <c r="F3709" t="s">
        <v>8582</v>
      </c>
      <c r="G3709" t="s">
        <v>8582</v>
      </c>
      <c r="H3709">
        <v>1</v>
      </c>
    </row>
    <row r="3710" spans="1:8" x14ac:dyDescent="0.25">
      <c r="A3710" t="s">
        <v>3634</v>
      </c>
      <c r="B3710">
        <v>1</v>
      </c>
      <c r="C3710">
        <v>1</v>
      </c>
      <c r="D3710">
        <v>1</v>
      </c>
      <c r="E3710" t="s">
        <v>8583</v>
      </c>
      <c r="F3710" t="s">
        <v>8583</v>
      </c>
      <c r="G3710" t="s">
        <v>8583</v>
      </c>
      <c r="H3710">
        <v>3</v>
      </c>
    </row>
    <row r="3711" spans="1:8" x14ac:dyDescent="0.25">
      <c r="A3711" t="s">
        <v>3559</v>
      </c>
      <c r="B3711">
        <v>1</v>
      </c>
      <c r="C3711">
        <v>1</v>
      </c>
      <c r="D3711">
        <v>1</v>
      </c>
      <c r="E3711" t="s">
        <v>8584</v>
      </c>
      <c r="F3711" t="s">
        <v>8584</v>
      </c>
      <c r="G3711" t="s">
        <v>8584</v>
      </c>
      <c r="H3711">
        <v>3</v>
      </c>
    </row>
    <row r="3712" spans="1:8" x14ac:dyDescent="0.25">
      <c r="A3712" t="s">
        <v>3631</v>
      </c>
      <c r="B3712">
        <v>1</v>
      </c>
      <c r="C3712">
        <v>1</v>
      </c>
      <c r="D3712">
        <v>1</v>
      </c>
      <c r="E3712" t="s">
        <v>8585</v>
      </c>
      <c r="F3712" t="s">
        <v>8585</v>
      </c>
      <c r="G3712" t="s">
        <v>8585</v>
      </c>
      <c r="H3712">
        <v>3</v>
      </c>
    </row>
    <row r="3713" spans="1:8" x14ac:dyDescent="0.25">
      <c r="A3713" t="s">
        <v>3716</v>
      </c>
      <c r="B3713">
        <v>1</v>
      </c>
      <c r="C3713">
        <v>1</v>
      </c>
      <c r="D3713">
        <v>1</v>
      </c>
      <c r="E3713" t="s">
        <v>8586</v>
      </c>
      <c r="F3713" t="s">
        <v>8586</v>
      </c>
      <c r="G3713" t="s">
        <v>8586</v>
      </c>
      <c r="H3713">
        <v>3</v>
      </c>
    </row>
    <row r="3714" spans="1:8" x14ac:dyDescent="0.25">
      <c r="A3714" t="s">
        <v>3863</v>
      </c>
      <c r="B3714">
        <v>1</v>
      </c>
      <c r="C3714">
        <v>1</v>
      </c>
      <c r="D3714">
        <v>1</v>
      </c>
      <c r="E3714" t="s">
        <v>8587</v>
      </c>
      <c r="F3714" t="s">
        <v>8587</v>
      </c>
      <c r="G3714" t="s">
        <v>8587</v>
      </c>
      <c r="H3714">
        <v>3</v>
      </c>
    </row>
    <row r="3715" spans="1:8" x14ac:dyDescent="0.25">
      <c r="A3715" t="s">
        <v>3778</v>
      </c>
      <c r="B3715">
        <v>1</v>
      </c>
      <c r="C3715">
        <v>1</v>
      </c>
      <c r="D3715">
        <v>1</v>
      </c>
      <c r="E3715" t="s">
        <v>8588</v>
      </c>
      <c r="F3715" t="s">
        <v>8588</v>
      </c>
      <c r="G3715" t="s">
        <v>8588</v>
      </c>
      <c r="H3715">
        <v>5</v>
      </c>
    </row>
    <row r="3716" spans="1:8" x14ac:dyDescent="0.25">
      <c r="A3716" t="s">
        <v>3607</v>
      </c>
      <c r="B3716">
        <v>1</v>
      </c>
      <c r="C3716">
        <v>1</v>
      </c>
      <c r="D3716">
        <v>1</v>
      </c>
      <c r="E3716" t="s">
        <v>8589</v>
      </c>
      <c r="F3716" t="s">
        <v>8589</v>
      </c>
      <c r="G3716" t="s">
        <v>8589</v>
      </c>
      <c r="H3716">
        <v>6</v>
      </c>
    </row>
    <row r="3717" spans="1:8" x14ac:dyDescent="0.25">
      <c r="A3717" t="s">
        <v>3040</v>
      </c>
      <c r="B3717">
        <v>1</v>
      </c>
      <c r="C3717">
        <v>1</v>
      </c>
      <c r="D3717">
        <v>1</v>
      </c>
      <c r="E3717" t="s">
        <v>8590</v>
      </c>
      <c r="F3717" t="s">
        <v>8590</v>
      </c>
      <c r="G3717" t="s">
        <v>8590</v>
      </c>
      <c r="H3717">
        <v>14</v>
      </c>
    </row>
    <row r="3718" spans="1:8" x14ac:dyDescent="0.25">
      <c r="A3718" t="s">
        <v>3479</v>
      </c>
      <c r="B3718">
        <v>1</v>
      </c>
      <c r="C3718">
        <v>1</v>
      </c>
      <c r="D3718">
        <v>1</v>
      </c>
      <c r="E3718" t="s">
        <v>8591</v>
      </c>
      <c r="F3718" t="s">
        <v>8591</v>
      </c>
      <c r="G3718" t="s">
        <v>8591</v>
      </c>
      <c r="H3718">
        <v>4</v>
      </c>
    </row>
    <row r="3719" spans="1:8" x14ac:dyDescent="0.25">
      <c r="A3719" t="s">
        <v>3282</v>
      </c>
      <c r="B3719">
        <v>1</v>
      </c>
      <c r="C3719">
        <v>1</v>
      </c>
      <c r="D3719">
        <v>1</v>
      </c>
      <c r="E3719" t="s">
        <v>8592</v>
      </c>
      <c r="F3719" t="s">
        <v>8592</v>
      </c>
      <c r="G3719" t="s">
        <v>8592</v>
      </c>
      <c r="H3719">
        <v>7</v>
      </c>
    </row>
    <row r="3720" spans="1:8" x14ac:dyDescent="0.25">
      <c r="A3720" t="s">
        <v>2873</v>
      </c>
      <c r="B3720">
        <v>1</v>
      </c>
      <c r="C3720">
        <v>1</v>
      </c>
      <c r="D3720">
        <v>1</v>
      </c>
      <c r="E3720" t="s">
        <v>8593</v>
      </c>
      <c r="F3720" t="s">
        <v>8593</v>
      </c>
      <c r="G3720" t="s">
        <v>8593</v>
      </c>
      <c r="H3720">
        <v>25</v>
      </c>
    </row>
    <row r="3721" spans="1:8" x14ac:dyDescent="0.25">
      <c r="A3721" t="s">
        <v>3198</v>
      </c>
      <c r="B3721">
        <v>1</v>
      </c>
      <c r="C3721">
        <v>1</v>
      </c>
      <c r="D3721">
        <v>1</v>
      </c>
      <c r="E3721" t="s">
        <v>8594</v>
      </c>
      <c r="F3721" t="s">
        <v>8594</v>
      </c>
      <c r="G3721" t="s">
        <v>8594</v>
      </c>
      <c r="H3721">
        <v>11</v>
      </c>
    </row>
    <row r="3722" spans="1:8" x14ac:dyDescent="0.25">
      <c r="A3722" t="s">
        <v>3360</v>
      </c>
      <c r="B3722">
        <v>1</v>
      </c>
      <c r="C3722">
        <v>1</v>
      </c>
      <c r="D3722">
        <v>1</v>
      </c>
      <c r="E3722" t="s">
        <v>8595</v>
      </c>
      <c r="F3722" t="s">
        <v>8595</v>
      </c>
      <c r="G3722" t="s">
        <v>8595</v>
      </c>
      <c r="H3722">
        <v>7</v>
      </c>
    </row>
    <row r="3723" spans="1:8" x14ac:dyDescent="0.25">
      <c r="A3723" t="s">
        <v>3154</v>
      </c>
      <c r="B3723">
        <v>1</v>
      </c>
      <c r="C3723">
        <v>1</v>
      </c>
      <c r="D3723">
        <v>1</v>
      </c>
      <c r="E3723" t="s">
        <v>8596</v>
      </c>
      <c r="F3723" t="s">
        <v>8596</v>
      </c>
      <c r="G3723" t="s">
        <v>8596</v>
      </c>
      <c r="H3723">
        <v>8</v>
      </c>
    </row>
    <row r="3724" spans="1:8" x14ac:dyDescent="0.25">
      <c r="A3724" t="s">
        <v>3639</v>
      </c>
      <c r="B3724">
        <v>1</v>
      </c>
      <c r="C3724">
        <v>1</v>
      </c>
      <c r="D3724">
        <v>1</v>
      </c>
      <c r="E3724" t="s">
        <v>8597</v>
      </c>
      <c r="F3724" t="s">
        <v>8597</v>
      </c>
      <c r="G3724" t="s">
        <v>8597</v>
      </c>
      <c r="H3724">
        <v>9</v>
      </c>
    </row>
    <row r="3725" spans="1:8" x14ac:dyDescent="0.25">
      <c r="A3725" t="s">
        <v>3690</v>
      </c>
      <c r="B3725">
        <v>1</v>
      </c>
      <c r="C3725">
        <v>1</v>
      </c>
      <c r="D3725">
        <v>1</v>
      </c>
      <c r="E3725" t="s">
        <v>8598</v>
      </c>
      <c r="F3725" t="s">
        <v>8598</v>
      </c>
      <c r="G3725" t="s">
        <v>8598</v>
      </c>
      <c r="H3725">
        <v>2</v>
      </c>
    </row>
    <row r="3726" spans="1:8" x14ac:dyDescent="0.25">
      <c r="A3726" t="s">
        <v>3399</v>
      </c>
      <c r="B3726">
        <v>1</v>
      </c>
      <c r="C3726">
        <v>1</v>
      </c>
      <c r="D3726">
        <v>1</v>
      </c>
      <c r="E3726" t="s">
        <v>8599</v>
      </c>
      <c r="F3726" t="s">
        <v>8599</v>
      </c>
      <c r="G3726" t="s">
        <v>8599</v>
      </c>
      <c r="H3726">
        <v>4</v>
      </c>
    </row>
    <row r="3727" spans="1:8" x14ac:dyDescent="0.25">
      <c r="A3727" t="s">
        <v>3675</v>
      </c>
      <c r="B3727">
        <v>1</v>
      </c>
      <c r="C3727">
        <v>1</v>
      </c>
      <c r="D3727">
        <v>1</v>
      </c>
      <c r="E3727" t="s">
        <v>8600</v>
      </c>
      <c r="F3727" t="s">
        <v>8600</v>
      </c>
      <c r="G3727" t="s">
        <v>8600</v>
      </c>
      <c r="H3727">
        <v>1</v>
      </c>
    </row>
    <row r="3728" spans="1:8" x14ac:dyDescent="0.25">
      <c r="A3728" t="s">
        <v>3448</v>
      </c>
      <c r="B3728">
        <v>1</v>
      </c>
      <c r="C3728">
        <v>1</v>
      </c>
      <c r="D3728">
        <v>1</v>
      </c>
      <c r="E3728" t="s">
        <v>8601</v>
      </c>
      <c r="F3728" t="s">
        <v>8601</v>
      </c>
      <c r="G3728" t="s">
        <v>8601</v>
      </c>
      <c r="H3728">
        <v>4</v>
      </c>
    </row>
    <row r="3729" spans="1:8" x14ac:dyDescent="0.25">
      <c r="A3729" t="s">
        <v>3571</v>
      </c>
      <c r="B3729">
        <v>1</v>
      </c>
      <c r="C3729">
        <v>1</v>
      </c>
      <c r="D3729">
        <v>1</v>
      </c>
      <c r="E3729" t="s">
        <v>8602</v>
      </c>
      <c r="F3729" t="s">
        <v>8602</v>
      </c>
      <c r="G3729" t="s">
        <v>8602</v>
      </c>
      <c r="H3729">
        <v>2</v>
      </c>
    </row>
    <row r="3730" spans="1:8" x14ac:dyDescent="0.25">
      <c r="A3730" t="s">
        <v>3283</v>
      </c>
      <c r="B3730">
        <v>1</v>
      </c>
      <c r="C3730">
        <v>1</v>
      </c>
      <c r="D3730">
        <v>1</v>
      </c>
      <c r="E3730" t="s">
        <v>8603</v>
      </c>
      <c r="F3730" t="s">
        <v>8603</v>
      </c>
      <c r="G3730" t="s">
        <v>8603</v>
      </c>
      <c r="H3730">
        <v>5</v>
      </c>
    </row>
    <row r="3731" spans="1:8" x14ac:dyDescent="0.25">
      <c r="A3731" t="s">
        <v>3184</v>
      </c>
      <c r="B3731">
        <v>1</v>
      </c>
      <c r="C3731">
        <v>1</v>
      </c>
      <c r="D3731">
        <v>1</v>
      </c>
      <c r="E3731" t="s">
        <v>8604</v>
      </c>
      <c r="F3731" t="s">
        <v>8604</v>
      </c>
      <c r="G3731" t="s">
        <v>8604</v>
      </c>
      <c r="H3731">
        <v>5</v>
      </c>
    </row>
    <row r="3732" spans="1:8" x14ac:dyDescent="0.25">
      <c r="A3732" t="s">
        <v>3123</v>
      </c>
      <c r="B3732">
        <v>1</v>
      </c>
      <c r="C3732">
        <v>1</v>
      </c>
      <c r="D3732">
        <v>1</v>
      </c>
      <c r="E3732" t="s">
        <v>8605</v>
      </c>
      <c r="F3732" t="s">
        <v>8605</v>
      </c>
      <c r="G3732" t="s">
        <v>8605</v>
      </c>
      <c r="H3732">
        <v>11</v>
      </c>
    </row>
    <row r="3733" spans="1:8" x14ac:dyDescent="0.25">
      <c r="A3733" t="s">
        <v>3331</v>
      </c>
      <c r="B3733">
        <v>1</v>
      </c>
      <c r="C3733">
        <v>1</v>
      </c>
      <c r="D3733">
        <v>1</v>
      </c>
      <c r="E3733" t="s">
        <v>8606</v>
      </c>
      <c r="F3733" t="s">
        <v>8606</v>
      </c>
      <c r="G3733" t="s">
        <v>8606</v>
      </c>
      <c r="H3733">
        <v>5</v>
      </c>
    </row>
    <row r="3734" spans="1:8" x14ac:dyDescent="0.25">
      <c r="A3734" t="s">
        <v>3997</v>
      </c>
      <c r="B3734">
        <v>1</v>
      </c>
      <c r="C3734">
        <v>1</v>
      </c>
      <c r="D3734">
        <v>1</v>
      </c>
      <c r="E3734" t="s">
        <v>8607</v>
      </c>
      <c r="F3734" t="s">
        <v>8607</v>
      </c>
      <c r="G3734" t="s">
        <v>8607</v>
      </c>
      <c r="H3734">
        <v>1</v>
      </c>
    </row>
    <row r="3735" spans="1:8" x14ac:dyDescent="0.25">
      <c r="A3735" t="s">
        <v>3635</v>
      </c>
      <c r="B3735">
        <v>1</v>
      </c>
      <c r="C3735">
        <v>1</v>
      </c>
      <c r="D3735">
        <v>1</v>
      </c>
      <c r="E3735" t="s">
        <v>8608</v>
      </c>
      <c r="F3735" t="s">
        <v>8608</v>
      </c>
      <c r="G3735" t="s">
        <v>8608</v>
      </c>
      <c r="H3735">
        <v>5</v>
      </c>
    </row>
    <row r="3736" spans="1:8" x14ac:dyDescent="0.25">
      <c r="A3736" t="s">
        <v>3803</v>
      </c>
      <c r="B3736">
        <v>1</v>
      </c>
      <c r="C3736">
        <v>1</v>
      </c>
      <c r="D3736">
        <v>1</v>
      </c>
      <c r="E3736" t="s">
        <v>8609</v>
      </c>
      <c r="F3736" t="s">
        <v>8609</v>
      </c>
      <c r="G3736" t="s">
        <v>8609</v>
      </c>
      <c r="H3736">
        <v>5</v>
      </c>
    </row>
    <row r="3737" spans="1:8" x14ac:dyDescent="0.25">
      <c r="A3737" t="s">
        <v>8610</v>
      </c>
      <c r="B3737">
        <v>0</v>
      </c>
      <c r="C3737">
        <v>0</v>
      </c>
      <c r="D3737">
        <v>0</v>
      </c>
      <c r="G3737" t="s">
        <v>4256</v>
      </c>
      <c r="H3737">
        <v>1</v>
      </c>
    </row>
    <row r="3738" spans="1:8" x14ac:dyDescent="0.25">
      <c r="A3738" t="s">
        <v>3384</v>
      </c>
      <c r="B3738">
        <v>1</v>
      </c>
      <c r="C3738">
        <v>1</v>
      </c>
      <c r="D3738">
        <v>1</v>
      </c>
      <c r="E3738" t="s">
        <v>8611</v>
      </c>
      <c r="F3738" t="s">
        <v>8611</v>
      </c>
      <c r="G3738" t="s">
        <v>8611</v>
      </c>
      <c r="H3738">
        <v>10</v>
      </c>
    </row>
    <row r="3739" spans="1:8" x14ac:dyDescent="0.25">
      <c r="A3739" t="s">
        <v>3437</v>
      </c>
      <c r="B3739">
        <v>1</v>
      </c>
      <c r="C3739">
        <v>1</v>
      </c>
      <c r="D3739">
        <v>1</v>
      </c>
      <c r="E3739" t="s">
        <v>8612</v>
      </c>
      <c r="F3739" t="s">
        <v>8612</v>
      </c>
      <c r="G3739" t="s">
        <v>8612</v>
      </c>
      <c r="H3739">
        <v>8</v>
      </c>
    </row>
    <row r="3740" spans="1:8" x14ac:dyDescent="0.25">
      <c r="A3740" t="s">
        <v>3562</v>
      </c>
      <c r="B3740">
        <v>1</v>
      </c>
      <c r="C3740">
        <v>1</v>
      </c>
      <c r="D3740">
        <v>1</v>
      </c>
      <c r="E3740" t="s">
        <v>8613</v>
      </c>
      <c r="F3740" t="s">
        <v>8613</v>
      </c>
      <c r="G3740" t="s">
        <v>8613</v>
      </c>
      <c r="H3740">
        <v>4</v>
      </c>
    </row>
    <row r="3741" spans="1:8" x14ac:dyDescent="0.25">
      <c r="A3741" t="s">
        <v>3581</v>
      </c>
      <c r="B3741">
        <v>1</v>
      </c>
      <c r="C3741">
        <v>1</v>
      </c>
      <c r="D3741">
        <v>1</v>
      </c>
      <c r="E3741" t="s">
        <v>8614</v>
      </c>
      <c r="F3741" t="s">
        <v>8614</v>
      </c>
      <c r="G3741" t="s">
        <v>8614</v>
      </c>
      <c r="H3741">
        <v>3</v>
      </c>
    </row>
    <row r="3742" spans="1:8" x14ac:dyDescent="0.25">
      <c r="A3742" t="s">
        <v>3489</v>
      </c>
      <c r="B3742">
        <v>1</v>
      </c>
      <c r="C3742">
        <v>1</v>
      </c>
      <c r="D3742">
        <v>1</v>
      </c>
      <c r="E3742" t="s">
        <v>8615</v>
      </c>
      <c r="F3742" t="s">
        <v>8615</v>
      </c>
      <c r="G3742" t="s">
        <v>8615</v>
      </c>
      <c r="H3742">
        <v>6</v>
      </c>
    </row>
    <row r="3743" spans="1:8" x14ac:dyDescent="0.25">
      <c r="A3743" t="s">
        <v>3670</v>
      </c>
      <c r="B3743">
        <v>1</v>
      </c>
      <c r="C3743">
        <v>1</v>
      </c>
      <c r="D3743">
        <v>1</v>
      </c>
      <c r="E3743" t="s">
        <v>8616</v>
      </c>
      <c r="F3743" t="s">
        <v>8616</v>
      </c>
      <c r="G3743" t="s">
        <v>8616</v>
      </c>
      <c r="H3743">
        <v>6</v>
      </c>
    </row>
    <row r="3744" spans="1:8" x14ac:dyDescent="0.25">
      <c r="A3744" t="s">
        <v>3248</v>
      </c>
      <c r="B3744">
        <v>1</v>
      </c>
      <c r="C3744">
        <v>1</v>
      </c>
      <c r="D3744">
        <v>1</v>
      </c>
      <c r="E3744" t="s">
        <v>8617</v>
      </c>
      <c r="F3744" t="s">
        <v>8617</v>
      </c>
      <c r="G3744" t="s">
        <v>8617</v>
      </c>
      <c r="H3744">
        <v>9</v>
      </c>
    </row>
    <row r="3745" spans="1:8" x14ac:dyDescent="0.25">
      <c r="A3745" t="s">
        <v>3394</v>
      </c>
      <c r="B3745">
        <v>1</v>
      </c>
      <c r="C3745">
        <v>1</v>
      </c>
      <c r="D3745">
        <v>1</v>
      </c>
      <c r="E3745" t="s">
        <v>8618</v>
      </c>
      <c r="F3745" t="s">
        <v>8618</v>
      </c>
      <c r="G3745" t="s">
        <v>8618</v>
      </c>
      <c r="H3745">
        <v>5</v>
      </c>
    </row>
    <row r="3746" spans="1:8" x14ac:dyDescent="0.25">
      <c r="A3746" t="s">
        <v>3316</v>
      </c>
      <c r="B3746">
        <v>1</v>
      </c>
      <c r="C3746">
        <v>1</v>
      </c>
      <c r="D3746">
        <v>1</v>
      </c>
      <c r="E3746" t="s">
        <v>8619</v>
      </c>
      <c r="F3746" t="s">
        <v>8619</v>
      </c>
      <c r="G3746" t="s">
        <v>8619</v>
      </c>
      <c r="H3746">
        <v>11</v>
      </c>
    </row>
    <row r="3747" spans="1:8" x14ac:dyDescent="0.25">
      <c r="A3747" t="s">
        <v>3392</v>
      </c>
      <c r="B3747">
        <v>1</v>
      </c>
      <c r="C3747">
        <v>1</v>
      </c>
      <c r="D3747">
        <v>1</v>
      </c>
      <c r="E3747" t="s">
        <v>8620</v>
      </c>
      <c r="F3747" t="s">
        <v>8620</v>
      </c>
      <c r="G3747" t="s">
        <v>8620</v>
      </c>
      <c r="H3747">
        <v>10</v>
      </c>
    </row>
    <row r="3748" spans="1:8" x14ac:dyDescent="0.25">
      <c r="A3748" t="s">
        <v>3708</v>
      </c>
      <c r="B3748">
        <v>1</v>
      </c>
      <c r="C3748">
        <v>1</v>
      </c>
      <c r="D3748">
        <v>1</v>
      </c>
      <c r="E3748" t="s">
        <v>8621</v>
      </c>
      <c r="F3748" t="s">
        <v>8621</v>
      </c>
      <c r="G3748" t="s">
        <v>8621</v>
      </c>
      <c r="H3748">
        <v>4</v>
      </c>
    </row>
    <row r="3749" spans="1:8" x14ac:dyDescent="0.25">
      <c r="A3749" t="s">
        <v>3885</v>
      </c>
      <c r="B3749">
        <v>1</v>
      </c>
      <c r="C3749">
        <v>1</v>
      </c>
      <c r="D3749">
        <v>1</v>
      </c>
      <c r="E3749" t="s">
        <v>8622</v>
      </c>
      <c r="F3749" t="s">
        <v>8622</v>
      </c>
      <c r="G3749" t="s">
        <v>8622</v>
      </c>
      <c r="H3749">
        <v>2</v>
      </c>
    </row>
    <row r="3750" spans="1:8" x14ac:dyDescent="0.25">
      <c r="A3750" t="s">
        <v>8623</v>
      </c>
      <c r="B3750">
        <v>0</v>
      </c>
      <c r="C3750">
        <v>0</v>
      </c>
      <c r="D3750">
        <v>0</v>
      </c>
      <c r="G3750" t="s">
        <v>4256</v>
      </c>
      <c r="H3750">
        <v>1</v>
      </c>
    </row>
    <row r="3751" spans="1:8" x14ac:dyDescent="0.25">
      <c r="A3751" t="s">
        <v>3801</v>
      </c>
      <c r="B3751">
        <v>1</v>
      </c>
      <c r="C3751">
        <v>1</v>
      </c>
      <c r="D3751">
        <v>1</v>
      </c>
      <c r="E3751" t="s">
        <v>8624</v>
      </c>
      <c r="F3751" t="s">
        <v>8624</v>
      </c>
      <c r="G3751" t="s">
        <v>8624</v>
      </c>
      <c r="H3751">
        <v>6</v>
      </c>
    </row>
    <row r="3752" spans="1:8" x14ac:dyDescent="0.25">
      <c r="A3752" t="s">
        <v>3646</v>
      </c>
      <c r="B3752">
        <v>1</v>
      </c>
      <c r="C3752">
        <v>1</v>
      </c>
      <c r="D3752">
        <v>1</v>
      </c>
      <c r="E3752" t="s">
        <v>8625</v>
      </c>
      <c r="F3752" t="s">
        <v>8625</v>
      </c>
      <c r="G3752" t="s">
        <v>8625</v>
      </c>
      <c r="H3752">
        <v>2</v>
      </c>
    </row>
    <row r="3753" spans="1:8" x14ac:dyDescent="0.25">
      <c r="A3753" t="s">
        <v>3773</v>
      </c>
      <c r="B3753">
        <v>1</v>
      </c>
      <c r="C3753">
        <v>1</v>
      </c>
      <c r="D3753">
        <v>1</v>
      </c>
      <c r="E3753" t="s">
        <v>8626</v>
      </c>
      <c r="F3753" t="s">
        <v>8626</v>
      </c>
      <c r="G3753" t="s">
        <v>8626</v>
      </c>
      <c r="H3753">
        <v>1</v>
      </c>
    </row>
    <row r="3754" spans="1:8" x14ac:dyDescent="0.25">
      <c r="A3754" t="s">
        <v>3774</v>
      </c>
      <c r="B3754">
        <v>1</v>
      </c>
      <c r="C3754">
        <v>1</v>
      </c>
      <c r="D3754">
        <v>1</v>
      </c>
      <c r="E3754" t="s">
        <v>8627</v>
      </c>
      <c r="F3754" t="s">
        <v>8627</v>
      </c>
      <c r="G3754" t="s">
        <v>8627</v>
      </c>
      <c r="H3754">
        <v>1</v>
      </c>
    </row>
    <row r="3755" spans="1:8" x14ac:dyDescent="0.25">
      <c r="A3755" t="s">
        <v>3553</v>
      </c>
      <c r="B3755">
        <v>1</v>
      </c>
      <c r="C3755">
        <v>1</v>
      </c>
      <c r="D3755">
        <v>1</v>
      </c>
      <c r="E3755" t="s">
        <v>8628</v>
      </c>
      <c r="F3755" t="s">
        <v>8628</v>
      </c>
      <c r="G3755" t="s">
        <v>8628</v>
      </c>
      <c r="H3755">
        <v>3</v>
      </c>
    </row>
    <row r="3756" spans="1:8" x14ac:dyDescent="0.25">
      <c r="A3756" t="s">
        <v>3385</v>
      </c>
      <c r="B3756">
        <v>1</v>
      </c>
      <c r="C3756">
        <v>1</v>
      </c>
      <c r="D3756">
        <v>1</v>
      </c>
      <c r="E3756" t="s">
        <v>8629</v>
      </c>
      <c r="F3756" t="s">
        <v>8629</v>
      </c>
      <c r="G3756" t="s">
        <v>8629</v>
      </c>
      <c r="H3756">
        <v>5</v>
      </c>
    </row>
    <row r="3757" spans="1:8" x14ac:dyDescent="0.25">
      <c r="A3757" t="s">
        <v>3293</v>
      </c>
      <c r="B3757">
        <v>1</v>
      </c>
      <c r="C3757">
        <v>1</v>
      </c>
      <c r="D3757">
        <v>1</v>
      </c>
      <c r="E3757" t="s">
        <v>8630</v>
      </c>
      <c r="F3757" t="s">
        <v>8630</v>
      </c>
      <c r="G3757" t="s">
        <v>8630</v>
      </c>
      <c r="H3757">
        <v>7</v>
      </c>
    </row>
    <row r="3758" spans="1:8" x14ac:dyDescent="0.25">
      <c r="A3758" t="s">
        <v>3782</v>
      </c>
      <c r="B3758">
        <v>1</v>
      </c>
      <c r="C3758">
        <v>1</v>
      </c>
      <c r="D3758">
        <v>1</v>
      </c>
      <c r="E3758" t="s">
        <v>8631</v>
      </c>
      <c r="F3758" t="s">
        <v>8631</v>
      </c>
      <c r="G3758" t="s">
        <v>8631</v>
      </c>
      <c r="H3758">
        <v>2</v>
      </c>
    </row>
    <row r="3759" spans="1:8" x14ac:dyDescent="0.25">
      <c r="A3759" t="s">
        <v>3839</v>
      </c>
      <c r="B3759">
        <v>1</v>
      </c>
      <c r="C3759">
        <v>1</v>
      </c>
      <c r="D3759">
        <v>1</v>
      </c>
      <c r="E3759" t="s">
        <v>8632</v>
      </c>
      <c r="F3759" t="s">
        <v>8632</v>
      </c>
      <c r="G3759" t="s">
        <v>8632</v>
      </c>
      <c r="H3759">
        <v>4</v>
      </c>
    </row>
    <row r="3760" spans="1:8" x14ac:dyDescent="0.25">
      <c r="A3760" t="s">
        <v>3669</v>
      </c>
      <c r="B3760">
        <v>1</v>
      </c>
      <c r="C3760">
        <v>1</v>
      </c>
      <c r="D3760">
        <v>1</v>
      </c>
      <c r="E3760" t="s">
        <v>8633</v>
      </c>
      <c r="F3760" t="s">
        <v>8633</v>
      </c>
      <c r="G3760" t="s">
        <v>8633</v>
      </c>
      <c r="H3760">
        <v>9</v>
      </c>
    </row>
    <row r="3761" spans="1:8" x14ac:dyDescent="0.25">
      <c r="A3761" t="s">
        <v>3802</v>
      </c>
      <c r="B3761">
        <v>1</v>
      </c>
      <c r="C3761">
        <v>1</v>
      </c>
      <c r="D3761">
        <v>1</v>
      </c>
      <c r="E3761" t="s">
        <v>8634</v>
      </c>
      <c r="F3761" t="s">
        <v>8634</v>
      </c>
      <c r="G3761" t="s">
        <v>8634</v>
      </c>
      <c r="H3761">
        <v>5</v>
      </c>
    </row>
    <row r="3762" spans="1:8" x14ac:dyDescent="0.25">
      <c r="A3762" t="s">
        <v>3468</v>
      </c>
      <c r="B3762">
        <v>1</v>
      </c>
      <c r="C3762">
        <v>1</v>
      </c>
      <c r="D3762">
        <v>1</v>
      </c>
      <c r="E3762" t="s">
        <v>8635</v>
      </c>
      <c r="F3762" t="s">
        <v>8635</v>
      </c>
      <c r="G3762" t="s">
        <v>8635</v>
      </c>
      <c r="H3762">
        <v>4</v>
      </c>
    </row>
    <row r="3763" spans="1:8" x14ac:dyDescent="0.25">
      <c r="A3763" t="s">
        <v>1540</v>
      </c>
      <c r="B3763">
        <v>2</v>
      </c>
      <c r="C3763">
        <v>2</v>
      </c>
      <c r="D3763">
        <v>2</v>
      </c>
      <c r="E3763" t="s">
        <v>8636</v>
      </c>
      <c r="F3763" t="s">
        <v>8636</v>
      </c>
      <c r="G3763" t="s">
        <v>4256</v>
      </c>
      <c r="H3763">
        <v>23</v>
      </c>
    </row>
    <row r="3764" spans="1:8" x14ac:dyDescent="0.25">
      <c r="A3764" t="s">
        <v>3078</v>
      </c>
      <c r="B3764">
        <v>1</v>
      </c>
      <c r="C3764">
        <v>1</v>
      </c>
      <c r="D3764">
        <v>1</v>
      </c>
      <c r="E3764" t="s">
        <v>8637</v>
      </c>
      <c r="F3764" t="s">
        <v>8637</v>
      </c>
      <c r="G3764" t="s">
        <v>8637</v>
      </c>
      <c r="H3764">
        <v>8</v>
      </c>
    </row>
    <row r="3765" spans="1:8" x14ac:dyDescent="0.25">
      <c r="A3765" t="s">
        <v>2778</v>
      </c>
      <c r="B3765">
        <v>1</v>
      </c>
      <c r="C3765">
        <v>1</v>
      </c>
      <c r="D3765">
        <v>1</v>
      </c>
      <c r="E3765" t="s">
        <v>8638</v>
      </c>
      <c r="F3765" t="s">
        <v>8639</v>
      </c>
      <c r="G3765" t="s">
        <v>8639</v>
      </c>
      <c r="H3765">
        <v>16</v>
      </c>
    </row>
    <row r="3766" spans="1:8" x14ac:dyDescent="0.25">
      <c r="A3766" t="s">
        <v>3272</v>
      </c>
      <c r="B3766">
        <v>1</v>
      </c>
      <c r="C3766">
        <v>1</v>
      </c>
      <c r="D3766">
        <v>1</v>
      </c>
      <c r="E3766" t="s">
        <v>8640</v>
      </c>
      <c r="F3766" t="s">
        <v>8640</v>
      </c>
      <c r="G3766" t="s">
        <v>8640</v>
      </c>
      <c r="H3766">
        <v>28</v>
      </c>
    </row>
    <row r="3767" spans="1:8" x14ac:dyDescent="0.25">
      <c r="A3767" t="s">
        <v>3623</v>
      </c>
      <c r="B3767">
        <v>1</v>
      </c>
      <c r="C3767">
        <v>1</v>
      </c>
      <c r="D3767">
        <v>1</v>
      </c>
      <c r="E3767" t="s">
        <v>8641</v>
      </c>
      <c r="F3767" t="s">
        <v>8641</v>
      </c>
      <c r="G3767" t="s">
        <v>8641</v>
      </c>
      <c r="H3767">
        <v>11</v>
      </c>
    </row>
    <row r="3768" spans="1:8" x14ac:dyDescent="0.25">
      <c r="A3768" t="s">
        <v>3647</v>
      </c>
      <c r="B3768">
        <v>1</v>
      </c>
      <c r="C3768">
        <v>1</v>
      </c>
      <c r="D3768">
        <v>1</v>
      </c>
      <c r="E3768" t="s">
        <v>8642</v>
      </c>
      <c r="F3768" t="s">
        <v>8642</v>
      </c>
      <c r="G3768" t="s">
        <v>8642</v>
      </c>
      <c r="H3768">
        <v>11</v>
      </c>
    </row>
    <row r="3769" spans="1:8" x14ac:dyDescent="0.25">
      <c r="A3769" t="s">
        <v>3487</v>
      </c>
      <c r="B3769">
        <v>1</v>
      </c>
      <c r="C3769">
        <v>1</v>
      </c>
      <c r="D3769">
        <v>1</v>
      </c>
      <c r="E3769" t="s">
        <v>8643</v>
      </c>
      <c r="F3769" t="s">
        <v>8643</v>
      </c>
      <c r="G3769" t="s">
        <v>8643</v>
      </c>
      <c r="H3769">
        <v>20</v>
      </c>
    </row>
    <row r="3770" spans="1:8" x14ac:dyDescent="0.25">
      <c r="A3770" t="s">
        <v>3488</v>
      </c>
      <c r="B3770">
        <v>1</v>
      </c>
      <c r="C3770">
        <v>1</v>
      </c>
      <c r="D3770">
        <v>1</v>
      </c>
      <c r="E3770" t="s">
        <v>8644</v>
      </c>
      <c r="F3770" t="s">
        <v>8644</v>
      </c>
      <c r="G3770" t="s">
        <v>8644</v>
      </c>
      <c r="H3770">
        <v>16</v>
      </c>
    </row>
    <row r="3771" spans="1:8" x14ac:dyDescent="0.25">
      <c r="A3771" t="s">
        <v>3554</v>
      </c>
      <c r="B3771">
        <v>1</v>
      </c>
      <c r="C3771">
        <v>1</v>
      </c>
      <c r="D3771">
        <v>1</v>
      </c>
      <c r="E3771" t="s">
        <v>8645</v>
      </c>
      <c r="F3771" t="s">
        <v>8645</v>
      </c>
      <c r="G3771" t="s">
        <v>8645</v>
      </c>
      <c r="H3771">
        <v>15</v>
      </c>
    </row>
    <row r="3772" spans="1:8" x14ac:dyDescent="0.25">
      <c r="A3772" t="s">
        <v>3918</v>
      </c>
      <c r="B3772">
        <v>1</v>
      </c>
      <c r="C3772">
        <v>1</v>
      </c>
      <c r="D3772">
        <v>1</v>
      </c>
      <c r="E3772" t="s">
        <v>8646</v>
      </c>
      <c r="F3772" t="s">
        <v>8646</v>
      </c>
      <c r="G3772" t="s">
        <v>8646</v>
      </c>
      <c r="H3772">
        <v>1</v>
      </c>
    </row>
    <row r="3773" spans="1:8" x14ac:dyDescent="0.25">
      <c r="A3773" t="s">
        <v>3712</v>
      </c>
      <c r="B3773">
        <v>1</v>
      </c>
      <c r="C3773">
        <v>1</v>
      </c>
      <c r="D3773">
        <v>1</v>
      </c>
      <c r="E3773" t="s">
        <v>8647</v>
      </c>
      <c r="F3773" t="s">
        <v>8647</v>
      </c>
      <c r="G3773" t="s">
        <v>8647</v>
      </c>
      <c r="H3773">
        <v>3</v>
      </c>
    </row>
    <row r="3774" spans="1:8" x14ac:dyDescent="0.25">
      <c r="A3774" t="s">
        <v>3550</v>
      </c>
      <c r="B3774">
        <v>1</v>
      </c>
      <c r="C3774">
        <v>1</v>
      </c>
      <c r="D3774">
        <v>1</v>
      </c>
      <c r="E3774" t="s">
        <v>8648</v>
      </c>
      <c r="F3774" t="s">
        <v>8648</v>
      </c>
      <c r="G3774" t="s">
        <v>8648</v>
      </c>
      <c r="H3774">
        <v>6</v>
      </c>
    </row>
    <row r="3775" spans="1:8" x14ac:dyDescent="0.25">
      <c r="A3775" t="s">
        <v>2259</v>
      </c>
      <c r="B3775">
        <v>1</v>
      </c>
      <c r="C3775">
        <v>1</v>
      </c>
      <c r="D3775">
        <v>1</v>
      </c>
      <c r="E3775" t="s">
        <v>8649</v>
      </c>
      <c r="F3775" t="s">
        <v>8649</v>
      </c>
      <c r="G3775" t="s">
        <v>8649</v>
      </c>
      <c r="H3775">
        <v>27</v>
      </c>
    </row>
    <row r="3776" spans="1:8" x14ac:dyDescent="0.25">
      <c r="A3776" t="s">
        <v>3156</v>
      </c>
      <c r="B3776">
        <v>1</v>
      </c>
      <c r="C3776">
        <v>1</v>
      </c>
      <c r="D3776">
        <v>1</v>
      </c>
      <c r="E3776" t="s">
        <v>8650</v>
      </c>
      <c r="F3776" t="s">
        <v>8650</v>
      </c>
      <c r="G3776" t="s">
        <v>8650</v>
      </c>
      <c r="H3776">
        <v>8</v>
      </c>
    </row>
    <row r="3777" spans="1:8" x14ac:dyDescent="0.25">
      <c r="A3777" t="s">
        <v>3259</v>
      </c>
      <c r="B3777">
        <v>1</v>
      </c>
      <c r="C3777">
        <v>1</v>
      </c>
      <c r="D3777">
        <v>1</v>
      </c>
      <c r="E3777" t="s">
        <v>8651</v>
      </c>
      <c r="F3777" t="s">
        <v>8651</v>
      </c>
      <c r="G3777" t="s">
        <v>8651</v>
      </c>
      <c r="H3777">
        <v>6</v>
      </c>
    </row>
    <row r="3778" spans="1:8" x14ac:dyDescent="0.25">
      <c r="A3778" t="s">
        <v>3515</v>
      </c>
      <c r="B3778">
        <v>1</v>
      </c>
      <c r="C3778">
        <v>1</v>
      </c>
      <c r="D3778">
        <v>1</v>
      </c>
      <c r="E3778" t="s">
        <v>8652</v>
      </c>
      <c r="F3778" t="s">
        <v>8652</v>
      </c>
      <c r="G3778" t="s">
        <v>8652</v>
      </c>
      <c r="H3778">
        <v>6</v>
      </c>
    </row>
    <row r="3779" spans="1:8" x14ac:dyDescent="0.25">
      <c r="A3779" t="s">
        <v>3461</v>
      </c>
      <c r="B3779">
        <v>1</v>
      </c>
      <c r="C3779">
        <v>1</v>
      </c>
      <c r="D3779">
        <v>1</v>
      </c>
      <c r="E3779" t="s">
        <v>8653</v>
      </c>
      <c r="F3779" t="s">
        <v>8653</v>
      </c>
      <c r="G3779" t="s">
        <v>8653</v>
      </c>
      <c r="H3779">
        <v>8</v>
      </c>
    </row>
    <row r="3780" spans="1:8" x14ac:dyDescent="0.25">
      <c r="A3780" t="s">
        <v>3356</v>
      </c>
      <c r="B3780">
        <v>1</v>
      </c>
      <c r="C3780">
        <v>1</v>
      </c>
      <c r="D3780">
        <v>1</v>
      </c>
      <c r="E3780" t="s">
        <v>8654</v>
      </c>
      <c r="F3780" t="s">
        <v>8654</v>
      </c>
      <c r="G3780" t="s">
        <v>8654</v>
      </c>
      <c r="H3780">
        <v>5</v>
      </c>
    </row>
    <row r="3781" spans="1:8" x14ac:dyDescent="0.25">
      <c r="A3781" t="s">
        <v>3787</v>
      </c>
      <c r="B3781">
        <v>1</v>
      </c>
      <c r="C3781">
        <v>1</v>
      </c>
      <c r="D3781">
        <v>1</v>
      </c>
      <c r="E3781" t="s">
        <v>8655</v>
      </c>
      <c r="F3781" t="s">
        <v>8655</v>
      </c>
      <c r="G3781" t="s">
        <v>8655</v>
      </c>
      <c r="H3781">
        <v>2</v>
      </c>
    </row>
    <row r="3782" spans="1:8" x14ac:dyDescent="0.25">
      <c r="A3782" t="s">
        <v>3495</v>
      </c>
      <c r="B3782">
        <v>1</v>
      </c>
      <c r="C3782">
        <v>1</v>
      </c>
      <c r="D3782">
        <v>1</v>
      </c>
      <c r="E3782" t="s">
        <v>8656</v>
      </c>
      <c r="F3782" t="s">
        <v>8656</v>
      </c>
      <c r="G3782" t="s">
        <v>8656</v>
      </c>
      <c r="H3782">
        <v>7</v>
      </c>
    </row>
    <row r="3783" spans="1:8" x14ac:dyDescent="0.25">
      <c r="A3783" t="s">
        <v>3926</v>
      </c>
      <c r="B3783">
        <v>1</v>
      </c>
      <c r="C3783">
        <v>1</v>
      </c>
      <c r="D3783">
        <v>1</v>
      </c>
      <c r="E3783" t="s">
        <v>8657</v>
      </c>
      <c r="F3783" t="s">
        <v>8657</v>
      </c>
      <c r="G3783" t="s">
        <v>8657</v>
      </c>
      <c r="H3783">
        <v>2</v>
      </c>
    </row>
    <row r="3784" spans="1:8" x14ac:dyDescent="0.25">
      <c r="A3784" t="s">
        <v>3892</v>
      </c>
      <c r="B3784">
        <v>1</v>
      </c>
      <c r="C3784">
        <v>1</v>
      </c>
      <c r="D3784">
        <v>1</v>
      </c>
      <c r="E3784" t="s">
        <v>8658</v>
      </c>
      <c r="F3784" t="s">
        <v>8658</v>
      </c>
      <c r="G3784" t="s">
        <v>8658</v>
      </c>
      <c r="H3784">
        <v>1</v>
      </c>
    </row>
    <row r="3785" spans="1:8" x14ac:dyDescent="0.25">
      <c r="A3785" t="s">
        <v>3766</v>
      </c>
      <c r="B3785">
        <v>1</v>
      </c>
      <c r="C3785">
        <v>1</v>
      </c>
      <c r="D3785">
        <v>1</v>
      </c>
      <c r="E3785" t="s">
        <v>8659</v>
      </c>
      <c r="F3785" t="s">
        <v>8659</v>
      </c>
      <c r="G3785" t="s">
        <v>8659</v>
      </c>
      <c r="H3785">
        <v>1</v>
      </c>
    </row>
    <row r="3786" spans="1:8" x14ac:dyDescent="0.25">
      <c r="A3786" t="s">
        <v>3081</v>
      </c>
      <c r="B3786">
        <v>1</v>
      </c>
      <c r="C3786">
        <v>1</v>
      </c>
      <c r="D3786">
        <v>1</v>
      </c>
      <c r="E3786" t="s">
        <v>8660</v>
      </c>
      <c r="F3786" t="s">
        <v>8660</v>
      </c>
      <c r="G3786" t="s">
        <v>8660</v>
      </c>
      <c r="H3786">
        <v>15</v>
      </c>
    </row>
    <row r="3787" spans="1:8" x14ac:dyDescent="0.25">
      <c r="A3787" t="s">
        <v>3389</v>
      </c>
      <c r="B3787">
        <v>1</v>
      </c>
      <c r="C3787">
        <v>1</v>
      </c>
      <c r="D3787">
        <v>1</v>
      </c>
      <c r="E3787" t="s">
        <v>8661</v>
      </c>
      <c r="F3787" t="s">
        <v>8661</v>
      </c>
      <c r="G3787" t="s">
        <v>8661</v>
      </c>
      <c r="H3787">
        <v>33</v>
      </c>
    </row>
    <row r="3788" spans="1:8" x14ac:dyDescent="0.25">
      <c r="A3788" t="s">
        <v>3227</v>
      </c>
      <c r="B3788">
        <v>1</v>
      </c>
      <c r="C3788">
        <v>1</v>
      </c>
      <c r="D3788">
        <v>1</v>
      </c>
      <c r="E3788" t="s">
        <v>8662</v>
      </c>
      <c r="F3788" t="s">
        <v>8662</v>
      </c>
      <c r="G3788" t="s">
        <v>8662</v>
      </c>
      <c r="H3788">
        <v>14</v>
      </c>
    </row>
    <row r="3789" spans="1:8" x14ac:dyDescent="0.25">
      <c r="A3789" t="s">
        <v>3037</v>
      </c>
      <c r="B3789">
        <v>1</v>
      </c>
      <c r="C3789">
        <v>1</v>
      </c>
      <c r="D3789">
        <v>1</v>
      </c>
      <c r="E3789" t="s">
        <v>8663</v>
      </c>
      <c r="F3789" t="s">
        <v>8663</v>
      </c>
      <c r="G3789" t="s">
        <v>8663</v>
      </c>
      <c r="H3789">
        <v>18</v>
      </c>
    </row>
    <row r="3790" spans="1:8" x14ac:dyDescent="0.25">
      <c r="A3790" t="s">
        <v>3534</v>
      </c>
      <c r="B3790">
        <v>1</v>
      </c>
      <c r="C3790">
        <v>1</v>
      </c>
      <c r="D3790">
        <v>1</v>
      </c>
      <c r="E3790" t="s">
        <v>8664</v>
      </c>
      <c r="F3790" t="s">
        <v>8664</v>
      </c>
      <c r="G3790" t="s">
        <v>8664</v>
      </c>
      <c r="H3790">
        <v>3</v>
      </c>
    </row>
    <row r="3791" spans="1:8" x14ac:dyDescent="0.25">
      <c r="A3791" t="s">
        <v>3527</v>
      </c>
      <c r="B3791">
        <v>1</v>
      </c>
      <c r="C3791">
        <v>1</v>
      </c>
      <c r="D3791">
        <v>1</v>
      </c>
      <c r="E3791" t="s">
        <v>8665</v>
      </c>
      <c r="F3791" t="s">
        <v>8665</v>
      </c>
      <c r="G3791" t="s">
        <v>8665</v>
      </c>
      <c r="H3791">
        <v>3</v>
      </c>
    </row>
    <row r="3792" spans="1:8" x14ac:dyDescent="0.25">
      <c r="A3792" t="s">
        <v>3654</v>
      </c>
      <c r="B3792">
        <v>1</v>
      </c>
      <c r="C3792">
        <v>1</v>
      </c>
      <c r="D3792">
        <v>1</v>
      </c>
      <c r="E3792" t="s">
        <v>8666</v>
      </c>
      <c r="F3792" t="s">
        <v>8666</v>
      </c>
      <c r="G3792" t="s">
        <v>8666</v>
      </c>
      <c r="H3792">
        <v>5</v>
      </c>
    </row>
    <row r="3793" spans="1:8" x14ac:dyDescent="0.25">
      <c r="A3793" t="s">
        <v>3860</v>
      </c>
      <c r="B3793">
        <v>1</v>
      </c>
      <c r="C3793">
        <v>1</v>
      </c>
      <c r="D3793">
        <v>1</v>
      </c>
      <c r="E3793" t="s">
        <v>8667</v>
      </c>
      <c r="F3793" t="s">
        <v>8667</v>
      </c>
      <c r="G3793" t="s">
        <v>8667</v>
      </c>
      <c r="H3793">
        <v>3</v>
      </c>
    </row>
    <row r="3794" spans="1:8" x14ac:dyDescent="0.25">
      <c r="A3794" t="s">
        <v>3767</v>
      </c>
      <c r="B3794">
        <v>1</v>
      </c>
      <c r="C3794">
        <v>1</v>
      </c>
      <c r="D3794">
        <v>1</v>
      </c>
      <c r="E3794" t="s">
        <v>8668</v>
      </c>
      <c r="F3794" t="s">
        <v>8668</v>
      </c>
      <c r="G3794" t="s">
        <v>8668</v>
      </c>
      <c r="H3794">
        <v>1</v>
      </c>
    </row>
    <row r="3795" spans="1:8" x14ac:dyDescent="0.25">
      <c r="A3795" t="s">
        <v>3430</v>
      </c>
      <c r="B3795">
        <v>1</v>
      </c>
      <c r="C3795">
        <v>1</v>
      </c>
      <c r="D3795">
        <v>1</v>
      </c>
      <c r="E3795" t="s">
        <v>8669</v>
      </c>
      <c r="F3795" t="s">
        <v>8669</v>
      </c>
      <c r="G3795" t="s">
        <v>8669</v>
      </c>
      <c r="H3795">
        <v>4</v>
      </c>
    </row>
    <row r="3796" spans="1:8" x14ac:dyDescent="0.25">
      <c r="A3796" t="s">
        <v>3273</v>
      </c>
      <c r="B3796">
        <v>1</v>
      </c>
      <c r="C3796">
        <v>1</v>
      </c>
      <c r="D3796">
        <v>1</v>
      </c>
      <c r="E3796" t="s">
        <v>8670</v>
      </c>
      <c r="F3796" t="s">
        <v>8670</v>
      </c>
      <c r="G3796" t="s">
        <v>8670</v>
      </c>
      <c r="H3796">
        <v>8</v>
      </c>
    </row>
    <row r="3797" spans="1:8" x14ac:dyDescent="0.25">
      <c r="A3797" t="s">
        <v>3945</v>
      </c>
      <c r="B3797">
        <v>1</v>
      </c>
      <c r="C3797">
        <v>1</v>
      </c>
      <c r="D3797">
        <v>1</v>
      </c>
      <c r="E3797" t="s">
        <v>8671</v>
      </c>
      <c r="F3797" t="s">
        <v>8671</v>
      </c>
      <c r="G3797" t="s">
        <v>8671</v>
      </c>
      <c r="H3797">
        <v>1</v>
      </c>
    </row>
    <row r="3798" spans="1:8" x14ac:dyDescent="0.25">
      <c r="A3798" t="s">
        <v>3166</v>
      </c>
      <c r="B3798">
        <v>1</v>
      </c>
      <c r="C3798">
        <v>1</v>
      </c>
      <c r="D3798">
        <v>1</v>
      </c>
      <c r="E3798" t="s">
        <v>8672</v>
      </c>
      <c r="F3798" t="s">
        <v>8672</v>
      </c>
      <c r="G3798" t="s">
        <v>8672</v>
      </c>
      <c r="H3798">
        <v>15</v>
      </c>
    </row>
    <row r="3799" spans="1:8" x14ac:dyDescent="0.25">
      <c r="A3799" t="s">
        <v>2867</v>
      </c>
      <c r="B3799">
        <v>1</v>
      </c>
      <c r="C3799">
        <v>1</v>
      </c>
      <c r="D3799">
        <v>1</v>
      </c>
      <c r="E3799" t="s">
        <v>8673</v>
      </c>
      <c r="F3799" t="s">
        <v>8673</v>
      </c>
      <c r="G3799" t="s">
        <v>8673</v>
      </c>
      <c r="H3799">
        <v>18</v>
      </c>
    </row>
    <row r="3800" spans="1:8" x14ac:dyDescent="0.25">
      <c r="A3800" t="s">
        <v>2928</v>
      </c>
      <c r="B3800">
        <v>1</v>
      </c>
      <c r="C3800">
        <v>1</v>
      </c>
      <c r="D3800">
        <v>1</v>
      </c>
      <c r="E3800" t="s">
        <v>8674</v>
      </c>
      <c r="F3800" t="s">
        <v>8674</v>
      </c>
      <c r="G3800" t="s">
        <v>8674</v>
      </c>
      <c r="H3800">
        <v>13</v>
      </c>
    </row>
    <row r="3801" spans="1:8" x14ac:dyDescent="0.25">
      <c r="A3801" t="s">
        <v>3329</v>
      </c>
      <c r="B3801">
        <v>1</v>
      </c>
      <c r="C3801">
        <v>1</v>
      </c>
      <c r="D3801">
        <v>1</v>
      </c>
      <c r="E3801" t="s">
        <v>8675</v>
      </c>
      <c r="F3801" t="s">
        <v>8675</v>
      </c>
      <c r="G3801" t="s">
        <v>8675</v>
      </c>
      <c r="H3801">
        <v>7</v>
      </c>
    </row>
    <row r="3802" spans="1:8" x14ac:dyDescent="0.25">
      <c r="A3802" t="s">
        <v>3660</v>
      </c>
      <c r="B3802">
        <v>1</v>
      </c>
      <c r="C3802">
        <v>1</v>
      </c>
      <c r="D3802">
        <v>1</v>
      </c>
      <c r="E3802" t="s">
        <v>8676</v>
      </c>
      <c r="F3802" t="s">
        <v>8676</v>
      </c>
      <c r="G3802" t="s">
        <v>8676</v>
      </c>
      <c r="H3802">
        <v>9</v>
      </c>
    </row>
    <row r="3803" spans="1:8" x14ac:dyDescent="0.25">
      <c r="A3803" t="s">
        <v>4031</v>
      </c>
      <c r="B3803">
        <v>1</v>
      </c>
      <c r="C3803">
        <v>1</v>
      </c>
      <c r="D3803">
        <v>1</v>
      </c>
      <c r="E3803" t="s">
        <v>8677</v>
      </c>
      <c r="F3803" t="s">
        <v>8677</v>
      </c>
      <c r="G3803" t="s">
        <v>8677</v>
      </c>
      <c r="H3803">
        <v>2</v>
      </c>
    </row>
    <row r="3804" spans="1:8" x14ac:dyDescent="0.25">
      <c r="A3804" t="s">
        <v>3536</v>
      </c>
      <c r="B3804">
        <v>1</v>
      </c>
      <c r="C3804">
        <v>1</v>
      </c>
      <c r="D3804">
        <v>1</v>
      </c>
      <c r="E3804" t="s">
        <v>8678</v>
      </c>
      <c r="F3804" t="s">
        <v>8678</v>
      </c>
      <c r="G3804" t="s">
        <v>8678</v>
      </c>
      <c r="H3804">
        <v>10</v>
      </c>
    </row>
    <row r="3805" spans="1:8" x14ac:dyDescent="0.25">
      <c r="A3805" t="s">
        <v>3251</v>
      </c>
      <c r="B3805">
        <v>1</v>
      </c>
      <c r="C3805">
        <v>1</v>
      </c>
      <c r="D3805">
        <v>1</v>
      </c>
      <c r="E3805" t="s">
        <v>8679</v>
      </c>
      <c r="F3805" t="s">
        <v>8679</v>
      </c>
      <c r="G3805" t="s">
        <v>8679</v>
      </c>
      <c r="H3805">
        <v>28</v>
      </c>
    </row>
    <row r="3806" spans="1:8" x14ac:dyDescent="0.25">
      <c r="A3806" t="s">
        <v>3350</v>
      </c>
      <c r="B3806">
        <v>1</v>
      </c>
      <c r="C3806">
        <v>1</v>
      </c>
      <c r="D3806">
        <v>1</v>
      </c>
      <c r="E3806" t="s">
        <v>8680</v>
      </c>
      <c r="F3806" t="s">
        <v>8680</v>
      </c>
      <c r="G3806" t="s">
        <v>8680</v>
      </c>
      <c r="H3806">
        <v>25</v>
      </c>
    </row>
    <row r="3807" spans="1:8" x14ac:dyDescent="0.25">
      <c r="A3807" t="s">
        <v>3745</v>
      </c>
      <c r="B3807">
        <v>1</v>
      </c>
      <c r="C3807">
        <v>1</v>
      </c>
      <c r="D3807">
        <v>1</v>
      </c>
      <c r="E3807" t="s">
        <v>8681</v>
      </c>
      <c r="F3807" t="s">
        <v>8681</v>
      </c>
      <c r="G3807" t="s">
        <v>8681</v>
      </c>
      <c r="H3807">
        <v>10</v>
      </c>
    </row>
    <row r="3808" spans="1:8" x14ac:dyDescent="0.25">
      <c r="A3808" t="s">
        <v>8682</v>
      </c>
      <c r="B3808">
        <v>0</v>
      </c>
      <c r="C3808">
        <v>0</v>
      </c>
      <c r="D3808">
        <v>0</v>
      </c>
      <c r="G3808" t="s">
        <v>4256</v>
      </c>
      <c r="H3808">
        <v>1</v>
      </c>
    </row>
    <row r="3809" spans="1:8" x14ac:dyDescent="0.25">
      <c r="A3809" t="s">
        <v>4017</v>
      </c>
      <c r="B3809">
        <v>1</v>
      </c>
      <c r="C3809">
        <v>1</v>
      </c>
      <c r="D3809">
        <v>1</v>
      </c>
      <c r="E3809" t="s">
        <v>8683</v>
      </c>
      <c r="F3809" t="s">
        <v>8683</v>
      </c>
      <c r="G3809" t="s">
        <v>8683</v>
      </c>
      <c r="H3809">
        <v>1</v>
      </c>
    </row>
    <row r="3810" spans="1:8" x14ac:dyDescent="0.25">
      <c r="A3810" t="s">
        <v>3606</v>
      </c>
      <c r="B3810">
        <v>1</v>
      </c>
      <c r="C3810">
        <v>1</v>
      </c>
      <c r="D3810">
        <v>1</v>
      </c>
      <c r="E3810" t="s">
        <v>8684</v>
      </c>
      <c r="F3810" t="s">
        <v>8684</v>
      </c>
      <c r="G3810" t="s">
        <v>8684</v>
      </c>
      <c r="H3810">
        <v>10</v>
      </c>
    </row>
    <row r="3811" spans="1:8" x14ac:dyDescent="0.25">
      <c r="A3811" t="s">
        <v>3544</v>
      </c>
      <c r="B3811">
        <v>1</v>
      </c>
      <c r="C3811">
        <v>1</v>
      </c>
      <c r="D3811">
        <v>1</v>
      </c>
      <c r="E3811" t="s">
        <v>8685</v>
      </c>
      <c r="F3811" t="s">
        <v>8686</v>
      </c>
      <c r="G3811" t="s">
        <v>8686</v>
      </c>
      <c r="H3811">
        <v>13</v>
      </c>
    </row>
    <row r="3812" spans="1:8" x14ac:dyDescent="0.25">
      <c r="A3812" t="s">
        <v>8687</v>
      </c>
      <c r="B3812">
        <v>0</v>
      </c>
      <c r="C3812">
        <v>0</v>
      </c>
      <c r="D3812">
        <v>0</v>
      </c>
      <c r="G3812" t="s">
        <v>4256</v>
      </c>
      <c r="H3812">
        <v>1</v>
      </c>
    </row>
    <row r="3813" spans="1:8" x14ac:dyDescent="0.25">
      <c r="A3813" t="s">
        <v>3120</v>
      </c>
      <c r="B3813">
        <v>1</v>
      </c>
      <c r="C3813">
        <v>1</v>
      </c>
      <c r="D3813">
        <v>1</v>
      </c>
      <c r="E3813" t="s">
        <v>8688</v>
      </c>
      <c r="F3813" t="s">
        <v>8688</v>
      </c>
      <c r="G3813" t="s">
        <v>8688</v>
      </c>
      <c r="H3813">
        <v>27</v>
      </c>
    </row>
    <row r="3814" spans="1:8" x14ac:dyDescent="0.25">
      <c r="A3814" t="s">
        <v>3274</v>
      </c>
      <c r="B3814">
        <v>1</v>
      </c>
      <c r="C3814">
        <v>1</v>
      </c>
      <c r="D3814">
        <v>1</v>
      </c>
      <c r="E3814" t="s">
        <v>8689</v>
      </c>
      <c r="F3814" t="s">
        <v>8689</v>
      </c>
      <c r="G3814" t="s">
        <v>8689</v>
      </c>
      <c r="H3814">
        <v>11</v>
      </c>
    </row>
    <row r="3815" spans="1:8" x14ac:dyDescent="0.25">
      <c r="A3815" t="s">
        <v>3258</v>
      </c>
      <c r="B3815">
        <v>1</v>
      </c>
      <c r="C3815">
        <v>1</v>
      </c>
      <c r="D3815">
        <v>1</v>
      </c>
      <c r="E3815" t="s">
        <v>8690</v>
      </c>
      <c r="F3815" t="s">
        <v>8690</v>
      </c>
      <c r="G3815" t="s">
        <v>8690</v>
      </c>
      <c r="H3815">
        <v>17</v>
      </c>
    </row>
    <row r="3816" spans="1:8" x14ac:dyDescent="0.25">
      <c r="A3816" t="s">
        <v>3993</v>
      </c>
      <c r="B3816">
        <v>1</v>
      </c>
      <c r="C3816">
        <v>1</v>
      </c>
      <c r="D3816">
        <v>1</v>
      </c>
      <c r="E3816" t="s">
        <v>8691</v>
      </c>
      <c r="F3816" t="s">
        <v>8691</v>
      </c>
      <c r="G3816" t="s">
        <v>8691</v>
      </c>
      <c r="H3816">
        <v>2</v>
      </c>
    </row>
    <row r="3817" spans="1:8" x14ac:dyDescent="0.25">
      <c r="A3817" t="s">
        <v>3172</v>
      </c>
      <c r="B3817">
        <v>1</v>
      </c>
      <c r="C3817">
        <v>1</v>
      </c>
      <c r="D3817">
        <v>1</v>
      </c>
      <c r="E3817" t="s">
        <v>8692</v>
      </c>
      <c r="F3817" t="s">
        <v>8692</v>
      </c>
      <c r="G3817" t="s">
        <v>8692</v>
      </c>
      <c r="H3817">
        <v>18</v>
      </c>
    </row>
    <row r="3818" spans="1:8" x14ac:dyDescent="0.25">
      <c r="A3818" t="s">
        <v>3868</v>
      </c>
      <c r="B3818">
        <v>1</v>
      </c>
      <c r="C3818">
        <v>1</v>
      </c>
      <c r="D3818">
        <v>1</v>
      </c>
      <c r="E3818" t="s">
        <v>8693</v>
      </c>
      <c r="F3818" t="s">
        <v>8693</v>
      </c>
      <c r="G3818" t="s">
        <v>8693</v>
      </c>
      <c r="H3818">
        <v>1</v>
      </c>
    </row>
    <row r="3819" spans="1:8" x14ac:dyDescent="0.25">
      <c r="A3819" t="s">
        <v>3278</v>
      </c>
      <c r="B3819">
        <v>1</v>
      </c>
      <c r="C3819">
        <v>1</v>
      </c>
      <c r="D3819">
        <v>1</v>
      </c>
      <c r="E3819" t="s">
        <v>8694</v>
      </c>
      <c r="F3819" t="s">
        <v>8694</v>
      </c>
      <c r="G3819" t="s">
        <v>8694</v>
      </c>
      <c r="H3819">
        <v>16</v>
      </c>
    </row>
    <row r="3820" spans="1:8" x14ac:dyDescent="0.25">
      <c r="A3820" t="s">
        <v>3664</v>
      </c>
      <c r="B3820">
        <v>1</v>
      </c>
      <c r="C3820">
        <v>1</v>
      </c>
      <c r="D3820">
        <v>1</v>
      </c>
      <c r="E3820" t="s">
        <v>8695</v>
      </c>
      <c r="F3820" t="s">
        <v>8695</v>
      </c>
      <c r="G3820" t="s">
        <v>8695</v>
      </c>
      <c r="H3820">
        <v>14</v>
      </c>
    </row>
    <row r="3821" spans="1:8" x14ac:dyDescent="0.25">
      <c r="A3821" t="s">
        <v>3235</v>
      </c>
      <c r="B3821">
        <v>1</v>
      </c>
      <c r="C3821">
        <v>1</v>
      </c>
      <c r="D3821">
        <v>1</v>
      </c>
      <c r="E3821" t="s">
        <v>8696</v>
      </c>
      <c r="F3821" t="s">
        <v>8696</v>
      </c>
      <c r="G3821" t="s">
        <v>8696</v>
      </c>
      <c r="H3821">
        <v>13</v>
      </c>
    </row>
    <row r="3822" spans="1:8" x14ac:dyDescent="0.25">
      <c r="A3822" t="s">
        <v>4011</v>
      </c>
      <c r="B3822">
        <v>1</v>
      </c>
      <c r="C3822">
        <v>1</v>
      </c>
      <c r="D3822">
        <v>1</v>
      </c>
      <c r="E3822" t="s">
        <v>8697</v>
      </c>
      <c r="F3822" t="s">
        <v>8697</v>
      </c>
      <c r="G3822" t="s">
        <v>8697</v>
      </c>
      <c r="H3822">
        <v>2</v>
      </c>
    </row>
    <row r="3823" spans="1:8" x14ac:dyDescent="0.25">
      <c r="A3823" t="s">
        <v>2460</v>
      </c>
      <c r="B3823">
        <v>1</v>
      </c>
      <c r="C3823">
        <v>1</v>
      </c>
      <c r="D3823">
        <v>1</v>
      </c>
      <c r="E3823" t="s">
        <v>8698</v>
      </c>
      <c r="F3823" t="s">
        <v>8698</v>
      </c>
      <c r="G3823" t="s">
        <v>8698</v>
      </c>
      <c r="H3823">
        <v>88</v>
      </c>
    </row>
    <row r="3824" spans="1:8" x14ac:dyDescent="0.25">
      <c r="A3824" t="s">
        <v>3038</v>
      </c>
      <c r="B3824">
        <v>1</v>
      </c>
      <c r="C3824">
        <v>1</v>
      </c>
      <c r="D3824">
        <v>1</v>
      </c>
      <c r="E3824" t="s">
        <v>8699</v>
      </c>
      <c r="F3824" t="s">
        <v>8699</v>
      </c>
      <c r="G3824" t="s">
        <v>8699</v>
      </c>
      <c r="H3824">
        <v>31</v>
      </c>
    </row>
    <row r="3825" spans="1:8" x14ac:dyDescent="0.25">
      <c r="A3825" t="s">
        <v>3004</v>
      </c>
      <c r="B3825">
        <v>1</v>
      </c>
      <c r="C3825">
        <v>1</v>
      </c>
      <c r="D3825">
        <v>1</v>
      </c>
      <c r="E3825" t="s">
        <v>8700</v>
      </c>
      <c r="F3825" t="s">
        <v>8700</v>
      </c>
      <c r="G3825" t="s">
        <v>8700</v>
      </c>
      <c r="H3825">
        <v>45</v>
      </c>
    </row>
    <row r="3826" spans="1:8" x14ac:dyDescent="0.25">
      <c r="A3826" t="s">
        <v>3268</v>
      </c>
      <c r="B3826">
        <v>1</v>
      </c>
      <c r="C3826">
        <v>1</v>
      </c>
      <c r="D3826">
        <v>1</v>
      </c>
      <c r="E3826" t="s">
        <v>8701</v>
      </c>
      <c r="F3826" t="s">
        <v>8701</v>
      </c>
      <c r="G3826" t="s">
        <v>8701</v>
      </c>
      <c r="H3826">
        <v>20</v>
      </c>
    </row>
    <row r="3827" spans="1:8" x14ac:dyDescent="0.25">
      <c r="A3827" t="s">
        <v>2833</v>
      </c>
      <c r="B3827">
        <v>1</v>
      </c>
      <c r="C3827">
        <v>1</v>
      </c>
      <c r="D3827">
        <v>1</v>
      </c>
      <c r="E3827" t="s">
        <v>8702</v>
      </c>
      <c r="F3827" t="s">
        <v>8702</v>
      </c>
      <c r="G3827" t="s">
        <v>8702</v>
      </c>
      <c r="H3827">
        <v>37</v>
      </c>
    </row>
    <row r="3828" spans="1:8" x14ac:dyDescent="0.25">
      <c r="A3828" t="s">
        <v>3589</v>
      </c>
      <c r="B3828">
        <v>1</v>
      </c>
      <c r="C3828">
        <v>1</v>
      </c>
      <c r="D3828">
        <v>1</v>
      </c>
      <c r="E3828" t="s">
        <v>8703</v>
      </c>
      <c r="F3828" t="s">
        <v>8703</v>
      </c>
      <c r="G3828" t="s">
        <v>8703</v>
      </c>
      <c r="H3828">
        <v>3</v>
      </c>
    </row>
    <row r="3829" spans="1:8" x14ac:dyDescent="0.25">
      <c r="A3829" t="s">
        <v>2944</v>
      </c>
      <c r="B3829">
        <v>1</v>
      </c>
      <c r="C3829">
        <v>1</v>
      </c>
      <c r="D3829">
        <v>1</v>
      </c>
      <c r="E3829" t="s">
        <v>8704</v>
      </c>
      <c r="F3829" t="s">
        <v>8704</v>
      </c>
      <c r="G3829" t="s">
        <v>8704</v>
      </c>
      <c r="H3829">
        <v>15</v>
      </c>
    </row>
    <row r="3830" spans="1:8" x14ac:dyDescent="0.25">
      <c r="A3830" t="s">
        <v>2819</v>
      </c>
      <c r="B3830">
        <v>1</v>
      </c>
      <c r="C3830">
        <v>1</v>
      </c>
      <c r="D3830">
        <v>1</v>
      </c>
      <c r="E3830" t="s">
        <v>8705</v>
      </c>
      <c r="F3830" t="s">
        <v>8705</v>
      </c>
      <c r="G3830" t="s">
        <v>8705</v>
      </c>
      <c r="H3830">
        <v>22</v>
      </c>
    </row>
    <row r="3831" spans="1:8" x14ac:dyDescent="0.25">
      <c r="A3831" t="s">
        <v>3483</v>
      </c>
      <c r="B3831">
        <v>1</v>
      </c>
      <c r="C3831">
        <v>1</v>
      </c>
      <c r="D3831">
        <v>1</v>
      </c>
      <c r="E3831" t="s">
        <v>8706</v>
      </c>
      <c r="F3831" t="s">
        <v>8706</v>
      </c>
      <c r="G3831" t="s">
        <v>8706</v>
      </c>
      <c r="H3831">
        <v>6</v>
      </c>
    </row>
    <row r="3832" spans="1:8" x14ac:dyDescent="0.25">
      <c r="A3832" t="s">
        <v>3130</v>
      </c>
      <c r="B3832">
        <v>1</v>
      </c>
      <c r="C3832">
        <v>1</v>
      </c>
      <c r="D3832">
        <v>1</v>
      </c>
      <c r="E3832" t="s">
        <v>8707</v>
      </c>
      <c r="F3832" t="s">
        <v>8707</v>
      </c>
      <c r="G3832" t="s">
        <v>8707</v>
      </c>
      <c r="H3832">
        <v>15</v>
      </c>
    </row>
    <row r="3833" spans="1:8" x14ac:dyDescent="0.25">
      <c r="A3833" t="s">
        <v>3583</v>
      </c>
      <c r="B3833">
        <v>1</v>
      </c>
      <c r="C3833">
        <v>1</v>
      </c>
      <c r="D3833">
        <v>1</v>
      </c>
      <c r="E3833" t="s">
        <v>8708</v>
      </c>
      <c r="F3833" t="s">
        <v>8708</v>
      </c>
      <c r="G3833" t="s">
        <v>8708</v>
      </c>
      <c r="H3833">
        <v>6</v>
      </c>
    </row>
    <row r="3834" spans="1:8" x14ac:dyDescent="0.25">
      <c r="A3834" t="s">
        <v>3093</v>
      </c>
      <c r="B3834">
        <v>1</v>
      </c>
      <c r="C3834">
        <v>1</v>
      </c>
      <c r="D3834">
        <v>1</v>
      </c>
      <c r="E3834" t="s">
        <v>8709</v>
      </c>
      <c r="F3834" t="s">
        <v>8709</v>
      </c>
      <c r="G3834" t="s">
        <v>8709</v>
      </c>
      <c r="H3834">
        <v>11</v>
      </c>
    </row>
    <row r="3835" spans="1:8" x14ac:dyDescent="0.25">
      <c r="A3835" t="s">
        <v>3210</v>
      </c>
      <c r="B3835">
        <v>1</v>
      </c>
      <c r="C3835">
        <v>1</v>
      </c>
      <c r="D3835">
        <v>1</v>
      </c>
      <c r="E3835" t="s">
        <v>8710</v>
      </c>
      <c r="F3835" t="s">
        <v>8710</v>
      </c>
      <c r="G3835" t="s">
        <v>8710</v>
      </c>
      <c r="H3835">
        <v>9</v>
      </c>
    </row>
    <row r="3836" spans="1:8" x14ac:dyDescent="0.25">
      <c r="A3836" t="s">
        <v>3404</v>
      </c>
      <c r="B3836">
        <v>1</v>
      </c>
      <c r="C3836">
        <v>1</v>
      </c>
      <c r="D3836">
        <v>1</v>
      </c>
      <c r="E3836" t="s">
        <v>8711</v>
      </c>
      <c r="F3836" t="s">
        <v>8711</v>
      </c>
      <c r="G3836" t="s">
        <v>8711</v>
      </c>
      <c r="H3836">
        <v>5</v>
      </c>
    </row>
    <row r="3837" spans="1:8" x14ac:dyDescent="0.25">
      <c r="A3837" t="s">
        <v>3229</v>
      </c>
      <c r="B3837">
        <v>1</v>
      </c>
      <c r="C3837">
        <v>1</v>
      </c>
      <c r="D3837">
        <v>1</v>
      </c>
      <c r="E3837" t="s">
        <v>8712</v>
      </c>
      <c r="F3837" t="s">
        <v>8712</v>
      </c>
      <c r="G3837" t="s">
        <v>8712</v>
      </c>
      <c r="H3837">
        <v>6</v>
      </c>
    </row>
    <row r="3838" spans="1:8" x14ac:dyDescent="0.25">
      <c r="A3838" t="s">
        <v>3547</v>
      </c>
      <c r="B3838">
        <v>1</v>
      </c>
      <c r="C3838">
        <v>1</v>
      </c>
      <c r="D3838">
        <v>1</v>
      </c>
      <c r="E3838" t="s">
        <v>8713</v>
      </c>
      <c r="F3838" t="s">
        <v>8713</v>
      </c>
      <c r="G3838" t="s">
        <v>8713</v>
      </c>
      <c r="H3838">
        <v>5</v>
      </c>
    </row>
    <row r="3839" spans="1:8" x14ac:dyDescent="0.25">
      <c r="A3839" t="s">
        <v>3243</v>
      </c>
      <c r="B3839">
        <v>1</v>
      </c>
      <c r="C3839">
        <v>1</v>
      </c>
      <c r="D3839">
        <v>1</v>
      </c>
      <c r="E3839" t="s">
        <v>8714</v>
      </c>
      <c r="F3839" t="s">
        <v>8714</v>
      </c>
      <c r="G3839" t="s">
        <v>8714</v>
      </c>
      <c r="H3839">
        <v>6</v>
      </c>
    </row>
    <row r="3840" spans="1:8" x14ac:dyDescent="0.25">
      <c r="A3840" t="s">
        <v>3090</v>
      </c>
      <c r="B3840">
        <v>1</v>
      </c>
      <c r="C3840">
        <v>1</v>
      </c>
      <c r="D3840">
        <v>1</v>
      </c>
      <c r="E3840" t="s">
        <v>8715</v>
      </c>
      <c r="F3840" t="s">
        <v>8715</v>
      </c>
      <c r="G3840" t="s">
        <v>8715</v>
      </c>
      <c r="H3840">
        <v>11</v>
      </c>
    </row>
    <row r="3841" spans="1:8" x14ac:dyDescent="0.25">
      <c r="A3841" t="s">
        <v>3129</v>
      </c>
      <c r="B3841">
        <v>1</v>
      </c>
      <c r="C3841">
        <v>1</v>
      </c>
      <c r="D3841">
        <v>1</v>
      </c>
      <c r="E3841" t="s">
        <v>8716</v>
      </c>
      <c r="F3841" t="s">
        <v>8716</v>
      </c>
      <c r="G3841" t="s">
        <v>8716</v>
      </c>
      <c r="H3841">
        <v>8</v>
      </c>
    </row>
    <row r="3842" spans="1:8" x14ac:dyDescent="0.25">
      <c r="A3842" t="s">
        <v>3141</v>
      </c>
      <c r="B3842">
        <v>1</v>
      </c>
      <c r="C3842">
        <v>1</v>
      </c>
      <c r="D3842">
        <v>1</v>
      </c>
      <c r="E3842" t="s">
        <v>8717</v>
      </c>
      <c r="F3842" t="s">
        <v>8717</v>
      </c>
      <c r="G3842" t="s">
        <v>8717</v>
      </c>
      <c r="H3842">
        <v>10</v>
      </c>
    </row>
    <row r="3843" spans="1:8" x14ac:dyDescent="0.25">
      <c r="A3843" t="s">
        <v>3446</v>
      </c>
      <c r="B3843">
        <v>1</v>
      </c>
      <c r="C3843">
        <v>1</v>
      </c>
      <c r="D3843">
        <v>1</v>
      </c>
      <c r="E3843" t="s">
        <v>8718</v>
      </c>
      <c r="F3843" t="s">
        <v>8718</v>
      </c>
      <c r="G3843" t="s">
        <v>8718</v>
      </c>
      <c r="H3843">
        <v>12</v>
      </c>
    </row>
    <row r="3844" spans="1:8" x14ac:dyDescent="0.25">
      <c r="A3844" t="s">
        <v>3296</v>
      </c>
      <c r="B3844">
        <v>1</v>
      </c>
      <c r="C3844">
        <v>1</v>
      </c>
      <c r="D3844">
        <v>1</v>
      </c>
      <c r="E3844" t="s">
        <v>8719</v>
      </c>
      <c r="F3844" t="s">
        <v>8719</v>
      </c>
      <c r="G3844" t="s">
        <v>8719</v>
      </c>
      <c r="H3844">
        <v>7</v>
      </c>
    </row>
    <row r="3845" spans="1:8" x14ac:dyDescent="0.25">
      <c r="A3845" t="s">
        <v>3125</v>
      </c>
      <c r="B3845">
        <v>1</v>
      </c>
      <c r="C3845">
        <v>1</v>
      </c>
      <c r="D3845">
        <v>1</v>
      </c>
      <c r="E3845" t="s">
        <v>8720</v>
      </c>
      <c r="F3845" t="s">
        <v>8720</v>
      </c>
      <c r="G3845" t="s">
        <v>8720</v>
      </c>
      <c r="H3845">
        <v>19</v>
      </c>
    </row>
    <row r="3846" spans="1:8" x14ac:dyDescent="0.25">
      <c r="A3846" t="s">
        <v>3681</v>
      </c>
      <c r="B3846">
        <v>1</v>
      </c>
      <c r="C3846">
        <v>1</v>
      </c>
      <c r="D3846">
        <v>1</v>
      </c>
      <c r="E3846" t="s">
        <v>8721</v>
      </c>
      <c r="F3846" t="s">
        <v>8721</v>
      </c>
      <c r="G3846" t="s">
        <v>8721</v>
      </c>
      <c r="H3846">
        <v>10</v>
      </c>
    </row>
    <row r="3847" spans="1:8" x14ac:dyDescent="0.25">
      <c r="A3847" t="s">
        <v>3983</v>
      </c>
      <c r="B3847">
        <v>1</v>
      </c>
      <c r="C3847">
        <v>1</v>
      </c>
      <c r="D3847">
        <v>1</v>
      </c>
      <c r="E3847" t="s">
        <v>8722</v>
      </c>
      <c r="F3847" t="s">
        <v>8722</v>
      </c>
      <c r="G3847" t="s">
        <v>8722</v>
      </c>
      <c r="H3847">
        <v>1</v>
      </c>
    </row>
    <row r="3848" spans="1:8" x14ac:dyDescent="0.25">
      <c r="A3848" t="s">
        <v>3910</v>
      </c>
      <c r="B3848">
        <v>1</v>
      </c>
      <c r="C3848">
        <v>1</v>
      </c>
      <c r="D3848">
        <v>1</v>
      </c>
      <c r="E3848" t="s">
        <v>8723</v>
      </c>
      <c r="F3848" t="s">
        <v>8723</v>
      </c>
      <c r="G3848" t="s">
        <v>8723</v>
      </c>
      <c r="H3848">
        <v>1</v>
      </c>
    </row>
    <row r="3849" spans="1:8" x14ac:dyDescent="0.25">
      <c r="A3849" t="s">
        <v>3950</v>
      </c>
      <c r="B3849">
        <v>1</v>
      </c>
      <c r="C3849">
        <v>1</v>
      </c>
      <c r="D3849">
        <v>1</v>
      </c>
      <c r="E3849" t="s">
        <v>8724</v>
      </c>
      <c r="F3849" t="s">
        <v>8724</v>
      </c>
      <c r="G3849" t="s">
        <v>8724</v>
      </c>
      <c r="H3849">
        <v>1</v>
      </c>
    </row>
    <row r="3850" spans="1:8" x14ac:dyDescent="0.25">
      <c r="A3850" t="s">
        <v>3895</v>
      </c>
      <c r="B3850">
        <v>1</v>
      </c>
      <c r="C3850">
        <v>1</v>
      </c>
      <c r="D3850">
        <v>1</v>
      </c>
      <c r="E3850" t="s">
        <v>8725</v>
      </c>
      <c r="F3850" t="s">
        <v>8725</v>
      </c>
      <c r="G3850" t="s">
        <v>8725</v>
      </c>
      <c r="H3850">
        <v>2</v>
      </c>
    </row>
    <row r="3851" spans="1:8" x14ac:dyDescent="0.25">
      <c r="A3851" t="s">
        <v>3968</v>
      </c>
      <c r="B3851">
        <v>1</v>
      </c>
      <c r="C3851">
        <v>1</v>
      </c>
      <c r="D3851">
        <v>1</v>
      </c>
      <c r="E3851" t="s">
        <v>8726</v>
      </c>
      <c r="F3851" t="s">
        <v>8726</v>
      </c>
      <c r="G3851" t="s">
        <v>8726</v>
      </c>
      <c r="H3851">
        <v>2</v>
      </c>
    </row>
    <row r="3852" spans="1:8" x14ac:dyDescent="0.25">
      <c r="A3852" t="s">
        <v>3939</v>
      </c>
      <c r="B3852">
        <v>1</v>
      </c>
      <c r="C3852">
        <v>1</v>
      </c>
      <c r="D3852">
        <v>1</v>
      </c>
      <c r="E3852" t="s">
        <v>8727</v>
      </c>
      <c r="F3852" t="s">
        <v>8727</v>
      </c>
      <c r="G3852" t="s">
        <v>8727</v>
      </c>
      <c r="H3852">
        <v>2</v>
      </c>
    </row>
    <row r="3853" spans="1:8" x14ac:dyDescent="0.25">
      <c r="A3853" t="s">
        <v>3940</v>
      </c>
      <c r="B3853">
        <v>1</v>
      </c>
      <c r="C3853">
        <v>1</v>
      </c>
      <c r="D3853">
        <v>1</v>
      </c>
      <c r="E3853" t="s">
        <v>8728</v>
      </c>
      <c r="F3853" t="s">
        <v>8728</v>
      </c>
      <c r="G3853" t="s">
        <v>8728</v>
      </c>
      <c r="H3853">
        <v>2</v>
      </c>
    </row>
    <row r="3854" spans="1:8" x14ac:dyDescent="0.25">
      <c r="A3854" t="s">
        <v>3230</v>
      </c>
      <c r="B3854">
        <v>1</v>
      </c>
      <c r="C3854">
        <v>1</v>
      </c>
      <c r="D3854">
        <v>1</v>
      </c>
      <c r="E3854" t="s">
        <v>8729</v>
      </c>
      <c r="F3854" t="s">
        <v>8730</v>
      </c>
      <c r="G3854" t="s">
        <v>8730</v>
      </c>
      <c r="H3854">
        <v>20</v>
      </c>
    </row>
    <row r="3855" spans="1:8" x14ac:dyDescent="0.25">
      <c r="A3855" t="s">
        <v>3083</v>
      </c>
      <c r="B3855">
        <v>1</v>
      </c>
      <c r="C3855">
        <v>1</v>
      </c>
      <c r="D3855">
        <v>1</v>
      </c>
      <c r="E3855" t="s">
        <v>8731</v>
      </c>
      <c r="F3855" t="s">
        <v>8732</v>
      </c>
      <c r="G3855" t="s">
        <v>8732</v>
      </c>
      <c r="H3855">
        <v>20</v>
      </c>
    </row>
    <row r="3856" spans="1:8" x14ac:dyDescent="0.25">
      <c r="A3856" t="s">
        <v>3242</v>
      </c>
      <c r="B3856">
        <v>1</v>
      </c>
      <c r="C3856">
        <v>1</v>
      </c>
      <c r="D3856">
        <v>1</v>
      </c>
      <c r="E3856" t="s">
        <v>8733</v>
      </c>
      <c r="F3856" t="s">
        <v>8733</v>
      </c>
      <c r="G3856" t="s">
        <v>8733</v>
      </c>
      <c r="H3856">
        <v>16</v>
      </c>
    </row>
    <row r="3857" spans="1:8" x14ac:dyDescent="0.25">
      <c r="A3857" t="s">
        <v>3564</v>
      </c>
      <c r="B3857">
        <v>1</v>
      </c>
      <c r="C3857">
        <v>1</v>
      </c>
      <c r="D3857">
        <v>1</v>
      </c>
      <c r="E3857" t="s">
        <v>8734</v>
      </c>
      <c r="F3857" t="s">
        <v>8734</v>
      </c>
      <c r="G3857" t="s">
        <v>8734</v>
      </c>
      <c r="H3857">
        <v>7</v>
      </c>
    </row>
    <row r="3858" spans="1:8" x14ac:dyDescent="0.25">
      <c r="A3858" t="s">
        <v>3252</v>
      </c>
      <c r="B3858">
        <v>1</v>
      </c>
      <c r="C3858">
        <v>1</v>
      </c>
      <c r="D3858">
        <v>1</v>
      </c>
      <c r="E3858" t="s">
        <v>8735</v>
      </c>
      <c r="F3858" t="s">
        <v>8735</v>
      </c>
      <c r="G3858" t="s">
        <v>8735</v>
      </c>
      <c r="H3858">
        <v>14</v>
      </c>
    </row>
    <row r="3859" spans="1:8" x14ac:dyDescent="0.25">
      <c r="A3859" t="s">
        <v>3214</v>
      </c>
      <c r="B3859">
        <v>1</v>
      </c>
      <c r="C3859">
        <v>1</v>
      </c>
      <c r="D3859">
        <v>1</v>
      </c>
      <c r="E3859" t="s">
        <v>8736</v>
      </c>
      <c r="F3859" t="s">
        <v>8736</v>
      </c>
      <c r="G3859" t="s">
        <v>8736</v>
      </c>
      <c r="H3859">
        <v>16</v>
      </c>
    </row>
    <row r="3860" spans="1:8" x14ac:dyDescent="0.25">
      <c r="A3860" t="s">
        <v>3721</v>
      </c>
      <c r="B3860">
        <v>1</v>
      </c>
      <c r="C3860">
        <v>1</v>
      </c>
      <c r="D3860">
        <v>1</v>
      </c>
      <c r="E3860" t="s">
        <v>8737</v>
      </c>
      <c r="F3860" t="s">
        <v>8737</v>
      </c>
      <c r="G3860" t="s">
        <v>8737</v>
      </c>
      <c r="H3860">
        <v>6</v>
      </c>
    </row>
    <row r="3861" spans="1:8" x14ac:dyDescent="0.25">
      <c r="A3861" t="s">
        <v>3112</v>
      </c>
      <c r="B3861">
        <v>1</v>
      </c>
      <c r="C3861">
        <v>1</v>
      </c>
      <c r="D3861">
        <v>1</v>
      </c>
      <c r="E3861" t="s">
        <v>8738</v>
      </c>
      <c r="F3861" t="s">
        <v>8738</v>
      </c>
      <c r="G3861" t="s">
        <v>8738</v>
      </c>
      <c r="H3861">
        <v>31</v>
      </c>
    </row>
    <row r="3862" spans="1:8" x14ac:dyDescent="0.25">
      <c r="A3862" t="s">
        <v>3499</v>
      </c>
      <c r="B3862">
        <v>1</v>
      </c>
      <c r="C3862">
        <v>1</v>
      </c>
      <c r="D3862">
        <v>1</v>
      </c>
      <c r="E3862" t="s">
        <v>8739</v>
      </c>
      <c r="F3862" t="s">
        <v>8739</v>
      </c>
      <c r="G3862" t="s">
        <v>8739</v>
      </c>
      <c r="H3862">
        <v>13</v>
      </c>
    </row>
    <row r="3863" spans="1:8" x14ac:dyDescent="0.25">
      <c r="A3863" t="s">
        <v>3865</v>
      </c>
      <c r="B3863">
        <v>1</v>
      </c>
      <c r="C3863">
        <v>1</v>
      </c>
      <c r="D3863">
        <v>1</v>
      </c>
      <c r="E3863" t="s">
        <v>8740</v>
      </c>
      <c r="F3863" t="s">
        <v>8740</v>
      </c>
      <c r="G3863" t="s">
        <v>8740</v>
      </c>
      <c r="H3863">
        <v>3</v>
      </c>
    </row>
    <row r="3864" spans="1:8" x14ac:dyDescent="0.25">
      <c r="A3864" t="s">
        <v>3552</v>
      </c>
      <c r="B3864">
        <v>1</v>
      </c>
      <c r="C3864">
        <v>1</v>
      </c>
      <c r="D3864">
        <v>1</v>
      </c>
      <c r="E3864" t="s">
        <v>8741</v>
      </c>
      <c r="F3864" t="s">
        <v>8741</v>
      </c>
      <c r="G3864" t="s">
        <v>8741</v>
      </c>
      <c r="H3864">
        <v>2</v>
      </c>
    </row>
    <row r="3865" spans="1:8" x14ac:dyDescent="0.25">
      <c r="A3865" t="s">
        <v>3756</v>
      </c>
      <c r="B3865">
        <v>1</v>
      </c>
      <c r="C3865">
        <v>1</v>
      </c>
      <c r="D3865">
        <v>1</v>
      </c>
      <c r="E3865" t="s">
        <v>8742</v>
      </c>
      <c r="F3865" t="s">
        <v>8742</v>
      </c>
      <c r="G3865" t="s">
        <v>8742</v>
      </c>
      <c r="H3865">
        <v>3</v>
      </c>
    </row>
    <row r="3866" spans="1:8" x14ac:dyDescent="0.25">
      <c r="A3866" t="s">
        <v>3190</v>
      </c>
      <c r="B3866">
        <v>1</v>
      </c>
      <c r="C3866">
        <v>1</v>
      </c>
      <c r="D3866">
        <v>1</v>
      </c>
      <c r="E3866" t="s">
        <v>8743</v>
      </c>
      <c r="F3866" t="s">
        <v>8743</v>
      </c>
      <c r="G3866" t="s">
        <v>8743</v>
      </c>
      <c r="H3866">
        <v>13</v>
      </c>
    </row>
    <row r="3867" spans="1:8" x14ac:dyDescent="0.25">
      <c r="A3867" t="s">
        <v>2965</v>
      </c>
      <c r="B3867">
        <v>1</v>
      </c>
      <c r="C3867">
        <v>1</v>
      </c>
      <c r="D3867">
        <v>1</v>
      </c>
      <c r="E3867" t="s">
        <v>8744</v>
      </c>
      <c r="F3867" t="s">
        <v>8744</v>
      </c>
      <c r="G3867" t="s">
        <v>8744</v>
      </c>
      <c r="H3867">
        <v>45</v>
      </c>
    </row>
    <row r="3868" spans="1:8" x14ac:dyDescent="0.25">
      <c r="A3868" t="s">
        <v>3508</v>
      </c>
      <c r="B3868">
        <v>1</v>
      </c>
      <c r="C3868">
        <v>1</v>
      </c>
      <c r="D3868">
        <v>1</v>
      </c>
      <c r="E3868" t="s">
        <v>8745</v>
      </c>
      <c r="F3868" t="s">
        <v>8745</v>
      </c>
      <c r="G3868" t="s">
        <v>8745</v>
      </c>
      <c r="H3868">
        <v>2</v>
      </c>
    </row>
    <row r="3869" spans="1:8" x14ac:dyDescent="0.25">
      <c r="A3869" t="s">
        <v>3938</v>
      </c>
      <c r="B3869">
        <v>1</v>
      </c>
      <c r="C3869">
        <v>1</v>
      </c>
      <c r="D3869">
        <v>1</v>
      </c>
      <c r="E3869" t="s">
        <v>8746</v>
      </c>
      <c r="F3869" t="s">
        <v>8746</v>
      </c>
      <c r="G3869" t="s">
        <v>8746</v>
      </c>
      <c r="H3869">
        <v>1</v>
      </c>
    </row>
    <row r="3870" spans="1:8" x14ac:dyDescent="0.25">
      <c r="A3870" t="s">
        <v>3585</v>
      </c>
      <c r="B3870">
        <v>1</v>
      </c>
      <c r="C3870">
        <v>1</v>
      </c>
      <c r="D3870">
        <v>1</v>
      </c>
      <c r="E3870" t="s">
        <v>8747</v>
      </c>
      <c r="F3870" t="s">
        <v>8747</v>
      </c>
      <c r="G3870" t="s">
        <v>8747</v>
      </c>
      <c r="H3870">
        <v>2</v>
      </c>
    </row>
    <row r="3871" spans="1:8" x14ac:dyDescent="0.25">
      <c r="A3871" t="s">
        <v>3742</v>
      </c>
      <c r="B3871">
        <v>1</v>
      </c>
      <c r="C3871">
        <v>1</v>
      </c>
      <c r="D3871">
        <v>1</v>
      </c>
      <c r="E3871" t="s">
        <v>8748</v>
      </c>
      <c r="F3871" t="s">
        <v>8748</v>
      </c>
      <c r="G3871" t="s">
        <v>8748</v>
      </c>
      <c r="H3871">
        <v>3</v>
      </c>
    </row>
    <row r="3872" spans="1:8" x14ac:dyDescent="0.25">
      <c r="A3872" t="s">
        <v>3413</v>
      </c>
      <c r="B3872">
        <v>1</v>
      </c>
      <c r="C3872">
        <v>1</v>
      </c>
      <c r="D3872">
        <v>1</v>
      </c>
      <c r="E3872" t="s">
        <v>8749</v>
      </c>
      <c r="F3872" t="s">
        <v>8749</v>
      </c>
      <c r="G3872" t="s">
        <v>8749</v>
      </c>
      <c r="H3872">
        <v>7</v>
      </c>
    </row>
    <row r="3873" spans="1:8" x14ac:dyDescent="0.25">
      <c r="A3873" t="s">
        <v>3758</v>
      </c>
      <c r="B3873">
        <v>1</v>
      </c>
      <c r="C3873">
        <v>1</v>
      </c>
      <c r="D3873">
        <v>1</v>
      </c>
      <c r="E3873" t="s">
        <v>8750</v>
      </c>
      <c r="F3873" t="s">
        <v>8750</v>
      </c>
      <c r="G3873" t="s">
        <v>8750</v>
      </c>
      <c r="H3873">
        <v>2</v>
      </c>
    </row>
    <row r="3874" spans="1:8" x14ac:dyDescent="0.25">
      <c r="A3874" t="s">
        <v>3340</v>
      </c>
      <c r="B3874">
        <v>1</v>
      </c>
      <c r="C3874">
        <v>1</v>
      </c>
      <c r="D3874">
        <v>1</v>
      </c>
      <c r="E3874" t="s">
        <v>8751</v>
      </c>
      <c r="F3874" t="s">
        <v>8751</v>
      </c>
      <c r="G3874" t="s">
        <v>8751</v>
      </c>
      <c r="H3874">
        <v>10</v>
      </c>
    </row>
    <row r="3875" spans="1:8" x14ac:dyDescent="0.25">
      <c r="A3875" t="s">
        <v>3463</v>
      </c>
      <c r="B3875">
        <v>1</v>
      </c>
      <c r="C3875">
        <v>1</v>
      </c>
      <c r="D3875">
        <v>1</v>
      </c>
      <c r="E3875" t="s">
        <v>8752</v>
      </c>
      <c r="F3875" t="s">
        <v>8752</v>
      </c>
      <c r="G3875" t="s">
        <v>8752</v>
      </c>
      <c r="H3875">
        <v>5</v>
      </c>
    </row>
    <row r="3876" spans="1:8" x14ac:dyDescent="0.25">
      <c r="A3876" t="s">
        <v>3414</v>
      </c>
      <c r="B3876">
        <v>1</v>
      </c>
      <c r="C3876">
        <v>1</v>
      </c>
      <c r="D3876">
        <v>1</v>
      </c>
      <c r="E3876" t="s">
        <v>8753</v>
      </c>
      <c r="F3876" t="s">
        <v>8753</v>
      </c>
      <c r="G3876" t="s">
        <v>8753</v>
      </c>
      <c r="H3876">
        <v>8</v>
      </c>
    </row>
    <row r="3877" spans="1:8" x14ac:dyDescent="0.25">
      <c r="A3877" t="s">
        <v>3688</v>
      </c>
      <c r="B3877">
        <v>1</v>
      </c>
      <c r="C3877">
        <v>1</v>
      </c>
      <c r="D3877">
        <v>1</v>
      </c>
      <c r="E3877" t="s">
        <v>8754</v>
      </c>
      <c r="F3877" t="s">
        <v>8754</v>
      </c>
      <c r="G3877" t="s">
        <v>8754</v>
      </c>
      <c r="H3877">
        <v>2</v>
      </c>
    </row>
    <row r="3878" spans="1:8" x14ac:dyDescent="0.25">
      <c r="A3878" t="s">
        <v>3652</v>
      </c>
      <c r="B3878">
        <v>1</v>
      </c>
      <c r="C3878">
        <v>1</v>
      </c>
      <c r="D3878">
        <v>1</v>
      </c>
      <c r="E3878" t="s">
        <v>8755</v>
      </c>
      <c r="F3878" t="s">
        <v>8755</v>
      </c>
      <c r="G3878" t="s">
        <v>8755</v>
      </c>
      <c r="H3878">
        <v>2</v>
      </c>
    </row>
    <row r="3879" spans="1:8" x14ac:dyDescent="0.25">
      <c r="A3879" t="s">
        <v>3933</v>
      </c>
      <c r="B3879">
        <v>1</v>
      </c>
      <c r="C3879">
        <v>1</v>
      </c>
      <c r="D3879">
        <v>1</v>
      </c>
      <c r="E3879" t="s">
        <v>8756</v>
      </c>
      <c r="F3879" t="s">
        <v>8756</v>
      </c>
      <c r="G3879" t="s">
        <v>8756</v>
      </c>
      <c r="H3879">
        <v>1</v>
      </c>
    </row>
    <row r="3880" spans="1:8" x14ac:dyDescent="0.25">
      <c r="A3880" t="s">
        <v>3433</v>
      </c>
      <c r="B3880">
        <v>1</v>
      </c>
      <c r="C3880">
        <v>1</v>
      </c>
      <c r="D3880">
        <v>1</v>
      </c>
      <c r="E3880" t="s">
        <v>8757</v>
      </c>
      <c r="F3880" t="s">
        <v>8757</v>
      </c>
      <c r="G3880" t="s">
        <v>8757</v>
      </c>
      <c r="H3880">
        <v>4</v>
      </c>
    </row>
    <row r="3881" spans="1:8" x14ac:dyDescent="0.25">
      <c r="A3881" t="s">
        <v>2742</v>
      </c>
      <c r="B3881">
        <v>1</v>
      </c>
      <c r="C3881">
        <v>1</v>
      </c>
      <c r="D3881">
        <v>1</v>
      </c>
      <c r="E3881" t="s">
        <v>8758</v>
      </c>
      <c r="F3881" t="s">
        <v>8758</v>
      </c>
      <c r="G3881" t="s">
        <v>8758</v>
      </c>
      <c r="H3881">
        <v>22</v>
      </c>
    </row>
    <row r="3882" spans="1:8" x14ac:dyDescent="0.25">
      <c r="A3882" t="s">
        <v>3312</v>
      </c>
      <c r="B3882">
        <v>1</v>
      </c>
      <c r="C3882">
        <v>1</v>
      </c>
      <c r="D3882">
        <v>1</v>
      </c>
      <c r="E3882" t="s">
        <v>8759</v>
      </c>
      <c r="F3882" t="s">
        <v>8759</v>
      </c>
      <c r="G3882" t="s">
        <v>8759</v>
      </c>
      <c r="H3882">
        <v>14</v>
      </c>
    </row>
    <row r="3883" spans="1:8" x14ac:dyDescent="0.25">
      <c r="A3883" t="s">
        <v>2933</v>
      </c>
      <c r="B3883">
        <v>1</v>
      </c>
      <c r="C3883">
        <v>1</v>
      </c>
      <c r="D3883">
        <v>1</v>
      </c>
      <c r="E3883" t="s">
        <v>8760</v>
      </c>
      <c r="F3883" t="s">
        <v>8760</v>
      </c>
      <c r="G3883" t="s">
        <v>8760</v>
      </c>
      <c r="H3883">
        <v>18</v>
      </c>
    </row>
    <row r="3884" spans="1:8" x14ac:dyDescent="0.25">
      <c r="A3884" t="s">
        <v>3185</v>
      </c>
      <c r="B3884">
        <v>1</v>
      </c>
      <c r="C3884">
        <v>1</v>
      </c>
      <c r="D3884">
        <v>1</v>
      </c>
      <c r="E3884" t="s">
        <v>8761</v>
      </c>
      <c r="F3884" t="s">
        <v>8761</v>
      </c>
      <c r="G3884" t="s">
        <v>8761</v>
      </c>
      <c r="H3884">
        <v>7</v>
      </c>
    </row>
    <row r="3885" spans="1:8" x14ac:dyDescent="0.25">
      <c r="A3885" t="s">
        <v>2599</v>
      </c>
      <c r="B3885">
        <v>1</v>
      </c>
      <c r="C3885">
        <v>1</v>
      </c>
      <c r="D3885">
        <v>1</v>
      </c>
      <c r="E3885" t="s">
        <v>8762</v>
      </c>
      <c r="F3885" t="s">
        <v>8762</v>
      </c>
      <c r="G3885" t="s">
        <v>8762</v>
      </c>
      <c r="H3885">
        <v>24</v>
      </c>
    </row>
    <row r="3886" spans="1:8" x14ac:dyDescent="0.25">
      <c r="A3886" t="s">
        <v>3111</v>
      </c>
      <c r="B3886">
        <v>1</v>
      </c>
      <c r="C3886">
        <v>1</v>
      </c>
      <c r="D3886">
        <v>1</v>
      </c>
      <c r="E3886" t="s">
        <v>8763</v>
      </c>
      <c r="F3886" t="s">
        <v>8763</v>
      </c>
      <c r="G3886" t="s">
        <v>8763</v>
      </c>
      <c r="H3886">
        <v>9</v>
      </c>
    </row>
    <row r="3887" spans="1:8" x14ac:dyDescent="0.25">
      <c r="A3887" t="s">
        <v>2577</v>
      </c>
      <c r="B3887">
        <v>1</v>
      </c>
      <c r="C3887">
        <v>1</v>
      </c>
      <c r="D3887">
        <v>1</v>
      </c>
      <c r="E3887" t="s">
        <v>8764</v>
      </c>
      <c r="F3887" t="s">
        <v>8764</v>
      </c>
      <c r="G3887" t="s">
        <v>8764</v>
      </c>
      <c r="H3887">
        <v>4</v>
      </c>
    </row>
    <row r="3888" spans="1:8" x14ac:dyDescent="0.25">
      <c r="A3888" t="s">
        <v>3303</v>
      </c>
      <c r="B3888">
        <v>1</v>
      </c>
      <c r="C3888">
        <v>1</v>
      </c>
      <c r="D3888">
        <v>1</v>
      </c>
      <c r="E3888" t="s">
        <v>8765</v>
      </c>
      <c r="F3888" t="s">
        <v>8765</v>
      </c>
      <c r="G3888" t="s">
        <v>8765</v>
      </c>
      <c r="H3888">
        <v>4</v>
      </c>
    </row>
    <row r="3889" spans="1:8" x14ac:dyDescent="0.25">
      <c r="A3889" t="s">
        <v>3604</v>
      </c>
      <c r="B3889">
        <v>1</v>
      </c>
      <c r="C3889">
        <v>1</v>
      </c>
      <c r="D3889">
        <v>1</v>
      </c>
      <c r="E3889" t="s">
        <v>8766</v>
      </c>
      <c r="F3889" t="s">
        <v>8766</v>
      </c>
      <c r="G3889" t="s">
        <v>8766</v>
      </c>
      <c r="H3889">
        <v>5</v>
      </c>
    </row>
    <row r="3890" spans="1:8" x14ac:dyDescent="0.25">
      <c r="A3890" t="s">
        <v>3827</v>
      </c>
      <c r="B3890">
        <v>1</v>
      </c>
      <c r="C3890">
        <v>1</v>
      </c>
      <c r="D3890">
        <v>1</v>
      </c>
      <c r="E3890" t="s">
        <v>8767</v>
      </c>
      <c r="F3890" t="s">
        <v>8767</v>
      </c>
      <c r="G3890" t="s">
        <v>8767</v>
      </c>
      <c r="H3890">
        <v>2</v>
      </c>
    </row>
    <row r="3891" spans="1:8" x14ac:dyDescent="0.25">
      <c r="A3891" t="s">
        <v>3919</v>
      </c>
      <c r="B3891">
        <v>1</v>
      </c>
      <c r="C3891">
        <v>1</v>
      </c>
      <c r="D3891">
        <v>1</v>
      </c>
      <c r="E3891" t="s">
        <v>8768</v>
      </c>
      <c r="F3891" t="s">
        <v>8768</v>
      </c>
      <c r="G3891" t="s">
        <v>8768</v>
      </c>
      <c r="H3891">
        <v>1</v>
      </c>
    </row>
    <row r="3892" spans="1:8" x14ac:dyDescent="0.25">
      <c r="A3892" t="s">
        <v>2452</v>
      </c>
      <c r="B3892">
        <v>1</v>
      </c>
      <c r="C3892">
        <v>1</v>
      </c>
      <c r="D3892">
        <v>1</v>
      </c>
      <c r="E3892" t="s">
        <v>8769</v>
      </c>
      <c r="F3892" t="s">
        <v>8769</v>
      </c>
      <c r="G3892" t="s">
        <v>8769</v>
      </c>
      <c r="H3892">
        <v>5</v>
      </c>
    </row>
    <row r="3893" spans="1:8" x14ac:dyDescent="0.25">
      <c r="A3893" t="s">
        <v>3307</v>
      </c>
      <c r="B3893">
        <v>1</v>
      </c>
      <c r="C3893">
        <v>1</v>
      </c>
      <c r="D3893">
        <v>1</v>
      </c>
      <c r="E3893" t="s">
        <v>8770</v>
      </c>
      <c r="F3893" t="s">
        <v>8770</v>
      </c>
      <c r="G3893" t="s">
        <v>8770</v>
      </c>
      <c r="H3893">
        <v>7</v>
      </c>
    </row>
    <row r="3894" spans="1:8" x14ac:dyDescent="0.25">
      <c r="A3894" t="s">
        <v>3699</v>
      </c>
      <c r="B3894">
        <v>1</v>
      </c>
      <c r="C3894">
        <v>1</v>
      </c>
      <c r="D3894">
        <v>1</v>
      </c>
      <c r="E3894" t="s">
        <v>8771</v>
      </c>
      <c r="F3894" t="s">
        <v>8771</v>
      </c>
      <c r="G3894" t="s">
        <v>8771</v>
      </c>
      <c r="H3894">
        <v>3</v>
      </c>
    </row>
    <row r="3895" spans="1:8" x14ac:dyDescent="0.25">
      <c r="A3895" t="s">
        <v>3434</v>
      </c>
      <c r="B3895">
        <v>1</v>
      </c>
      <c r="C3895">
        <v>1</v>
      </c>
      <c r="D3895">
        <v>1</v>
      </c>
      <c r="E3895" t="s">
        <v>8772</v>
      </c>
      <c r="F3895" t="s">
        <v>8772</v>
      </c>
      <c r="G3895" t="s">
        <v>8772</v>
      </c>
      <c r="H3895">
        <v>5</v>
      </c>
    </row>
    <row r="3896" spans="1:8" x14ac:dyDescent="0.25">
      <c r="A3896" t="s">
        <v>2798</v>
      </c>
      <c r="B3896">
        <v>1</v>
      </c>
      <c r="C3896">
        <v>1</v>
      </c>
      <c r="D3896">
        <v>1</v>
      </c>
      <c r="E3896" t="s">
        <v>8773</v>
      </c>
      <c r="F3896" t="s">
        <v>8773</v>
      </c>
      <c r="G3896" t="s">
        <v>8773</v>
      </c>
      <c r="H3896">
        <v>35</v>
      </c>
    </row>
    <row r="3897" spans="1:8" x14ac:dyDescent="0.25">
      <c r="A3897" t="s">
        <v>3587</v>
      </c>
      <c r="B3897">
        <v>1</v>
      </c>
      <c r="C3897">
        <v>1</v>
      </c>
      <c r="D3897">
        <v>1</v>
      </c>
      <c r="E3897" t="s">
        <v>8774</v>
      </c>
      <c r="F3897" t="s">
        <v>8774</v>
      </c>
      <c r="G3897" t="s">
        <v>8774</v>
      </c>
      <c r="H3897">
        <v>5</v>
      </c>
    </row>
    <row r="3898" spans="1:8" x14ac:dyDescent="0.25">
      <c r="A3898" t="s">
        <v>2715</v>
      </c>
      <c r="B3898">
        <v>1</v>
      </c>
      <c r="C3898">
        <v>1</v>
      </c>
      <c r="D3898">
        <v>1</v>
      </c>
      <c r="E3898" t="s">
        <v>8775</v>
      </c>
      <c r="F3898" t="s">
        <v>8775</v>
      </c>
      <c r="G3898" t="s">
        <v>8775</v>
      </c>
      <c r="H3898">
        <v>16</v>
      </c>
    </row>
    <row r="3899" spans="1:8" x14ac:dyDescent="0.25">
      <c r="A3899" t="s">
        <v>2829</v>
      </c>
      <c r="B3899">
        <v>1</v>
      </c>
      <c r="C3899">
        <v>1</v>
      </c>
      <c r="D3899">
        <v>1</v>
      </c>
      <c r="E3899" t="s">
        <v>8776</v>
      </c>
      <c r="F3899" t="s">
        <v>8776</v>
      </c>
      <c r="G3899" t="s">
        <v>8776</v>
      </c>
      <c r="H3899">
        <v>12</v>
      </c>
    </row>
    <row r="3900" spans="1:8" x14ac:dyDescent="0.25">
      <c r="A3900" t="s">
        <v>2518</v>
      </c>
      <c r="B3900">
        <v>1</v>
      </c>
      <c r="C3900">
        <v>1</v>
      </c>
      <c r="D3900">
        <v>1</v>
      </c>
      <c r="E3900" t="s">
        <v>8777</v>
      </c>
      <c r="F3900" t="s">
        <v>8777</v>
      </c>
      <c r="G3900" t="s">
        <v>8777</v>
      </c>
      <c r="H3900">
        <v>26</v>
      </c>
    </row>
    <row r="3901" spans="1:8" x14ac:dyDescent="0.25">
      <c r="A3901" t="s">
        <v>2718</v>
      </c>
      <c r="B3901">
        <v>1</v>
      </c>
      <c r="C3901">
        <v>1</v>
      </c>
      <c r="D3901">
        <v>1</v>
      </c>
      <c r="E3901" t="s">
        <v>8778</v>
      </c>
      <c r="F3901" t="s">
        <v>8778</v>
      </c>
      <c r="G3901" t="s">
        <v>8778</v>
      </c>
      <c r="H3901">
        <v>12</v>
      </c>
    </row>
    <row r="3902" spans="1:8" x14ac:dyDescent="0.25">
      <c r="A3902" t="s">
        <v>3089</v>
      </c>
      <c r="B3902">
        <v>1</v>
      </c>
      <c r="C3902">
        <v>1</v>
      </c>
      <c r="D3902">
        <v>1</v>
      </c>
      <c r="E3902" t="s">
        <v>8779</v>
      </c>
      <c r="F3902" t="s">
        <v>8779</v>
      </c>
      <c r="G3902" t="s">
        <v>8779</v>
      </c>
      <c r="H3902">
        <v>21</v>
      </c>
    </row>
    <row r="3903" spans="1:8" x14ac:dyDescent="0.25">
      <c r="A3903" t="s">
        <v>2516</v>
      </c>
      <c r="B3903">
        <v>1</v>
      </c>
      <c r="C3903">
        <v>1</v>
      </c>
      <c r="D3903">
        <v>1</v>
      </c>
      <c r="E3903" t="s">
        <v>8780</v>
      </c>
      <c r="F3903" t="s">
        <v>8780</v>
      </c>
      <c r="G3903" t="s">
        <v>8780</v>
      </c>
      <c r="H3903">
        <v>37</v>
      </c>
    </row>
    <row r="3904" spans="1:8" x14ac:dyDescent="0.25">
      <c r="A3904" t="s">
        <v>2470</v>
      </c>
      <c r="B3904">
        <v>1</v>
      </c>
      <c r="C3904">
        <v>1</v>
      </c>
      <c r="D3904">
        <v>1</v>
      </c>
      <c r="E3904" t="s">
        <v>8781</v>
      </c>
      <c r="F3904" t="s">
        <v>8781</v>
      </c>
      <c r="G3904" t="s">
        <v>8781</v>
      </c>
      <c r="H3904">
        <v>50</v>
      </c>
    </row>
    <row r="3905" spans="1:8" x14ac:dyDescent="0.25">
      <c r="A3905" t="s">
        <v>2614</v>
      </c>
      <c r="B3905">
        <v>1</v>
      </c>
      <c r="C3905">
        <v>1</v>
      </c>
      <c r="D3905">
        <v>1</v>
      </c>
      <c r="E3905" t="s">
        <v>8782</v>
      </c>
      <c r="F3905" t="s">
        <v>8782</v>
      </c>
      <c r="G3905" t="s">
        <v>8782</v>
      </c>
      <c r="H3905">
        <v>34</v>
      </c>
    </row>
    <row r="3906" spans="1:8" x14ac:dyDescent="0.25">
      <c r="A3906" t="s">
        <v>3715</v>
      </c>
      <c r="B3906">
        <v>1</v>
      </c>
      <c r="C3906">
        <v>1</v>
      </c>
      <c r="D3906">
        <v>1</v>
      </c>
      <c r="E3906" t="s">
        <v>8783</v>
      </c>
      <c r="F3906" t="s">
        <v>8783</v>
      </c>
      <c r="G3906" t="s">
        <v>8783</v>
      </c>
      <c r="H3906">
        <v>1</v>
      </c>
    </row>
    <row r="3907" spans="1:8" x14ac:dyDescent="0.25">
      <c r="A3907" t="s">
        <v>3244</v>
      </c>
      <c r="B3907">
        <v>1</v>
      </c>
      <c r="C3907">
        <v>1</v>
      </c>
      <c r="D3907">
        <v>1</v>
      </c>
      <c r="E3907" t="s">
        <v>8784</v>
      </c>
      <c r="F3907" t="s">
        <v>8784</v>
      </c>
      <c r="G3907" t="s">
        <v>8784</v>
      </c>
      <c r="H3907">
        <v>11</v>
      </c>
    </row>
    <row r="3908" spans="1:8" x14ac:dyDescent="0.25">
      <c r="A3908" t="s">
        <v>3491</v>
      </c>
      <c r="B3908">
        <v>1</v>
      </c>
      <c r="C3908">
        <v>1</v>
      </c>
      <c r="D3908">
        <v>1</v>
      </c>
      <c r="E3908" t="s">
        <v>8785</v>
      </c>
      <c r="F3908" t="s">
        <v>8785</v>
      </c>
      <c r="G3908" t="s">
        <v>8785</v>
      </c>
      <c r="H3908">
        <v>7</v>
      </c>
    </row>
    <row r="3909" spans="1:8" x14ac:dyDescent="0.25">
      <c r="A3909" t="s">
        <v>3596</v>
      </c>
      <c r="B3909">
        <v>1</v>
      </c>
      <c r="C3909">
        <v>1</v>
      </c>
      <c r="D3909">
        <v>1</v>
      </c>
      <c r="E3909" t="s">
        <v>8786</v>
      </c>
      <c r="F3909" t="s">
        <v>8786</v>
      </c>
      <c r="G3909" t="s">
        <v>8786</v>
      </c>
      <c r="H3909">
        <v>5</v>
      </c>
    </row>
    <row r="3910" spans="1:8" x14ac:dyDescent="0.25">
      <c r="A3910" t="s">
        <v>3203</v>
      </c>
      <c r="B3910">
        <v>1</v>
      </c>
      <c r="C3910">
        <v>1</v>
      </c>
      <c r="D3910">
        <v>1</v>
      </c>
      <c r="E3910" t="s">
        <v>8787</v>
      </c>
      <c r="F3910" t="s">
        <v>8787</v>
      </c>
      <c r="G3910" t="s">
        <v>8787</v>
      </c>
      <c r="H3910">
        <v>9</v>
      </c>
    </row>
    <row r="3911" spans="1:8" x14ac:dyDescent="0.25">
      <c r="A3911" t="s">
        <v>3408</v>
      </c>
      <c r="B3911">
        <v>1</v>
      </c>
      <c r="C3911">
        <v>1</v>
      </c>
      <c r="D3911">
        <v>1</v>
      </c>
      <c r="E3911" t="s">
        <v>8788</v>
      </c>
      <c r="F3911" t="s">
        <v>8788</v>
      </c>
      <c r="G3911" t="s">
        <v>8788</v>
      </c>
      <c r="H3911">
        <v>5</v>
      </c>
    </row>
    <row r="3912" spans="1:8" x14ac:dyDescent="0.25">
      <c r="A3912" t="s">
        <v>3051</v>
      </c>
      <c r="B3912">
        <v>1</v>
      </c>
      <c r="C3912">
        <v>1</v>
      </c>
      <c r="D3912">
        <v>1</v>
      </c>
      <c r="E3912" t="s">
        <v>8789</v>
      </c>
      <c r="F3912" t="s">
        <v>8789</v>
      </c>
      <c r="G3912" t="s">
        <v>8789</v>
      </c>
      <c r="H3912">
        <v>15</v>
      </c>
    </row>
    <row r="3913" spans="1:8" x14ac:dyDescent="0.25">
      <c r="A3913" t="s">
        <v>3020</v>
      </c>
      <c r="B3913">
        <v>1</v>
      </c>
      <c r="C3913">
        <v>1</v>
      </c>
      <c r="D3913">
        <v>1</v>
      </c>
      <c r="E3913" t="s">
        <v>8790</v>
      </c>
      <c r="F3913" t="s">
        <v>8790</v>
      </c>
      <c r="G3913" t="s">
        <v>8790</v>
      </c>
      <c r="H3913">
        <v>16</v>
      </c>
    </row>
    <row r="3914" spans="1:8" x14ac:dyDescent="0.25">
      <c r="A3914" t="s">
        <v>3506</v>
      </c>
      <c r="B3914">
        <v>1</v>
      </c>
      <c r="C3914">
        <v>1</v>
      </c>
      <c r="D3914">
        <v>1</v>
      </c>
      <c r="E3914" t="s">
        <v>8791</v>
      </c>
      <c r="F3914" t="s">
        <v>8791</v>
      </c>
      <c r="G3914" t="s">
        <v>8791</v>
      </c>
      <c r="H3914">
        <v>15</v>
      </c>
    </row>
    <row r="3915" spans="1:8" x14ac:dyDescent="0.25">
      <c r="A3915" t="s">
        <v>3449</v>
      </c>
      <c r="B3915">
        <v>1</v>
      </c>
      <c r="C3915">
        <v>1</v>
      </c>
      <c r="D3915">
        <v>1</v>
      </c>
      <c r="E3915" t="s">
        <v>8792</v>
      </c>
      <c r="F3915" t="s">
        <v>8792</v>
      </c>
      <c r="G3915" t="s">
        <v>8792</v>
      </c>
      <c r="H3915">
        <v>18</v>
      </c>
    </row>
    <row r="3916" spans="1:8" x14ac:dyDescent="0.25">
      <c r="A3916" t="s">
        <v>3213</v>
      </c>
      <c r="B3916">
        <v>1</v>
      </c>
      <c r="C3916">
        <v>1</v>
      </c>
      <c r="D3916">
        <v>1</v>
      </c>
      <c r="E3916" t="s">
        <v>8793</v>
      </c>
      <c r="F3916" t="s">
        <v>8793</v>
      </c>
      <c r="G3916" t="s">
        <v>8793</v>
      </c>
      <c r="H3916">
        <v>15</v>
      </c>
    </row>
    <row r="3917" spans="1:8" x14ac:dyDescent="0.25">
      <c r="A3917" t="s">
        <v>3869</v>
      </c>
      <c r="B3917">
        <v>1</v>
      </c>
      <c r="C3917">
        <v>1</v>
      </c>
      <c r="D3917">
        <v>1</v>
      </c>
      <c r="E3917" t="s">
        <v>8794</v>
      </c>
      <c r="F3917" t="s">
        <v>8794</v>
      </c>
      <c r="G3917" t="s">
        <v>8794</v>
      </c>
      <c r="H3917">
        <v>2</v>
      </c>
    </row>
    <row r="3918" spans="1:8" x14ac:dyDescent="0.25">
      <c r="A3918" t="s">
        <v>3409</v>
      </c>
      <c r="B3918">
        <v>1</v>
      </c>
      <c r="C3918">
        <v>1</v>
      </c>
      <c r="D3918">
        <v>1</v>
      </c>
      <c r="E3918" t="s">
        <v>8795</v>
      </c>
      <c r="F3918" t="s">
        <v>8795</v>
      </c>
      <c r="G3918" t="s">
        <v>8795</v>
      </c>
      <c r="H3918">
        <v>13</v>
      </c>
    </row>
    <row r="3919" spans="1:8" x14ac:dyDescent="0.25">
      <c r="A3919" t="s">
        <v>3447</v>
      </c>
      <c r="B3919">
        <v>1</v>
      </c>
      <c r="C3919">
        <v>1</v>
      </c>
      <c r="D3919">
        <v>1</v>
      </c>
      <c r="E3919" t="s">
        <v>8796</v>
      </c>
      <c r="F3919" t="s">
        <v>8796</v>
      </c>
      <c r="G3919" t="s">
        <v>8796</v>
      </c>
      <c r="H3919">
        <v>12</v>
      </c>
    </row>
    <row r="3920" spans="1:8" x14ac:dyDescent="0.25">
      <c r="A3920" t="s">
        <v>3022</v>
      </c>
      <c r="B3920">
        <v>1</v>
      </c>
      <c r="C3920">
        <v>1</v>
      </c>
      <c r="D3920">
        <v>1</v>
      </c>
      <c r="E3920" t="s">
        <v>8797</v>
      </c>
      <c r="F3920" t="s">
        <v>8797</v>
      </c>
      <c r="G3920" t="s">
        <v>8797</v>
      </c>
      <c r="H3920">
        <v>38</v>
      </c>
    </row>
    <row r="3921" spans="1:8" x14ac:dyDescent="0.25">
      <c r="A3921" t="s">
        <v>3086</v>
      </c>
      <c r="B3921">
        <v>1</v>
      </c>
      <c r="C3921">
        <v>1</v>
      </c>
      <c r="D3921">
        <v>1</v>
      </c>
      <c r="E3921" t="s">
        <v>8798</v>
      </c>
      <c r="F3921" t="s">
        <v>8798</v>
      </c>
      <c r="G3921" t="s">
        <v>8798</v>
      </c>
      <c r="H3921">
        <v>18</v>
      </c>
    </row>
    <row r="3922" spans="1:8" x14ac:dyDescent="0.25">
      <c r="A3922" t="s">
        <v>3182</v>
      </c>
      <c r="B3922">
        <v>1</v>
      </c>
      <c r="C3922">
        <v>1</v>
      </c>
      <c r="D3922">
        <v>1</v>
      </c>
      <c r="E3922" t="s">
        <v>8799</v>
      </c>
      <c r="F3922" t="s">
        <v>8799</v>
      </c>
      <c r="G3922" t="s">
        <v>8799</v>
      </c>
      <c r="H3922">
        <v>23</v>
      </c>
    </row>
    <row r="3923" spans="1:8" x14ac:dyDescent="0.25">
      <c r="A3923" t="s">
        <v>2753</v>
      </c>
      <c r="B3923">
        <v>1</v>
      </c>
      <c r="C3923">
        <v>1</v>
      </c>
      <c r="D3923">
        <v>1</v>
      </c>
      <c r="E3923" t="s">
        <v>8800</v>
      </c>
      <c r="F3923" t="s">
        <v>8800</v>
      </c>
      <c r="G3923" t="s">
        <v>8800</v>
      </c>
      <c r="H3923">
        <v>25</v>
      </c>
    </row>
    <row r="3924" spans="1:8" x14ac:dyDescent="0.25">
      <c r="A3924" t="s">
        <v>3199</v>
      </c>
      <c r="B3924">
        <v>1</v>
      </c>
      <c r="C3924">
        <v>1</v>
      </c>
      <c r="D3924">
        <v>1</v>
      </c>
      <c r="E3924" t="s">
        <v>8801</v>
      </c>
      <c r="F3924" t="s">
        <v>8801</v>
      </c>
      <c r="G3924" t="s">
        <v>8801</v>
      </c>
      <c r="H3924">
        <v>9</v>
      </c>
    </row>
    <row r="3925" spans="1:8" x14ac:dyDescent="0.25">
      <c r="A3925" t="s">
        <v>3239</v>
      </c>
      <c r="B3925">
        <v>1</v>
      </c>
      <c r="C3925">
        <v>1</v>
      </c>
      <c r="D3925">
        <v>1</v>
      </c>
      <c r="E3925" t="s">
        <v>8802</v>
      </c>
      <c r="F3925" t="s">
        <v>8802</v>
      </c>
      <c r="G3925" t="s">
        <v>8802</v>
      </c>
      <c r="H3925">
        <v>6</v>
      </c>
    </row>
    <row r="3926" spans="1:8" x14ac:dyDescent="0.25">
      <c r="A3926" t="s">
        <v>2828</v>
      </c>
      <c r="B3926">
        <v>1</v>
      </c>
      <c r="C3926">
        <v>1</v>
      </c>
      <c r="D3926">
        <v>1</v>
      </c>
      <c r="E3926" t="s">
        <v>8803</v>
      </c>
      <c r="F3926" t="s">
        <v>8803</v>
      </c>
      <c r="G3926" t="s">
        <v>8803</v>
      </c>
      <c r="H3926">
        <v>20</v>
      </c>
    </row>
    <row r="3927" spans="1:8" x14ac:dyDescent="0.25">
      <c r="A3927" t="s">
        <v>3671</v>
      </c>
      <c r="B3927">
        <v>1</v>
      </c>
      <c r="C3927">
        <v>1</v>
      </c>
      <c r="D3927">
        <v>1</v>
      </c>
      <c r="E3927" t="s">
        <v>8804</v>
      </c>
      <c r="F3927" t="s">
        <v>8804</v>
      </c>
      <c r="G3927" t="s">
        <v>8804</v>
      </c>
      <c r="H3927">
        <v>3</v>
      </c>
    </row>
    <row r="3928" spans="1:8" x14ac:dyDescent="0.25">
      <c r="A3928" t="s">
        <v>3577</v>
      </c>
      <c r="B3928">
        <v>1</v>
      </c>
      <c r="C3928">
        <v>1</v>
      </c>
      <c r="D3928">
        <v>1</v>
      </c>
      <c r="E3928" t="s">
        <v>8805</v>
      </c>
      <c r="F3928" t="s">
        <v>8806</v>
      </c>
      <c r="G3928" t="s">
        <v>8806</v>
      </c>
      <c r="H3928">
        <v>3</v>
      </c>
    </row>
    <row r="3929" spans="1:8" x14ac:dyDescent="0.25">
      <c r="A3929" t="s">
        <v>3661</v>
      </c>
      <c r="B3929">
        <v>1</v>
      </c>
      <c r="C3929">
        <v>1</v>
      </c>
      <c r="D3929">
        <v>1</v>
      </c>
      <c r="E3929" t="s">
        <v>8807</v>
      </c>
      <c r="F3929" t="s">
        <v>8807</v>
      </c>
      <c r="G3929" t="s">
        <v>8807</v>
      </c>
      <c r="H3929">
        <v>2</v>
      </c>
    </row>
    <row r="3930" spans="1:8" x14ac:dyDescent="0.25">
      <c r="A3930" t="s">
        <v>3412</v>
      </c>
      <c r="B3930">
        <v>1</v>
      </c>
      <c r="C3930">
        <v>1</v>
      </c>
      <c r="D3930">
        <v>1</v>
      </c>
      <c r="E3930" t="s">
        <v>8808</v>
      </c>
      <c r="F3930" t="s">
        <v>8808</v>
      </c>
      <c r="G3930" t="s">
        <v>8808</v>
      </c>
      <c r="H3930">
        <v>5</v>
      </c>
    </row>
    <row r="3931" spans="1:8" x14ac:dyDescent="0.25">
      <c r="A3931" t="s">
        <v>3579</v>
      </c>
      <c r="B3931">
        <v>1</v>
      </c>
      <c r="C3931">
        <v>1</v>
      </c>
      <c r="D3931">
        <v>1</v>
      </c>
      <c r="E3931" t="s">
        <v>8809</v>
      </c>
      <c r="F3931" t="s">
        <v>8809</v>
      </c>
      <c r="G3931" t="s">
        <v>8809</v>
      </c>
      <c r="H3931">
        <v>3</v>
      </c>
    </row>
    <row r="3932" spans="1:8" x14ac:dyDescent="0.25">
      <c r="A3932" t="s">
        <v>3500</v>
      </c>
      <c r="B3932">
        <v>1</v>
      </c>
      <c r="C3932">
        <v>1</v>
      </c>
      <c r="D3932">
        <v>1</v>
      </c>
      <c r="E3932" t="s">
        <v>8810</v>
      </c>
      <c r="F3932" t="s">
        <v>8810</v>
      </c>
      <c r="G3932" t="s">
        <v>8810</v>
      </c>
      <c r="H3932">
        <v>10</v>
      </c>
    </row>
    <row r="3933" spans="1:8" x14ac:dyDescent="0.25">
      <c r="A3933" t="s">
        <v>3497</v>
      </c>
      <c r="B3933">
        <v>1</v>
      </c>
      <c r="C3933">
        <v>1</v>
      </c>
      <c r="D3933">
        <v>1</v>
      </c>
      <c r="E3933" t="s">
        <v>8811</v>
      </c>
      <c r="F3933" t="s">
        <v>8811</v>
      </c>
      <c r="G3933" t="s">
        <v>8811</v>
      </c>
      <c r="H3933">
        <v>7</v>
      </c>
    </row>
    <row r="3934" spans="1:8" x14ac:dyDescent="0.25">
      <c r="A3934" t="s">
        <v>3260</v>
      </c>
      <c r="B3934">
        <v>1</v>
      </c>
      <c r="C3934">
        <v>1</v>
      </c>
      <c r="D3934">
        <v>1</v>
      </c>
      <c r="E3934" t="s">
        <v>8812</v>
      </c>
      <c r="F3934" t="s">
        <v>8812</v>
      </c>
      <c r="G3934" t="s">
        <v>8812</v>
      </c>
      <c r="H3934">
        <v>15</v>
      </c>
    </row>
    <row r="3935" spans="1:8" x14ac:dyDescent="0.25">
      <c r="A3935" t="s">
        <v>3275</v>
      </c>
      <c r="B3935">
        <v>1</v>
      </c>
      <c r="C3935">
        <v>1</v>
      </c>
      <c r="D3935">
        <v>1</v>
      </c>
      <c r="E3935" t="s">
        <v>8813</v>
      </c>
      <c r="F3935" t="s">
        <v>8813</v>
      </c>
      <c r="G3935" t="s">
        <v>8813</v>
      </c>
      <c r="H3935">
        <v>15</v>
      </c>
    </row>
    <row r="3936" spans="1:8" x14ac:dyDescent="0.25">
      <c r="A3936" t="s">
        <v>3496</v>
      </c>
      <c r="B3936">
        <v>1</v>
      </c>
      <c r="C3936">
        <v>1</v>
      </c>
      <c r="D3936">
        <v>1</v>
      </c>
      <c r="E3936" t="s">
        <v>8814</v>
      </c>
      <c r="F3936" t="s">
        <v>8814</v>
      </c>
      <c r="G3936" t="s">
        <v>8814</v>
      </c>
      <c r="H3936">
        <v>10</v>
      </c>
    </row>
    <row r="3937" spans="1:8" x14ac:dyDescent="0.25">
      <c r="A3937" t="s">
        <v>3186</v>
      </c>
      <c r="B3937">
        <v>1</v>
      </c>
      <c r="C3937">
        <v>1</v>
      </c>
      <c r="D3937">
        <v>1</v>
      </c>
      <c r="E3937" t="s">
        <v>8815</v>
      </c>
      <c r="F3937" t="s">
        <v>8815</v>
      </c>
      <c r="G3937" t="s">
        <v>8815</v>
      </c>
      <c r="H3937">
        <v>8</v>
      </c>
    </row>
    <row r="3938" spans="1:8" x14ac:dyDescent="0.25">
      <c r="A3938" t="s">
        <v>3813</v>
      </c>
      <c r="B3938">
        <v>1</v>
      </c>
      <c r="C3938">
        <v>1</v>
      </c>
      <c r="D3938">
        <v>1</v>
      </c>
      <c r="E3938" t="s">
        <v>8816</v>
      </c>
      <c r="F3938" t="s">
        <v>8816</v>
      </c>
      <c r="G3938" t="s">
        <v>8816</v>
      </c>
      <c r="H3938">
        <v>1</v>
      </c>
    </row>
    <row r="3939" spans="1:8" x14ac:dyDescent="0.25">
      <c r="A3939" t="s">
        <v>3548</v>
      </c>
      <c r="B3939">
        <v>1</v>
      </c>
      <c r="C3939">
        <v>1</v>
      </c>
      <c r="D3939">
        <v>1</v>
      </c>
      <c r="E3939" t="s">
        <v>8817</v>
      </c>
      <c r="F3939" t="s">
        <v>8817</v>
      </c>
      <c r="G3939" t="s">
        <v>8817</v>
      </c>
      <c r="H3939">
        <v>5</v>
      </c>
    </row>
    <row r="3940" spans="1:8" x14ac:dyDescent="0.25">
      <c r="A3940" t="s">
        <v>3717</v>
      </c>
      <c r="B3940">
        <v>1</v>
      </c>
      <c r="C3940">
        <v>1</v>
      </c>
      <c r="D3940">
        <v>1</v>
      </c>
      <c r="E3940" t="s">
        <v>8818</v>
      </c>
      <c r="F3940" t="s">
        <v>8818</v>
      </c>
      <c r="G3940" t="s">
        <v>8818</v>
      </c>
      <c r="H3940">
        <v>3</v>
      </c>
    </row>
    <row r="3941" spans="1:8" x14ac:dyDescent="0.25">
      <c r="A3941" t="s">
        <v>3545</v>
      </c>
      <c r="B3941">
        <v>1</v>
      </c>
      <c r="C3941">
        <v>1</v>
      </c>
      <c r="D3941">
        <v>1</v>
      </c>
      <c r="E3941" t="s">
        <v>8819</v>
      </c>
      <c r="F3941" t="s">
        <v>8819</v>
      </c>
      <c r="G3941" t="s">
        <v>8819</v>
      </c>
      <c r="H3941">
        <v>6</v>
      </c>
    </row>
    <row r="3942" spans="1:8" x14ac:dyDescent="0.25">
      <c r="A3942" t="s">
        <v>3064</v>
      </c>
      <c r="B3942">
        <v>2</v>
      </c>
      <c r="C3942">
        <v>2</v>
      </c>
      <c r="D3942">
        <v>2</v>
      </c>
      <c r="E3942" t="s">
        <v>8820</v>
      </c>
      <c r="F3942" t="s">
        <v>8820</v>
      </c>
      <c r="G3942" t="s">
        <v>4256</v>
      </c>
      <c r="H3942">
        <v>10</v>
      </c>
    </row>
    <row r="3943" spans="1:8" x14ac:dyDescent="0.25">
      <c r="A3943" t="s">
        <v>3428</v>
      </c>
      <c r="B3943">
        <v>1</v>
      </c>
      <c r="C3943">
        <v>1</v>
      </c>
      <c r="D3943">
        <v>1</v>
      </c>
      <c r="E3943" t="s">
        <v>8821</v>
      </c>
      <c r="F3943" t="s">
        <v>8821</v>
      </c>
      <c r="G3943" t="s">
        <v>8821</v>
      </c>
      <c r="H3943">
        <v>5</v>
      </c>
    </row>
    <row r="3944" spans="1:8" x14ac:dyDescent="0.25">
      <c r="A3944" t="s">
        <v>3332</v>
      </c>
      <c r="B3944">
        <v>1</v>
      </c>
      <c r="C3944">
        <v>1</v>
      </c>
      <c r="D3944">
        <v>1</v>
      </c>
      <c r="E3944" t="s">
        <v>8822</v>
      </c>
      <c r="F3944" t="s">
        <v>8822</v>
      </c>
      <c r="G3944" t="s">
        <v>8822</v>
      </c>
      <c r="H3944">
        <v>7</v>
      </c>
    </row>
    <row r="3945" spans="1:8" x14ac:dyDescent="0.25">
      <c r="A3945" t="s">
        <v>3033</v>
      </c>
      <c r="B3945">
        <v>1</v>
      </c>
      <c r="C3945">
        <v>1</v>
      </c>
      <c r="D3945">
        <v>1</v>
      </c>
      <c r="E3945" t="s">
        <v>8823</v>
      </c>
      <c r="F3945" t="s">
        <v>8823</v>
      </c>
      <c r="G3945" t="s">
        <v>8823</v>
      </c>
      <c r="H3945">
        <v>14</v>
      </c>
    </row>
    <row r="3946" spans="1:8" x14ac:dyDescent="0.25">
      <c r="A3946" t="s">
        <v>3853</v>
      </c>
      <c r="B3946">
        <v>1</v>
      </c>
      <c r="C3946">
        <v>1</v>
      </c>
      <c r="D3946">
        <v>1</v>
      </c>
      <c r="E3946" t="s">
        <v>8824</v>
      </c>
      <c r="F3946" t="s">
        <v>8824</v>
      </c>
      <c r="G3946" t="s">
        <v>8824</v>
      </c>
      <c r="H3946">
        <v>1</v>
      </c>
    </row>
    <row r="3947" spans="1:8" x14ac:dyDescent="0.25">
      <c r="A3947" t="s">
        <v>3663</v>
      </c>
      <c r="B3947">
        <v>1</v>
      </c>
      <c r="C3947">
        <v>1</v>
      </c>
      <c r="D3947">
        <v>1</v>
      </c>
      <c r="E3947" t="s">
        <v>8825</v>
      </c>
      <c r="F3947" t="s">
        <v>8825</v>
      </c>
      <c r="G3947" t="s">
        <v>8825</v>
      </c>
      <c r="H3947">
        <v>8</v>
      </c>
    </row>
    <row r="3948" spans="1:8" x14ac:dyDescent="0.25">
      <c r="A3948" t="s">
        <v>3779</v>
      </c>
      <c r="B3948">
        <v>1</v>
      </c>
      <c r="C3948">
        <v>1</v>
      </c>
      <c r="D3948">
        <v>1</v>
      </c>
      <c r="E3948" t="s">
        <v>8826</v>
      </c>
      <c r="F3948" t="s">
        <v>8826</v>
      </c>
      <c r="G3948" t="s">
        <v>8826</v>
      </c>
      <c r="H3948">
        <v>5</v>
      </c>
    </row>
    <row r="3949" spans="1:8" x14ac:dyDescent="0.25">
      <c r="A3949" t="s">
        <v>3498</v>
      </c>
      <c r="B3949">
        <v>1</v>
      </c>
      <c r="C3949">
        <v>1</v>
      </c>
      <c r="D3949">
        <v>1</v>
      </c>
      <c r="E3949" t="s">
        <v>8827</v>
      </c>
      <c r="F3949" t="s">
        <v>8827</v>
      </c>
      <c r="G3949" t="s">
        <v>8827</v>
      </c>
      <c r="H3949">
        <v>10</v>
      </c>
    </row>
    <row r="3950" spans="1:8" x14ac:dyDescent="0.25">
      <c r="A3950" t="s">
        <v>3102</v>
      </c>
      <c r="B3950">
        <v>1</v>
      </c>
      <c r="C3950">
        <v>1</v>
      </c>
      <c r="D3950">
        <v>1</v>
      </c>
      <c r="E3950" t="s">
        <v>8828</v>
      </c>
      <c r="F3950" t="s">
        <v>8828</v>
      </c>
      <c r="G3950" t="s">
        <v>8828</v>
      </c>
      <c r="H3950">
        <v>24</v>
      </c>
    </row>
    <row r="3951" spans="1:8" x14ac:dyDescent="0.25">
      <c r="A3951" t="s">
        <v>3352</v>
      </c>
      <c r="B3951">
        <v>1</v>
      </c>
      <c r="C3951">
        <v>1</v>
      </c>
      <c r="D3951">
        <v>1</v>
      </c>
      <c r="E3951" t="s">
        <v>8829</v>
      </c>
      <c r="F3951" t="s">
        <v>8829</v>
      </c>
      <c r="G3951" t="s">
        <v>8829</v>
      </c>
      <c r="H3951">
        <v>17</v>
      </c>
    </row>
    <row r="3952" spans="1:8" x14ac:dyDescent="0.25">
      <c r="A3952" t="s">
        <v>3628</v>
      </c>
      <c r="B3952">
        <v>1</v>
      </c>
      <c r="C3952">
        <v>1</v>
      </c>
      <c r="D3952">
        <v>1</v>
      </c>
      <c r="E3952" t="s">
        <v>8830</v>
      </c>
      <c r="F3952" t="s">
        <v>8830</v>
      </c>
      <c r="G3952" t="s">
        <v>8830</v>
      </c>
      <c r="H3952">
        <v>9</v>
      </c>
    </row>
    <row r="3953" spans="1:8" x14ac:dyDescent="0.25">
      <c r="A3953" t="s">
        <v>3992</v>
      </c>
      <c r="B3953">
        <v>1</v>
      </c>
      <c r="C3953">
        <v>1</v>
      </c>
      <c r="D3953">
        <v>1</v>
      </c>
      <c r="E3953" t="s">
        <v>8830</v>
      </c>
      <c r="F3953" t="s">
        <v>8830</v>
      </c>
      <c r="G3953" t="s">
        <v>8830</v>
      </c>
      <c r="H3953">
        <v>1</v>
      </c>
    </row>
    <row r="3954" spans="1:8" x14ac:dyDescent="0.25">
      <c r="A3954" t="s">
        <v>3100</v>
      </c>
      <c r="B3954">
        <v>1</v>
      </c>
      <c r="C3954">
        <v>1</v>
      </c>
      <c r="D3954">
        <v>1</v>
      </c>
      <c r="E3954" t="s">
        <v>8831</v>
      </c>
      <c r="F3954" t="s">
        <v>8831</v>
      </c>
      <c r="G3954" t="s">
        <v>8831</v>
      </c>
      <c r="H3954">
        <v>9</v>
      </c>
    </row>
    <row r="3955" spans="1:8" x14ac:dyDescent="0.25">
      <c r="A3955" t="s">
        <v>2650</v>
      </c>
      <c r="B3955">
        <v>1</v>
      </c>
      <c r="C3955">
        <v>1</v>
      </c>
      <c r="D3955">
        <v>1</v>
      </c>
      <c r="E3955" t="s">
        <v>8832</v>
      </c>
      <c r="F3955" t="s">
        <v>8832</v>
      </c>
      <c r="G3955" t="s">
        <v>8832</v>
      </c>
      <c r="H3955">
        <v>21</v>
      </c>
    </row>
    <row r="3956" spans="1:8" x14ac:dyDescent="0.25">
      <c r="A3956" t="s">
        <v>2874</v>
      </c>
      <c r="B3956">
        <v>1</v>
      </c>
      <c r="C3956">
        <v>1</v>
      </c>
      <c r="D3956">
        <v>1</v>
      </c>
      <c r="E3956" t="s">
        <v>8833</v>
      </c>
      <c r="F3956" t="s">
        <v>8833</v>
      </c>
      <c r="G3956" t="s">
        <v>8833</v>
      </c>
      <c r="H3956">
        <v>17</v>
      </c>
    </row>
    <row r="3957" spans="1:8" x14ac:dyDescent="0.25">
      <c r="A3957" t="s">
        <v>3854</v>
      </c>
      <c r="B3957">
        <v>1</v>
      </c>
      <c r="C3957">
        <v>1</v>
      </c>
      <c r="D3957">
        <v>1</v>
      </c>
      <c r="E3957" t="s">
        <v>8833</v>
      </c>
      <c r="F3957" t="s">
        <v>8833</v>
      </c>
      <c r="G3957" t="s">
        <v>8833</v>
      </c>
      <c r="H3957">
        <v>1</v>
      </c>
    </row>
    <row r="3958" spans="1:8" x14ac:dyDescent="0.25">
      <c r="A3958" t="s">
        <v>3050</v>
      </c>
      <c r="B3958">
        <v>1</v>
      </c>
      <c r="C3958">
        <v>1</v>
      </c>
      <c r="D3958">
        <v>1</v>
      </c>
      <c r="E3958" t="s">
        <v>8834</v>
      </c>
      <c r="F3958" t="s">
        <v>8834</v>
      </c>
      <c r="G3958" t="s">
        <v>8834</v>
      </c>
      <c r="H3958">
        <v>14</v>
      </c>
    </row>
    <row r="3959" spans="1:8" x14ac:dyDescent="0.25">
      <c r="A3959" t="s">
        <v>3175</v>
      </c>
      <c r="B3959">
        <v>1</v>
      </c>
      <c r="C3959">
        <v>1</v>
      </c>
      <c r="D3959">
        <v>1</v>
      </c>
      <c r="E3959" t="s">
        <v>8835</v>
      </c>
      <c r="F3959" t="s">
        <v>8835</v>
      </c>
      <c r="G3959" t="s">
        <v>8835</v>
      </c>
      <c r="H3959">
        <v>14</v>
      </c>
    </row>
    <row r="3960" spans="1:8" x14ac:dyDescent="0.25">
      <c r="A3960" t="s">
        <v>3124</v>
      </c>
      <c r="B3960">
        <v>1</v>
      </c>
      <c r="C3960">
        <v>1</v>
      </c>
      <c r="D3960">
        <v>1</v>
      </c>
      <c r="E3960" t="s">
        <v>8836</v>
      </c>
      <c r="F3960" t="s">
        <v>8836</v>
      </c>
      <c r="G3960" t="s">
        <v>8836</v>
      </c>
      <c r="H3960">
        <v>13</v>
      </c>
    </row>
    <row r="3961" spans="1:8" x14ac:dyDescent="0.25">
      <c r="A3961" t="s">
        <v>2995</v>
      </c>
      <c r="B3961">
        <v>1</v>
      </c>
      <c r="C3961">
        <v>1</v>
      </c>
      <c r="D3961">
        <v>1</v>
      </c>
      <c r="E3961" t="s">
        <v>8837</v>
      </c>
      <c r="F3961" t="s">
        <v>8837</v>
      </c>
      <c r="G3961" t="s">
        <v>8837</v>
      </c>
      <c r="H3961">
        <v>11</v>
      </c>
    </row>
    <row r="3962" spans="1:8" x14ac:dyDescent="0.25">
      <c r="A3962" t="s">
        <v>3551</v>
      </c>
      <c r="B3962">
        <v>1</v>
      </c>
      <c r="C3962">
        <v>1</v>
      </c>
      <c r="D3962">
        <v>1</v>
      </c>
      <c r="E3962" t="s">
        <v>8838</v>
      </c>
      <c r="F3962" t="s">
        <v>8838</v>
      </c>
      <c r="G3962" t="s">
        <v>8838</v>
      </c>
      <c r="H3962">
        <v>10</v>
      </c>
    </row>
    <row r="3963" spans="1:8" x14ac:dyDescent="0.25">
      <c r="A3963" t="s">
        <v>3327</v>
      </c>
      <c r="B3963">
        <v>1</v>
      </c>
      <c r="C3963">
        <v>1</v>
      </c>
      <c r="D3963">
        <v>1</v>
      </c>
      <c r="E3963" t="s">
        <v>8839</v>
      </c>
      <c r="F3963" t="s">
        <v>8839</v>
      </c>
      <c r="G3963" t="s">
        <v>8839</v>
      </c>
      <c r="H3963">
        <v>15</v>
      </c>
    </row>
    <row r="3964" spans="1:8" x14ac:dyDescent="0.25">
      <c r="A3964" t="s">
        <v>3986</v>
      </c>
      <c r="B3964">
        <v>1</v>
      </c>
      <c r="C3964">
        <v>1</v>
      </c>
      <c r="D3964">
        <v>1</v>
      </c>
      <c r="E3964" t="s">
        <v>8840</v>
      </c>
      <c r="F3964" t="s">
        <v>8840</v>
      </c>
      <c r="G3964" t="s">
        <v>8840</v>
      </c>
      <c r="H3964">
        <v>1</v>
      </c>
    </row>
    <row r="3965" spans="1:8" x14ac:dyDescent="0.25">
      <c r="A3965" t="s">
        <v>3505</v>
      </c>
      <c r="B3965">
        <v>1</v>
      </c>
      <c r="C3965">
        <v>1</v>
      </c>
      <c r="D3965">
        <v>1</v>
      </c>
      <c r="E3965" t="s">
        <v>8841</v>
      </c>
      <c r="F3965" t="s">
        <v>8841</v>
      </c>
      <c r="G3965" t="s">
        <v>8841</v>
      </c>
      <c r="H3965">
        <v>8</v>
      </c>
    </row>
    <row r="3966" spans="1:8" x14ac:dyDescent="0.25">
      <c r="A3966" t="s">
        <v>3637</v>
      </c>
      <c r="B3966">
        <v>1</v>
      </c>
      <c r="C3966">
        <v>1</v>
      </c>
      <c r="D3966">
        <v>1</v>
      </c>
      <c r="E3966" t="s">
        <v>8842</v>
      </c>
      <c r="F3966" t="s">
        <v>8842</v>
      </c>
      <c r="G3966" t="s">
        <v>8842</v>
      </c>
      <c r="H3966">
        <v>8</v>
      </c>
    </row>
    <row r="3967" spans="1:8" x14ac:dyDescent="0.25">
      <c r="A3967" t="s">
        <v>3768</v>
      </c>
      <c r="B3967">
        <v>1</v>
      </c>
      <c r="C3967">
        <v>1</v>
      </c>
      <c r="D3967">
        <v>1</v>
      </c>
      <c r="E3967" t="s">
        <v>8843</v>
      </c>
      <c r="F3967" t="s">
        <v>8843</v>
      </c>
      <c r="G3967" t="s">
        <v>8843</v>
      </c>
      <c r="H3967">
        <v>2</v>
      </c>
    </row>
    <row r="3968" spans="1:8" x14ac:dyDescent="0.25">
      <c r="A3968" t="s">
        <v>3456</v>
      </c>
      <c r="B3968">
        <v>1</v>
      </c>
      <c r="C3968">
        <v>1</v>
      </c>
      <c r="D3968">
        <v>1</v>
      </c>
      <c r="E3968" t="s">
        <v>8844</v>
      </c>
      <c r="F3968" t="s">
        <v>8844</v>
      </c>
      <c r="G3968" t="s">
        <v>8844</v>
      </c>
      <c r="H3968">
        <v>10</v>
      </c>
    </row>
    <row r="3969" spans="1:8" x14ac:dyDescent="0.25">
      <c r="A3969" t="s">
        <v>3523</v>
      </c>
      <c r="B3969">
        <v>1</v>
      </c>
      <c r="C3969">
        <v>1</v>
      </c>
      <c r="D3969">
        <v>1</v>
      </c>
      <c r="E3969" t="s">
        <v>8845</v>
      </c>
      <c r="F3969" t="s">
        <v>8845</v>
      </c>
      <c r="G3969" t="s">
        <v>8845</v>
      </c>
      <c r="H3969">
        <v>7</v>
      </c>
    </row>
    <row r="3970" spans="1:8" x14ac:dyDescent="0.25">
      <c r="A3970" t="s">
        <v>3369</v>
      </c>
      <c r="B3970">
        <v>1</v>
      </c>
      <c r="C3970">
        <v>1</v>
      </c>
      <c r="D3970">
        <v>1</v>
      </c>
      <c r="E3970" t="s">
        <v>8846</v>
      </c>
      <c r="F3970" t="s">
        <v>8846</v>
      </c>
      <c r="G3970" t="s">
        <v>8846</v>
      </c>
      <c r="H3970">
        <v>19</v>
      </c>
    </row>
    <row r="3971" spans="1:8" x14ac:dyDescent="0.25">
      <c r="A3971" t="s">
        <v>2945</v>
      </c>
      <c r="B3971">
        <v>2</v>
      </c>
      <c r="C3971">
        <v>2</v>
      </c>
      <c r="D3971">
        <v>2</v>
      </c>
      <c r="E3971" t="s">
        <v>8847</v>
      </c>
      <c r="F3971" t="s">
        <v>8847</v>
      </c>
      <c r="G3971" t="s">
        <v>4256</v>
      </c>
      <c r="H3971">
        <v>11</v>
      </c>
    </row>
    <row r="3972" spans="1:8" x14ac:dyDescent="0.25">
      <c r="A3972" t="s">
        <v>2831</v>
      </c>
      <c r="B3972">
        <v>1</v>
      </c>
      <c r="C3972">
        <v>1</v>
      </c>
      <c r="D3972">
        <v>1</v>
      </c>
      <c r="E3972" t="s">
        <v>8848</v>
      </c>
      <c r="F3972" t="s">
        <v>8848</v>
      </c>
      <c r="G3972" t="s">
        <v>8848</v>
      </c>
      <c r="H3972">
        <v>26</v>
      </c>
    </row>
    <row r="3973" spans="1:8" x14ac:dyDescent="0.25">
      <c r="A3973" t="s">
        <v>3304</v>
      </c>
      <c r="B3973">
        <v>1</v>
      </c>
      <c r="C3973">
        <v>1</v>
      </c>
      <c r="D3973">
        <v>1</v>
      </c>
      <c r="E3973" t="s">
        <v>8849</v>
      </c>
      <c r="F3973" t="s">
        <v>8849</v>
      </c>
      <c r="G3973" t="s">
        <v>8849</v>
      </c>
      <c r="H3973">
        <v>10</v>
      </c>
    </row>
    <row r="3974" spans="1:8" x14ac:dyDescent="0.25">
      <c r="A3974" t="s">
        <v>3080</v>
      </c>
      <c r="B3974">
        <v>2</v>
      </c>
      <c r="C3974">
        <v>2</v>
      </c>
      <c r="D3974">
        <v>2</v>
      </c>
      <c r="E3974" t="s">
        <v>8850</v>
      </c>
      <c r="F3974" t="s">
        <v>8850</v>
      </c>
      <c r="G3974" t="s">
        <v>4256</v>
      </c>
      <c r="H3974">
        <v>11</v>
      </c>
    </row>
    <row r="3975" spans="1:8" x14ac:dyDescent="0.25">
      <c r="A3975" t="s">
        <v>3580</v>
      </c>
      <c r="B3975">
        <v>1</v>
      </c>
      <c r="C3975">
        <v>1</v>
      </c>
      <c r="D3975">
        <v>1</v>
      </c>
      <c r="E3975" t="s">
        <v>8851</v>
      </c>
      <c r="F3975" t="s">
        <v>8851</v>
      </c>
      <c r="G3975" t="s">
        <v>8851</v>
      </c>
      <c r="H3975">
        <v>4</v>
      </c>
    </row>
    <row r="3976" spans="1:8" x14ac:dyDescent="0.25">
      <c r="A3976" t="s">
        <v>3157</v>
      </c>
      <c r="B3976">
        <v>1</v>
      </c>
      <c r="C3976">
        <v>1</v>
      </c>
      <c r="D3976">
        <v>1</v>
      </c>
      <c r="E3976" t="s">
        <v>8852</v>
      </c>
      <c r="F3976" t="s">
        <v>8852</v>
      </c>
      <c r="G3976" t="s">
        <v>8852</v>
      </c>
      <c r="H3976">
        <v>5</v>
      </c>
    </row>
    <row r="3977" spans="1:8" x14ac:dyDescent="0.25">
      <c r="A3977" t="s">
        <v>3337</v>
      </c>
      <c r="B3977">
        <v>1</v>
      </c>
      <c r="C3977">
        <v>1</v>
      </c>
      <c r="D3977">
        <v>1</v>
      </c>
      <c r="E3977" t="s">
        <v>8853</v>
      </c>
      <c r="F3977" t="s">
        <v>8853</v>
      </c>
      <c r="G3977" t="s">
        <v>8853</v>
      </c>
      <c r="H3977">
        <v>5</v>
      </c>
    </row>
    <row r="3978" spans="1:8" x14ac:dyDescent="0.25">
      <c r="A3978" t="s">
        <v>2915</v>
      </c>
      <c r="B3978">
        <v>1</v>
      </c>
      <c r="C3978">
        <v>1</v>
      </c>
      <c r="D3978">
        <v>1</v>
      </c>
      <c r="E3978" t="s">
        <v>8854</v>
      </c>
      <c r="F3978" t="s">
        <v>8854</v>
      </c>
      <c r="G3978" t="s">
        <v>8854</v>
      </c>
      <c r="H3978">
        <v>27</v>
      </c>
    </row>
    <row r="3979" spans="1:8" x14ac:dyDescent="0.25">
      <c r="A3979" t="s">
        <v>2623</v>
      </c>
      <c r="B3979">
        <v>1</v>
      </c>
      <c r="C3979">
        <v>1</v>
      </c>
      <c r="D3979">
        <v>1</v>
      </c>
      <c r="E3979" t="s">
        <v>8855</v>
      </c>
      <c r="F3979" t="s">
        <v>8855</v>
      </c>
      <c r="G3979" t="s">
        <v>8855</v>
      </c>
      <c r="H3979">
        <v>44</v>
      </c>
    </row>
    <row r="3980" spans="1:8" x14ac:dyDescent="0.25">
      <c r="A3980" t="s">
        <v>2978</v>
      </c>
      <c r="B3980">
        <v>1</v>
      </c>
      <c r="C3980">
        <v>1</v>
      </c>
      <c r="D3980">
        <v>1</v>
      </c>
      <c r="E3980" t="s">
        <v>8856</v>
      </c>
      <c r="F3980" t="s">
        <v>8856</v>
      </c>
      <c r="G3980" t="s">
        <v>8856</v>
      </c>
      <c r="H3980">
        <v>17</v>
      </c>
    </row>
    <row r="3981" spans="1:8" x14ac:dyDescent="0.25">
      <c r="A3981" t="s">
        <v>3299</v>
      </c>
      <c r="B3981">
        <v>1</v>
      </c>
      <c r="C3981">
        <v>1</v>
      </c>
      <c r="D3981">
        <v>1</v>
      </c>
      <c r="E3981" t="s">
        <v>8857</v>
      </c>
      <c r="F3981" t="s">
        <v>8857</v>
      </c>
      <c r="G3981" t="s">
        <v>8857</v>
      </c>
      <c r="H3981">
        <v>6</v>
      </c>
    </row>
    <row r="3982" spans="1:8" x14ac:dyDescent="0.25">
      <c r="A3982" t="s">
        <v>3380</v>
      </c>
      <c r="B3982">
        <v>1</v>
      </c>
      <c r="C3982">
        <v>1</v>
      </c>
      <c r="D3982">
        <v>1</v>
      </c>
      <c r="E3982" t="s">
        <v>8858</v>
      </c>
      <c r="F3982" t="s">
        <v>8858</v>
      </c>
      <c r="G3982" t="s">
        <v>8858</v>
      </c>
      <c r="H3982">
        <v>8</v>
      </c>
    </row>
    <row r="3983" spans="1:8" x14ac:dyDescent="0.25">
      <c r="A3983" t="s">
        <v>3070</v>
      </c>
      <c r="B3983">
        <v>1</v>
      </c>
      <c r="C3983">
        <v>1</v>
      </c>
      <c r="D3983">
        <v>1</v>
      </c>
      <c r="E3983" t="s">
        <v>8859</v>
      </c>
      <c r="F3983" t="s">
        <v>8859</v>
      </c>
      <c r="G3983" t="s">
        <v>8859</v>
      </c>
      <c r="H3983">
        <v>15</v>
      </c>
    </row>
    <row r="3984" spans="1:8" x14ac:dyDescent="0.25">
      <c r="A3984" t="s">
        <v>3528</v>
      </c>
      <c r="B3984">
        <v>1</v>
      </c>
      <c r="C3984">
        <v>1</v>
      </c>
      <c r="D3984">
        <v>1</v>
      </c>
      <c r="E3984" t="s">
        <v>8860</v>
      </c>
      <c r="F3984" t="s">
        <v>8860</v>
      </c>
      <c r="G3984" t="s">
        <v>8860</v>
      </c>
      <c r="H3984">
        <v>6</v>
      </c>
    </row>
    <row r="3985" spans="1:8" x14ac:dyDescent="0.25">
      <c r="A3985" t="s">
        <v>2593</v>
      </c>
      <c r="B3985">
        <v>1</v>
      </c>
      <c r="C3985">
        <v>1</v>
      </c>
      <c r="D3985">
        <v>1</v>
      </c>
      <c r="E3985" t="s">
        <v>8861</v>
      </c>
      <c r="F3985" t="s">
        <v>8861</v>
      </c>
      <c r="G3985" t="s">
        <v>8861</v>
      </c>
      <c r="H3985">
        <v>50</v>
      </c>
    </row>
    <row r="3986" spans="1:8" x14ac:dyDescent="0.25">
      <c r="A3986" t="s">
        <v>2498</v>
      </c>
      <c r="B3986">
        <v>1</v>
      </c>
      <c r="C3986">
        <v>1</v>
      </c>
      <c r="D3986">
        <v>1</v>
      </c>
      <c r="E3986" t="s">
        <v>8862</v>
      </c>
      <c r="F3986" t="s">
        <v>8862</v>
      </c>
      <c r="G3986" t="s">
        <v>8862</v>
      </c>
      <c r="H3986">
        <v>48</v>
      </c>
    </row>
    <row r="3987" spans="1:8" x14ac:dyDescent="0.25">
      <c r="A3987" t="s">
        <v>2823</v>
      </c>
      <c r="B3987">
        <v>1</v>
      </c>
      <c r="C3987">
        <v>1</v>
      </c>
      <c r="D3987">
        <v>1</v>
      </c>
      <c r="E3987" t="s">
        <v>8863</v>
      </c>
      <c r="F3987" t="s">
        <v>8863</v>
      </c>
      <c r="G3987" t="s">
        <v>8863</v>
      </c>
      <c r="H3987">
        <v>29</v>
      </c>
    </row>
    <row r="3988" spans="1:8" x14ac:dyDescent="0.25">
      <c r="A3988" t="s">
        <v>2030</v>
      </c>
      <c r="B3988">
        <v>1</v>
      </c>
      <c r="C3988">
        <v>1</v>
      </c>
      <c r="D3988">
        <v>1</v>
      </c>
      <c r="E3988" t="s">
        <v>8864</v>
      </c>
      <c r="F3988" t="s">
        <v>8864</v>
      </c>
      <c r="G3988" t="s">
        <v>8864</v>
      </c>
      <c r="H3988">
        <v>79</v>
      </c>
    </row>
    <row r="3989" spans="1:8" x14ac:dyDescent="0.25">
      <c r="A3989" t="s">
        <v>2451</v>
      </c>
      <c r="B3989">
        <v>1</v>
      </c>
      <c r="C3989">
        <v>1</v>
      </c>
      <c r="D3989">
        <v>1</v>
      </c>
      <c r="E3989" t="s">
        <v>8865</v>
      </c>
      <c r="F3989" t="s">
        <v>8865</v>
      </c>
      <c r="G3989" t="s">
        <v>8865</v>
      </c>
      <c r="H3989">
        <v>44</v>
      </c>
    </row>
    <row r="3990" spans="1:8" x14ac:dyDescent="0.25">
      <c r="A3990" t="s">
        <v>2843</v>
      </c>
      <c r="B3990">
        <v>1</v>
      </c>
      <c r="C3990">
        <v>1</v>
      </c>
      <c r="D3990">
        <v>1</v>
      </c>
      <c r="E3990" t="s">
        <v>8866</v>
      </c>
      <c r="F3990" t="s">
        <v>8866</v>
      </c>
      <c r="G3990" t="s">
        <v>8866</v>
      </c>
      <c r="H3990">
        <v>29</v>
      </c>
    </row>
    <row r="3991" spans="1:8" x14ac:dyDescent="0.25">
      <c r="A3991" t="s">
        <v>2739</v>
      </c>
      <c r="B3991">
        <v>1</v>
      </c>
      <c r="C3991">
        <v>1</v>
      </c>
      <c r="D3991">
        <v>1</v>
      </c>
      <c r="E3991" t="s">
        <v>8867</v>
      </c>
      <c r="F3991" t="s">
        <v>8867</v>
      </c>
      <c r="G3991" t="s">
        <v>8867</v>
      </c>
      <c r="H3991">
        <v>25</v>
      </c>
    </row>
    <row r="3992" spans="1:8" x14ac:dyDescent="0.25">
      <c r="A3992" t="s">
        <v>2888</v>
      </c>
      <c r="B3992">
        <v>1</v>
      </c>
      <c r="C3992">
        <v>1</v>
      </c>
      <c r="D3992">
        <v>1</v>
      </c>
      <c r="E3992" t="s">
        <v>8868</v>
      </c>
      <c r="F3992" t="s">
        <v>8868</v>
      </c>
      <c r="G3992" t="s">
        <v>8868</v>
      </c>
      <c r="H3992">
        <v>22</v>
      </c>
    </row>
    <row r="3993" spans="1:8" x14ac:dyDescent="0.25">
      <c r="A3993" t="s">
        <v>2795</v>
      </c>
      <c r="B3993">
        <v>1</v>
      </c>
      <c r="C3993">
        <v>1</v>
      </c>
      <c r="D3993">
        <v>1</v>
      </c>
      <c r="E3993" t="s">
        <v>8869</v>
      </c>
      <c r="F3993" t="s">
        <v>8869</v>
      </c>
      <c r="G3993" t="s">
        <v>8869</v>
      </c>
      <c r="H3993">
        <v>31</v>
      </c>
    </row>
    <row r="3994" spans="1:8" x14ac:dyDescent="0.25">
      <c r="A3994" t="s">
        <v>3330</v>
      </c>
      <c r="B3994">
        <v>1</v>
      </c>
      <c r="C3994">
        <v>1</v>
      </c>
      <c r="D3994">
        <v>1</v>
      </c>
      <c r="E3994" t="s">
        <v>8870</v>
      </c>
      <c r="F3994" t="s">
        <v>8870</v>
      </c>
      <c r="G3994" t="s">
        <v>8870</v>
      </c>
      <c r="H3994">
        <v>16</v>
      </c>
    </row>
    <row r="3995" spans="1:8" x14ac:dyDescent="0.25">
      <c r="A3995" t="s">
        <v>3432</v>
      </c>
      <c r="B3995">
        <v>1</v>
      </c>
      <c r="C3995">
        <v>1</v>
      </c>
      <c r="D3995">
        <v>1</v>
      </c>
      <c r="E3995" t="s">
        <v>8871</v>
      </c>
      <c r="F3995" t="s">
        <v>8871</v>
      </c>
      <c r="G3995" t="s">
        <v>8871</v>
      </c>
      <c r="H3995">
        <v>11</v>
      </c>
    </row>
    <row r="3996" spans="1:8" x14ac:dyDescent="0.25">
      <c r="A3996" t="s">
        <v>3365</v>
      </c>
      <c r="B3996">
        <v>1</v>
      </c>
      <c r="C3996">
        <v>1</v>
      </c>
      <c r="D3996">
        <v>1</v>
      </c>
      <c r="E3996" t="s">
        <v>8872</v>
      </c>
      <c r="F3996" t="s">
        <v>8872</v>
      </c>
      <c r="G3996" t="s">
        <v>8872</v>
      </c>
      <c r="H3996">
        <v>15</v>
      </c>
    </row>
    <row r="3997" spans="1:8" x14ac:dyDescent="0.25">
      <c r="A3997" t="s">
        <v>3328</v>
      </c>
      <c r="B3997">
        <v>1</v>
      </c>
      <c r="C3997">
        <v>1</v>
      </c>
      <c r="D3997">
        <v>1</v>
      </c>
      <c r="E3997" t="s">
        <v>8873</v>
      </c>
      <c r="F3997" t="s">
        <v>8873</v>
      </c>
      <c r="G3997" t="s">
        <v>8873</v>
      </c>
      <c r="H3997">
        <v>12</v>
      </c>
    </row>
    <row r="3998" spans="1:8" x14ac:dyDescent="0.25">
      <c r="A3998" t="s">
        <v>3177</v>
      </c>
      <c r="B3998">
        <v>1</v>
      </c>
      <c r="C3998">
        <v>1</v>
      </c>
      <c r="D3998">
        <v>1</v>
      </c>
      <c r="E3998" t="s">
        <v>8874</v>
      </c>
      <c r="F3998" t="s">
        <v>8874</v>
      </c>
      <c r="G3998" t="s">
        <v>8874</v>
      </c>
      <c r="H3998">
        <v>19</v>
      </c>
    </row>
    <row r="3999" spans="1:8" x14ac:dyDescent="0.25">
      <c r="A3999" t="s">
        <v>3418</v>
      </c>
      <c r="B3999">
        <v>1</v>
      </c>
      <c r="C3999">
        <v>1</v>
      </c>
      <c r="D3999">
        <v>1</v>
      </c>
      <c r="E3999" t="s">
        <v>8875</v>
      </c>
      <c r="F3999" t="s">
        <v>8875</v>
      </c>
      <c r="G3999" t="s">
        <v>8875</v>
      </c>
      <c r="H3999">
        <v>16</v>
      </c>
    </row>
    <row r="4000" spans="1:8" x14ac:dyDescent="0.25">
      <c r="A4000" t="s">
        <v>3444</v>
      </c>
      <c r="B4000">
        <v>1</v>
      </c>
      <c r="C4000">
        <v>1</v>
      </c>
      <c r="D4000">
        <v>1</v>
      </c>
      <c r="E4000" t="s">
        <v>8876</v>
      </c>
      <c r="F4000" t="s">
        <v>8876</v>
      </c>
      <c r="G4000" t="s">
        <v>8876</v>
      </c>
      <c r="H4000">
        <v>15</v>
      </c>
    </row>
    <row r="4001" spans="1:8" x14ac:dyDescent="0.25">
      <c r="A4001" t="s">
        <v>3361</v>
      </c>
      <c r="B4001">
        <v>1</v>
      </c>
      <c r="C4001">
        <v>1</v>
      </c>
      <c r="D4001">
        <v>1</v>
      </c>
      <c r="E4001" t="s">
        <v>8877</v>
      </c>
      <c r="F4001" t="s">
        <v>8877</v>
      </c>
      <c r="G4001" t="s">
        <v>8877</v>
      </c>
      <c r="H4001">
        <v>9</v>
      </c>
    </row>
    <row r="4002" spans="1:8" x14ac:dyDescent="0.25">
      <c r="A4002" t="s">
        <v>2788</v>
      </c>
      <c r="B4002">
        <v>1</v>
      </c>
      <c r="C4002">
        <v>1</v>
      </c>
      <c r="D4002">
        <v>1</v>
      </c>
      <c r="E4002" t="s">
        <v>8878</v>
      </c>
      <c r="F4002" t="s">
        <v>8878</v>
      </c>
      <c r="G4002" t="s">
        <v>8878</v>
      </c>
      <c r="H4002">
        <v>32</v>
      </c>
    </row>
    <row r="4003" spans="1:8" x14ac:dyDescent="0.25">
      <c r="A4003" t="s">
        <v>3045</v>
      </c>
      <c r="B4003">
        <v>1</v>
      </c>
      <c r="C4003">
        <v>1</v>
      </c>
      <c r="D4003">
        <v>1</v>
      </c>
      <c r="E4003" t="s">
        <v>8879</v>
      </c>
      <c r="F4003" t="s">
        <v>8879</v>
      </c>
      <c r="G4003" t="s">
        <v>8879</v>
      </c>
      <c r="H4003">
        <v>38</v>
      </c>
    </row>
    <row r="4004" spans="1:8" x14ac:dyDescent="0.25">
      <c r="A4004" t="s">
        <v>2946</v>
      </c>
      <c r="B4004">
        <v>1</v>
      </c>
      <c r="C4004">
        <v>1</v>
      </c>
      <c r="D4004">
        <v>1</v>
      </c>
      <c r="E4004" t="s">
        <v>8880</v>
      </c>
      <c r="F4004" t="s">
        <v>8880</v>
      </c>
      <c r="G4004" t="s">
        <v>8880</v>
      </c>
      <c r="H4004">
        <v>5</v>
      </c>
    </row>
    <row r="4005" spans="1:8" x14ac:dyDescent="0.25">
      <c r="A4005" t="s">
        <v>2547</v>
      </c>
      <c r="B4005">
        <v>1</v>
      </c>
      <c r="C4005">
        <v>1</v>
      </c>
      <c r="D4005">
        <v>1</v>
      </c>
      <c r="E4005" t="s">
        <v>8881</v>
      </c>
      <c r="F4005" t="s">
        <v>8881</v>
      </c>
      <c r="G4005" t="s">
        <v>8881</v>
      </c>
      <c r="H4005">
        <v>57</v>
      </c>
    </row>
    <row r="4006" spans="1:8" x14ac:dyDescent="0.25">
      <c r="A4006" t="s">
        <v>2369</v>
      </c>
      <c r="B4006">
        <v>1</v>
      </c>
      <c r="C4006">
        <v>1</v>
      </c>
      <c r="D4006">
        <v>1</v>
      </c>
      <c r="E4006" t="s">
        <v>8882</v>
      </c>
      <c r="F4006" t="s">
        <v>8882</v>
      </c>
      <c r="G4006" t="s">
        <v>8882</v>
      </c>
      <c r="H4006">
        <v>36</v>
      </c>
    </row>
    <row r="4007" spans="1:8" x14ac:dyDescent="0.25">
      <c r="A4007" t="s">
        <v>3374</v>
      </c>
      <c r="B4007">
        <v>1</v>
      </c>
      <c r="C4007">
        <v>1</v>
      </c>
      <c r="D4007">
        <v>1</v>
      </c>
      <c r="E4007" t="s">
        <v>8883</v>
      </c>
      <c r="F4007" t="s">
        <v>8883</v>
      </c>
      <c r="G4007" t="s">
        <v>8883</v>
      </c>
      <c r="H4007">
        <v>10</v>
      </c>
    </row>
    <row r="4008" spans="1:8" x14ac:dyDescent="0.25">
      <c r="A4008" t="s">
        <v>3349</v>
      </c>
      <c r="B4008">
        <v>1</v>
      </c>
      <c r="C4008">
        <v>1</v>
      </c>
      <c r="D4008">
        <v>1</v>
      </c>
      <c r="E4008" t="s">
        <v>8884</v>
      </c>
      <c r="F4008" t="s">
        <v>8884</v>
      </c>
      <c r="G4008" t="s">
        <v>8884</v>
      </c>
      <c r="H4008">
        <v>7</v>
      </c>
    </row>
    <row r="4009" spans="1:8" x14ac:dyDescent="0.25">
      <c r="A4009" t="s">
        <v>3052</v>
      </c>
      <c r="B4009">
        <v>1</v>
      </c>
      <c r="C4009">
        <v>1</v>
      </c>
      <c r="D4009">
        <v>1</v>
      </c>
      <c r="E4009" t="s">
        <v>8885</v>
      </c>
      <c r="F4009" t="s">
        <v>8885</v>
      </c>
      <c r="G4009" t="s">
        <v>8885</v>
      </c>
      <c r="H4009">
        <v>11</v>
      </c>
    </row>
    <row r="4010" spans="1:8" x14ac:dyDescent="0.25">
      <c r="A4010" t="s">
        <v>3048</v>
      </c>
      <c r="B4010">
        <v>2</v>
      </c>
      <c r="C4010">
        <v>2</v>
      </c>
      <c r="D4010">
        <v>2</v>
      </c>
      <c r="E4010" t="s">
        <v>8886</v>
      </c>
      <c r="F4010" t="s">
        <v>8886</v>
      </c>
      <c r="G4010" t="s">
        <v>4256</v>
      </c>
      <c r="H4010">
        <v>9</v>
      </c>
    </row>
    <row r="4011" spans="1:8" x14ac:dyDescent="0.25">
      <c r="A4011" t="s">
        <v>3287</v>
      </c>
      <c r="B4011">
        <v>1</v>
      </c>
      <c r="C4011">
        <v>1</v>
      </c>
      <c r="D4011">
        <v>1</v>
      </c>
      <c r="E4011" t="s">
        <v>8887</v>
      </c>
      <c r="F4011" t="s">
        <v>8887</v>
      </c>
      <c r="G4011" t="s">
        <v>8887</v>
      </c>
      <c r="H4011">
        <v>8</v>
      </c>
    </row>
    <row r="4012" spans="1:8" x14ac:dyDescent="0.25">
      <c r="A4012" t="s">
        <v>3405</v>
      </c>
      <c r="B4012">
        <v>1</v>
      </c>
      <c r="C4012">
        <v>1</v>
      </c>
      <c r="D4012">
        <v>1</v>
      </c>
      <c r="E4012" t="s">
        <v>8888</v>
      </c>
      <c r="F4012" t="s">
        <v>8888</v>
      </c>
      <c r="G4012" t="s">
        <v>8888</v>
      </c>
      <c r="H4012">
        <v>7</v>
      </c>
    </row>
    <row r="4013" spans="1:8" x14ac:dyDescent="0.25">
      <c r="A4013" t="s">
        <v>3529</v>
      </c>
      <c r="B4013">
        <v>1</v>
      </c>
      <c r="C4013">
        <v>1</v>
      </c>
      <c r="D4013">
        <v>1</v>
      </c>
      <c r="E4013" t="s">
        <v>8889</v>
      </c>
      <c r="F4013" t="s">
        <v>8889</v>
      </c>
      <c r="G4013" t="s">
        <v>8889</v>
      </c>
      <c r="H4013">
        <v>8</v>
      </c>
    </row>
    <row r="4014" spans="1:8" x14ac:dyDescent="0.25">
      <c r="A4014" t="s">
        <v>3626</v>
      </c>
      <c r="B4014">
        <v>1</v>
      </c>
      <c r="C4014">
        <v>1</v>
      </c>
      <c r="D4014">
        <v>1</v>
      </c>
      <c r="E4014" t="s">
        <v>8890</v>
      </c>
      <c r="F4014" t="s">
        <v>8890</v>
      </c>
      <c r="G4014" t="s">
        <v>8890</v>
      </c>
      <c r="H4014">
        <v>3</v>
      </c>
    </row>
    <row r="4015" spans="1:8" x14ac:dyDescent="0.25">
      <c r="A4015" t="s">
        <v>3122</v>
      </c>
      <c r="B4015">
        <v>1</v>
      </c>
      <c r="C4015">
        <v>1</v>
      </c>
      <c r="D4015">
        <v>1</v>
      </c>
      <c r="E4015" t="s">
        <v>8891</v>
      </c>
      <c r="F4015" t="s">
        <v>8891</v>
      </c>
      <c r="G4015" t="s">
        <v>8891</v>
      </c>
      <c r="H4015">
        <v>56</v>
      </c>
    </row>
    <row r="4016" spans="1:8" x14ac:dyDescent="0.25">
      <c r="A4016" t="s">
        <v>3648</v>
      </c>
      <c r="B4016">
        <v>1</v>
      </c>
      <c r="C4016">
        <v>1</v>
      </c>
      <c r="D4016">
        <v>1</v>
      </c>
      <c r="E4016" t="s">
        <v>8892</v>
      </c>
      <c r="F4016" t="s">
        <v>8892</v>
      </c>
      <c r="G4016" t="s">
        <v>8892</v>
      </c>
      <c r="H4016">
        <v>22</v>
      </c>
    </row>
    <row r="4017" spans="1:8" x14ac:dyDescent="0.25">
      <c r="A4017" t="s">
        <v>3277</v>
      </c>
      <c r="B4017">
        <v>1</v>
      </c>
      <c r="C4017">
        <v>1</v>
      </c>
      <c r="D4017">
        <v>1</v>
      </c>
      <c r="E4017" t="s">
        <v>8893</v>
      </c>
      <c r="F4017" t="s">
        <v>8893</v>
      </c>
      <c r="G4017" t="s">
        <v>8893</v>
      </c>
      <c r="H4017">
        <v>33</v>
      </c>
    </row>
    <row r="4018" spans="1:8" x14ac:dyDescent="0.25">
      <c r="A4018" t="s">
        <v>3426</v>
      </c>
      <c r="B4018">
        <v>1</v>
      </c>
      <c r="C4018">
        <v>1</v>
      </c>
      <c r="D4018">
        <v>1</v>
      </c>
      <c r="E4018" t="s">
        <v>8894</v>
      </c>
      <c r="F4018" t="s">
        <v>8894</v>
      </c>
      <c r="G4018" t="s">
        <v>8894</v>
      </c>
      <c r="H4018">
        <v>32</v>
      </c>
    </row>
    <row r="4019" spans="1:8" x14ac:dyDescent="0.25">
      <c r="A4019" t="s">
        <v>3406</v>
      </c>
      <c r="B4019">
        <v>1</v>
      </c>
      <c r="C4019">
        <v>1</v>
      </c>
      <c r="D4019">
        <v>1</v>
      </c>
      <c r="E4019" t="s">
        <v>8895</v>
      </c>
      <c r="F4019" t="s">
        <v>8895</v>
      </c>
      <c r="G4019" t="s">
        <v>8895</v>
      </c>
      <c r="H4019">
        <v>30</v>
      </c>
    </row>
    <row r="4020" spans="1:8" x14ac:dyDescent="0.25">
      <c r="A4020" t="s">
        <v>3754</v>
      </c>
      <c r="B4020">
        <v>1</v>
      </c>
      <c r="C4020">
        <v>1</v>
      </c>
      <c r="D4020">
        <v>1</v>
      </c>
      <c r="E4020" t="s">
        <v>8896</v>
      </c>
      <c r="F4020" t="s">
        <v>8896</v>
      </c>
      <c r="G4020" t="s">
        <v>8896</v>
      </c>
      <c r="H4020">
        <v>15</v>
      </c>
    </row>
    <row r="4021" spans="1:8" x14ac:dyDescent="0.25">
      <c r="A4021" t="s">
        <v>3503</v>
      </c>
      <c r="B4021">
        <v>1</v>
      </c>
      <c r="C4021">
        <v>1</v>
      </c>
      <c r="D4021">
        <v>1</v>
      </c>
      <c r="E4021" t="s">
        <v>8897</v>
      </c>
      <c r="F4021" t="s">
        <v>8897</v>
      </c>
      <c r="G4021" t="s">
        <v>8897</v>
      </c>
      <c r="H4021">
        <v>30</v>
      </c>
    </row>
    <row r="4022" spans="1:8" x14ac:dyDescent="0.25">
      <c r="A4022" t="s">
        <v>3537</v>
      </c>
      <c r="B4022">
        <v>1</v>
      </c>
      <c r="C4022">
        <v>1</v>
      </c>
      <c r="D4022">
        <v>1</v>
      </c>
      <c r="E4022" t="s">
        <v>8898</v>
      </c>
      <c r="F4022" t="s">
        <v>8898</v>
      </c>
      <c r="G4022" t="s">
        <v>8898</v>
      </c>
      <c r="H4022">
        <v>30</v>
      </c>
    </row>
    <row r="4023" spans="1:8" x14ac:dyDescent="0.25">
      <c r="A4023" t="s">
        <v>3593</v>
      </c>
      <c r="B4023">
        <v>1</v>
      </c>
      <c r="C4023">
        <v>1</v>
      </c>
      <c r="D4023">
        <v>1</v>
      </c>
      <c r="E4023" t="s">
        <v>8899</v>
      </c>
      <c r="F4023" t="s">
        <v>8899</v>
      </c>
      <c r="G4023" t="s">
        <v>8899</v>
      </c>
      <c r="H4023">
        <v>13</v>
      </c>
    </row>
    <row r="4024" spans="1:8" x14ac:dyDescent="0.25">
      <c r="A4024" t="s">
        <v>3378</v>
      </c>
      <c r="B4024">
        <v>1</v>
      </c>
      <c r="C4024">
        <v>1</v>
      </c>
      <c r="D4024">
        <v>1</v>
      </c>
      <c r="E4024" t="s">
        <v>8900</v>
      </c>
      <c r="F4024" t="s">
        <v>8900</v>
      </c>
      <c r="G4024" t="s">
        <v>8900</v>
      </c>
      <c r="H4024">
        <v>41</v>
      </c>
    </row>
    <row r="4025" spans="1:8" x14ac:dyDescent="0.25">
      <c r="A4025" t="s">
        <v>3357</v>
      </c>
      <c r="B4025">
        <v>1</v>
      </c>
      <c r="C4025">
        <v>1</v>
      </c>
      <c r="D4025">
        <v>1</v>
      </c>
      <c r="E4025" t="s">
        <v>8901</v>
      </c>
      <c r="F4025" t="s">
        <v>8901</v>
      </c>
      <c r="G4025" t="s">
        <v>8901</v>
      </c>
      <c r="H4025">
        <v>38</v>
      </c>
    </row>
    <row r="4026" spans="1:8" x14ac:dyDescent="0.25">
      <c r="A4026" t="s">
        <v>3325</v>
      </c>
      <c r="B4026">
        <v>1</v>
      </c>
      <c r="C4026">
        <v>1</v>
      </c>
      <c r="D4026">
        <v>1</v>
      </c>
      <c r="E4026" t="s">
        <v>8902</v>
      </c>
      <c r="F4026" t="s">
        <v>8902</v>
      </c>
      <c r="G4026" t="s">
        <v>8902</v>
      </c>
      <c r="H4026">
        <v>37</v>
      </c>
    </row>
    <row r="4027" spans="1:8" x14ac:dyDescent="0.25">
      <c r="A4027" t="s">
        <v>3427</v>
      </c>
      <c r="B4027">
        <v>1</v>
      </c>
      <c r="C4027">
        <v>1</v>
      </c>
      <c r="D4027">
        <v>1</v>
      </c>
      <c r="E4027" t="s">
        <v>8903</v>
      </c>
      <c r="F4027" t="s">
        <v>8903</v>
      </c>
      <c r="G4027" t="s">
        <v>8903</v>
      </c>
      <c r="H4027">
        <v>28</v>
      </c>
    </row>
    <row r="4028" spans="1:8" x14ac:dyDescent="0.25">
      <c r="A4028" t="s">
        <v>3600</v>
      </c>
      <c r="B4028">
        <v>1</v>
      </c>
      <c r="C4028">
        <v>1</v>
      </c>
      <c r="D4028">
        <v>1</v>
      </c>
      <c r="E4028" t="s">
        <v>8904</v>
      </c>
      <c r="F4028" t="s">
        <v>8904</v>
      </c>
      <c r="G4028" t="s">
        <v>8904</v>
      </c>
      <c r="H4028">
        <v>24</v>
      </c>
    </row>
    <row r="4029" spans="1:8" x14ac:dyDescent="0.25">
      <c r="A4029" t="s">
        <v>3899</v>
      </c>
      <c r="B4029">
        <v>1</v>
      </c>
      <c r="C4029">
        <v>1</v>
      </c>
      <c r="D4029">
        <v>1</v>
      </c>
      <c r="E4029" t="s">
        <v>8905</v>
      </c>
      <c r="F4029" t="s">
        <v>8905</v>
      </c>
      <c r="G4029" t="s">
        <v>8905</v>
      </c>
      <c r="H4029">
        <v>5</v>
      </c>
    </row>
    <row r="4030" spans="1:8" x14ac:dyDescent="0.25">
      <c r="A4030" t="s">
        <v>3689</v>
      </c>
      <c r="B4030">
        <v>1</v>
      </c>
      <c r="C4030">
        <v>1</v>
      </c>
      <c r="D4030">
        <v>1</v>
      </c>
      <c r="E4030" t="s">
        <v>8906</v>
      </c>
      <c r="F4030" t="s">
        <v>8906</v>
      </c>
      <c r="G4030" t="s">
        <v>8906</v>
      </c>
      <c r="H4030">
        <v>16</v>
      </c>
    </row>
    <row r="4031" spans="1:8" x14ac:dyDescent="0.25">
      <c r="A4031" t="s">
        <v>3611</v>
      </c>
      <c r="B4031">
        <v>1</v>
      </c>
      <c r="C4031">
        <v>1</v>
      </c>
      <c r="D4031">
        <v>1</v>
      </c>
      <c r="E4031" t="s">
        <v>8907</v>
      </c>
      <c r="F4031" t="s">
        <v>8907</v>
      </c>
      <c r="G4031" t="s">
        <v>8907</v>
      </c>
      <c r="H4031">
        <v>25</v>
      </c>
    </row>
    <row r="4032" spans="1:8" x14ac:dyDescent="0.25">
      <c r="A4032" t="s">
        <v>3286</v>
      </c>
      <c r="B4032">
        <v>1</v>
      </c>
      <c r="C4032">
        <v>1</v>
      </c>
      <c r="D4032">
        <v>1</v>
      </c>
      <c r="E4032" t="s">
        <v>8908</v>
      </c>
      <c r="F4032" t="s">
        <v>8908</v>
      </c>
      <c r="G4032" t="s">
        <v>8908</v>
      </c>
      <c r="H4032">
        <v>41</v>
      </c>
    </row>
    <row r="4033" spans="1:8" x14ac:dyDescent="0.25">
      <c r="A4033" t="s">
        <v>3788</v>
      </c>
      <c r="B4033">
        <v>1</v>
      </c>
      <c r="C4033">
        <v>1</v>
      </c>
      <c r="D4033">
        <v>1</v>
      </c>
      <c r="E4033" t="s">
        <v>8909</v>
      </c>
      <c r="F4033" t="s">
        <v>8909</v>
      </c>
      <c r="G4033" t="s">
        <v>8909</v>
      </c>
      <c r="H4033">
        <v>11</v>
      </c>
    </row>
    <row r="4034" spans="1:8" x14ac:dyDescent="0.25">
      <c r="A4034" t="s">
        <v>3977</v>
      </c>
      <c r="B4034">
        <v>1</v>
      </c>
      <c r="C4034">
        <v>1</v>
      </c>
      <c r="D4034">
        <v>1</v>
      </c>
      <c r="E4034" t="s">
        <v>8910</v>
      </c>
      <c r="F4034" t="s">
        <v>8910</v>
      </c>
      <c r="G4034" t="s">
        <v>8910</v>
      </c>
      <c r="H4034">
        <v>1</v>
      </c>
    </row>
    <row r="4035" spans="1:8" x14ac:dyDescent="0.25">
      <c r="A4035" t="s">
        <v>3747</v>
      </c>
      <c r="B4035">
        <v>1</v>
      </c>
      <c r="C4035">
        <v>1</v>
      </c>
      <c r="D4035">
        <v>1</v>
      </c>
      <c r="E4035" t="s">
        <v>8911</v>
      </c>
      <c r="F4035" t="s">
        <v>8911</v>
      </c>
      <c r="G4035" t="s">
        <v>8911</v>
      </c>
      <c r="H4035">
        <v>14</v>
      </c>
    </row>
    <row r="4036" spans="1:8" x14ac:dyDescent="0.25">
      <c r="A4036" t="s">
        <v>3900</v>
      </c>
      <c r="B4036">
        <v>1</v>
      </c>
      <c r="C4036">
        <v>1</v>
      </c>
      <c r="D4036">
        <v>1</v>
      </c>
      <c r="E4036" t="s">
        <v>8912</v>
      </c>
      <c r="F4036" t="s">
        <v>8912</v>
      </c>
      <c r="G4036" t="s">
        <v>8912</v>
      </c>
      <c r="H4036">
        <v>5</v>
      </c>
    </row>
    <row r="4037" spans="1:8" x14ac:dyDescent="0.25">
      <c r="A4037" t="s">
        <v>3668</v>
      </c>
      <c r="B4037">
        <v>1</v>
      </c>
      <c r="C4037">
        <v>1</v>
      </c>
      <c r="D4037">
        <v>1</v>
      </c>
      <c r="E4037" t="s">
        <v>8913</v>
      </c>
      <c r="F4037" t="s">
        <v>8913</v>
      </c>
      <c r="G4037" t="s">
        <v>8913</v>
      </c>
      <c r="H4037">
        <v>8</v>
      </c>
    </row>
    <row r="4038" spans="1:8" x14ac:dyDescent="0.25">
      <c r="A4038" t="s">
        <v>3817</v>
      </c>
      <c r="B4038">
        <v>1</v>
      </c>
      <c r="C4038">
        <v>1</v>
      </c>
      <c r="D4038">
        <v>1</v>
      </c>
      <c r="E4038" t="s">
        <v>8914</v>
      </c>
      <c r="F4038" t="s">
        <v>8914</v>
      </c>
      <c r="G4038" t="s">
        <v>8914</v>
      </c>
      <c r="H4038">
        <v>10</v>
      </c>
    </row>
    <row r="4039" spans="1:8" x14ac:dyDescent="0.25">
      <c r="A4039" t="s">
        <v>8915</v>
      </c>
      <c r="B4039">
        <v>1</v>
      </c>
      <c r="C4039">
        <v>1</v>
      </c>
      <c r="D4039">
        <v>1</v>
      </c>
      <c r="E4039" t="s">
        <v>8916</v>
      </c>
      <c r="F4039" t="s">
        <v>8916</v>
      </c>
      <c r="G4039" t="s">
        <v>8916</v>
      </c>
      <c r="H4039">
        <v>34</v>
      </c>
    </row>
    <row r="4040" spans="1:8" x14ac:dyDescent="0.25">
      <c r="A4040" t="s">
        <v>4237</v>
      </c>
      <c r="B4040">
        <v>1</v>
      </c>
      <c r="C4040">
        <v>1</v>
      </c>
      <c r="D4040">
        <v>1</v>
      </c>
      <c r="E4040" t="s">
        <v>4238</v>
      </c>
      <c r="F4040" t="s">
        <v>4238</v>
      </c>
      <c r="G4040" t="s">
        <v>4238</v>
      </c>
      <c r="H4040">
        <v>3</v>
      </c>
    </row>
    <row r="4041" spans="1:8" x14ac:dyDescent="0.25">
      <c r="A4041" t="s">
        <v>8917</v>
      </c>
      <c r="B4041">
        <v>1</v>
      </c>
      <c r="C4041">
        <v>1</v>
      </c>
      <c r="D4041">
        <v>1</v>
      </c>
      <c r="E4041" t="s">
        <v>8918</v>
      </c>
      <c r="F4041" t="s">
        <v>8918</v>
      </c>
      <c r="G4041" t="s">
        <v>8918</v>
      </c>
      <c r="H4041">
        <v>37</v>
      </c>
    </row>
    <row r="4042" spans="1:8" x14ac:dyDescent="0.25">
      <c r="A4042" t="s">
        <v>8919</v>
      </c>
      <c r="B4042">
        <v>1</v>
      </c>
      <c r="C4042">
        <v>1</v>
      </c>
      <c r="D4042">
        <v>1</v>
      </c>
      <c r="E4042" t="s">
        <v>8920</v>
      </c>
      <c r="F4042" t="s">
        <v>8920</v>
      </c>
      <c r="G4042" t="s">
        <v>8920</v>
      </c>
      <c r="H4042">
        <v>144</v>
      </c>
    </row>
    <row r="4043" spans="1:8" x14ac:dyDescent="0.25">
      <c r="A4043" t="s">
        <v>8921</v>
      </c>
      <c r="B4043">
        <v>1</v>
      </c>
      <c r="C4043">
        <v>1</v>
      </c>
      <c r="D4043">
        <v>1</v>
      </c>
      <c r="E4043" t="s">
        <v>8922</v>
      </c>
      <c r="F4043" t="s">
        <v>8922</v>
      </c>
      <c r="G4043" t="s">
        <v>8922</v>
      </c>
      <c r="H4043">
        <v>16</v>
      </c>
    </row>
    <row r="4044" spans="1:8" x14ac:dyDescent="0.25">
      <c r="A4044" t="s">
        <v>8923</v>
      </c>
      <c r="B4044">
        <v>1</v>
      </c>
      <c r="C4044">
        <v>1</v>
      </c>
      <c r="D4044">
        <v>1</v>
      </c>
      <c r="E4044" t="s">
        <v>8924</v>
      </c>
      <c r="F4044" t="s">
        <v>8924</v>
      </c>
      <c r="G4044" t="s">
        <v>8924</v>
      </c>
      <c r="H4044">
        <v>77</v>
      </c>
    </row>
    <row r="4045" spans="1:8" x14ac:dyDescent="0.25">
      <c r="A4045" t="s">
        <v>3847</v>
      </c>
      <c r="B4045">
        <v>2</v>
      </c>
      <c r="C4045">
        <v>2</v>
      </c>
      <c r="D4045">
        <v>2</v>
      </c>
      <c r="E4045" t="s">
        <v>8925</v>
      </c>
      <c r="F4045" t="s">
        <v>8925</v>
      </c>
      <c r="G4045" t="s">
        <v>4256</v>
      </c>
      <c r="H4045">
        <v>5</v>
      </c>
    </row>
    <row r="4046" spans="1:8" x14ac:dyDescent="0.25">
      <c r="A4046" t="s">
        <v>3740</v>
      </c>
      <c r="B4046">
        <v>1</v>
      </c>
      <c r="C4046">
        <v>1</v>
      </c>
      <c r="D4046">
        <v>1</v>
      </c>
      <c r="E4046" t="s">
        <v>8926</v>
      </c>
      <c r="F4046" t="s">
        <v>8926</v>
      </c>
      <c r="G4046" t="s">
        <v>8926</v>
      </c>
      <c r="H4046">
        <v>1</v>
      </c>
    </row>
    <row r="4047" spans="1:8" x14ac:dyDescent="0.25">
      <c r="A4047" t="s">
        <v>8927</v>
      </c>
      <c r="B4047">
        <v>0</v>
      </c>
      <c r="C4047">
        <v>0</v>
      </c>
      <c r="D4047">
        <v>0</v>
      </c>
      <c r="G4047" t="s">
        <v>4256</v>
      </c>
      <c r="H4047">
        <v>1</v>
      </c>
    </row>
    <row r="4048" spans="1:8" x14ac:dyDescent="0.25">
      <c r="A4048" t="s">
        <v>8928</v>
      </c>
      <c r="B4048">
        <v>0</v>
      </c>
      <c r="C4048">
        <v>0</v>
      </c>
      <c r="D4048">
        <v>0</v>
      </c>
      <c r="G4048" t="s">
        <v>4256</v>
      </c>
      <c r="H4048">
        <v>1</v>
      </c>
    </row>
    <row r="4049" spans="1:8" x14ac:dyDescent="0.25">
      <c r="A4049" t="s">
        <v>8929</v>
      </c>
      <c r="B4049">
        <v>0</v>
      </c>
      <c r="C4049">
        <v>0</v>
      </c>
      <c r="D4049">
        <v>0</v>
      </c>
      <c r="G4049" t="s">
        <v>4256</v>
      </c>
      <c r="H4049">
        <v>1</v>
      </c>
    </row>
    <row r="4050" spans="1:8" x14ac:dyDescent="0.25">
      <c r="A4050" t="s">
        <v>8930</v>
      </c>
      <c r="B4050">
        <v>1</v>
      </c>
      <c r="C4050">
        <v>1</v>
      </c>
      <c r="D4050">
        <v>1</v>
      </c>
      <c r="E4050" t="s">
        <v>8931</v>
      </c>
      <c r="F4050" t="s">
        <v>8931</v>
      </c>
      <c r="G4050" t="s">
        <v>8931</v>
      </c>
      <c r="H4050">
        <v>1</v>
      </c>
    </row>
    <row r="4051" spans="1:8" x14ac:dyDescent="0.25">
      <c r="A4051" t="s">
        <v>8932</v>
      </c>
      <c r="B4051">
        <v>1</v>
      </c>
      <c r="C4051">
        <v>1</v>
      </c>
      <c r="D4051">
        <v>1</v>
      </c>
      <c r="E4051" t="s">
        <v>8931</v>
      </c>
      <c r="F4051" t="s">
        <v>8931</v>
      </c>
      <c r="G4051" t="s">
        <v>8931</v>
      </c>
      <c r="H4051">
        <v>1</v>
      </c>
    </row>
    <row r="4052" spans="1:8" x14ac:dyDescent="0.25">
      <c r="A4052" t="s">
        <v>3751</v>
      </c>
      <c r="B4052">
        <v>2</v>
      </c>
      <c r="C4052">
        <v>2</v>
      </c>
      <c r="D4052">
        <v>2</v>
      </c>
      <c r="E4052" t="s">
        <v>8933</v>
      </c>
      <c r="F4052" t="s">
        <v>8933</v>
      </c>
      <c r="G4052" t="s">
        <v>4256</v>
      </c>
      <c r="H4052">
        <v>2</v>
      </c>
    </row>
    <row r="4053" spans="1:8" x14ac:dyDescent="0.25">
      <c r="A4053" t="s">
        <v>3800</v>
      </c>
      <c r="B4053">
        <v>1</v>
      </c>
      <c r="C4053">
        <v>1</v>
      </c>
      <c r="D4053">
        <v>1</v>
      </c>
      <c r="E4053" t="s">
        <v>8934</v>
      </c>
      <c r="F4053" t="s">
        <v>8934</v>
      </c>
      <c r="G4053" t="s">
        <v>8934</v>
      </c>
      <c r="H4053">
        <v>2</v>
      </c>
    </row>
    <row r="4054" spans="1:8" x14ac:dyDescent="0.25">
      <c r="A4054" t="s">
        <v>8935</v>
      </c>
      <c r="B4054">
        <v>0</v>
      </c>
      <c r="C4054">
        <v>0</v>
      </c>
      <c r="D4054">
        <v>0</v>
      </c>
      <c r="G4054" t="s">
        <v>4256</v>
      </c>
      <c r="H4054">
        <v>1</v>
      </c>
    </row>
    <row r="4055" spans="1:8" x14ac:dyDescent="0.25">
      <c r="A4055" t="s">
        <v>8936</v>
      </c>
      <c r="B4055">
        <v>0</v>
      </c>
      <c r="C4055">
        <v>0</v>
      </c>
      <c r="D4055">
        <v>0</v>
      </c>
      <c r="G4055" t="s">
        <v>4256</v>
      </c>
      <c r="H4055">
        <v>1</v>
      </c>
    </row>
    <row r="4056" spans="1:8" x14ac:dyDescent="0.25">
      <c r="A4056" t="s">
        <v>8937</v>
      </c>
      <c r="B4056">
        <v>1</v>
      </c>
      <c r="C4056">
        <v>1</v>
      </c>
      <c r="D4056">
        <v>1</v>
      </c>
      <c r="E4056" t="s">
        <v>8931</v>
      </c>
      <c r="F4056" t="s">
        <v>8931</v>
      </c>
      <c r="G4056" t="s">
        <v>8931</v>
      </c>
      <c r="H4056">
        <v>1</v>
      </c>
    </row>
    <row r="4057" spans="1:8" x14ac:dyDescent="0.25">
      <c r="A4057" t="s">
        <v>8938</v>
      </c>
      <c r="B4057">
        <v>0</v>
      </c>
      <c r="C4057">
        <v>0</v>
      </c>
      <c r="D4057">
        <v>0</v>
      </c>
      <c r="G4057" t="s">
        <v>4256</v>
      </c>
      <c r="H4057">
        <v>1</v>
      </c>
    </row>
    <row r="4058" spans="1:8" x14ac:dyDescent="0.25">
      <c r="A4058" t="s">
        <v>3441</v>
      </c>
      <c r="B4058">
        <v>1</v>
      </c>
      <c r="C4058">
        <v>1</v>
      </c>
      <c r="D4058">
        <v>1</v>
      </c>
      <c r="E4058" t="s">
        <v>8939</v>
      </c>
      <c r="F4058" t="s">
        <v>8939</v>
      </c>
      <c r="G4058" t="s">
        <v>8939</v>
      </c>
      <c r="H4058">
        <v>2</v>
      </c>
    </row>
    <row r="4059" spans="1:8" x14ac:dyDescent="0.25">
      <c r="A4059" t="s">
        <v>2986</v>
      </c>
      <c r="B4059">
        <v>1</v>
      </c>
      <c r="C4059">
        <v>1</v>
      </c>
      <c r="D4059">
        <v>1</v>
      </c>
      <c r="E4059" t="s">
        <v>8940</v>
      </c>
      <c r="F4059" t="s">
        <v>8940</v>
      </c>
      <c r="G4059" t="s">
        <v>8940</v>
      </c>
      <c r="H4059">
        <v>11</v>
      </c>
    </row>
    <row r="4060" spans="1:8" x14ac:dyDescent="0.25">
      <c r="A4060" t="s">
        <v>3009</v>
      </c>
      <c r="B4060">
        <v>1</v>
      </c>
      <c r="C4060">
        <v>1</v>
      </c>
      <c r="D4060">
        <v>1</v>
      </c>
      <c r="E4060" t="s">
        <v>8941</v>
      </c>
      <c r="F4060" t="s">
        <v>8941</v>
      </c>
      <c r="G4060" t="s">
        <v>8941</v>
      </c>
      <c r="H4060">
        <v>13</v>
      </c>
    </row>
    <row r="4061" spans="1:8" x14ac:dyDescent="0.25">
      <c r="A4061" t="s">
        <v>8942</v>
      </c>
      <c r="B4061">
        <v>1</v>
      </c>
      <c r="C4061">
        <v>1</v>
      </c>
      <c r="D4061">
        <v>1</v>
      </c>
      <c r="E4061" t="s">
        <v>8943</v>
      </c>
      <c r="F4061" t="s">
        <v>8943</v>
      </c>
      <c r="G4061" t="s">
        <v>8943</v>
      </c>
      <c r="H4061">
        <v>710</v>
      </c>
    </row>
    <row r="4062" spans="1:8" x14ac:dyDescent="0.25">
      <c r="A4062" t="s">
        <v>8944</v>
      </c>
      <c r="B4062">
        <v>1</v>
      </c>
      <c r="C4062">
        <v>1</v>
      </c>
      <c r="D4062">
        <v>1</v>
      </c>
      <c r="E4062" t="s">
        <v>8945</v>
      </c>
      <c r="F4062" t="s">
        <v>8945</v>
      </c>
      <c r="G4062" t="s">
        <v>8945</v>
      </c>
      <c r="H4062">
        <v>571</v>
      </c>
    </row>
    <row r="4063" spans="1:8" x14ac:dyDescent="0.25">
      <c r="A4063" t="s">
        <v>4035</v>
      </c>
      <c r="B4063">
        <v>1</v>
      </c>
      <c r="C4063">
        <v>1</v>
      </c>
      <c r="D4063">
        <v>1</v>
      </c>
      <c r="E4063" t="s">
        <v>8946</v>
      </c>
      <c r="F4063" t="s">
        <v>8946</v>
      </c>
      <c r="G4063" t="s">
        <v>8946</v>
      </c>
      <c r="H4063">
        <v>4</v>
      </c>
    </row>
    <row r="4064" spans="1:8" x14ac:dyDescent="0.25">
      <c r="A4064" t="s">
        <v>8947</v>
      </c>
      <c r="B4064">
        <v>1</v>
      </c>
      <c r="C4064">
        <v>1</v>
      </c>
      <c r="D4064">
        <v>1</v>
      </c>
      <c r="E4064" t="s">
        <v>8948</v>
      </c>
      <c r="F4064" t="s">
        <v>8948</v>
      </c>
      <c r="G4064" t="s">
        <v>8948</v>
      </c>
      <c r="H4064">
        <v>1256</v>
      </c>
    </row>
    <row r="4065" spans="1:8" x14ac:dyDescent="0.25">
      <c r="A4065" t="s">
        <v>8949</v>
      </c>
      <c r="B4065">
        <v>1</v>
      </c>
      <c r="C4065">
        <v>1</v>
      </c>
      <c r="D4065">
        <v>1</v>
      </c>
      <c r="E4065" t="s">
        <v>8950</v>
      </c>
      <c r="F4065" t="s">
        <v>8950</v>
      </c>
      <c r="G4065" t="s">
        <v>8950</v>
      </c>
      <c r="H4065">
        <v>63</v>
      </c>
    </row>
    <row r="4066" spans="1:8" x14ac:dyDescent="0.25">
      <c r="A4066" t="s">
        <v>8951</v>
      </c>
      <c r="B4066">
        <v>1</v>
      </c>
      <c r="C4066">
        <v>1</v>
      </c>
      <c r="D4066">
        <v>1</v>
      </c>
      <c r="E4066" t="s">
        <v>8952</v>
      </c>
      <c r="F4066" t="s">
        <v>8952</v>
      </c>
      <c r="G4066" t="s">
        <v>8952</v>
      </c>
      <c r="H4066">
        <v>9</v>
      </c>
    </row>
    <row r="4067" spans="1:8" x14ac:dyDescent="0.25">
      <c r="A4067" t="s">
        <v>8953</v>
      </c>
      <c r="B4067">
        <v>2</v>
      </c>
      <c r="C4067">
        <v>2</v>
      </c>
      <c r="D4067">
        <v>2</v>
      </c>
      <c r="E4067" t="s">
        <v>8954</v>
      </c>
      <c r="F4067" t="s">
        <v>8955</v>
      </c>
      <c r="G4067" t="s">
        <v>4256</v>
      </c>
      <c r="H4067">
        <v>10</v>
      </c>
    </row>
    <row r="4068" spans="1:8" x14ac:dyDescent="0.25">
      <c r="A4068" t="s">
        <v>8956</v>
      </c>
      <c r="B4068">
        <v>1</v>
      </c>
      <c r="C4068">
        <v>1</v>
      </c>
      <c r="D4068">
        <v>1</v>
      </c>
      <c r="E4068" t="s">
        <v>8957</v>
      </c>
      <c r="F4068" t="s">
        <v>8957</v>
      </c>
      <c r="G4068" t="s">
        <v>8957</v>
      </c>
      <c r="H4068">
        <v>8</v>
      </c>
    </row>
    <row r="4069" spans="1:8" x14ac:dyDescent="0.25">
      <c r="A4069" t="s">
        <v>8958</v>
      </c>
      <c r="B4069">
        <v>1</v>
      </c>
      <c r="C4069">
        <v>1</v>
      </c>
      <c r="D4069">
        <v>1</v>
      </c>
      <c r="E4069" t="s">
        <v>8959</v>
      </c>
      <c r="F4069" t="s">
        <v>8959</v>
      </c>
      <c r="G4069" t="s">
        <v>8959</v>
      </c>
      <c r="H4069">
        <v>3</v>
      </c>
    </row>
    <row r="4070" spans="1:8" x14ac:dyDescent="0.25">
      <c r="A4070" t="s">
        <v>8960</v>
      </c>
      <c r="B4070">
        <v>1</v>
      </c>
      <c r="C4070">
        <v>1</v>
      </c>
      <c r="D4070">
        <v>1</v>
      </c>
      <c r="E4070" t="s">
        <v>8961</v>
      </c>
      <c r="F4070" t="s">
        <v>8961</v>
      </c>
      <c r="G4070" t="s">
        <v>8961</v>
      </c>
      <c r="H4070">
        <v>4</v>
      </c>
    </row>
    <row r="4071" spans="1:8" x14ac:dyDescent="0.25">
      <c r="A4071" t="s">
        <v>8962</v>
      </c>
      <c r="B4071">
        <v>1</v>
      </c>
      <c r="C4071">
        <v>1</v>
      </c>
      <c r="D4071">
        <v>1</v>
      </c>
      <c r="E4071" t="s">
        <v>8945</v>
      </c>
      <c r="F4071" t="s">
        <v>8945</v>
      </c>
      <c r="G4071" t="s">
        <v>8945</v>
      </c>
      <c r="H4071">
        <v>1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17"/>
  <sheetViews>
    <sheetView showGridLines="0" workbookViewId="0" tabSelected="0">
      <pane ySplit="1" topLeftCell="A2" activePane="bottomLeft" state="frozen"/>
      <selection pane="bottomLeft"/>
    </sheetView>
  </sheetViews>
  <sheetFormatPr defaultRowHeight="15" x14ac:dyDescent="0.25"/>
  <cols>
    <col min="1" max="1" width="18.7109375" customWidth="1"/>
    <col min="2" max="2" width="21.28515625" bestFit="1" customWidth="1"/>
    <col min="3" max="4" width="18.7109375" customWidth="1"/>
    <col min="5" max="5" width="20.7109375" bestFit="1" customWidth="1"/>
  </cols>
  <sheetData>
    <row r="1" spans="1:5" ht="27.95" customHeight="1" x14ac:dyDescent="0.25">
      <c r="A1" t="s">
        <v>127</v>
      </c>
      <c r="B1" t="s">
        <v>8963</v>
      </c>
      <c r="C1" t="s">
        <v>4051</v>
      </c>
      <c r="D1" t="s">
        <v>8964</v>
      </c>
      <c r="E1" t="s">
        <v>4071</v>
      </c>
    </row>
    <row r="2" spans="1:5" x14ac:dyDescent="0.25">
      <c r="A2" t="s">
        <v>8915</v>
      </c>
      <c r="B2" t="s">
        <v>8965</v>
      </c>
      <c r="C2">
        <v>34</v>
      </c>
      <c r="D2" s="4">
        <v>-221520.5</v>
      </c>
      <c r="E2">
        <v>14516</v>
      </c>
    </row>
    <row r="3" spans="1:5" x14ac:dyDescent="0.25">
      <c r="A3" t="s">
        <v>4237</v>
      </c>
      <c r="B3" t="s">
        <v>8966</v>
      </c>
      <c r="C3">
        <v>3</v>
      </c>
      <c r="D3" s="4">
        <v>-11062.06</v>
      </c>
      <c r="E3">
        <v>299984</v>
      </c>
    </row>
    <row r="4" spans="1:5" x14ac:dyDescent="0.25">
      <c r="A4" t="s">
        <v>8917</v>
      </c>
      <c r="B4" t="s">
        <v>8967</v>
      </c>
      <c r="C4">
        <v>37</v>
      </c>
      <c r="D4" s="4">
        <v>-7175.6390000000001</v>
      </c>
      <c r="E4">
        <v>4408</v>
      </c>
    </row>
    <row r="5" spans="1:5" x14ac:dyDescent="0.25">
      <c r="A5" t="s">
        <v>8919</v>
      </c>
      <c r="B5" t="s">
        <v>8968</v>
      </c>
      <c r="C5">
        <v>144</v>
      </c>
      <c r="D5" s="4">
        <v>6986</v>
      </c>
      <c r="E5">
        <v>1425</v>
      </c>
    </row>
    <row r="6" spans="1:5" x14ac:dyDescent="0.25">
      <c r="A6" t="s">
        <v>8921</v>
      </c>
      <c r="B6" t="s">
        <v>8969</v>
      </c>
      <c r="C6">
        <v>16</v>
      </c>
      <c r="D6" s="4">
        <v>-7933.43</v>
      </c>
      <c r="E6">
        <v>317510</v>
      </c>
    </row>
    <row r="7" spans="1:5" x14ac:dyDescent="0.25">
      <c r="A7" t="s">
        <v>8923</v>
      </c>
      <c r="B7" t="s">
        <v>8924</v>
      </c>
      <c r="C7">
        <v>77</v>
      </c>
      <c r="D7" s="4">
        <v>-5696.22</v>
      </c>
      <c r="E7">
        <v>143</v>
      </c>
    </row>
    <row r="8" spans="1:5" x14ac:dyDescent="0.25">
      <c r="A8" t="s">
        <v>8942</v>
      </c>
      <c r="B8" t="s">
        <v>8968</v>
      </c>
      <c r="C8">
        <v>710</v>
      </c>
      <c r="D8" s="4">
        <v>206245.48</v>
      </c>
      <c r="E8">
        <v>1816</v>
      </c>
    </row>
    <row r="9" spans="1:5" x14ac:dyDescent="0.25">
      <c r="A9" t="s">
        <v>8944</v>
      </c>
      <c r="B9" t="s">
        <v>8945</v>
      </c>
      <c r="C9">
        <v>571</v>
      </c>
      <c r="D9" s="4">
        <v>-68674.19</v>
      </c>
      <c r="E9">
        <v>2241</v>
      </c>
    </row>
    <row r="10" spans="1:5" x14ac:dyDescent="0.25">
      <c r="A10" t="s">
        <v>8947</v>
      </c>
      <c r="B10" t="s">
        <v>8968</v>
      </c>
      <c r="C10">
        <v>1256</v>
      </c>
      <c r="D10" s="4">
        <v>66230.64</v>
      </c>
      <c r="E10">
        <v>47</v>
      </c>
    </row>
    <row r="11" spans="1:5" x14ac:dyDescent="0.25">
      <c r="A11" t="s">
        <v>8949</v>
      </c>
      <c r="B11" t="s">
        <v>8970</v>
      </c>
      <c r="C11">
        <v>63</v>
      </c>
      <c r="D11" s="4">
        <v>-3049.39</v>
      </c>
      <c r="E11">
        <v>14438</v>
      </c>
    </row>
    <row r="12" spans="1:5" x14ac:dyDescent="0.25">
      <c r="A12" t="s">
        <v>8951</v>
      </c>
      <c r="B12" t="s">
        <v>8971</v>
      </c>
      <c r="C12">
        <v>9</v>
      </c>
      <c r="D12" s="4">
        <v>74.97</v>
      </c>
      <c r="E12">
        <v>112444</v>
      </c>
    </row>
    <row r="13" spans="1:5" x14ac:dyDescent="0.25">
      <c r="A13" t="s">
        <v>8953</v>
      </c>
      <c r="B13" t="s">
        <v>8971</v>
      </c>
      <c r="C13">
        <v>10</v>
      </c>
      <c r="D13" s="4">
        <v>167.05</v>
      </c>
      <c r="E13">
        <v>44796</v>
      </c>
    </row>
    <row r="14" spans="1:5" x14ac:dyDescent="0.25">
      <c r="A14" t="s">
        <v>8956</v>
      </c>
      <c r="B14" t="s">
        <v>8971</v>
      </c>
      <c r="C14">
        <v>8</v>
      </c>
      <c r="D14" s="4">
        <v>175.53</v>
      </c>
      <c r="E14">
        <v>44727</v>
      </c>
    </row>
    <row r="15" spans="1:5" x14ac:dyDescent="0.25">
      <c r="A15" t="s">
        <v>8958</v>
      </c>
      <c r="B15" t="s">
        <v>8971</v>
      </c>
      <c r="C15">
        <v>3</v>
      </c>
      <c r="D15" s="4">
        <v>100.7</v>
      </c>
      <c r="E15">
        <v>38250</v>
      </c>
    </row>
    <row r="16" spans="1:5" x14ac:dyDescent="0.25">
      <c r="A16" t="s">
        <v>8960</v>
      </c>
      <c r="B16" t="s">
        <v>8971</v>
      </c>
      <c r="C16">
        <v>4</v>
      </c>
      <c r="D16" s="4">
        <v>167.56</v>
      </c>
      <c r="E16">
        <v>42059</v>
      </c>
    </row>
    <row r="17" spans="1:5" x14ac:dyDescent="0.25">
      <c r="A17" t="s">
        <v>8962</v>
      </c>
      <c r="B17" t="s">
        <v>8945</v>
      </c>
      <c r="C17">
        <v>1</v>
      </c>
      <c r="D17" s="4">
        <v>2.5499999999999998</v>
      </c>
      <c r="E17">
        <v>40385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4335"/>
  <sheetViews>
    <sheetView showGridLines="0" workbookViewId="0" tabSelected="0">
      <pane ySplit="1" topLeftCell="A2" activePane="bottomLeft" state="frozen"/>
      <selection pane="bottomLeft"/>
    </sheetView>
  </sheetViews>
  <sheetFormatPr defaultRowHeight="15" x14ac:dyDescent="0.25"/>
  <cols>
    <col min="1" max="4" width="18.7109375" customWidth="1"/>
  </cols>
  <sheetData>
    <row r="1" spans="1:4" ht="27.95" customHeight="1" x14ac:dyDescent="0.25">
      <c r="A1" t="s">
        <v>4209</v>
      </c>
      <c r="B1" t="s">
        <v>33</v>
      </c>
      <c r="C1" t="s">
        <v>44</v>
      </c>
      <c r="D1" t="s">
        <v>43</v>
      </c>
    </row>
    <row r="2" spans="1:4" x14ac:dyDescent="0.25">
      <c r="A2" t="s">
        <v>8972</v>
      </c>
      <c r="B2">
        <v>1</v>
      </c>
      <c r="C2" s="4">
        <v>77183.600000000006</v>
      </c>
      <c r="D2">
        <v>1</v>
      </c>
    </row>
    <row r="3" spans="1:4" x14ac:dyDescent="0.25">
      <c r="A3" t="s">
        <v>8973</v>
      </c>
      <c r="B3">
        <v>182</v>
      </c>
      <c r="C3" s="4">
        <v>4310</v>
      </c>
      <c r="D3">
        <v>7</v>
      </c>
    </row>
    <row r="4" spans="1:4" x14ac:dyDescent="0.25">
      <c r="A4" t="s">
        <v>8974</v>
      </c>
      <c r="B4">
        <v>27</v>
      </c>
      <c r="C4" s="4">
        <v>1437.24</v>
      </c>
      <c r="D4">
        <v>4</v>
      </c>
    </row>
    <row r="5" spans="1:4" x14ac:dyDescent="0.25">
      <c r="A5" t="s">
        <v>8975</v>
      </c>
      <c r="B5">
        <v>72</v>
      </c>
      <c r="C5" s="4">
        <v>1457.55</v>
      </c>
      <c r="D5">
        <v>1</v>
      </c>
    </row>
    <row r="6" spans="1:4" x14ac:dyDescent="0.25">
      <c r="A6" t="s">
        <v>8976</v>
      </c>
      <c r="B6">
        <v>16</v>
      </c>
      <c r="C6" s="4">
        <v>294.39999999999998</v>
      </c>
      <c r="D6">
        <v>1</v>
      </c>
    </row>
    <row r="7" spans="1:4" x14ac:dyDescent="0.25">
      <c r="A7" t="s">
        <v>8977</v>
      </c>
      <c r="B7">
        <v>77</v>
      </c>
      <c r="C7" s="4">
        <v>1385.74</v>
      </c>
      <c r="D7">
        <v>7</v>
      </c>
    </row>
    <row r="8" spans="1:4" x14ac:dyDescent="0.25">
      <c r="A8" t="s">
        <v>8978</v>
      </c>
      <c r="B8">
        <v>4</v>
      </c>
      <c r="C8" s="4">
        <v>89</v>
      </c>
      <c r="D8">
        <v>1</v>
      </c>
    </row>
    <row r="9" spans="1:4" x14ac:dyDescent="0.25">
      <c r="A9" t="s">
        <v>8979</v>
      </c>
      <c r="B9">
        <v>58</v>
      </c>
      <c r="C9" s="4">
        <v>1079.4000000000001</v>
      </c>
      <c r="D9">
        <v>1</v>
      </c>
    </row>
    <row r="10" spans="1:4" x14ac:dyDescent="0.25">
      <c r="A10" t="s">
        <v>8980</v>
      </c>
      <c r="B10">
        <v>13</v>
      </c>
      <c r="C10" s="4">
        <v>459.4</v>
      </c>
      <c r="D10">
        <v>1</v>
      </c>
    </row>
    <row r="11" spans="1:4" x14ac:dyDescent="0.25">
      <c r="A11" t="s">
        <v>8981</v>
      </c>
      <c r="B11">
        <v>58</v>
      </c>
      <c r="C11" s="4">
        <v>2487.4299999999998</v>
      </c>
      <c r="D11">
        <v>3</v>
      </c>
    </row>
    <row r="12" spans="1:4" x14ac:dyDescent="0.25">
      <c r="A12" t="s">
        <v>8982</v>
      </c>
      <c r="B12">
        <v>131</v>
      </c>
      <c r="C12" s="4">
        <v>6207.67</v>
      </c>
      <c r="D12">
        <v>1</v>
      </c>
    </row>
    <row r="13" spans="1:4" x14ac:dyDescent="0.25">
      <c r="A13" t="s">
        <v>8983</v>
      </c>
      <c r="B13">
        <v>17</v>
      </c>
      <c r="C13" s="4">
        <v>928.06</v>
      </c>
      <c r="D13">
        <v>2</v>
      </c>
    </row>
    <row r="14" spans="1:4" x14ac:dyDescent="0.25">
      <c r="A14" t="s">
        <v>8984</v>
      </c>
      <c r="B14">
        <v>248</v>
      </c>
      <c r="C14" s="4">
        <v>6372.58</v>
      </c>
      <c r="D14">
        <v>4</v>
      </c>
    </row>
    <row r="15" spans="1:4" x14ac:dyDescent="0.25">
      <c r="A15" t="s">
        <v>8985</v>
      </c>
      <c r="B15">
        <v>126</v>
      </c>
      <c r="C15" s="4">
        <v>2302.06</v>
      </c>
      <c r="D15">
        <v>3</v>
      </c>
    </row>
    <row r="16" spans="1:4" x14ac:dyDescent="0.25">
      <c r="A16" t="s">
        <v>8986</v>
      </c>
      <c r="B16">
        <v>9</v>
      </c>
      <c r="C16" s="4">
        <v>174.9</v>
      </c>
      <c r="D16">
        <v>1</v>
      </c>
    </row>
    <row r="17" spans="1:4" x14ac:dyDescent="0.25">
      <c r="A17" t="s">
        <v>8987</v>
      </c>
      <c r="B17">
        <v>256</v>
      </c>
      <c r="C17" s="4">
        <v>4737.2299999999996</v>
      </c>
      <c r="D17">
        <v>10</v>
      </c>
    </row>
    <row r="18" spans="1:4" x14ac:dyDescent="0.25">
      <c r="A18" t="s">
        <v>8988</v>
      </c>
      <c r="B18">
        <v>23</v>
      </c>
      <c r="C18" s="4">
        <v>552</v>
      </c>
      <c r="D18">
        <v>2</v>
      </c>
    </row>
    <row r="19" spans="1:4" x14ac:dyDescent="0.25">
      <c r="A19" t="s">
        <v>8989</v>
      </c>
      <c r="B19">
        <v>81</v>
      </c>
      <c r="C19" s="4">
        <v>1208.0999999999999</v>
      </c>
      <c r="D19">
        <v>4</v>
      </c>
    </row>
    <row r="20" spans="1:4" x14ac:dyDescent="0.25">
      <c r="A20" t="s">
        <v>8990</v>
      </c>
      <c r="B20">
        <v>21</v>
      </c>
      <c r="C20" s="4">
        <v>320.69</v>
      </c>
      <c r="D20">
        <v>1</v>
      </c>
    </row>
    <row r="21" spans="1:4" x14ac:dyDescent="0.25">
      <c r="A21" t="s">
        <v>8991</v>
      </c>
      <c r="B21">
        <v>10</v>
      </c>
      <c r="C21" s="4">
        <v>150.9</v>
      </c>
      <c r="D21">
        <v>1</v>
      </c>
    </row>
    <row r="22" spans="1:4" x14ac:dyDescent="0.25">
      <c r="A22" t="s">
        <v>8992</v>
      </c>
      <c r="B22">
        <v>166</v>
      </c>
      <c r="C22" s="4">
        <v>3425.69</v>
      </c>
      <c r="D22">
        <v>4</v>
      </c>
    </row>
    <row r="23" spans="1:4" x14ac:dyDescent="0.25">
      <c r="A23" t="s">
        <v>8993</v>
      </c>
      <c r="B23">
        <v>62</v>
      </c>
      <c r="C23" s="4">
        <v>1527.96</v>
      </c>
      <c r="D23">
        <v>1</v>
      </c>
    </row>
    <row r="24" spans="1:4" x14ac:dyDescent="0.25">
      <c r="A24" t="s">
        <v>8994</v>
      </c>
      <c r="B24">
        <v>49</v>
      </c>
      <c r="C24" s="4">
        <v>1196.04</v>
      </c>
      <c r="D24">
        <v>3</v>
      </c>
    </row>
    <row r="25" spans="1:4" x14ac:dyDescent="0.25">
      <c r="A25" t="s">
        <v>8995</v>
      </c>
      <c r="B25">
        <v>13</v>
      </c>
      <c r="C25" s="4">
        <v>324.60000000000002</v>
      </c>
      <c r="D25">
        <v>1</v>
      </c>
    </row>
    <row r="26" spans="1:4" x14ac:dyDescent="0.25">
      <c r="A26" t="s">
        <v>8996</v>
      </c>
      <c r="B26">
        <v>32</v>
      </c>
      <c r="C26" s="4">
        <v>622.92999999999995</v>
      </c>
      <c r="D26">
        <v>1</v>
      </c>
    </row>
    <row r="27" spans="1:4" x14ac:dyDescent="0.25">
      <c r="A27" t="s">
        <v>8997</v>
      </c>
      <c r="B27">
        <v>15</v>
      </c>
      <c r="C27" s="4">
        <v>377.5</v>
      </c>
      <c r="D27">
        <v>2</v>
      </c>
    </row>
    <row r="28" spans="1:4" x14ac:dyDescent="0.25">
      <c r="A28" t="s">
        <v>8998</v>
      </c>
      <c r="B28">
        <v>76</v>
      </c>
      <c r="C28" s="4">
        <v>1548.12</v>
      </c>
      <c r="D28">
        <v>2</v>
      </c>
    </row>
    <row r="29" spans="1:4" x14ac:dyDescent="0.25">
      <c r="A29" t="s">
        <v>8999</v>
      </c>
      <c r="B29">
        <v>219</v>
      </c>
      <c r="C29" s="4">
        <v>4008.62</v>
      </c>
      <c r="D29">
        <v>1</v>
      </c>
    </row>
    <row r="30" spans="1:4" x14ac:dyDescent="0.25">
      <c r="A30" t="s">
        <v>9000</v>
      </c>
      <c r="B30">
        <v>38</v>
      </c>
      <c r="C30" s="4">
        <v>777.24</v>
      </c>
      <c r="D30">
        <v>2</v>
      </c>
    </row>
    <row r="31" spans="1:4" x14ac:dyDescent="0.25">
      <c r="A31" t="s">
        <v>9001</v>
      </c>
      <c r="B31">
        <v>100</v>
      </c>
      <c r="C31" s="4">
        <v>2427.81</v>
      </c>
      <c r="D31">
        <v>4</v>
      </c>
    </row>
    <row r="32" spans="1:4" x14ac:dyDescent="0.25">
      <c r="A32" t="s">
        <v>9002</v>
      </c>
      <c r="B32">
        <v>82</v>
      </c>
      <c r="C32" s="4">
        <v>1474.81</v>
      </c>
      <c r="D32">
        <v>3</v>
      </c>
    </row>
    <row r="33" spans="1:4" x14ac:dyDescent="0.25">
      <c r="A33" t="s">
        <v>9003</v>
      </c>
      <c r="B33">
        <v>94</v>
      </c>
      <c r="C33" s="4">
        <v>1628.56</v>
      </c>
      <c r="D33">
        <v>5</v>
      </c>
    </row>
    <row r="34" spans="1:4" x14ac:dyDescent="0.25">
      <c r="A34" t="s">
        <v>9004</v>
      </c>
      <c r="B34">
        <v>25</v>
      </c>
      <c r="C34" s="4">
        <v>425.27</v>
      </c>
      <c r="D34">
        <v>2</v>
      </c>
    </row>
    <row r="35" spans="1:4" x14ac:dyDescent="0.25">
      <c r="A35" t="s">
        <v>9005</v>
      </c>
      <c r="B35">
        <v>10</v>
      </c>
      <c r="C35" s="4">
        <v>401.9</v>
      </c>
      <c r="D35">
        <v>2</v>
      </c>
    </row>
    <row r="36" spans="1:4" x14ac:dyDescent="0.25">
      <c r="A36" t="s">
        <v>9006</v>
      </c>
      <c r="B36">
        <v>100</v>
      </c>
      <c r="C36" s="4">
        <v>2780.66</v>
      </c>
      <c r="D36">
        <v>6</v>
      </c>
    </row>
    <row r="37" spans="1:4" x14ac:dyDescent="0.25">
      <c r="A37" t="s">
        <v>9007</v>
      </c>
      <c r="B37">
        <v>31</v>
      </c>
      <c r="C37" s="4">
        <v>504.84</v>
      </c>
      <c r="D37">
        <v>1</v>
      </c>
    </row>
    <row r="38" spans="1:4" x14ac:dyDescent="0.25">
      <c r="A38" t="s">
        <v>9008</v>
      </c>
      <c r="B38">
        <v>100</v>
      </c>
      <c r="C38" s="4">
        <v>460.89</v>
      </c>
      <c r="D38">
        <v>1</v>
      </c>
    </row>
    <row r="39" spans="1:4" x14ac:dyDescent="0.25">
      <c r="A39" t="s">
        <v>9009</v>
      </c>
      <c r="B39">
        <v>64</v>
      </c>
      <c r="C39" s="4">
        <v>1582.6</v>
      </c>
      <c r="D39">
        <v>4</v>
      </c>
    </row>
    <row r="40" spans="1:4" x14ac:dyDescent="0.25">
      <c r="A40" t="s">
        <v>9010</v>
      </c>
      <c r="B40">
        <v>25</v>
      </c>
      <c r="C40" s="4">
        <v>1080.48</v>
      </c>
      <c r="D40">
        <v>2</v>
      </c>
    </row>
    <row r="41" spans="1:4" x14ac:dyDescent="0.25">
      <c r="A41" t="s">
        <v>9011</v>
      </c>
      <c r="B41">
        <v>144</v>
      </c>
      <c r="C41" s="4">
        <v>2682.63</v>
      </c>
      <c r="D41">
        <v>12</v>
      </c>
    </row>
    <row r="42" spans="1:4" x14ac:dyDescent="0.25">
      <c r="A42" t="s">
        <v>9012</v>
      </c>
      <c r="B42">
        <v>124</v>
      </c>
      <c r="C42" s="4">
        <v>2214.9</v>
      </c>
      <c r="D42">
        <v>2</v>
      </c>
    </row>
    <row r="43" spans="1:4" x14ac:dyDescent="0.25">
      <c r="A43" t="s">
        <v>9013</v>
      </c>
      <c r="B43">
        <v>84</v>
      </c>
      <c r="C43" s="4">
        <v>1435.66</v>
      </c>
      <c r="D43">
        <v>1</v>
      </c>
    </row>
    <row r="44" spans="1:4" x14ac:dyDescent="0.25">
      <c r="A44" t="s">
        <v>9014</v>
      </c>
      <c r="B44">
        <v>55</v>
      </c>
      <c r="C44" s="4">
        <v>1033.6500000000001</v>
      </c>
      <c r="D44">
        <v>4</v>
      </c>
    </row>
    <row r="45" spans="1:4" x14ac:dyDescent="0.25">
      <c r="A45" t="s">
        <v>9015</v>
      </c>
      <c r="B45">
        <v>4</v>
      </c>
      <c r="C45" s="4">
        <v>69.3</v>
      </c>
      <c r="D45">
        <v>1</v>
      </c>
    </row>
    <row r="46" spans="1:4" x14ac:dyDescent="0.25">
      <c r="A46" t="s">
        <v>9016</v>
      </c>
      <c r="B46">
        <v>10</v>
      </c>
      <c r="C46" s="4">
        <v>195.6</v>
      </c>
      <c r="D46">
        <v>1</v>
      </c>
    </row>
    <row r="47" spans="1:4" x14ac:dyDescent="0.25">
      <c r="A47" t="s">
        <v>9017</v>
      </c>
      <c r="B47">
        <v>4</v>
      </c>
      <c r="C47" s="4">
        <v>391.7</v>
      </c>
      <c r="D47">
        <v>1</v>
      </c>
    </row>
    <row r="48" spans="1:4" x14ac:dyDescent="0.25">
      <c r="A48" t="s">
        <v>9018</v>
      </c>
      <c r="B48">
        <v>53</v>
      </c>
      <c r="C48" s="4">
        <v>1390.39</v>
      </c>
      <c r="D48">
        <v>1</v>
      </c>
    </row>
    <row r="49" spans="1:4" x14ac:dyDescent="0.25">
      <c r="A49" t="s">
        <v>9019</v>
      </c>
      <c r="B49">
        <v>105</v>
      </c>
      <c r="C49" s="4">
        <v>3415.3</v>
      </c>
      <c r="D49">
        <v>2</v>
      </c>
    </row>
    <row r="50" spans="1:4" x14ac:dyDescent="0.25">
      <c r="A50" t="s">
        <v>9020</v>
      </c>
      <c r="B50">
        <v>72</v>
      </c>
      <c r="C50" s="4">
        <v>1507.12</v>
      </c>
      <c r="D50">
        <v>5</v>
      </c>
    </row>
    <row r="51" spans="1:4" x14ac:dyDescent="0.25">
      <c r="A51" t="s">
        <v>9021</v>
      </c>
      <c r="B51">
        <v>101</v>
      </c>
      <c r="C51" s="4">
        <v>2618.5500000000002</v>
      </c>
      <c r="D51">
        <v>5</v>
      </c>
    </row>
    <row r="52" spans="1:4" x14ac:dyDescent="0.25">
      <c r="A52" t="s">
        <v>9022</v>
      </c>
      <c r="B52">
        <v>109</v>
      </c>
      <c r="C52" s="4">
        <v>11072.67</v>
      </c>
      <c r="D52">
        <v>3</v>
      </c>
    </row>
    <row r="53" spans="1:4" x14ac:dyDescent="0.25">
      <c r="A53" t="s">
        <v>9023</v>
      </c>
      <c r="B53">
        <v>25</v>
      </c>
      <c r="C53" s="4">
        <v>533.33000000000004</v>
      </c>
      <c r="D53">
        <v>2</v>
      </c>
    </row>
    <row r="54" spans="1:4" x14ac:dyDescent="0.25">
      <c r="A54" t="s">
        <v>9024</v>
      </c>
      <c r="B54">
        <v>58</v>
      </c>
      <c r="C54" s="4">
        <v>1142.8800000000001</v>
      </c>
      <c r="D54">
        <v>3</v>
      </c>
    </row>
    <row r="55" spans="1:4" x14ac:dyDescent="0.25">
      <c r="A55" t="s">
        <v>9025</v>
      </c>
      <c r="B55">
        <v>36</v>
      </c>
      <c r="C55" s="4">
        <v>686.1</v>
      </c>
      <c r="D55">
        <v>3</v>
      </c>
    </row>
    <row r="56" spans="1:4" x14ac:dyDescent="0.25">
      <c r="A56" t="s">
        <v>9026</v>
      </c>
      <c r="B56">
        <v>15</v>
      </c>
      <c r="C56" s="4">
        <v>442.41</v>
      </c>
      <c r="D56">
        <v>3</v>
      </c>
    </row>
    <row r="57" spans="1:4" x14ac:dyDescent="0.25">
      <c r="A57" t="s">
        <v>9027</v>
      </c>
      <c r="B57">
        <v>713</v>
      </c>
      <c r="C57" s="4">
        <v>124564.53</v>
      </c>
      <c r="D57">
        <v>20</v>
      </c>
    </row>
    <row r="58" spans="1:4" x14ac:dyDescent="0.25">
      <c r="A58" t="s">
        <v>9028</v>
      </c>
      <c r="B58">
        <v>183</v>
      </c>
      <c r="C58" s="4">
        <v>3226.1</v>
      </c>
      <c r="D58">
        <v>9</v>
      </c>
    </row>
    <row r="59" spans="1:4" x14ac:dyDescent="0.25">
      <c r="A59" t="s">
        <v>9029</v>
      </c>
      <c r="B59">
        <v>34</v>
      </c>
      <c r="C59" s="4">
        <v>668.58</v>
      </c>
      <c r="D59">
        <v>1</v>
      </c>
    </row>
    <row r="60" spans="1:4" x14ac:dyDescent="0.25">
      <c r="A60" t="s">
        <v>9030</v>
      </c>
      <c r="B60">
        <v>29</v>
      </c>
      <c r="C60" s="4">
        <v>600.39</v>
      </c>
      <c r="D60">
        <v>1</v>
      </c>
    </row>
    <row r="61" spans="1:4" x14ac:dyDescent="0.25">
      <c r="A61" t="s">
        <v>9031</v>
      </c>
      <c r="B61">
        <v>41</v>
      </c>
      <c r="C61" s="4">
        <v>639.04</v>
      </c>
      <c r="D61">
        <v>4</v>
      </c>
    </row>
    <row r="62" spans="1:4" x14ac:dyDescent="0.25">
      <c r="A62" t="s">
        <v>9032</v>
      </c>
      <c r="B62">
        <v>38</v>
      </c>
      <c r="C62" s="4">
        <v>683.56</v>
      </c>
      <c r="D62">
        <v>3</v>
      </c>
    </row>
    <row r="63" spans="1:4" x14ac:dyDescent="0.25">
      <c r="A63" t="s">
        <v>9033</v>
      </c>
      <c r="B63">
        <v>117</v>
      </c>
      <c r="C63" s="4">
        <v>1634.31</v>
      </c>
      <c r="D63">
        <v>8</v>
      </c>
    </row>
    <row r="64" spans="1:4" x14ac:dyDescent="0.25">
      <c r="A64" t="s">
        <v>9034</v>
      </c>
      <c r="B64">
        <v>30</v>
      </c>
      <c r="C64" s="4">
        <v>1760.96</v>
      </c>
      <c r="D64">
        <v>2</v>
      </c>
    </row>
    <row r="65" spans="1:4" x14ac:dyDescent="0.25">
      <c r="A65" t="s">
        <v>9035</v>
      </c>
      <c r="B65">
        <v>36</v>
      </c>
      <c r="C65" s="4">
        <v>777.2</v>
      </c>
      <c r="D65">
        <v>1</v>
      </c>
    </row>
    <row r="66" spans="1:4" x14ac:dyDescent="0.25">
      <c r="A66" t="s">
        <v>9036</v>
      </c>
      <c r="B66">
        <v>29</v>
      </c>
      <c r="C66" s="4">
        <v>510.73</v>
      </c>
      <c r="D66">
        <v>1</v>
      </c>
    </row>
    <row r="67" spans="1:4" x14ac:dyDescent="0.25">
      <c r="A67" t="s">
        <v>9037</v>
      </c>
      <c r="B67">
        <v>28</v>
      </c>
      <c r="C67" s="4">
        <v>699.8</v>
      </c>
      <c r="D67">
        <v>3</v>
      </c>
    </row>
    <row r="68" spans="1:4" x14ac:dyDescent="0.25">
      <c r="A68" t="s">
        <v>9038</v>
      </c>
      <c r="B68">
        <v>287</v>
      </c>
      <c r="C68" s="4">
        <v>6405.26</v>
      </c>
      <c r="D68">
        <v>8</v>
      </c>
    </row>
    <row r="69" spans="1:4" x14ac:dyDescent="0.25">
      <c r="A69" t="s">
        <v>9039</v>
      </c>
      <c r="B69">
        <v>94</v>
      </c>
      <c r="C69" s="4">
        <v>3388.4</v>
      </c>
      <c r="D69">
        <v>4</v>
      </c>
    </row>
    <row r="70" spans="1:4" x14ac:dyDescent="0.25">
      <c r="A70" t="s">
        <v>9040</v>
      </c>
      <c r="B70">
        <v>10</v>
      </c>
      <c r="C70" s="4">
        <v>216.4</v>
      </c>
      <c r="D70">
        <v>1</v>
      </c>
    </row>
    <row r="71" spans="1:4" x14ac:dyDescent="0.25">
      <c r="A71" t="s">
        <v>9041</v>
      </c>
      <c r="B71">
        <v>233</v>
      </c>
      <c r="C71" s="4">
        <v>6382.45</v>
      </c>
      <c r="D71">
        <v>15</v>
      </c>
    </row>
    <row r="72" spans="1:4" x14ac:dyDescent="0.25">
      <c r="A72" t="s">
        <v>9042</v>
      </c>
      <c r="B72">
        <v>107</v>
      </c>
      <c r="C72" s="4">
        <v>4359.32</v>
      </c>
      <c r="D72">
        <v>4</v>
      </c>
    </row>
    <row r="73" spans="1:4" x14ac:dyDescent="0.25">
      <c r="A73" t="s">
        <v>9043</v>
      </c>
      <c r="B73">
        <v>420</v>
      </c>
      <c r="C73" s="4">
        <v>13375.87</v>
      </c>
      <c r="D73">
        <v>7</v>
      </c>
    </row>
    <row r="74" spans="1:4" x14ac:dyDescent="0.25">
      <c r="A74" t="s">
        <v>9044</v>
      </c>
      <c r="B74">
        <v>50</v>
      </c>
      <c r="C74" s="4">
        <v>806.14</v>
      </c>
      <c r="D74">
        <v>2</v>
      </c>
    </row>
    <row r="75" spans="1:4" x14ac:dyDescent="0.25">
      <c r="A75" t="s">
        <v>9045</v>
      </c>
      <c r="B75">
        <v>36</v>
      </c>
      <c r="C75" s="4">
        <v>7829.89</v>
      </c>
      <c r="D75">
        <v>2</v>
      </c>
    </row>
    <row r="76" spans="1:4" x14ac:dyDescent="0.25">
      <c r="A76" t="s">
        <v>9046</v>
      </c>
      <c r="B76">
        <v>15</v>
      </c>
      <c r="C76" s="4">
        <v>429.01</v>
      </c>
      <c r="D76">
        <v>1</v>
      </c>
    </row>
    <row r="77" spans="1:4" x14ac:dyDescent="0.25">
      <c r="A77" t="s">
        <v>9047</v>
      </c>
      <c r="B77">
        <v>184</v>
      </c>
      <c r="C77" s="4">
        <v>4447.41</v>
      </c>
      <c r="D77">
        <v>18</v>
      </c>
    </row>
    <row r="78" spans="1:4" x14ac:dyDescent="0.25">
      <c r="A78" t="s">
        <v>9048</v>
      </c>
      <c r="B78">
        <v>96</v>
      </c>
      <c r="C78" s="4">
        <v>2466.85</v>
      </c>
      <c r="D78">
        <v>2</v>
      </c>
    </row>
    <row r="79" spans="1:4" x14ac:dyDescent="0.25">
      <c r="A79" t="s">
        <v>9049</v>
      </c>
      <c r="B79">
        <v>10</v>
      </c>
      <c r="C79" s="4">
        <v>155.55000000000001</v>
      </c>
      <c r="D79">
        <v>1</v>
      </c>
    </row>
    <row r="80" spans="1:4" x14ac:dyDescent="0.25">
      <c r="A80" t="s">
        <v>9050</v>
      </c>
      <c r="B80">
        <v>11</v>
      </c>
      <c r="C80" s="4">
        <v>144.06</v>
      </c>
      <c r="D80">
        <v>1</v>
      </c>
    </row>
    <row r="81" spans="1:4" x14ac:dyDescent="0.25">
      <c r="A81" t="s">
        <v>9051</v>
      </c>
      <c r="B81">
        <v>172</v>
      </c>
      <c r="C81" s="4">
        <v>4085.46</v>
      </c>
      <c r="D81">
        <v>5</v>
      </c>
    </row>
    <row r="82" spans="1:4" x14ac:dyDescent="0.25">
      <c r="A82" t="s">
        <v>9052</v>
      </c>
      <c r="B82">
        <v>3</v>
      </c>
      <c r="C82" s="4">
        <v>77.400000000000006</v>
      </c>
      <c r="D82">
        <v>1</v>
      </c>
    </row>
    <row r="83" spans="1:4" x14ac:dyDescent="0.25">
      <c r="A83" t="s">
        <v>9053</v>
      </c>
      <c r="B83">
        <v>57</v>
      </c>
      <c r="C83" s="4">
        <v>1002.31</v>
      </c>
      <c r="D83">
        <v>1</v>
      </c>
    </row>
    <row r="84" spans="1:4" x14ac:dyDescent="0.25">
      <c r="A84" t="s">
        <v>9054</v>
      </c>
      <c r="B84">
        <v>25</v>
      </c>
      <c r="C84" s="4">
        <v>431.49</v>
      </c>
      <c r="D84">
        <v>1</v>
      </c>
    </row>
    <row r="85" spans="1:4" x14ac:dyDescent="0.25">
      <c r="A85" t="s">
        <v>9055</v>
      </c>
      <c r="B85">
        <v>21</v>
      </c>
      <c r="C85" s="4">
        <v>365.45</v>
      </c>
      <c r="D85">
        <v>1</v>
      </c>
    </row>
    <row r="86" spans="1:4" x14ac:dyDescent="0.25">
      <c r="A86" t="s">
        <v>9056</v>
      </c>
      <c r="B86">
        <v>187</v>
      </c>
      <c r="C86" s="4">
        <v>3596.29</v>
      </c>
      <c r="D86">
        <v>4</v>
      </c>
    </row>
    <row r="87" spans="1:4" x14ac:dyDescent="0.25">
      <c r="A87" t="s">
        <v>9057</v>
      </c>
      <c r="B87">
        <v>8</v>
      </c>
      <c r="C87" s="4">
        <v>197.88</v>
      </c>
      <c r="D87">
        <v>2</v>
      </c>
    </row>
    <row r="88" spans="1:4" x14ac:dyDescent="0.25">
      <c r="A88" t="s">
        <v>9058</v>
      </c>
      <c r="B88">
        <v>353</v>
      </c>
      <c r="C88" s="4">
        <v>8995.52</v>
      </c>
      <c r="D88">
        <v>5</v>
      </c>
    </row>
    <row r="89" spans="1:4" x14ac:dyDescent="0.25">
      <c r="A89" t="s">
        <v>9059</v>
      </c>
      <c r="B89">
        <v>20</v>
      </c>
      <c r="C89" s="4">
        <v>348.57</v>
      </c>
      <c r="D89">
        <v>1</v>
      </c>
    </row>
    <row r="90" spans="1:4" x14ac:dyDescent="0.25">
      <c r="A90" t="s">
        <v>9060</v>
      </c>
      <c r="B90">
        <v>43</v>
      </c>
      <c r="C90" s="4">
        <v>707.09</v>
      </c>
      <c r="D90">
        <v>1</v>
      </c>
    </row>
    <row r="91" spans="1:4" x14ac:dyDescent="0.25">
      <c r="A91" t="s">
        <v>9061</v>
      </c>
      <c r="B91">
        <v>15</v>
      </c>
      <c r="C91" s="4">
        <v>3528.34</v>
      </c>
      <c r="D91">
        <v>1</v>
      </c>
    </row>
    <row r="92" spans="1:4" x14ac:dyDescent="0.25">
      <c r="A92" t="s">
        <v>9062</v>
      </c>
      <c r="B92">
        <v>85</v>
      </c>
      <c r="C92" s="4">
        <v>2339.86</v>
      </c>
      <c r="D92">
        <v>5</v>
      </c>
    </row>
    <row r="93" spans="1:4" x14ac:dyDescent="0.25">
      <c r="A93" t="s">
        <v>9063</v>
      </c>
      <c r="B93">
        <v>122</v>
      </c>
      <c r="C93" s="4">
        <v>2581.04</v>
      </c>
      <c r="D93">
        <v>3</v>
      </c>
    </row>
    <row r="94" spans="1:4" x14ac:dyDescent="0.25">
      <c r="A94" t="s">
        <v>9064</v>
      </c>
      <c r="B94">
        <v>59</v>
      </c>
      <c r="C94" s="4">
        <v>2043.23</v>
      </c>
      <c r="D94">
        <v>6</v>
      </c>
    </row>
    <row r="95" spans="1:4" x14ac:dyDescent="0.25">
      <c r="A95" t="s">
        <v>9065</v>
      </c>
      <c r="B95">
        <v>36</v>
      </c>
      <c r="C95" s="4">
        <v>787.4</v>
      </c>
      <c r="D95">
        <v>2</v>
      </c>
    </row>
    <row r="96" spans="1:4" x14ac:dyDescent="0.25">
      <c r="A96" t="s">
        <v>9066</v>
      </c>
      <c r="B96">
        <v>34</v>
      </c>
      <c r="C96" s="4">
        <v>626.88</v>
      </c>
      <c r="D96">
        <v>1</v>
      </c>
    </row>
    <row r="97" spans="1:4" x14ac:dyDescent="0.25">
      <c r="A97" t="s">
        <v>9067</v>
      </c>
      <c r="B97">
        <v>60</v>
      </c>
      <c r="C97" s="4">
        <v>937.59</v>
      </c>
      <c r="D97">
        <v>2</v>
      </c>
    </row>
    <row r="98" spans="1:4" x14ac:dyDescent="0.25">
      <c r="A98" t="s">
        <v>9068</v>
      </c>
      <c r="B98">
        <v>79</v>
      </c>
      <c r="C98" s="4">
        <v>1200.78</v>
      </c>
      <c r="D98">
        <v>4</v>
      </c>
    </row>
    <row r="99" spans="1:4" x14ac:dyDescent="0.25">
      <c r="A99" t="s">
        <v>9069</v>
      </c>
      <c r="B99">
        <v>22</v>
      </c>
      <c r="C99" s="4">
        <v>957.05</v>
      </c>
      <c r="D99">
        <v>8</v>
      </c>
    </row>
    <row r="100" spans="1:4" x14ac:dyDescent="0.25">
      <c r="A100" t="s">
        <v>9070</v>
      </c>
      <c r="B100">
        <v>45</v>
      </c>
      <c r="C100" s="4">
        <v>682.19</v>
      </c>
      <c r="D100">
        <v>2</v>
      </c>
    </row>
    <row r="101" spans="1:4" x14ac:dyDescent="0.25">
      <c r="A101" t="s">
        <v>9071</v>
      </c>
      <c r="B101">
        <v>36</v>
      </c>
      <c r="C101" s="4">
        <v>657.54</v>
      </c>
      <c r="D101">
        <v>2</v>
      </c>
    </row>
    <row r="102" spans="1:4" x14ac:dyDescent="0.25">
      <c r="A102" t="s">
        <v>9072</v>
      </c>
      <c r="B102">
        <v>439</v>
      </c>
      <c r="C102" s="4">
        <v>17424.05</v>
      </c>
      <c r="D102">
        <v>27</v>
      </c>
    </row>
    <row r="103" spans="1:4" x14ac:dyDescent="0.25">
      <c r="A103" t="s">
        <v>9073</v>
      </c>
      <c r="B103">
        <v>332</v>
      </c>
      <c r="C103" s="4">
        <v>6068.11</v>
      </c>
      <c r="D103">
        <v>7</v>
      </c>
    </row>
    <row r="104" spans="1:4" x14ac:dyDescent="0.25">
      <c r="A104" t="s">
        <v>9074</v>
      </c>
      <c r="B104">
        <v>161</v>
      </c>
      <c r="C104" s="4">
        <v>2596.23</v>
      </c>
      <c r="D104">
        <v>3</v>
      </c>
    </row>
    <row r="105" spans="1:4" x14ac:dyDescent="0.25">
      <c r="A105" t="s">
        <v>9075</v>
      </c>
      <c r="B105">
        <v>408</v>
      </c>
      <c r="C105" s="4">
        <v>6745.79</v>
      </c>
      <c r="D105">
        <v>18</v>
      </c>
    </row>
    <row r="106" spans="1:4" x14ac:dyDescent="0.25">
      <c r="A106" t="s">
        <v>9076</v>
      </c>
      <c r="B106">
        <v>35</v>
      </c>
      <c r="C106" s="4">
        <v>669.38</v>
      </c>
      <c r="D106">
        <v>1</v>
      </c>
    </row>
    <row r="107" spans="1:4" x14ac:dyDescent="0.25">
      <c r="A107" t="s">
        <v>9077</v>
      </c>
      <c r="B107">
        <v>224</v>
      </c>
      <c r="C107" s="4">
        <v>5898.42</v>
      </c>
      <c r="D107">
        <v>11</v>
      </c>
    </row>
    <row r="108" spans="1:4" x14ac:dyDescent="0.25">
      <c r="A108" t="s">
        <v>9078</v>
      </c>
      <c r="B108">
        <v>300</v>
      </c>
      <c r="C108" s="4">
        <v>13219.74</v>
      </c>
      <c r="D108">
        <v>6</v>
      </c>
    </row>
    <row r="109" spans="1:4" x14ac:dyDescent="0.25">
      <c r="A109" t="s">
        <v>9079</v>
      </c>
      <c r="B109">
        <v>35</v>
      </c>
      <c r="C109" s="4">
        <v>545.99</v>
      </c>
      <c r="D109">
        <v>1</v>
      </c>
    </row>
    <row r="110" spans="1:4" x14ac:dyDescent="0.25">
      <c r="A110" t="s">
        <v>9080</v>
      </c>
      <c r="B110">
        <v>30</v>
      </c>
      <c r="C110" s="4">
        <v>473.2</v>
      </c>
      <c r="D110">
        <v>1</v>
      </c>
    </row>
    <row r="111" spans="1:4" x14ac:dyDescent="0.25">
      <c r="A111" t="s">
        <v>9081</v>
      </c>
      <c r="B111">
        <v>150</v>
      </c>
      <c r="C111" s="4">
        <v>2885.63</v>
      </c>
      <c r="D111">
        <v>4</v>
      </c>
    </row>
    <row r="112" spans="1:4" x14ac:dyDescent="0.25">
      <c r="A112" t="s">
        <v>9082</v>
      </c>
      <c r="B112">
        <v>209</v>
      </c>
      <c r="C112" s="4">
        <v>5020.32</v>
      </c>
      <c r="D112">
        <v>10</v>
      </c>
    </row>
    <row r="113" spans="1:4" x14ac:dyDescent="0.25">
      <c r="A113" t="s">
        <v>9083</v>
      </c>
      <c r="B113">
        <v>68</v>
      </c>
      <c r="C113" s="4">
        <v>1910.98</v>
      </c>
      <c r="D113">
        <v>8</v>
      </c>
    </row>
    <row r="114" spans="1:4" x14ac:dyDescent="0.25">
      <c r="A114" t="s">
        <v>9084</v>
      </c>
      <c r="B114">
        <v>342</v>
      </c>
      <c r="C114" s="4">
        <v>3953.72</v>
      </c>
      <c r="D114">
        <v>4</v>
      </c>
    </row>
    <row r="115" spans="1:4" x14ac:dyDescent="0.25">
      <c r="A115" t="s">
        <v>9085</v>
      </c>
      <c r="B115">
        <v>54</v>
      </c>
      <c r="C115" s="4">
        <v>1244.6600000000001</v>
      </c>
      <c r="D115">
        <v>3</v>
      </c>
    </row>
    <row r="116" spans="1:4" x14ac:dyDescent="0.25">
      <c r="A116" t="s">
        <v>9086</v>
      </c>
      <c r="B116">
        <v>14</v>
      </c>
      <c r="C116" s="4">
        <v>298.93</v>
      </c>
      <c r="D116">
        <v>1</v>
      </c>
    </row>
    <row r="117" spans="1:4" x14ac:dyDescent="0.25">
      <c r="A117" t="s">
        <v>9087</v>
      </c>
      <c r="B117">
        <v>235</v>
      </c>
      <c r="C117" s="4">
        <v>4859.93</v>
      </c>
      <c r="D117">
        <v>10</v>
      </c>
    </row>
    <row r="118" spans="1:4" x14ac:dyDescent="0.25">
      <c r="A118" t="s">
        <v>9088</v>
      </c>
      <c r="B118">
        <v>25</v>
      </c>
      <c r="C118" s="4">
        <v>424.4</v>
      </c>
      <c r="D118">
        <v>1</v>
      </c>
    </row>
    <row r="119" spans="1:4" x14ac:dyDescent="0.25">
      <c r="A119" t="s">
        <v>9089</v>
      </c>
      <c r="B119">
        <v>18</v>
      </c>
      <c r="C119" s="4">
        <v>227.21</v>
      </c>
      <c r="D119">
        <v>2</v>
      </c>
    </row>
    <row r="120" spans="1:4" x14ac:dyDescent="0.25">
      <c r="A120" t="s">
        <v>9090</v>
      </c>
      <c r="B120">
        <v>20</v>
      </c>
      <c r="C120" s="4">
        <v>379.74</v>
      </c>
      <c r="D120">
        <v>2</v>
      </c>
    </row>
    <row r="121" spans="1:4" x14ac:dyDescent="0.25">
      <c r="A121" t="s">
        <v>9091</v>
      </c>
      <c r="B121">
        <v>71</v>
      </c>
      <c r="C121" s="4">
        <v>1084.0999999999999</v>
      </c>
      <c r="D121">
        <v>7</v>
      </c>
    </row>
    <row r="122" spans="1:4" x14ac:dyDescent="0.25">
      <c r="A122" t="s">
        <v>9092</v>
      </c>
      <c r="B122">
        <v>13</v>
      </c>
      <c r="C122" s="4">
        <v>953.1</v>
      </c>
      <c r="D122">
        <v>1</v>
      </c>
    </row>
    <row r="123" spans="1:4" x14ac:dyDescent="0.25">
      <c r="A123" t="s">
        <v>9093</v>
      </c>
      <c r="B123">
        <v>21</v>
      </c>
      <c r="C123" s="4">
        <v>349.7</v>
      </c>
      <c r="D123">
        <v>3</v>
      </c>
    </row>
    <row r="124" spans="1:4" x14ac:dyDescent="0.25">
      <c r="A124" t="s">
        <v>9094</v>
      </c>
      <c r="B124">
        <v>52</v>
      </c>
      <c r="C124" s="4">
        <v>4059.82</v>
      </c>
      <c r="D124">
        <v>11</v>
      </c>
    </row>
    <row r="125" spans="1:4" x14ac:dyDescent="0.25">
      <c r="A125" t="s">
        <v>9095</v>
      </c>
      <c r="B125">
        <v>148</v>
      </c>
      <c r="C125" s="4">
        <v>2025.39</v>
      </c>
      <c r="D125">
        <v>1</v>
      </c>
    </row>
    <row r="126" spans="1:4" x14ac:dyDescent="0.25">
      <c r="A126" t="s">
        <v>9096</v>
      </c>
      <c r="B126">
        <v>142</v>
      </c>
      <c r="C126" s="4">
        <v>2995.87</v>
      </c>
      <c r="D126">
        <v>5</v>
      </c>
    </row>
    <row r="127" spans="1:4" x14ac:dyDescent="0.25">
      <c r="A127" t="s">
        <v>9097</v>
      </c>
      <c r="B127">
        <v>8</v>
      </c>
      <c r="C127" s="4">
        <v>428.05</v>
      </c>
      <c r="D127">
        <v>2</v>
      </c>
    </row>
    <row r="128" spans="1:4" x14ac:dyDescent="0.25">
      <c r="A128" t="s">
        <v>9098</v>
      </c>
      <c r="B128">
        <v>23</v>
      </c>
      <c r="C128" s="4">
        <v>73.5</v>
      </c>
      <c r="D128">
        <v>1</v>
      </c>
    </row>
    <row r="129" spans="1:4" x14ac:dyDescent="0.25">
      <c r="A129" t="s">
        <v>9099</v>
      </c>
      <c r="B129">
        <v>19</v>
      </c>
      <c r="C129" s="4">
        <v>1052.81</v>
      </c>
      <c r="D129">
        <v>3</v>
      </c>
    </row>
    <row r="130" spans="1:4" x14ac:dyDescent="0.25">
      <c r="A130" t="s">
        <v>9100</v>
      </c>
      <c r="B130">
        <v>69</v>
      </c>
      <c r="C130" s="4">
        <v>398.27</v>
      </c>
      <c r="D130">
        <v>2</v>
      </c>
    </row>
    <row r="131" spans="1:4" x14ac:dyDescent="0.25">
      <c r="A131" t="s">
        <v>9101</v>
      </c>
      <c r="B131">
        <v>6</v>
      </c>
      <c r="C131" s="4">
        <v>158.5</v>
      </c>
      <c r="D131">
        <v>1</v>
      </c>
    </row>
    <row r="132" spans="1:4" x14ac:dyDescent="0.25">
      <c r="A132" t="s">
        <v>9102</v>
      </c>
      <c r="B132">
        <v>31</v>
      </c>
      <c r="C132" s="4">
        <v>814.57</v>
      </c>
      <c r="D132">
        <v>2</v>
      </c>
    </row>
    <row r="133" spans="1:4" x14ac:dyDescent="0.25">
      <c r="A133" t="s">
        <v>9103</v>
      </c>
      <c r="B133">
        <v>34</v>
      </c>
      <c r="C133" s="4">
        <v>138.03</v>
      </c>
      <c r="D133">
        <v>2</v>
      </c>
    </row>
    <row r="134" spans="1:4" x14ac:dyDescent="0.25">
      <c r="A134" t="s">
        <v>9104</v>
      </c>
      <c r="B134">
        <v>34</v>
      </c>
      <c r="C134" s="4">
        <v>558.29</v>
      </c>
      <c r="D134">
        <v>1</v>
      </c>
    </row>
    <row r="135" spans="1:4" x14ac:dyDescent="0.25">
      <c r="A135" t="s">
        <v>9105</v>
      </c>
      <c r="B135">
        <v>51</v>
      </c>
      <c r="C135" s="4">
        <v>1017.68</v>
      </c>
      <c r="D135">
        <v>1</v>
      </c>
    </row>
    <row r="136" spans="1:4" x14ac:dyDescent="0.25">
      <c r="A136" t="s">
        <v>9106</v>
      </c>
      <c r="B136">
        <v>15</v>
      </c>
      <c r="C136" s="4">
        <v>278.7</v>
      </c>
      <c r="D136">
        <v>1</v>
      </c>
    </row>
    <row r="137" spans="1:4" x14ac:dyDescent="0.25">
      <c r="A137" t="s">
        <v>9107</v>
      </c>
      <c r="B137">
        <v>24</v>
      </c>
      <c r="C137" s="4">
        <v>1186.06</v>
      </c>
      <c r="D137">
        <v>2</v>
      </c>
    </row>
    <row r="138" spans="1:4" x14ac:dyDescent="0.25">
      <c r="A138" t="s">
        <v>9108</v>
      </c>
      <c r="B138">
        <v>281</v>
      </c>
      <c r="C138" s="4">
        <v>2322.84</v>
      </c>
      <c r="D138">
        <v>4</v>
      </c>
    </row>
    <row r="139" spans="1:4" x14ac:dyDescent="0.25">
      <c r="A139" t="s">
        <v>9109</v>
      </c>
      <c r="B139">
        <v>119</v>
      </c>
      <c r="C139" s="4">
        <v>1840.89</v>
      </c>
      <c r="D139">
        <v>5</v>
      </c>
    </row>
    <row r="140" spans="1:4" x14ac:dyDescent="0.25">
      <c r="A140" t="s">
        <v>9110</v>
      </c>
      <c r="B140">
        <v>17</v>
      </c>
      <c r="C140" s="4">
        <v>286.83999999999997</v>
      </c>
      <c r="D140">
        <v>1</v>
      </c>
    </row>
    <row r="141" spans="1:4" x14ac:dyDescent="0.25">
      <c r="A141" t="s">
        <v>9111</v>
      </c>
      <c r="B141">
        <v>147</v>
      </c>
      <c r="C141" s="4">
        <v>2346.2600000000002</v>
      </c>
      <c r="D141">
        <v>5</v>
      </c>
    </row>
    <row r="142" spans="1:4" x14ac:dyDescent="0.25">
      <c r="A142" t="s">
        <v>9112</v>
      </c>
      <c r="B142">
        <v>37</v>
      </c>
      <c r="C142" s="4">
        <v>545.67999999999995</v>
      </c>
      <c r="D142">
        <v>1</v>
      </c>
    </row>
    <row r="143" spans="1:4" x14ac:dyDescent="0.25">
      <c r="A143" t="s">
        <v>9113</v>
      </c>
      <c r="B143">
        <v>10</v>
      </c>
      <c r="C143" s="4">
        <v>156.72</v>
      </c>
      <c r="D143">
        <v>2</v>
      </c>
    </row>
    <row r="144" spans="1:4" x14ac:dyDescent="0.25">
      <c r="A144" t="s">
        <v>9114</v>
      </c>
      <c r="B144">
        <v>102</v>
      </c>
      <c r="C144" s="4">
        <v>1699.77</v>
      </c>
      <c r="D144">
        <v>11</v>
      </c>
    </row>
    <row r="145" spans="1:4" x14ac:dyDescent="0.25">
      <c r="A145" t="s">
        <v>9115</v>
      </c>
      <c r="B145">
        <v>136</v>
      </c>
      <c r="C145" s="4">
        <v>3945.72</v>
      </c>
      <c r="D145">
        <v>8</v>
      </c>
    </row>
    <row r="146" spans="1:4" x14ac:dyDescent="0.25">
      <c r="A146" t="s">
        <v>9116</v>
      </c>
      <c r="B146">
        <v>68</v>
      </c>
      <c r="C146" s="4">
        <v>1172.6600000000001</v>
      </c>
      <c r="D146">
        <v>3</v>
      </c>
    </row>
    <row r="147" spans="1:4" x14ac:dyDescent="0.25">
      <c r="A147" t="s">
        <v>9117</v>
      </c>
      <c r="B147">
        <v>17</v>
      </c>
      <c r="C147" s="4">
        <v>330.71</v>
      </c>
      <c r="D147">
        <v>3</v>
      </c>
    </row>
    <row r="148" spans="1:4" x14ac:dyDescent="0.25">
      <c r="A148" t="s">
        <v>9118</v>
      </c>
      <c r="B148">
        <v>86</v>
      </c>
      <c r="C148" s="4">
        <v>1645.48</v>
      </c>
      <c r="D148">
        <v>6</v>
      </c>
    </row>
    <row r="149" spans="1:4" x14ac:dyDescent="0.25">
      <c r="A149" t="s">
        <v>9119</v>
      </c>
      <c r="B149">
        <v>62</v>
      </c>
      <c r="C149" s="4">
        <v>1500.28</v>
      </c>
      <c r="D149">
        <v>4</v>
      </c>
    </row>
    <row r="150" spans="1:4" x14ac:dyDescent="0.25">
      <c r="A150" t="s">
        <v>9120</v>
      </c>
      <c r="B150">
        <v>17</v>
      </c>
      <c r="C150" s="4">
        <v>125.22</v>
      </c>
      <c r="D150">
        <v>1</v>
      </c>
    </row>
    <row r="151" spans="1:4" x14ac:dyDescent="0.25">
      <c r="A151" t="s">
        <v>9121</v>
      </c>
      <c r="B151">
        <v>15</v>
      </c>
      <c r="C151" s="4">
        <v>313.83</v>
      </c>
      <c r="D151">
        <v>1</v>
      </c>
    </row>
    <row r="152" spans="1:4" x14ac:dyDescent="0.25">
      <c r="A152" t="s">
        <v>9122</v>
      </c>
      <c r="B152">
        <v>62</v>
      </c>
      <c r="C152" s="4">
        <v>981.18</v>
      </c>
      <c r="D152">
        <v>1</v>
      </c>
    </row>
    <row r="153" spans="1:4" x14ac:dyDescent="0.25">
      <c r="A153" t="s">
        <v>9123</v>
      </c>
      <c r="B153">
        <v>34</v>
      </c>
      <c r="C153" s="4">
        <v>716.35</v>
      </c>
      <c r="D153">
        <v>2</v>
      </c>
    </row>
    <row r="154" spans="1:4" x14ac:dyDescent="0.25">
      <c r="A154" t="s">
        <v>9124</v>
      </c>
      <c r="B154">
        <v>259</v>
      </c>
      <c r="C154" s="4">
        <v>4279.71</v>
      </c>
      <c r="D154">
        <v>1</v>
      </c>
    </row>
    <row r="155" spans="1:4" x14ac:dyDescent="0.25">
      <c r="A155" t="s">
        <v>9125</v>
      </c>
      <c r="B155">
        <v>21</v>
      </c>
      <c r="C155" s="4">
        <v>363.95</v>
      </c>
      <c r="D155">
        <v>1</v>
      </c>
    </row>
    <row r="156" spans="1:4" x14ac:dyDescent="0.25">
      <c r="A156" t="s">
        <v>9126</v>
      </c>
      <c r="B156">
        <v>273</v>
      </c>
      <c r="C156" s="4">
        <v>5568.35</v>
      </c>
      <c r="D156">
        <v>4</v>
      </c>
    </row>
    <row r="157" spans="1:4" x14ac:dyDescent="0.25">
      <c r="A157" t="s">
        <v>9127</v>
      </c>
      <c r="B157">
        <v>461</v>
      </c>
      <c r="C157" s="4">
        <v>11580.24</v>
      </c>
      <c r="D157">
        <v>17</v>
      </c>
    </row>
    <row r="158" spans="1:4" x14ac:dyDescent="0.25">
      <c r="A158" t="s">
        <v>9128</v>
      </c>
      <c r="B158">
        <v>49</v>
      </c>
      <c r="C158" s="4">
        <v>841.18</v>
      </c>
      <c r="D158">
        <v>3</v>
      </c>
    </row>
    <row r="159" spans="1:4" x14ac:dyDescent="0.25">
      <c r="A159" t="s">
        <v>9129</v>
      </c>
      <c r="B159">
        <v>18</v>
      </c>
      <c r="C159" s="4">
        <v>316.7</v>
      </c>
      <c r="D159">
        <v>1</v>
      </c>
    </row>
    <row r="160" spans="1:4" x14ac:dyDescent="0.25">
      <c r="A160" t="s">
        <v>9130</v>
      </c>
      <c r="B160">
        <v>48</v>
      </c>
      <c r="C160" s="4">
        <v>832.39</v>
      </c>
      <c r="D160">
        <v>2</v>
      </c>
    </row>
    <row r="161" spans="1:4" x14ac:dyDescent="0.25">
      <c r="A161" t="s">
        <v>9131</v>
      </c>
      <c r="B161">
        <v>67</v>
      </c>
      <c r="C161" s="4">
        <v>1021.5</v>
      </c>
      <c r="D161">
        <v>2</v>
      </c>
    </row>
    <row r="162" spans="1:4" x14ac:dyDescent="0.25">
      <c r="A162" t="s">
        <v>9132</v>
      </c>
      <c r="B162">
        <v>6</v>
      </c>
      <c r="C162" s="4">
        <v>151.80000000000001</v>
      </c>
      <c r="D162">
        <v>2</v>
      </c>
    </row>
    <row r="163" spans="1:4" x14ac:dyDescent="0.25">
      <c r="A163" t="s">
        <v>9133</v>
      </c>
      <c r="B163">
        <v>4</v>
      </c>
      <c r="C163" s="4">
        <v>67.2</v>
      </c>
      <c r="D163">
        <v>1</v>
      </c>
    </row>
    <row r="164" spans="1:4" x14ac:dyDescent="0.25">
      <c r="A164" t="s">
        <v>9134</v>
      </c>
      <c r="B164">
        <v>56</v>
      </c>
      <c r="C164" s="4">
        <v>824.83</v>
      </c>
      <c r="D164">
        <v>1</v>
      </c>
    </row>
    <row r="165" spans="1:4" x14ac:dyDescent="0.25">
      <c r="A165" t="s">
        <v>9135</v>
      </c>
      <c r="B165">
        <v>10</v>
      </c>
      <c r="C165" s="4">
        <v>168</v>
      </c>
      <c r="D165">
        <v>1</v>
      </c>
    </row>
    <row r="166" spans="1:4" x14ac:dyDescent="0.25">
      <c r="A166" t="s">
        <v>9136</v>
      </c>
      <c r="B166">
        <v>19</v>
      </c>
      <c r="C166" s="4">
        <v>317.82</v>
      </c>
      <c r="D166">
        <v>1</v>
      </c>
    </row>
    <row r="167" spans="1:4" x14ac:dyDescent="0.25">
      <c r="A167" t="s">
        <v>9137</v>
      </c>
      <c r="B167">
        <v>182</v>
      </c>
      <c r="C167" s="4">
        <v>3278.28</v>
      </c>
      <c r="D167">
        <v>10</v>
      </c>
    </row>
    <row r="168" spans="1:4" x14ac:dyDescent="0.25">
      <c r="A168" t="s">
        <v>9138</v>
      </c>
      <c r="B168">
        <v>121</v>
      </c>
      <c r="C168" s="4">
        <v>603.71</v>
      </c>
      <c r="D168">
        <v>2</v>
      </c>
    </row>
    <row r="169" spans="1:4" x14ac:dyDescent="0.25">
      <c r="A169" t="s">
        <v>9139</v>
      </c>
      <c r="B169">
        <v>33</v>
      </c>
      <c r="C169" s="4">
        <v>11990.96</v>
      </c>
      <c r="D169">
        <v>5</v>
      </c>
    </row>
    <row r="170" spans="1:4" x14ac:dyDescent="0.25">
      <c r="A170" t="s">
        <v>9140</v>
      </c>
      <c r="B170">
        <v>11</v>
      </c>
      <c r="C170" s="4">
        <v>269.95999999999998</v>
      </c>
      <c r="D170">
        <v>1</v>
      </c>
    </row>
    <row r="171" spans="1:4" x14ac:dyDescent="0.25">
      <c r="A171" t="s">
        <v>9141</v>
      </c>
      <c r="B171">
        <v>20</v>
      </c>
      <c r="C171" s="4">
        <v>525.71</v>
      </c>
      <c r="D171">
        <v>2</v>
      </c>
    </row>
    <row r="172" spans="1:4" x14ac:dyDescent="0.25">
      <c r="A172" t="s">
        <v>9142</v>
      </c>
      <c r="B172">
        <v>103</v>
      </c>
      <c r="C172" s="4">
        <v>1918.01</v>
      </c>
      <c r="D172">
        <v>2</v>
      </c>
    </row>
    <row r="173" spans="1:4" x14ac:dyDescent="0.25">
      <c r="A173" t="s">
        <v>9143</v>
      </c>
      <c r="B173">
        <v>16</v>
      </c>
      <c r="C173" s="4">
        <v>238.85</v>
      </c>
      <c r="D173">
        <v>1</v>
      </c>
    </row>
    <row r="174" spans="1:4" x14ac:dyDescent="0.25">
      <c r="A174" t="s">
        <v>9144</v>
      </c>
      <c r="B174">
        <v>161</v>
      </c>
      <c r="C174" s="4">
        <v>3385.74</v>
      </c>
      <c r="D174">
        <v>7</v>
      </c>
    </row>
    <row r="175" spans="1:4" x14ac:dyDescent="0.25">
      <c r="A175" t="s">
        <v>9145</v>
      </c>
      <c r="B175">
        <v>20</v>
      </c>
      <c r="C175" s="4">
        <v>402.9</v>
      </c>
      <c r="D175">
        <v>1</v>
      </c>
    </row>
    <row r="176" spans="1:4" x14ac:dyDescent="0.25">
      <c r="A176" t="s">
        <v>9146</v>
      </c>
      <c r="B176">
        <v>9</v>
      </c>
      <c r="C176" s="4">
        <v>145.91999999999999</v>
      </c>
      <c r="D176">
        <v>1</v>
      </c>
    </row>
    <row r="177" spans="1:4" x14ac:dyDescent="0.25">
      <c r="A177" t="s">
        <v>9147</v>
      </c>
      <c r="B177">
        <v>18</v>
      </c>
      <c r="C177" s="4">
        <v>297.64999999999998</v>
      </c>
      <c r="D177">
        <v>1</v>
      </c>
    </row>
    <row r="178" spans="1:4" x14ac:dyDescent="0.25">
      <c r="A178" t="s">
        <v>9148</v>
      </c>
      <c r="B178">
        <v>438</v>
      </c>
      <c r="C178" s="4">
        <v>8609.2800000000007</v>
      </c>
      <c r="D178">
        <v>10</v>
      </c>
    </row>
    <row r="179" spans="1:4" x14ac:dyDescent="0.25">
      <c r="A179" t="s">
        <v>9149</v>
      </c>
      <c r="B179">
        <v>157</v>
      </c>
      <c r="C179" s="4">
        <v>3152.69</v>
      </c>
      <c r="D179">
        <v>32</v>
      </c>
    </row>
    <row r="180" spans="1:4" x14ac:dyDescent="0.25">
      <c r="A180" t="s">
        <v>9150</v>
      </c>
      <c r="B180">
        <v>34</v>
      </c>
      <c r="C180" s="4">
        <v>519.61</v>
      </c>
      <c r="D180">
        <v>2</v>
      </c>
    </row>
    <row r="181" spans="1:4" x14ac:dyDescent="0.25">
      <c r="A181" t="s">
        <v>9151</v>
      </c>
      <c r="B181">
        <v>58</v>
      </c>
      <c r="C181" s="4">
        <v>912.42</v>
      </c>
      <c r="D181">
        <v>2</v>
      </c>
    </row>
    <row r="182" spans="1:4" x14ac:dyDescent="0.25">
      <c r="A182" t="s">
        <v>9152</v>
      </c>
      <c r="B182">
        <v>28</v>
      </c>
      <c r="C182" s="4">
        <v>160.54</v>
      </c>
      <c r="D182">
        <v>1</v>
      </c>
    </row>
    <row r="183" spans="1:4" x14ac:dyDescent="0.25">
      <c r="A183" t="s">
        <v>9153</v>
      </c>
      <c r="B183">
        <v>10</v>
      </c>
      <c r="C183" s="4">
        <v>182.45</v>
      </c>
      <c r="D183">
        <v>1</v>
      </c>
    </row>
    <row r="184" spans="1:4" x14ac:dyDescent="0.25">
      <c r="A184" t="s">
        <v>9154</v>
      </c>
      <c r="B184">
        <v>88</v>
      </c>
      <c r="C184" s="4">
        <v>1315.83</v>
      </c>
      <c r="D184">
        <v>5</v>
      </c>
    </row>
    <row r="185" spans="1:4" x14ac:dyDescent="0.25">
      <c r="A185" t="s">
        <v>9155</v>
      </c>
      <c r="B185">
        <v>146</v>
      </c>
      <c r="C185" s="4">
        <v>653.85</v>
      </c>
      <c r="D185">
        <v>3</v>
      </c>
    </row>
    <row r="186" spans="1:4" x14ac:dyDescent="0.25">
      <c r="A186" t="s">
        <v>9156</v>
      </c>
      <c r="B186">
        <v>112</v>
      </c>
      <c r="C186" s="4">
        <v>2402.5100000000002</v>
      </c>
      <c r="D186">
        <v>2</v>
      </c>
    </row>
    <row r="187" spans="1:4" x14ac:dyDescent="0.25">
      <c r="A187" t="s">
        <v>9157</v>
      </c>
      <c r="B187">
        <v>28</v>
      </c>
      <c r="C187" s="4">
        <v>386.42</v>
      </c>
      <c r="D187">
        <v>1</v>
      </c>
    </row>
    <row r="188" spans="1:4" x14ac:dyDescent="0.25">
      <c r="A188" t="s">
        <v>9158</v>
      </c>
      <c r="B188">
        <v>23</v>
      </c>
      <c r="C188" s="4">
        <v>379.7</v>
      </c>
      <c r="D188">
        <v>1</v>
      </c>
    </row>
    <row r="189" spans="1:4" x14ac:dyDescent="0.25">
      <c r="A189" t="s">
        <v>9159</v>
      </c>
      <c r="B189">
        <v>14</v>
      </c>
      <c r="C189" s="4">
        <v>179.71</v>
      </c>
      <c r="D189">
        <v>1</v>
      </c>
    </row>
    <row r="190" spans="1:4" x14ac:dyDescent="0.25">
      <c r="A190" t="s">
        <v>9160</v>
      </c>
      <c r="B190">
        <v>20</v>
      </c>
      <c r="C190" s="4">
        <v>351.36</v>
      </c>
      <c r="D190">
        <v>2</v>
      </c>
    </row>
    <row r="191" spans="1:4" x14ac:dyDescent="0.25">
      <c r="A191" t="s">
        <v>9161</v>
      </c>
      <c r="B191">
        <v>232</v>
      </c>
      <c r="C191" s="4">
        <v>6705.38</v>
      </c>
      <c r="D191">
        <v>15</v>
      </c>
    </row>
    <row r="192" spans="1:4" x14ac:dyDescent="0.25">
      <c r="A192" t="s">
        <v>9162</v>
      </c>
      <c r="B192">
        <v>95</v>
      </c>
      <c r="C192" s="4">
        <v>2254.15</v>
      </c>
      <c r="D192">
        <v>9</v>
      </c>
    </row>
    <row r="193" spans="1:4" x14ac:dyDescent="0.25">
      <c r="A193" t="s">
        <v>9163</v>
      </c>
      <c r="B193">
        <v>85</v>
      </c>
      <c r="C193" s="4">
        <v>1824.1</v>
      </c>
      <c r="D193">
        <v>2</v>
      </c>
    </row>
    <row r="194" spans="1:4" x14ac:dyDescent="0.25">
      <c r="A194" t="s">
        <v>9164</v>
      </c>
      <c r="B194">
        <v>11</v>
      </c>
      <c r="C194" s="4">
        <v>196.94</v>
      </c>
      <c r="D194">
        <v>1</v>
      </c>
    </row>
    <row r="195" spans="1:4" x14ac:dyDescent="0.25">
      <c r="A195" t="s">
        <v>9165</v>
      </c>
      <c r="B195">
        <v>3</v>
      </c>
      <c r="C195" s="4">
        <v>104</v>
      </c>
      <c r="D195">
        <v>1</v>
      </c>
    </row>
    <row r="196" spans="1:4" x14ac:dyDescent="0.25">
      <c r="A196" t="s">
        <v>9166</v>
      </c>
      <c r="B196">
        <v>9</v>
      </c>
      <c r="C196" s="4">
        <v>174.9</v>
      </c>
      <c r="D196">
        <v>1</v>
      </c>
    </row>
    <row r="197" spans="1:4" x14ac:dyDescent="0.25">
      <c r="A197" t="s">
        <v>9167</v>
      </c>
      <c r="B197">
        <v>33</v>
      </c>
      <c r="C197" s="4">
        <v>574.67999999999995</v>
      </c>
      <c r="D197">
        <v>2</v>
      </c>
    </row>
    <row r="198" spans="1:4" x14ac:dyDescent="0.25">
      <c r="A198" t="s">
        <v>9168</v>
      </c>
      <c r="B198">
        <v>67</v>
      </c>
      <c r="C198" s="4">
        <v>9341.26</v>
      </c>
      <c r="D198">
        <v>1</v>
      </c>
    </row>
    <row r="199" spans="1:4" x14ac:dyDescent="0.25">
      <c r="A199" t="s">
        <v>9169</v>
      </c>
      <c r="B199">
        <v>25</v>
      </c>
      <c r="C199" s="4">
        <v>368.85</v>
      </c>
      <c r="D199">
        <v>1</v>
      </c>
    </row>
    <row r="200" spans="1:4" x14ac:dyDescent="0.25">
      <c r="A200" t="s">
        <v>9170</v>
      </c>
      <c r="B200">
        <v>16</v>
      </c>
      <c r="C200" s="4">
        <v>401.6</v>
      </c>
      <c r="D200">
        <v>2</v>
      </c>
    </row>
    <row r="201" spans="1:4" x14ac:dyDescent="0.25">
      <c r="A201" t="s">
        <v>9171</v>
      </c>
      <c r="B201">
        <v>20</v>
      </c>
      <c r="C201" s="4">
        <v>382.1</v>
      </c>
      <c r="D201">
        <v>3</v>
      </c>
    </row>
    <row r="202" spans="1:4" x14ac:dyDescent="0.25">
      <c r="A202" t="s">
        <v>9172</v>
      </c>
      <c r="B202">
        <v>114</v>
      </c>
      <c r="C202" s="4">
        <v>3208.22</v>
      </c>
      <c r="D202">
        <v>9</v>
      </c>
    </row>
    <row r="203" spans="1:4" x14ac:dyDescent="0.25">
      <c r="A203" t="s">
        <v>9173</v>
      </c>
      <c r="B203">
        <v>25</v>
      </c>
      <c r="C203" s="4">
        <v>450.27</v>
      </c>
      <c r="D203">
        <v>2</v>
      </c>
    </row>
    <row r="204" spans="1:4" x14ac:dyDescent="0.25">
      <c r="A204" t="s">
        <v>9174</v>
      </c>
      <c r="B204">
        <v>202</v>
      </c>
      <c r="C204" s="4">
        <v>3195.22</v>
      </c>
      <c r="D204">
        <v>4</v>
      </c>
    </row>
    <row r="205" spans="1:4" x14ac:dyDescent="0.25">
      <c r="A205" t="s">
        <v>9175</v>
      </c>
      <c r="B205">
        <v>127</v>
      </c>
      <c r="C205" s="4">
        <v>2807.08</v>
      </c>
      <c r="D205">
        <v>7</v>
      </c>
    </row>
    <row r="206" spans="1:4" x14ac:dyDescent="0.25">
      <c r="A206" t="s">
        <v>9176</v>
      </c>
      <c r="B206">
        <v>55</v>
      </c>
      <c r="C206" s="4">
        <v>888.58</v>
      </c>
      <c r="D206">
        <v>7</v>
      </c>
    </row>
    <row r="207" spans="1:4" x14ac:dyDescent="0.25">
      <c r="A207" t="s">
        <v>9177</v>
      </c>
      <c r="B207">
        <v>54</v>
      </c>
      <c r="C207" s="4">
        <v>2311.04</v>
      </c>
      <c r="D207">
        <v>10</v>
      </c>
    </row>
    <row r="208" spans="1:4" x14ac:dyDescent="0.25">
      <c r="A208" t="s">
        <v>9178</v>
      </c>
      <c r="B208">
        <v>23</v>
      </c>
      <c r="C208" s="4">
        <v>487.06</v>
      </c>
      <c r="D208">
        <v>5</v>
      </c>
    </row>
    <row r="209" spans="1:4" x14ac:dyDescent="0.25">
      <c r="A209" t="s">
        <v>9179</v>
      </c>
      <c r="B209">
        <v>12</v>
      </c>
      <c r="C209" s="4">
        <v>153.12</v>
      </c>
      <c r="D209">
        <v>1</v>
      </c>
    </row>
    <row r="210" spans="1:4" x14ac:dyDescent="0.25">
      <c r="A210" t="s">
        <v>9180</v>
      </c>
      <c r="B210">
        <v>1</v>
      </c>
      <c r="C210" s="4">
        <v>613.20000000000005</v>
      </c>
      <c r="D210">
        <v>1</v>
      </c>
    </row>
    <row r="211" spans="1:4" x14ac:dyDescent="0.25">
      <c r="A211" t="s">
        <v>9181</v>
      </c>
      <c r="B211">
        <v>15</v>
      </c>
      <c r="C211" s="4">
        <v>236.18</v>
      </c>
      <c r="D211">
        <v>2</v>
      </c>
    </row>
    <row r="212" spans="1:4" x14ac:dyDescent="0.25">
      <c r="A212" t="s">
        <v>9182</v>
      </c>
      <c r="B212">
        <v>101</v>
      </c>
      <c r="C212" s="4">
        <v>1579.51</v>
      </c>
      <c r="D212">
        <v>1</v>
      </c>
    </row>
    <row r="213" spans="1:4" x14ac:dyDescent="0.25">
      <c r="A213" t="s">
        <v>9183</v>
      </c>
      <c r="B213">
        <v>57</v>
      </c>
      <c r="C213" s="4">
        <v>964.85</v>
      </c>
      <c r="D213">
        <v>3</v>
      </c>
    </row>
    <row r="214" spans="1:4" x14ac:dyDescent="0.25">
      <c r="A214" t="s">
        <v>9184</v>
      </c>
      <c r="B214">
        <v>102</v>
      </c>
      <c r="C214" s="4">
        <v>1747.54</v>
      </c>
      <c r="D214">
        <v>4</v>
      </c>
    </row>
    <row r="215" spans="1:4" x14ac:dyDescent="0.25">
      <c r="A215" t="s">
        <v>9185</v>
      </c>
      <c r="B215">
        <v>65</v>
      </c>
      <c r="C215" s="4">
        <v>1193.32</v>
      </c>
      <c r="D215">
        <v>1</v>
      </c>
    </row>
    <row r="216" spans="1:4" x14ac:dyDescent="0.25">
      <c r="A216" t="s">
        <v>9186</v>
      </c>
      <c r="B216">
        <v>18</v>
      </c>
      <c r="C216" s="4">
        <v>668.04</v>
      </c>
      <c r="D216">
        <v>1</v>
      </c>
    </row>
    <row r="217" spans="1:4" x14ac:dyDescent="0.25">
      <c r="A217" t="s">
        <v>9187</v>
      </c>
      <c r="B217">
        <v>149</v>
      </c>
      <c r="C217" s="4">
        <v>3092.38</v>
      </c>
      <c r="D217">
        <v>4</v>
      </c>
    </row>
    <row r="218" spans="1:4" x14ac:dyDescent="0.25">
      <c r="A218" t="s">
        <v>9188</v>
      </c>
      <c r="B218">
        <v>20</v>
      </c>
      <c r="C218" s="4">
        <v>315.60000000000002</v>
      </c>
      <c r="D218">
        <v>1</v>
      </c>
    </row>
    <row r="219" spans="1:4" x14ac:dyDescent="0.25">
      <c r="A219" t="s">
        <v>9189</v>
      </c>
      <c r="B219">
        <v>101</v>
      </c>
      <c r="C219" s="4">
        <v>2093.19</v>
      </c>
      <c r="D219">
        <v>4</v>
      </c>
    </row>
    <row r="220" spans="1:4" x14ac:dyDescent="0.25">
      <c r="A220" t="s">
        <v>9190</v>
      </c>
      <c r="B220">
        <v>30</v>
      </c>
      <c r="C220" s="4">
        <v>641.29999999999995</v>
      </c>
      <c r="D220">
        <v>2</v>
      </c>
    </row>
    <row r="221" spans="1:4" x14ac:dyDescent="0.25">
      <c r="A221" t="s">
        <v>9191</v>
      </c>
      <c r="B221">
        <v>42</v>
      </c>
      <c r="C221" s="4">
        <v>355.53</v>
      </c>
      <c r="D221">
        <v>1</v>
      </c>
    </row>
    <row r="222" spans="1:4" x14ac:dyDescent="0.25">
      <c r="A222" t="s">
        <v>9192</v>
      </c>
      <c r="B222">
        <v>10</v>
      </c>
      <c r="C222" s="4">
        <v>137.31</v>
      </c>
      <c r="D222">
        <v>1</v>
      </c>
    </row>
    <row r="223" spans="1:4" x14ac:dyDescent="0.25">
      <c r="A223" t="s">
        <v>9193</v>
      </c>
      <c r="B223">
        <v>82</v>
      </c>
      <c r="C223" s="4">
        <v>2945.56</v>
      </c>
      <c r="D223">
        <v>8</v>
      </c>
    </row>
    <row r="224" spans="1:4" x14ac:dyDescent="0.25">
      <c r="A224" t="s">
        <v>9194</v>
      </c>
      <c r="B224">
        <v>91</v>
      </c>
      <c r="C224" s="4">
        <v>1303.4100000000001</v>
      </c>
      <c r="D224">
        <v>3</v>
      </c>
    </row>
    <row r="225" spans="1:4" x14ac:dyDescent="0.25">
      <c r="A225" t="s">
        <v>9195</v>
      </c>
      <c r="B225">
        <v>449</v>
      </c>
      <c r="C225" s="4">
        <v>12411.67</v>
      </c>
      <c r="D225">
        <v>20</v>
      </c>
    </row>
    <row r="226" spans="1:4" x14ac:dyDescent="0.25">
      <c r="A226" t="s">
        <v>9196</v>
      </c>
      <c r="B226">
        <v>10</v>
      </c>
      <c r="C226" s="4">
        <v>162.1</v>
      </c>
      <c r="D226">
        <v>1</v>
      </c>
    </row>
    <row r="227" spans="1:4" x14ac:dyDescent="0.25">
      <c r="A227" t="s">
        <v>9197</v>
      </c>
      <c r="B227">
        <v>17</v>
      </c>
      <c r="C227" s="4">
        <v>269.10000000000002</v>
      </c>
      <c r="D227">
        <v>1</v>
      </c>
    </row>
    <row r="228" spans="1:4" x14ac:dyDescent="0.25">
      <c r="A228" t="s">
        <v>9198</v>
      </c>
      <c r="B228">
        <v>36</v>
      </c>
      <c r="C228" s="4">
        <v>569.13</v>
      </c>
      <c r="D228">
        <v>2</v>
      </c>
    </row>
    <row r="229" spans="1:4" x14ac:dyDescent="0.25">
      <c r="A229" t="s">
        <v>9199</v>
      </c>
      <c r="B229">
        <v>84</v>
      </c>
      <c r="C229" s="4">
        <v>2413.8200000000002</v>
      </c>
      <c r="D229">
        <v>2</v>
      </c>
    </row>
    <row r="230" spans="1:4" x14ac:dyDescent="0.25">
      <c r="A230" t="s">
        <v>9200</v>
      </c>
      <c r="B230">
        <v>285</v>
      </c>
      <c r="C230" s="4">
        <v>5954.48</v>
      </c>
      <c r="D230">
        <v>9</v>
      </c>
    </row>
    <row r="231" spans="1:4" x14ac:dyDescent="0.25">
      <c r="A231" t="s">
        <v>9201</v>
      </c>
      <c r="B231">
        <v>224</v>
      </c>
      <c r="C231" s="4">
        <v>4082.53</v>
      </c>
      <c r="D231">
        <v>6</v>
      </c>
    </row>
    <row r="232" spans="1:4" x14ac:dyDescent="0.25">
      <c r="A232" t="s">
        <v>9202</v>
      </c>
      <c r="B232">
        <v>38</v>
      </c>
      <c r="C232" s="4">
        <v>732.46</v>
      </c>
      <c r="D232">
        <v>3</v>
      </c>
    </row>
    <row r="233" spans="1:4" x14ac:dyDescent="0.25">
      <c r="A233" t="s">
        <v>9203</v>
      </c>
      <c r="B233">
        <v>62</v>
      </c>
      <c r="C233" s="4">
        <v>1030.8800000000001</v>
      </c>
      <c r="D233">
        <v>2</v>
      </c>
    </row>
    <row r="234" spans="1:4" x14ac:dyDescent="0.25">
      <c r="A234" t="s">
        <v>9204</v>
      </c>
      <c r="B234">
        <v>30</v>
      </c>
      <c r="C234" s="4">
        <v>480.5</v>
      </c>
      <c r="D234">
        <v>1</v>
      </c>
    </row>
    <row r="235" spans="1:4" x14ac:dyDescent="0.25">
      <c r="A235" t="s">
        <v>9205</v>
      </c>
      <c r="B235">
        <v>97</v>
      </c>
      <c r="C235" s="4">
        <v>1929.98</v>
      </c>
      <c r="D235">
        <v>4</v>
      </c>
    </row>
    <row r="236" spans="1:4" x14ac:dyDescent="0.25">
      <c r="A236" t="s">
        <v>9206</v>
      </c>
      <c r="B236">
        <v>99</v>
      </c>
      <c r="C236" s="4">
        <v>1509.18</v>
      </c>
      <c r="D236">
        <v>2</v>
      </c>
    </row>
    <row r="237" spans="1:4" x14ac:dyDescent="0.25">
      <c r="A237" t="s">
        <v>9207</v>
      </c>
      <c r="B237">
        <v>387</v>
      </c>
      <c r="C237" s="4">
        <v>5823.9</v>
      </c>
      <c r="D237">
        <v>8</v>
      </c>
    </row>
    <row r="238" spans="1:4" x14ac:dyDescent="0.25">
      <c r="A238" t="s">
        <v>9208</v>
      </c>
      <c r="B238">
        <v>38</v>
      </c>
      <c r="C238" s="4">
        <v>511.69</v>
      </c>
      <c r="D238">
        <v>1</v>
      </c>
    </row>
    <row r="239" spans="1:4" x14ac:dyDescent="0.25">
      <c r="A239" t="s">
        <v>9209</v>
      </c>
      <c r="B239">
        <v>21</v>
      </c>
      <c r="C239" s="4">
        <v>366.1</v>
      </c>
      <c r="D239">
        <v>1</v>
      </c>
    </row>
    <row r="240" spans="1:4" x14ac:dyDescent="0.25">
      <c r="A240" t="s">
        <v>9210</v>
      </c>
      <c r="B240">
        <v>50</v>
      </c>
      <c r="C240" s="4">
        <v>994.58</v>
      </c>
      <c r="D240">
        <v>3</v>
      </c>
    </row>
    <row r="241" spans="1:4" x14ac:dyDescent="0.25">
      <c r="A241" t="s">
        <v>9211</v>
      </c>
      <c r="B241">
        <v>9</v>
      </c>
      <c r="C241" s="4">
        <v>145.9</v>
      </c>
      <c r="D241">
        <v>1</v>
      </c>
    </row>
    <row r="242" spans="1:4" x14ac:dyDescent="0.25">
      <c r="A242" t="s">
        <v>9212</v>
      </c>
      <c r="B242">
        <v>44</v>
      </c>
      <c r="C242" s="4">
        <v>905.26</v>
      </c>
      <c r="D242">
        <v>3</v>
      </c>
    </row>
    <row r="243" spans="1:4" x14ac:dyDescent="0.25">
      <c r="A243" t="s">
        <v>9213</v>
      </c>
      <c r="B243">
        <v>18</v>
      </c>
      <c r="C243" s="4">
        <v>3041.64</v>
      </c>
      <c r="D243">
        <v>6</v>
      </c>
    </row>
    <row r="244" spans="1:4" x14ac:dyDescent="0.25">
      <c r="A244" t="s">
        <v>9214</v>
      </c>
      <c r="B244">
        <v>31</v>
      </c>
      <c r="C244" s="4">
        <v>477.91</v>
      </c>
      <c r="D244">
        <v>1</v>
      </c>
    </row>
    <row r="245" spans="1:4" x14ac:dyDescent="0.25">
      <c r="A245" t="s">
        <v>9215</v>
      </c>
      <c r="B245">
        <v>69</v>
      </c>
      <c r="C245" s="4">
        <v>1631.18</v>
      </c>
      <c r="D245">
        <v>4</v>
      </c>
    </row>
    <row r="246" spans="1:4" x14ac:dyDescent="0.25">
      <c r="A246" t="s">
        <v>9216</v>
      </c>
      <c r="B246">
        <v>45</v>
      </c>
      <c r="C246" s="4">
        <v>1346.97</v>
      </c>
      <c r="D246">
        <v>2</v>
      </c>
    </row>
    <row r="247" spans="1:4" x14ac:dyDescent="0.25">
      <c r="A247" t="s">
        <v>4226</v>
      </c>
      <c r="B247">
        <v>109</v>
      </c>
      <c r="C247" s="4">
        <v>3146.82</v>
      </c>
      <c r="D247">
        <v>12</v>
      </c>
    </row>
    <row r="248" spans="1:4" x14ac:dyDescent="0.25">
      <c r="A248" t="s">
        <v>9217</v>
      </c>
      <c r="B248">
        <v>20</v>
      </c>
      <c r="C248" s="4">
        <v>300.05</v>
      </c>
      <c r="D248">
        <v>1</v>
      </c>
    </row>
    <row r="249" spans="1:4" x14ac:dyDescent="0.25">
      <c r="A249" t="s">
        <v>9218</v>
      </c>
      <c r="B249">
        <v>29</v>
      </c>
      <c r="C249" s="4">
        <v>569.51</v>
      </c>
      <c r="D249">
        <v>3</v>
      </c>
    </row>
    <row r="250" spans="1:4" x14ac:dyDescent="0.25">
      <c r="A250" t="s">
        <v>9219</v>
      </c>
      <c r="B250">
        <v>19</v>
      </c>
      <c r="C250" s="4">
        <v>242.44</v>
      </c>
      <c r="D250">
        <v>1</v>
      </c>
    </row>
    <row r="251" spans="1:4" x14ac:dyDescent="0.25">
      <c r="A251" t="s">
        <v>9220</v>
      </c>
      <c r="B251">
        <v>9</v>
      </c>
      <c r="C251" s="4">
        <v>114</v>
      </c>
      <c r="D251">
        <v>1</v>
      </c>
    </row>
    <row r="252" spans="1:4" x14ac:dyDescent="0.25">
      <c r="A252" t="s">
        <v>9221</v>
      </c>
      <c r="B252">
        <v>47</v>
      </c>
      <c r="C252" s="4">
        <v>793.98</v>
      </c>
      <c r="D252">
        <v>1</v>
      </c>
    </row>
    <row r="253" spans="1:4" x14ac:dyDescent="0.25">
      <c r="A253" t="s">
        <v>9222</v>
      </c>
      <c r="B253">
        <v>43</v>
      </c>
      <c r="C253" s="4">
        <v>2209.85</v>
      </c>
      <c r="D253">
        <v>2</v>
      </c>
    </row>
    <row r="254" spans="1:4" x14ac:dyDescent="0.25">
      <c r="A254" t="s">
        <v>9223</v>
      </c>
      <c r="B254">
        <v>34</v>
      </c>
      <c r="C254" s="4">
        <v>529.98</v>
      </c>
      <c r="D254">
        <v>5</v>
      </c>
    </row>
    <row r="255" spans="1:4" x14ac:dyDescent="0.25">
      <c r="A255" t="s">
        <v>9224</v>
      </c>
      <c r="B255">
        <v>121</v>
      </c>
      <c r="C255" s="4">
        <v>3619.17</v>
      </c>
      <c r="D255">
        <v>5</v>
      </c>
    </row>
    <row r="256" spans="1:4" x14ac:dyDescent="0.25">
      <c r="A256" t="s">
        <v>9225</v>
      </c>
      <c r="B256">
        <v>44</v>
      </c>
      <c r="C256" s="4">
        <v>1427.18</v>
      </c>
      <c r="D256">
        <v>4</v>
      </c>
    </row>
    <row r="257" spans="1:4" x14ac:dyDescent="0.25">
      <c r="A257" t="s">
        <v>9226</v>
      </c>
      <c r="B257">
        <v>35</v>
      </c>
      <c r="C257" s="4">
        <v>632.04999999999995</v>
      </c>
      <c r="D257">
        <v>1</v>
      </c>
    </row>
    <row r="258" spans="1:4" x14ac:dyDescent="0.25">
      <c r="A258" t="s">
        <v>9227</v>
      </c>
      <c r="B258">
        <v>4</v>
      </c>
      <c r="C258" s="4">
        <v>73.680000000000007</v>
      </c>
      <c r="D258">
        <v>1</v>
      </c>
    </row>
    <row r="259" spans="1:4" x14ac:dyDescent="0.25">
      <c r="A259" t="s">
        <v>9228</v>
      </c>
      <c r="B259">
        <v>12</v>
      </c>
      <c r="C259" s="4">
        <v>227.1</v>
      </c>
      <c r="D259">
        <v>1</v>
      </c>
    </row>
    <row r="260" spans="1:4" x14ac:dyDescent="0.25">
      <c r="A260" t="s">
        <v>9229</v>
      </c>
      <c r="B260">
        <v>220</v>
      </c>
      <c r="C260" s="4">
        <v>3543.78</v>
      </c>
      <c r="D260">
        <v>11</v>
      </c>
    </row>
    <row r="261" spans="1:4" x14ac:dyDescent="0.25">
      <c r="A261" t="s">
        <v>9230</v>
      </c>
      <c r="B261">
        <v>28</v>
      </c>
      <c r="C261" s="4">
        <v>4391.88</v>
      </c>
      <c r="D261">
        <v>9</v>
      </c>
    </row>
    <row r="262" spans="1:4" x14ac:dyDescent="0.25">
      <c r="A262" t="s">
        <v>9231</v>
      </c>
      <c r="B262">
        <v>2</v>
      </c>
      <c r="C262" s="4">
        <v>45</v>
      </c>
      <c r="D262">
        <v>1</v>
      </c>
    </row>
    <row r="263" spans="1:4" x14ac:dyDescent="0.25">
      <c r="A263" t="s">
        <v>9232</v>
      </c>
      <c r="B263">
        <v>32</v>
      </c>
      <c r="C263" s="4">
        <v>460.13</v>
      </c>
      <c r="D263">
        <v>1</v>
      </c>
    </row>
    <row r="264" spans="1:4" x14ac:dyDescent="0.25">
      <c r="A264" t="s">
        <v>9233</v>
      </c>
      <c r="B264">
        <v>157</v>
      </c>
      <c r="C264" s="4">
        <v>3177.15</v>
      </c>
      <c r="D264">
        <v>4</v>
      </c>
    </row>
    <row r="265" spans="1:4" x14ac:dyDescent="0.25">
      <c r="A265" t="s">
        <v>9234</v>
      </c>
      <c r="B265">
        <v>98</v>
      </c>
      <c r="C265" s="4">
        <v>1427.73</v>
      </c>
      <c r="D265">
        <v>2</v>
      </c>
    </row>
    <row r="266" spans="1:4" x14ac:dyDescent="0.25">
      <c r="A266" t="s">
        <v>9235</v>
      </c>
      <c r="B266">
        <v>87</v>
      </c>
      <c r="C266" s="4">
        <v>2744.05</v>
      </c>
      <c r="D266">
        <v>5</v>
      </c>
    </row>
    <row r="267" spans="1:4" x14ac:dyDescent="0.25">
      <c r="A267" t="s">
        <v>9236</v>
      </c>
      <c r="B267">
        <v>10</v>
      </c>
      <c r="C267" s="4">
        <v>225.9</v>
      </c>
      <c r="D267">
        <v>1</v>
      </c>
    </row>
    <row r="268" spans="1:4" x14ac:dyDescent="0.25">
      <c r="A268" t="s">
        <v>9237</v>
      </c>
      <c r="B268">
        <v>41</v>
      </c>
      <c r="C268" s="4">
        <v>574.52</v>
      </c>
      <c r="D268">
        <v>2</v>
      </c>
    </row>
    <row r="269" spans="1:4" x14ac:dyDescent="0.25">
      <c r="A269" t="s">
        <v>9238</v>
      </c>
      <c r="B269">
        <v>79</v>
      </c>
      <c r="C269" s="4">
        <v>1844.6</v>
      </c>
      <c r="D269">
        <v>4</v>
      </c>
    </row>
    <row r="270" spans="1:4" x14ac:dyDescent="0.25">
      <c r="A270" t="s">
        <v>9239</v>
      </c>
      <c r="B270">
        <v>39</v>
      </c>
      <c r="C270" s="4">
        <v>1091.3900000000001</v>
      </c>
      <c r="D270">
        <v>6</v>
      </c>
    </row>
    <row r="271" spans="1:4" x14ac:dyDescent="0.25">
      <c r="A271" t="s">
        <v>9240</v>
      </c>
      <c r="B271">
        <v>156</v>
      </c>
      <c r="C271" s="4">
        <v>16331.46</v>
      </c>
      <c r="D271">
        <v>9</v>
      </c>
    </row>
    <row r="272" spans="1:4" x14ac:dyDescent="0.25">
      <c r="A272" t="s">
        <v>9241</v>
      </c>
      <c r="B272">
        <v>44</v>
      </c>
      <c r="C272" s="4">
        <v>951.02</v>
      </c>
      <c r="D272">
        <v>4</v>
      </c>
    </row>
    <row r="273" spans="1:4" x14ac:dyDescent="0.25">
      <c r="A273" t="s">
        <v>9242</v>
      </c>
      <c r="B273">
        <v>49</v>
      </c>
      <c r="C273" s="4">
        <v>790.81</v>
      </c>
      <c r="D273">
        <v>4</v>
      </c>
    </row>
    <row r="274" spans="1:4" x14ac:dyDescent="0.25">
      <c r="A274" t="s">
        <v>9243</v>
      </c>
      <c r="B274">
        <v>616</v>
      </c>
      <c r="C274" s="4">
        <v>12365.54</v>
      </c>
      <c r="D274">
        <v>22</v>
      </c>
    </row>
    <row r="275" spans="1:4" x14ac:dyDescent="0.25">
      <c r="A275" t="s">
        <v>9244</v>
      </c>
      <c r="B275">
        <v>496</v>
      </c>
      <c r="C275" s="4">
        <v>11028.22</v>
      </c>
      <c r="D275">
        <v>31</v>
      </c>
    </row>
    <row r="276" spans="1:4" x14ac:dyDescent="0.25">
      <c r="A276" t="s">
        <v>9245</v>
      </c>
      <c r="B276">
        <v>331</v>
      </c>
      <c r="C276" s="4">
        <v>7612.57</v>
      </c>
      <c r="D276">
        <v>14</v>
      </c>
    </row>
    <row r="277" spans="1:4" x14ac:dyDescent="0.25">
      <c r="A277" t="s">
        <v>9246</v>
      </c>
      <c r="B277">
        <v>98</v>
      </c>
      <c r="C277" s="4">
        <v>2073.63</v>
      </c>
      <c r="D277">
        <v>6</v>
      </c>
    </row>
    <row r="278" spans="1:4" x14ac:dyDescent="0.25">
      <c r="A278" t="s">
        <v>9247</v>
      </c>
      <c r="B278">
        <v>151</v>
      </c>
      <c r="C278" s="4">
        <v>2575.08</v>
      </c>
      <c r="D278">
        <v>6</v>
      </c>
    </row>
    <row r="279" spans="1:4" x14ac:dyDescent="0.25">
      <c r="A279" t="s">
        <v>9248</v>
      </c>
      <c r="B279">
        <v>6</v>
      </c>
      <c r="C279" s="4">
        <v>71.14</v>
      </c>
      <c r="D279">
        <v>1</v>
      </c>
    </row>
    <row r="280" spans="1:4" x14ac:dyDescent="0.25">
      <c r="A280" t="s">
        <v>9249</v>
      </c>
      <c r="B280">
        <v>171</v>
      </c>
      <c r="C280" s="4">
        <v>4873.8100000000004</v>
      </c>
      <c r="D280">
        <v>1</v>
      </c>
    </row>
    <row r="281" spans="1:4" x14ac:dyDescent="0.25">
      <c r="A281" t="s">
        <v>9250</v>
      </c>
      <c r="B281">
        <v>70</v>
      </c>
      <c r="C281" s="4">
        <v>1139.6099999999999</v>
      </c>
      <c r="D281">
        <v>2</v>
      </c>
    </row>
    <row r="282" spans="1:4" x14ac:dyDescent="0.25">
      <c r="A282" t="s">
        <v>9251</v>
      </c>
      <c r="B282">
        <v>15</v>
      </c>
      <c r="C282" s="4">
        <v>335.01</v>
      </c>
      <c r="D282">
        <v>1</v>
      </c>
    </row>
    <row r="283" spans="1:4" x14ac:dyDescent="0.25">
      <c r="A283" t="s">
        <v>9252</v>
      </c>
      <c r="B283">
        <v>27</v>
      </c>
      <c r="C283" s="4">
        <v>927.8</v>
      </c>
      <c r="D283">
        <v>5</v>
      </c>
    </row>
    <row r="284" spans="1:4" x14ac:dyDescent="0.25">
      <c r="A284" t="s">
        <v>9253</v>
      </c>
      <c r="B284">
        <v>35</v>
      </c>
      <c r="C284" s="4">
        <v>711.91</v>
      </c>
      <c r="D284">
        <v>4</v>
      </c>
    </row>
    <row r="285" spans="1:4" x14ac:dyDescent="0.25">
      <c r="A285" t="s">
        <v>9254</v>
      </c>
      <c r="B285">
        <v>35</v>
      </c>
      <c r="C285" s="4">
        <v>761.67</v>
      </c>
      <c r="D285">
        <v>2</v>
      </c>
    </row>
    <row r="286" spans="1:4" x14ac:dyDescent="0.25">
      <c r="A286" t="s">
        <v>9255</v>
      </c>
      <c r="B286">
        <v>27</v>
      </c>
      <c r="C286" s="4">
        <v>582.1</v>
      </c>
      <c r="D286">
        <v>4</v>
      </c>
    </row>
    <row r="287" spans="1:4" x14ac:dyDescent="0.25">
      <c r="A287" t="s">
        <v>9256</v>
      </c>
      <c r="B287">
        <v>38</v>
      </c>
      <c r="C287" s="4">
        <v>757.59</v>
      </c>
      <c r="D287">
        <v>3</v>
      </c>
    </row>
    <row r="288" spans="1:4" x14ac:dyDescent="0.25">
      <c r="A288" t="s">
        <v>9257</v>
      </c>
      <c r="B288">
        <v>264</v>
      </c>
      <c r="C288" s="4">
        <v>4525.99</v>
      </c>
      <c r="D288">
        <v>4</v>
      </c>
    </row>
    <row r="289" spans="1:4" x14ac:dyDescent="0.25">
      <c r="A289" t="s">
        <v>9258</v>
      </c>
      <c r="B289">
        <v>51</v>
      </c>
      <c r="C289" s="4">
        <v>725.71</v>
      </c>
      <c r="D289">
        <v>2</v>
      </c>
    </row>
    <row r="290" spans="1:4" x14ac:dyDescent="0.25">
      <c r="A290" t="s">
        <v>9259</v>
      </c>
      <c r="B290">
        <v>11</v>
      </c>
      <c r="C290" s="4">
        <v>201</v>
      </c>
      <c r="D290">
        <v>1</v>
      </c>
    </row>
    <row r="291" spans="1:4" x14ac:dyDescent="0.25">
      <c r="A291" t="s">
        <v>9260</v>
      </c>
      <c r="B291">
        <v>20</v>
      </c>
      <c r="C291" s="4">
        <v>265.55</v>
      </c>
      <c r="D291">
        <v>1</v>
      </c>
    </row>
    <row r="292" spans="1:4" x14ac:dyDescent="0.25">
      <c r="A292" t="s">
        <v>9261</v>
      </c>
      <c r="B292">
        <v>81</v>
      </c>
      <c r="C292" s="4">
        <v>1740.84</v>
      </c>
      <c r="D292">
        <v>8</v>
      </c>
    </row>
    <row r="293" spans="1:4" x14ac:dyDescent="0.25">
      <c r="A293" t="s">
        <v>9262</v>
      </c>
      <c r="B293">
        <v>328</v>
      </c>
      <c r="C293" s="4">
        <v>6382.29</v>
      </c>
      <c r="D293">
        <v>8</v>
      </c>
    </row>
    <row r="294" spans="1:4" x14ac:dyDescent="0.25">
      <c r="A294" t="s">
        <v>9263</v>
      </c>
      <c r="B294">
        <v>33</v>
      </c>
      <c r="C294" s="4">
        <v>603.41999999999996</v>
      </c>
      <c r="D294">
        <v>1</v>
      </c>
    </row>
    <row r="295" spans="1:4" x14ac:dyDescent="0.25">
      <c r="A295" t="s">
        <v>9264</v>
      </c>
      <c r="B295">
        <v>147</v>
      </c>
      <c r="C295" s="4">
        <v>2442.91</v>
      </c>
      <c r="D295">
        <v>10</v>
      </c>
    </row>
    <row r="296" spans="1:4" x14ac:dyDescent="0.25">
      <c r="A296" t="s">
        <v>9265</v>
      </c>
      <c r="B296">
        <v>203</v>
      </c>
      <c r="C296" s="4">
        <v>9430.52</v>
      </c>
      <c r="D296">
        <v>15</v>
      </c>
    </row>
    <row r="297" spans="1:4" x14ac:dyDescent="0.25">
      <c r="A297" t="s">
        <v>9266</v>
      </c>
      <c r="B297">
        <v>74</v>
      </c>
      <c r="C297" s="4">
        <v>1023.02</v>
      </c>
      <c r="D297">
        <v>3</v>
      </c>
    </row>
    <row r="298" spans="1:4" x14ac:dyDescent="0.25">
      <c r="A298" t="s">
        <v>9267</v>
      </c>
      <c r="B298">
        <v>120</v>
      </c>
      <c r="C298" s="4">
        <v>3928.13</v>
      </c>
      <c r="D298">
        <v>13</v>
      </c>
    </row>
    <row r="299" spans="1:4" x14ac:dyDescent="0.25">
      <c r="A299" t="s">
        <v>9268</v>
      </c>
      <c r="B299">
        <v>37</v>
      </c>
      <c r="C299" s="4">
        <v>794.55</v>
      </c>
      <c r="D299">
        <v>1</v>
      </c>
    </row>
    <row r="300" spans="1:4" x14ac:dyDescent="0.25">
      <c r="A300" t="s">
        <v>9269</v>
      </c>
      <c r="B300">
        <v>254</v>
      </c>
      <c r="C300" s="4">
        <v>4294.8599999999997</v>
      </c>
      <c r="D300">
        <v>5</v>
      </c>
    </row>
    <row r="301" spans="1:4" x14ac:dyDescent="0.25">
      <c r="A301" t="s">
        <v>9270</v>
      </c>
      <c r="B301">
        <v>20</v>
      </c>
      <c r="C301" s="4">
        <v>273.86</v>
      </c>
      <c r="D301">
        <v>1</v>
      </c>
    </row>
    <row r="302" spans="1:4" x14ac:dyDescent="0.25">
      <c r="A302" t="s">
        <v>9271</v>
      </c>
      <c r="B302">
        <v>67</v>
      </c>
      <c r="C302" s="4">
        <v>963.49</v>
      </c>
      <c r="D302">
        <v>2</v>
      </c>
    </row>
    <row r="303" spans="1:4" x14ac:dyDescent="0.25">
      <c r="A303" t="s">
        <v>9272</v>
      </c>
      <c r="B303">
        <v>53</v>
      </c>
      <c r="C303" s="4">
        <v>830.98</v>
      </c>
      <c r="D303">
        <v>2</v>
      </c>
    </row>
    <row r="304" spans="1:4" x14ac:dyDescent="0.25">
      <c r="A304" t="s">
        <v>9273</v>
      </c>
      <c r="B304">
        <v>18</v>
      </c>
      <c r="C304" s="4">
        <v>202.25</v>
      </c>
      <c r="D304">
        <v>1</v>
      </c>
    </row>
    <row r="305" spans="1:4" x14ac:dyDescent="0.25">
      <c r="A305" t="s">
        <v>9274</v>
      </c>
      <c r="B305">
        <v>37</v>
      </c>
      <c r="C305" s="4">
        <v>572.95000000000005</v>
      </c>
      <c r="D305">
        <v>2</v>
      </c>
    </row>
    <row r="306" spans="1:4" x14ac:dyDescent="0.25">
      <c r="A306" t="s">
        <v>9275</v>
      </c>
      <c r="B306">
        <v>342</v>
      </c>
      <c r="C306" s="4">
        <v>5115.7299999999996</v>
      </c>
      <c r="D306">
        <v>25</v>
      </c>
    </row>
    <row r="307" spans="1:4" x14ac:dyDescent="0.25">
      <c r="A307" t="s">
        <v>9276</v>
      </c>
      <c r="B307">
        <v>155</v>
      </c>
      <c r="C307" s="4">
        <v>2386.13</v>
      </c>
      <c r="D307">
        <v>6</v>
      </c>
    </row>
    <row r="308" spans="1:4" x14ac:dyDescent="0.25">
      <c r="A308" t="s">
        <v>9277</v>
      </c>
      <c r="B308">
        <v>52</v>
      </c>
      <c r="C308" s="4">
        <v>979.63</v>
      </c>
      <c r="D308">
        <v>4</v>
      </c>
    </row>
    <row r="309" spans="1:4" x14ac:dyDescent="0.25">
      <c r="A309" t="s">
        <v>9278</v>
      </c>
      <c r="B309">
        <v>68</v>
      </c>
      <c r="C309" s="4">
        <v>707.07</v>
      </c>
      <c r="D309">
        <v>5</v>
      </c>
    </row>
    <row r="310" spans="1:4" x14ac:dyDescent="0.25">
      <c r="A310" t="s">
        <v>9279</v>
      </c>
      <c r="B310">
        <v>49</v>
      </c>
      <c r="C310" s="4">
        <v>923.41</v>
      </c>
      <c r="D310">
        <v>4</v>
      </c>
    </row>
    <row r="311" spans="1:4" x14ac:dyDescent="0.25">
      <c r="A311" t="s">
        <v>9280</v>
      </c>
      <c r="B311">
        <v>23</v>
      </c>
      <c r="C311" s="4">
        <v>371.8</v>
      </c>
      <c r="D311">
        <v>1</v>
      </c>
    </row>
    <row r="312" spans="1:4" x14ac:dyDescent="0.25">
      <c r="A312" t="s">
        <v>9281</v>
      </c>
      <c r="B312">
        <v>117</v>
      </c>
      <c r="C312" s="4">
        <v>2411.1</v>
      </c>
      <c r="D312">
        <v>7</v>
      </c>
    </row>
    <row r="313" spans="1:4" x14ac:dyDescent="0.25">
      <c r="A313" t="s">
        <v>9282</v>
      </c>
      <c r="B313">
        <v>132</v>
      </c>
      <c r="C313" s="4">
        <v>3440.7</v>
      </c>
      <c r="D313">
        <v>7</v>
      </c>
    </row>
    <row r="314" spans="1:4" x14ac:dyDescent="0.25">
      <c r="A314" t="s">
        <v>9283</v>
      </c>
      <c r="B314">
        <v>42</v>
      </c>
      <c r="C314" s="4">
        <v>728.33</v>
      </c>
      <c r="D314">
        <v>4</v>
      </c>
    </row>
    <row r="315" spans="1:4" x14ac:dyDescent="0.25">
      <c r="A315" t="s">
        <v>9284</v>
      </c>
      <c r="B315">
        <v>25</v>
      </c>
      <c r="C315" s="4">
        <v>417.01</v>
      </c>
      <c r="D315">
        <v>1</v>
      </c>
    </row>
    <row r="316" spans="1:4" x14ac:dyDescent="0.25">
      <c r="A316" t="s">
        <v>9285</v>
      </c>
      <c r="B316">
        <v>273</v>
      </c>
      <c r="C316" s="4">
        <v>18751.91</v>
      </c>
      <c r="D316">
        <v>12</v>
      </c>
    </row>
    <row r="317" spans="1:4" x14ac:dyDescent="0.25">
      <c r="A317" t="s">
        <v>9286</v>
      </c>
      <c r="B317">
        <v>11</v>
      </c>
      <c r="C317" s="4">
        <v>218.26</v>
      </c>
      <c r="D317">
        <v>1</v>
      </c>
    </row>
    <row r="318" spans="1:4" x14ac:dyDescent="0.25">
      <c r="A318" t="s">
        <v>9287</v>
      </c>
      <c r="B318">
        <v>22</v>
      </c>
      <c r="C318" s="4">
        <v>383.95</v>
      </c>
      <c r="D318">
        <v>1</v>
      </c>
    </row>
    <row r="319" spans="1:4" x14ac:dyDescent="0.25">
      <c r="A319" t="s">
        <v>9288</v>
      </c>
      <c r="B319">
        <v>4</v>
      </c>
      <c r="C319" s="4">
        <v>110.4</v>
      </c>
      <c r="D319">
        <v>1</v>
      </c>
    </row>
    <row r="320" spans="1:4" x14ac:dyDescent="0.25">
      <c r="A320" t="s">
        <v>9289</v>
      </c>
      <c r="B320">
        <v>41</v>
      </c>
      <c r="C320" s="4">
        <v>689.57</v>
      </c>
      <c r="D320">
        <v>2</v>
      </c>
    </row>
    <row r="321" spans="1:4" x14ac:dyDescent="0.25">
      <c r="A321" t="s">
        <v>9290</v>
      </c>
      <c r="B321">
        <v>3</v>
      </c>
      <c r="C321" s="4">
        <v>144</v>
      </c>
      <c r="D321">
        <v>1</v>
      </c>
    </row>
    <row r="322" spans="1:4" x14ac:dyDescent="0.25">
      <c r="A322" t="s">
        <v>9291</v>
      </c>
      <c r="B322">
        <v>10</v>
      </c>
      <c r="C322" s="4">
        <v>137.35</v>
      </c>
      <c r="D322">
        <v>1</v>
      </c>
    </row>
    <row r="323" spans="1:4" x14ac:dyDescent="0.25">
      <c r="A323" t="s">
        <v>9292</v>
      </c>
      <c r="B323">
        <v>37</v>
      </c>
      <c r="C323" s="4">
        <v>975.54</v>
      </c>
      <c r="D323">
        <v>1</v>
      </c>
    </row>
    <row r="324" spans="1:4" x14ac:dyDescent="0.25">
      <c r="A324" t="s">
        <v>9293</v>
      </c>
      <c r="B324">
        <v>27</v>
      </c>
      <c r="C324" s="4">
        <v>427.6</v>
      </c>
      <c r="D324">
        <v>1</v>
      </c>
    </row>
    <row r="325" spans="1:4" x14ac:dyDescent="0.25">
      <c r="A325" t="s">
        <v>9294</v>
      </c>
      <c r="B325">
        <v>134</v>
      </c>
      <c r="C325" s="4">
        <v>546.42999999999995</v>
      </c>
      <c r="D325">
        <v>2</v>
      </c>
    </row>
    <row r="326" spans="1:4" x14ac:dyDescent="0.25">
      <c r="A326" t="s">
        <v>9295</v>
      </c>
      <c r="B326">
        <v>215</v>
      </c>
      <c r="C326" s="4">
        <v>9120.39</v>
      </c>
      <c r="D326">
        <v>4</v>
      </c>
    </row>
    <row r="327" spans="1:4" x14ac:dyDescent="0.25">
      <c r="A327" t="s">
        <v>9296</v>
      </c>
      <c r="B327">
        <v>103</v>
      </c>
      <c r="C327" s="4">
        <v>4196.01</v>
      </c>
      <c r="D327">
        <v>11</v>
      </c>
    </row>
    <row r="328" spans="1:4" x14ac:dyDescent="0.25">
      <c r="A328" t="s">
        <v>9297</v>
      </c>
      <c r="B328">
        <v>4580</v>
      </c>
      <c r="C328" s="4">
        <v>32317.32</v>
      </c>
      <c r="D328">
        <v>206</v>
      </c>
    </row>
    <row r="329" spans="1:4" x14ac:dyDescent="0.25">
      <c r="A329" t="s">
        <v>9298</v>
      </c>
      <c r="B329">
        <v>198</v>
      </c>
      <c r="C329" s="4">
        <v>4040.88</v>
      </c>
      <c r="D329">
        <v>5</v>
      </c>
    </row>
    <row r="330" spans="1:4" x14ac:dyDescent="0.25">
      <c r="A330" t="s">
        <v>9299</v>
      </c>
      <c r="B330">
        <v>15</v>
      </c>
      <c r="C330" s="4">
        <v>275.88</v>
      </c>
      <c r="D330">
        <v>1</v>
      </c>
    </row>
    <row r="331" spans="1:4" x14ac:dyDescent="0.25">
      <c r="A331" t="s">
        <v>9300</v>
      </c>
      <c r="B331">
        <v>53</v>
      </c>
      <c r="C331" s="4">
        <v>4366.78</v>
      </c>
      <c r="D331">
        <v>1</v>
      </c>
    </row>
    <row r="332" spans="1:4" x14ac:dyDescent="0.25">
      <c r="A332" t="s">
        <v>9301</v>
      </c>
      <c r="B332">
        <v>197</v>
      </c>
      <c r="C332" s="4">
        <v>21429.39</v>
      </c>
      <c r="D332">
        <v>6</v>
      </c>
    </row>
    <row r="333" spans="1:4" x14ac:dyDescent="0.25">
      <c r="A333" t="s">
        <v>9302</v>
      </c>
      <c r="B333">
        <v>63</v>
      </c>
      <c r="C333" s="4">
        <v>3010.74</v>
      </c>
      <c r="D333">
        <v>3</v>
      </c>
    </row>
    <row r="334" spans="1:4" x14ac:dyDescent="0.25">
      <c r="A334" t="s">
        <v>9303</v>
      </c>
      <c r="B334">
        <v>4</v>
      </c>
      <c r="C334" s="4">
        <v>3811.95</v>
      </c>
      <c r="D334">
        <v>2</v>
      </c>
    </row>
    <row r="335" spans="1:4" x14ac:dyDescent="0.25">
      <c r="A335" t="s">
        <v>9304</v>
      </c>
      <c r="B335">
        <v>4</v>
      </c>
      <c r="C335" s="4">
        <v>112.08</v>
      </c>
      <c r="D335">
        <v>1</v>
      </c>
    </row>
    <row r="336" spans="1:4" x14ac:dyDescent="0.25">
      <c r="A336" t="s">
        <v>9305</v>
      </c>
      <c r="B336">
        <v>365</v>
      </c>
      <c r="C336" s="4">
        <v>4199.2</v>
      </c>
      <c r="D336">
        <v>9</v>
      </c>
    </row>
    <row r="337" spans="1:4" x14ac:dyDescent="0.25">
      <c r="A337" t="s">
        <v>9306</v>
      </c>
      <c r="B337">
        <v>97</v>
      </c>
      <c r="C337" s="4">
        <v>2791.59</v>
      </c>
      <c r="D337">
        <v>2</v>
      </c>
    </row>
    <row r="338" spans="1:4" x14ac:dyDescent="0.25">
      <c r="A338" t="s">
        <v>9307</v>
      </c>
      <c r="B338">
        <v>92</v>
      </c>
      <c r="C338" s="4">
        <v>1411.44</v>
      </c>
      <c r="D338">
        <v>3</v>
      </c>
    </row>
    <row r="339" spans="1:4" x14ac:dyDescent="0.25">
      <c r="A339" t="s">
        <v>9308</v>
      </c>
      <c r="B339">
        <v>67</v>
      </c>
      <c r="C339" s="4">
        <v>1702.52</v>
      </c>
      <c r="D339">
        <v>2</v>
      </c>
    </row>
    <row r="340" spans="1:4" x14ac:dyDescent="0.25">
      <c r="A340" t="s">
        <v>9309</v>
      </c>
      <c r="B340">
        <v>18</v>
      </c>
      <c r="C340" s="4">
        <v>494.08</v>
      </c>
      <c r="D340">
        <v>2</v>
      </c>
    </row>
    <row r="341" spans="1:4" x14ac:dyDescent="0.25">
      <c r="A341" t="s">
        <v>9310</v>
      </c>
      <c r="B341">
        <v>45</v>
      </c>
      <c r="C341" s="4">
        <v>1693.88</v>
      </c>
      <c r="D341">
        <v>1</v>
      </c>
    </row>
    <row r="342" spans="1:4" x14ac:dyDescent="0.25">
      <c r="A342" t="s">
        <v>9311</v>
      </c>
      <c r="B342">
        <v>306</v>
      </c>
      <c r="C342" s="4">
        <v>6457.63</v>
      </c>
      <c r="D342">
        <v>7</v>
      </c>
    </row>
    <row r="343" spans="1:4" x14ac:dyDescent="0.25">
      <c r="A343" t="s">
        <v>9312</v>
      </c>
      <c r="B343">
        <v>32</v>
      </c>
      <c r="C343" s="4">
        <v>1143.5999999999999</v>
      </c>
      <c r="D343">
        <v>1</v>
      </c>
    </row>
    <row r="344" spans="1:4" x14ac:dyDescent="0.25">
      <c r="A344" t="s">
        <v>9313</v>
      </c>
      <c r="B344">
        <v>12</v>
      </c>
      <c r="C344" s="4">
        <v>1351.45</v>
      </c>
      <c r="D344">
        <v>1</v>
      </c>
    </row>
    <row r="345" spans="1:4" x14ac:dyDescent="0.25">
      <c r="A345" t="s">
        <v>9314</v>
      </c>
      <c r="B345">
        <v>54</v>
      </c>
      <c r="C345" s="4">
        <v>752.47</v>
      </c>
      <c r="D345">
        <v>1</v>
      </c>
    </row>
    <row r="346" spans="1:4" x14ac:dyDescent="0.25">
      <c r="A346" t="s">
        <v>9315</v>
      </c>
      <c r="B346">
        <v>61</v>
      </c>
      <c r="C346" s="4">
        <v>1281.04</v>
      </c>
      <c r="D346">
        <v>5</v>
      </c>
    </row>
    <row r="347" spans="1:4" x14ac:dyDescent="0.25">
      <c r="A347" t="s">
        <v>9316</v>
      </c>
      <c r="B347">
        <v>44</v>
      </c>
      <c r="C347" s="4">
        <v>693.23</v>
      </c>
      <c r="D347">
        <v>6</v>
      </c>
    </row>
    <row r="348" spans="1:4" x14ac:dyDescent="0.25">
      <c r="A348" t="s">
        <v>9317</v>
      </c>
      <c r="B348">
        <v>149</v>
      </c>
      <c r="C348" s="4">
        <v>3981.36</v>
      </c>
      <c r="D348">
        <v>8</v>
      </c>
    </row>
    <row r="349" spans="1:4" x14ac:dyDescent="0.25">
      <c r="A349" t="s">
        <v>9318</v>
      </c>
      <c r="B349">
        <v>24</v>
      </c>
      <c r="C349" s="4">
        <v>786.74</v>
      </c>
      <c r="D349">
        <v>2</v>
      </c>
    </row>
    <row r="350" spans="1:4" x14ac:dyDescent="0.25">
      <c r="A350" t="s">
        <v>9319</v>
      </c>
      <c r="B350">
        <v>98</v>
      </c>
      <c r="C350" s="4">
        <v>1938.92</v>
      </c>
      <c r="D350">
        <v>5</v>
      </c>
    </row>
    <row r="351" spans="1:4" x14ac:dyDescent="0.25">
      <c r="A351" t="s">
        <v>9320</v>
      </c>
      <c r="B351">
        <v>78</v>
      </c>
      <c r="C351" s="4">
        <v>1295.8699999999999</v>
      </c>
      <c r="D351">
        <v>4</v>
      </c>
    </row>
    <row r="352" spans="1:4" x14ac:dyDescent="0.25">
      <c r="A352" t="s">
        <v>9321</v>
      </c>
      <c r="B352">
        <v>58</v>
      </c>
      <c r="C352" s="4">
        <v>518.41999999999996</v>
      </c>
      <c r="D352">
        <v>1</v>
      </c>
    </row>
    <row r="353" spans="1:4" x14ac:dyDescent="0.25">
      <c r="A353" t="s">
        <v>9322</v>
      </c>
      <c r="B353">
        <v>13</v>
      </c>
      <c r="C353" s="4">
        <v>255.95</v>
      </c>
      <c r="D353">
        <v>1</v>
      </c>
    </row>
    <row r="354" spans="1:4" x14ac:dyDescent="0.25">
      <c r="A354" t="s">
        <v>9323</v>
      </c>
      <c r="B354">
        <v>17</v>
      </c>
      <c r="C354" s="4">
        <v>418.66</v>
      </c>
      <c r="D354">
        <v>3</v>
      </c>
    </row>
    <row r="355" spans="1:4" x14ac:dyDescent="0.25">
      <c r="A355" t="s">
        <v>9324</v>
      </c>
      <c r="B355">
        <v>3</v>
      </c>
      <c r="C355" s="4">
        <v>76.849999999999994</v>
      </c>
      <c r="D355">
        <v>1</v>
      </c>
    </row>
    <row r="356" spans="1:4" x14ac:dyDescent="0.25">
      <c r="A356" t="s">
        <v>9325</v>
      </c>
      <c r="B356">
        <v>20</v>
      </c>
      <c r="C356" s="4">
        <v>294.92</v>
      </c>
      <c r="D356">
        <v>1</v>
      </c>
    </row>
    <row r="357" spans="1:4" x14ac:dyDescent="0.25">
      <c r="A357" t="s">
        <v>9326</v>
      </c>
      <c r="B357">
        <v>1</v>
      </c>
      <c r="C357" s="4">
        <v>177.6</v>
      </c>
      <c r="D357">
        <v>1</v>
      </c>
    </row>
    <row r="358" spans="1:4" x14ac:dyDescent="0.25">
      <c r="A358" t="s">
        <v>9327</v>
      </c>
      <c r="B358">
        <v>24</v>
      </c>
      <c r="C358" s="4">
        <v>344.54</v>
      </c>
      <c r="D358">
        <v>1</v>
      </c>
    </row>
    <row r="359" spans="1:4" x14ac:dyDescent="0.25">
      <c r="A359" t="s">
        <v>9328</v>
      </c>
      <c r="B359">
        <v>22</v>
      </c>
      <c r="C359" s="4">
        <v>461.48</v>
      </c>
      <c r="D359">
        <v>2</v>
      </c>
    </row>
    <row r="360" spans="1:4" x14ac:dyDescent="0.25">
      <c r="A360" t="s">
        <v>9329</v>
      </c>
      <c r="B360">
        <v>45</v>
      </c>
      <c r="C360" s="4">
        <v>860.41</v>
      </c>
      <c r="D360">
        <v>2</v>
      </c>
    </row>
    <row r="361" spans="1:4" x14ac:dyDescent="0.25">
      <c r="A361" t="s">
        <v>9330</v>
      </c>
      <c r="B361">
        <v>13</v>
      </c>
      <c r="C361" s="4">
        <v>318.48</v>
      </c>
      <c r="D361">
        <v>1</v>
      </c>
    </row>
    <row r="362" spans="1:4" x14ac:dyDescent="0.25">
      <c r="A362" t="s">
        <v>9331</v>
      </c>
      <c r="B362">
        <v>12</v>
      </c>
      <c r="C362" s="4">
        <v>226.03</v>
      </c>
      <c r="D362">
        <v>1</v>
      </c>
    </row>
    <row r="363" spans="1:4" x14ac:dyDescent="0.25">
      <c r="A363" t="s">
        <v>9332</v>
      </c>
      <c r="B363">
        <v>8</v>
      </c>
      <c r="C363" s="4">
        <v>6977.04</v>
      </c>
      <c r="D363">
        <v>3</v>
      </c>
    </row>
    <row r="364" spans="1:4" x14ac:dyDescent="0.25">
      <c r="A364" t="s">
        <v>9333</v>
      </c>
      <c r="B364">
        <v>24</v>
      </c>
      <c r="C364" s="4">
        <v>397.58</v>
      </c>
      <c r="D364">
        <v>1</v>
      </c>
    </row>
    <row r="365" spans="1:4" x14ac:dyDescent="0.25">
      <c r="A365" t="s">
        <v>9334</v>
      </c>
      <c r="B365">
        <v>27</v>
      </c>
      <c r="C365" s="4">
        <v>455.65</v>
      </c>
      <c r="D365">
        <v>3</v>
      </c>
    </row>
    <row r="366" spans="1:4" x14ac:dyDescent="0.25">
      <c r="A366" t="s">
        <v>9335</v>
      </c>
      <c r="B366">
        <v>24</v>
      </c>
      <c r="C366" s="4">
        <v>405.31</v>
      </c>
      <c r="D366">
        <v>1</v>
      </c>
    </row>
    <row r="367" spans="1:4" x14ac:dyDescent="0.25">
      <c r="A367" t="s">
        <v>9336</v>
      </c>
      <c r="B367">
        <v>28</v>
      </c>
      <c r="C367" s="4">
        <v>458.85</v>
      </c>
      <c r="D367">
        <v>2</v>
      </c>
    </row>
    <row r="368" spans="1:4" x14ac:dyDescent="0.25">
      <c r="A368" t="s">
        <v>9337</v>
      </c>
      <c r="B368">
        <v>15</v>
      </c>
      <c r="C368" s="4">
        <v>229.64</v>
      </c>
      <c r="D368">
        <v>1</v>
      </c>
    </row>
    <row r="369" spans="1:4" x14ac:dyDescent="0.25">
      <c r="A369" t="s">
        <v>9338</v>
      </c>
      <c r="B369">
        <v>1</v>
      </c>
      <c r="C369" s="4">
        <v>85.92</v>
      </c>
      <c r="D369">
        <v>1</v>
      </c>
    </row>
    <row r="370" spans="1:4" x14ac:dyDescent="0.25">
      <c r="A370" t="s">
        <v>9339</v>
      </c>
      <c r="B370">
        <v>45</v>
      </c>
      <c r="C370" s="4">
        <v>863.46</v>
      </c>
      <c r="D370">
        <v>2</v>
      </c>
    </row>
    <row r="371" spans="1:4" x14ac:dyDescent="0.25">
      <c r="A371" t="s">
        <v>9340</v>
      </c>
      <c r="B371">
        <v>27</v>
      </c>
      <c r="C371" s="4">
        <v>452.2</v>
      </c>
      <c r="D371">
        <v>2</v>
      </c>
    </row>
    <row r="372" spans="1:4" x14ac:dyDescent="0.25">
      <c r="A372" t="s">
        <v>9341</v>
      </c>
      <c r="B372">
        <v>3</v>
      </c>
      <c r="C372" s="4">
        <v>126.04</v>
      </c>
      <c r="D372">
        <v>1</v>
      </c>
    </row>
    <row r="373" spans="1:4" x14ac:dyDescent="0.25">
      <c r="A373" t="s">
        <v>9342</v>
      </c>
      <c r="B373">
        <v>13</v>
      </c>
      <c r="C373" s="4">
        <v>1182.08</v>
      </c>
      <c r="D373">
        <v>1</v>
      </c>
    </row>
    <row r="374" spans="1:4" x14ac:dyDescent="0.25">
      <c r="A374" t="s">
        <v>9343</v>
      </c>
      <c r="B374">
        <v>59</v>
      </c>
      <c r="C374" s="4">
        <v>942.34</v>
      </c>
      <c r="D374">
        <v>4</v>
      </c>
    </row>
    <row r="375" spans="1:4" x14ac:dyDescent="0.25">
      <c r="A375" t="s">
        <v>9344</v>
      </c>
      <c r="B375">
        <v>6</v>
      </c>
      <c r="C375" s="4">
        <v>92.72</v>
      </c>
      <c r="D375">
        <v>1</v>
      </c>
    </row>
    <row r="376" spans="1:4" x14ac:dyDescent="0.25">
      <c r="A376" t="s">
        <v>9345</v>
      </c>
      <c r="B376">
        <v>46</v>
      </c>
      <c r="C376" s="4">
        <v>948.88</v>
      </c>
      <c r="D376">
        <v>2</v>
      </c>
    </row>
    <row r="377" spans="1:4" x14ac:dyDescent="0.25">
      <c r="A377" t="s">
        <v>9346</v>
      </c>
      <c r="B377">
        <v>5</v>
      </c>
      <c r="C377" s="4">
        <v>1759.5</v>
      </c>
      <c r="D377">
        <v>5</v>
      </c>
    </row>
    <row r="378" spans="1:4" x14ac:dyDescent="0.25">
      <c r="A378" t="s">
        <v>9347</v>
      </c>
      <c r="B378">
        <v>25</v>
      </c>
      <c r="C378" s="4">
        <v>397.12</v>
      </c>
      <c r="D378">
        <v>1</v>
      </c>
    </row>
    <row r="379" spans="1:4" x14ac:dyDescent="0.25">
      <c r="A379" t="s">
        <v>9348</v>
      </c>
      <c r="B379">
        <v>91</v>
      </c>
      <c r="C379" s="4">
        <v>1474.72</v>
      </c>
      <c r="D379">
        <v>7</v>
      </c>
    </row>
    <row r="380" spans="1:4" x14ac:dyDescent="0.25">
      <c r="A380" t="s">
        <v>9349</v>
      </c>
      <c r="B380">
        <v>25</v>
      </c>
      <c r="C380" s="4">
        <v>430.15</v>
      </c>
      <c r="D380">
        <v>3</v>
      </c>
    </row>
    <row r="381" spans="1:4" x14ac:dyDescent="0.25">
      <c r="A381" t="s">
        <v>9350</v>
      </c>
      <c r="B381">
        <v>56</v>
      </c>
      <c r="C381" s="4">
        <v>1018.71</v>
      </c>
      <c r="D381">
        <v>6</v>
      </c>
    </row>
    <row r="382" spans="1:4" x14ac:dyDescent="0.25">
      <c r="A382" t="s">
        <v>9351</v>
      </c>
      <c r="B382">
        <v>11</v>
      </c>
      <c r="C382" s="4">
        <v>293</v>
      </c>
      <c r="D382">
        <v>2</v>
      </c>
    </row>
    <row r="383" spans="1:4" x14ac:dyDescent="0.25">
      <c r="A383" t="s">
        <v>9352</v>
      </c>
      <c r="B383">
        <v>38</v>
      </c>
      <c r="C383" s="4">
        <v>6814.64</v>
      </c>
      <c r="D383">
        <v>6</v>
      </c>
    </row>
    <row r="384" spans="1:4" x14ac:dyDescent="0.25">
      <c r="A384" t="s">
        <v>9353</v>
      </c>
      <c r="B384">
        <v>9</v>
      </c>
      <c r="C384" s="4">
        <v>215.05</v>
      </c>
      <c r="D384">
        <v>1</v>
      </c>
    </row>
    <row r="385" spans="1:4" x14ac:dyDescent="0.25">
      <c r="A385" t="s">
        <v>9354</v>
      </c>
      <c r="B385">
        <v>27</v>
      </c>
      <c r="C385" s="4">
        <v>383.03</v>
      </c>
      <c r="D385">
        <v>2</v>
      </c>
    </row>
    <row r="386" spans="1:4" x14ac:dyDescent="0.25">
      <c r="A386" t="s">
        <v>9355</v>
      </c>
      <c r="B386">
        <v>24</v>
      </c>
      <c r="C386" s="4">
        <v>417.38</v>
      </c>
      <c r="D386">
        <v>1</v>
      </c>
    </row>
    <row r="387" spans="1:4" x14ac:dyDescent="0.25">
      <c r="A387" t="s">
        <v>9356</v>
      </c>
      <c r="B387">
        <v>18</v>
      </c>
      <c r="C387" s="4">
        <v>312.38</v>
      </c>
      <c r="D387">
        <v>1</v>
      </c>
    </row>
    <row r="388" spans="1:4" x14ac:dyDescent="0.25">
      <c r="A388" t="s">
        <v>9357</v>
      </c>
      <c r="B388">
        <v>175</v>
      </c>
      <c r="C388" s="4">
        <v>2612.86</v>
      </c>
      <c r="D388">
        <v>4</v>
      </c>
    </row>
    <row r="389" spans="1:4" x14ac:dyDescent="0.25">
      <c r="A389" t="s">
        <v>9358</v>
      </c>
      <c r="B389">
        <v>12</v>
      </c>
      <c r="C389" s="4">
        <v>134.1</v>
      </c>
      <c r="D389">
        <v>1</v>
      </c>
    </row>
    <row r="390" spans="1:4" x14ac:dyDescent="0.25">
      <c r="A390" t="s">
        <v>9359</v>
      </c>
      <c r="B390">
        <v>123</v>
      </c>
      <c r="C390" s="4">
        <v>683.13</v>
      </c>
      <c r="D390">
        <v>2</v>
      </c>
    </row>
    <row r="391" spans="1:4" x14ac:dyDescent="0.25">
      <c r="A391" t="s">
        <v>9360</v>
      </c>
      <c r="B391">
        <v>314</v>
      </c>
      <c r="C391" s="4">
        <v>5591.42</v>
      </c>
      <c r="D391">
        <v>14</v>
      </c>
    </row>
    <row r="392" spans="1:4" x14ac:dyDescent="0.25">
      <c r="A392" t="s">
        <v>9361</v>
      </c>
      <c r="B392">
        <v>113</v>
      </c>
      <c r="C392" s="4">
        <v>2726.77</v>
      </c>
      <c r="D392">
        <v>4</v>
      </c>
    </row>
    <row r="393" spans="1:4" x14ac:dyDescent="0.25">
      <c r="A393" t="s">
        <v>9362</v>
      </c>
      <c r="B393">
        <v>420</v>
      </c>
      <c r="C393" s="4">
        <v>4022.35</v>
      </c>
      <c r="D393">
        <v>25</v>
      </c>
    </row>
    <row r="394" spans="1:4" x14ac:dyDescent="0.25">
      <c r="A394" t="s">
        <v>9363</v>
      </c>
      <c r="B394">
        <v>34</v>
      </c>
      <c r="C394" s="4">
        <v>1118.99</v>
      </c>
      <c r="D394">
        <v>2</v>
      </c>
    </row>
    <row r="395" spans="1:4" x14ac:dyDescent="0.25">
      <c r="A395" t="s">
        <v>9364</v>
      </c>
      <c r="B395">
        <v>103</v>
      </c>
      <c r="C395" s="4">
        <v>1702.26</v>
      </c>
      <c r="D395">
        <v>8</v>
      </c>
    </row>
    <row r="396" spans="1:4" x14ac:dyDescent="0.25">
      <c r="A396" t="s">
        <v>9365</v>
      </c>
      <c r="B396">
        <v>52</v>
      </c>
      <c r="C396" s="4">
        <v>325.95999999999998</v>
      </c>
      <c r="D396">
        <v>2</v>
      </c>
    </row>
    <row r="397" spans="1:4" x14ac:dyDescent="0.25">
      <c r="A397" t="s">
        <v>9366</v>
      </c>
      <c r="B397">
        <v>27</v>
      </c>
      <c r="C397" s="4">
        <v>354.09</v>
      </c>
      <c r="D397">
        <v>4</v>
      </c>
    </row>
    <row r="398" spans="1:4" x14ac:dyDescent="0.25">
      <c r="A398" t="s">
        <v>9367</v>
      </c>
      <c r="B398">
        <v>91</v>
      </c>
      <c r="C398" s="4">
        <v>871.54</v>
      </c>
      <c r="D398">
        <v>1</v>
      </c>
    </row>
    <row r="399" spans="1:4" x14ac:dyDescent="0.25">
      <c r="A399" t="s">
        <v>9368</v>
      </c>
      <c r="B399">
        <v>49</v>
      </c>
      <c r="C399" s="4">
        <v>1033.25</v>
      </c>
      <c r="D399">
        <v>2</v>
      </c>
    </row>
    <row r="400" spans="1:4" x14ac:dyDescent="0.25">
      <c r="A400" t="s">
        <v>9369</v>
      </c>
      <c r="B400">
        <v>50</v>
      </c>
      <c r="C400" s="4">
        <v>135.18</v>
      </c>
      <c r="D400">
        <v>1</v>
      </c>
    </row>
    <row r="401" spans="1:4" x14ac:dyDescent="0.25">
      <c r="A401" t="s">
        <v>9370</v>
      </c>
      <c r="B401">
        <v>17</v>
      </c>
      <c r="C401" s="4">
        <v>311.55</v>
      </c>
      <c r="D401">
        <v>1</v>
      </c>
    </row>
    <row r="402" spans="1:4" x14ac:dyDescent="0.25">
      <c r="A402" t="s">
        <v>9371</v>
      </c>
      <c r="B402">
        <v>78</v>
      </c>
      <c r="C402" s="4">
        <v>1957.1</v>
      </c>
      <c r="D402">
        <v>6</v>
      </c>
    </row>
    <row r="403" spans="1:4" x14ac:dyDescent="0.25">
      <c r="A403" t="s">
        <v>9372</v>
      </c>
      <c r="B403">
        <v>110</v>
      </c>
      <c r="C403" s="4">
        <v>1324.5</v>
      </c>
      <c r="D403">
        <v>3</v>
      </c>
    </row>
    <row r="404" spans="1:4" x14ac:dyDescent="0.25">
      <c r="A404" t="s">
        <v>9373</v>
      </c>
      <c r="B404">
        <v>3</v>
      </c>
      <c r="C404" s="4">
        <v>38.1</v>
      </c>
      <c r="D404">
        <v>1</v>
      </c>
    </row>
    <row r="405" spans="1:4" x14ac:dyDescent="0.25">
      <c r="A405" t="s">
        <v>9374</v>
      </c>
      <c r="B405">
        <v>314</v>
      </c>
      <c r="C405" s="4">
        <v>2179.9299999999998</v>
      </c>
      <c r="D405">
        <v>6</v>
      </c>
    </row>
    <row r="406" spans="1:4" x14ac:dyDescent="0.25">
      <c r="A406" t="s">
        <v>9375</v>
      </c>
      <c r="B406">
        <v>46</v>
      </c>
      <c r="C406" s="4">
        <v>1106.4000000000001</v>
      </c>
      <c r="D406">
        <v>2</v>
      </c>
    </row>
    <row r="407" spans="1:4" x14ac:dyDescent="0.25">
      <c r="A407" t="s">
        <v>9376</v>
      </c>
      <c r="B407">
        <v>5</v>
      </c>
      <c r="C407" s="4">
        <v>521.20000000000005</v>
      </c>
      <c r="D407">
        <v>1</v>
      </c>
    </row>
    <row r="408" spans="1:4" x14ac:dyDescent="0.25">
      <c r="A408" t="s">
        <v>9377</v>
      </c>
      <c r="B408">
        <v>3</v>
      </c>
      <c r="C408" s="4">
        <v>147.12</v>
      </c>
      <c r="D408">
        <v>1</v>
      </c>
    </row>
    <row r="409" spans="1:4" x14ac:dyDescent="0.25">
      <c r="A409" t="s">
        <v>9378</v>
      </c>
      <c r="B409">
        <v>95</v>
      </c>
      <c r="C409" s="4">
        <v>1568.23</v>
      </c>
      <c r="D409">
        <v>2</v>
      </c>
    </row>
    <row r="410" spans="1:4" x14ac:dyDescent="0.25">
      <c r="A410" t="s">
        <v>9379</v>
      </c>
      <c r="B410">
        <v>25</v>
      </c>
      <c r="C410" s="4">
        <v>499.12</v>
      </c>
      <c r="D410">
        <v>1</v>
      </c>
    </row>
    <row r="411" spans="1:4" x14ac:dyDescent="0.25">
      <c r="A411" t="s">
        <v>9380</v>
      </c>
      <c r="B411">
        <v>538</v>
      </c>
      <c r="C411" s="4">
        <v>4036.82</v>
      </c>
      <c r="D411">
        <v>7</v>
      </c>
    </row>
    <row r="412" spans="1:4" x14ac:dyDescent="0.25">
      <c r="A412" t="s">
        <v>9381</v>
      </c>
      <c r="B412">
        <v>107</v>
      </c>
      <c r="C412" s="4">
        <v>1607.06</v>
      </c>
      <c r="D412">
        <v>6</v>
      </c>
    </row>
    <row r="413" spans="1:4" x14ac:dyDescent="0.25">
      <c r="A413" t="s">
        <v>9382</v>
      </c>
      <c r="B413">
        <v>11</v>
      </c>
      <c r="C413" s="4">
        <v>380.64</v>
      </c>
      <c r="D413">
        <v>2</v>
      </c>
    </row>
    <row r="414" spans="1:4" x14ac:dyDescent="0.25">
      <c r="A414" t="s">
        <v>9383</v>
      </c>
      <c r="B414">
        <v>66</v>
      </c>
      <c r="C414" s="4">
        <v>599.97</v>
      </c>
      <c r="D414">
        <v>2</v>
      </c>
    </row>
    <row r="415" spans="1:4" x14ac:dyDescent="0.25">
      <c r="A415" t="s">
        <v>9384</v>
      </c>
      <c r="B415">
        <v>4</v>
      </c>
      <c r="C415" s="4">
        <v>374</v>
      </c>
      <c r="D415">
        <v>1</v>
      </c>
    </row>
    <row r="416" spans="1:4" x14ac:dyDescent="0.25">
      <c r="A416" t="s">
        <v>9385</v>
      </c>
      <c r="B416">
        <v>2</v>
      </c>
      <c r="C416" s="4">
        <v>343.23</v>
      </c>
      <c r="D416">
        <v>2</v>
      </c>
    </row>
    <row r="417" spans="1:4" x14ac:dyDescent="0.25">
      <c r="A417" t="s">
        <v>9386</v>
      </c>
      <c r="B417">
        <v>83</v>
      </c>
      <c r="C417" s="4">
        <v>2053.02</v>
      </c>
      <c r="D417">
        <v>2</v>
      </c>
    </row>
    <row r="418" spans="1:4" x14ac:dyDescent="0.25">
      <c r="A418" t="s">
        <v>9387</v>
      </c>
      <c r="B418">
        <v>154</v>
      </c>
      <c r="C418" s="4">
        <v>1535.77</v>
      </c>
      <c r="D418">
        <v>12</v>
      </c>
    </row>
    <row r="419" spans="1:4" x14ac:dyDescent="0.25">
      <c r="A419" t="s">
        <v>9388</v>
      </c>
      <c r="B419">
        <v>47</v>
      </c>
      <c r="C419" s="4">
        <v>854.99</v>
      </c>
      <c r="D419">
        <v>2</v>
      </c>
    </row>
    <row r="420" spans="1:4" x14ac:dyDescent="0.25">
      <c r="A420" t="s">
        <v>9389</v>
      </c>
      <c r="B420">
        <v>10</v>
      </c>
      <c r="C420" s="4">
        <v>573.22</v>
      </c>
      <c r="D420">
        <v>3</v>
      </c>
    </row>
    <row r="421" spans="1:4" x14ac:dyDescent="0.25">
      <c r="A421" t="s">
        <v>9390</v>
      </c>
      <c r="B421">
        <v>7</v>
      </c>
      <c r="C421" s="4">
        <v>298</v>
      </c>
      <c r="D421">
        <v>1</v>
      </c>
    </row>
    <row r="422" spans="1:4" x14ac:dyDescent="0.25">
      <c r="A422" t="s">
        <v>9391</v>
      </c>
      <c r="B422">
        <v>13</v>
      </c>
      <c r="C422" s="4">
        <v>1463.04</v>
      </c>
      <c r="D422">
        <v>2</v>
      </c>
    </row>
    <row r="423" spans="1:4" x14ac:dyDescent="0.25">
      <c r="A423" t="s">
        <v>9392</v>
      </c>
      <c r="B423">
        <v>42</v>
      </c>
      <c r="C423" s="4">
        <v>703.47</v>
      </c>
      <c r="D423">
        <v>4</v>
      </c>
    </row>
    <row r="424" spans="1:4" x14ac:dyDescent="0.25">
      <c r="A424" t="s">
        <v>9393</v>
      </c>
      <c r="B424">
        <v>7</v>
      </c>
      <c r="C424" s="4">
        <v>309.05</v>
      </c>
      <c r="D424">
        <v>1</v>
      </c>
    </row>
    <row r="425" spans="1:4" x14ac:dyDescent="0.25">
      <c r="A425" t="s">
        <v>9394</v>
      </c>
      <c r="B425">
        <v>71</v>
      </c>
      <c r="C425" s="4">
        <v>1175.22</v>
      </c>
      <c r="D425">
        <v>3</v>
      </c>
    </row>
    <row r="426" spans="1:4" x14ac:dyDescent="0.25">
      <c r="A426" t="s">
        <v>9395</v>
      </c>
      <c r="B426">
        <v>82</v>
      </c>
      <c r="C426" s="4">
        <v>1378.4</v>
      </c>
      <c r="D426">
        <v>2</v>
      </c>
    </row>
    <row r="427" spans="1:4" x14ac:dyDescent="0.25">
      <c r="A427" t="s">
        <v>9396</v>
      </c>
      <c r="B427">
        <v>5</v>
      </c>
      <c r="C427" s="4">
        <v>354.12</v>
      </c>
      <c r="D427">
        <v>2</v>
      </c>
    </row>
    <row r="428" spans="1:4" x14ac:dyDescent="0.25">
      <c r="A428" t="s">
        <v>9397</v>
      </c>
      <c r="B428">
        <v>82</v>
      </c>
      <c r="C428" s="4">
        <v>380.47</v>
      </c>
      <c r="D428">
        <v>1</v>
      </c>
    </row>
    <row r="429" spans="1:4" x14ac:dyDescent="0.25">
      <c r="A429" t="s">
        <v>9398</v>
      </c>
      <c r="B429">
        <v>3</v>
      </c>
      <c r="C429" s="4">
        <v>331</v>
      </c>
      <c r="D429">
        <v>3</v>
      </c>
    </row>
    <row r="430" spans="1:4" x14ac:dyDescent="0.25">
      <c r="A430" t="s">
        <v>9399</v>
      </c>
      <c r="B430">
        <v>34</v>
      </c>
      <c r="C430" s="4">
        <v>188.14</v>
      </c>
      <c r="D430">
        <v>1</v>
      </c>
    </row>
    <row r="431" spans="1:4" x14ac:dyDescent="0.25">
      <c r="A431" t="s">
        <v>9400</v>
      </c>
      <c r="B431">
        <v>22</v>
      </c>
      <c r="C431" s="4">
        <v>372.8</v>
      </c>
      <c r="D431">
        <v>2</v>
      </c>
    </row>
    <row r="432" spans="1:4" x14ac:dyDescent="0.25">
      <c r="A432" t="s">
        <v>9401</v>
      </c>
      <c r="B432">
        <v>4</v>
      </c>
      <c r="C432" s="4">
        <v>216.5</v>
      </c>
      <c r="D432">
        <v>2</v>
      </c>
    </row>
    <row r="433" spans="1:4" x14ac:dyDescent="0.25">
      <c r="A433" t="s">
        <v>9402</v>
      </c>
      <c r="B433">
        <v>116</v>
      </c>
      <c r="C433" s="4">
        <v>17654.54</v>
      </c>
      <c r="D433">
        <v>28</v>
      </c>
    </row>
    <row r="434" spans="1:4" x14ac:dyDescent="0.25">
      <c r="A434" t="s">
        <v>9403</v>
      </c>
      <c r="B434">
        <v>10</v>
      </c>
      <c r="C434" s="4">
        <v>138.68</v>
      </c>
      <c r="D434">
        <v>1</v>
      </c>
    </row>
    <row r="435" spans="1:4" x14ac:dyDescent="0.25">
      <c r="A435" t="s">
        <v>9404</v>
      </c>
      <c r="B435">
        <v>72</v>
      </c>
      <c r="C435" s="4">
        <v>509.58</v>
      </c>
      <c r="D435">
        <v>2</v>
      </c>
    </row>
    <row r="436" spans="1:4" x14ac:dyDescent="0.25">
      <c r="A436" t="s">
        <v>9405</v>
      </c>
      <c r="B436">
        <v>63</v>
      </c>
      <c r="C436" s="4">
        <v>2919.81</v>
      </c>
      <c r="D436">
        <v>5</v>
      </c>
    </row>
    <row r="437" spans="1:4" x14ac:dyDescent="0.25">
      <c r="A437" t="s">
        <v>9406</v>
      </c>
      <c r="B437">
        <v>2</v>
      </c>
      <c r="C437" s="4">
        <v>750</v>
      </c>
      <c r="D437">
        <v>2</v>
      </c>
    </row>
    <row r="438" spans="1:4" x14ac:dyDescent="0.25">
      <c r="A438" t="s">
        <v>4231</v>
      </c>
      <c r="B438">
        <v>91</v>
      </c>
      <c r="C438" s="4">
        <v>2178.67</v>
      </c>
      <c r="D438">
        <v>5</v>
      </c>
    </row>
    <row r="439" spans="1:4" x14ac:dyDescent="0.25">
      <c r="A439" t="s">
        <v>9407</v>
      </c>
      <c r="B439">
        <v>75</v>
      </c>
      <c r="C439" s="4">
        <v>3075.04</v>
      </c>
      <c r="D439">
        <v>8</v>
      </c>
    </row>
    <row r="440" spans="1:4" x14ac:dyDescent="0.25">
      <c r="A440" t="s">
        <v>9408</v>
      </c>
      <c r="B440">
        <v>24</v>
      </c>
      <c r="C440" s="4">
        <v>1662.3</v>
      </c>
      <c r="D440">
        <v>5</v>
      </c>
    </row>
    <row r="441" spans="1:4" x14ac:dyDescent="0.25">
      <c r="A441" t="s">
        <v>9409</v>
      </c>
      <c r="B441">
        <v>50</v>
      </c>
      <c r="C441" s="4">
        <v>2483.63</v>
      </c>
      <c r="D441">
        <v>5</v>
      </c>
    </row>
    <row r="442" spans="1:4" x14ac:dyDescent="0.25">
      <c r="A442" t="s">
        <v>9410</v>
      </c>
      <c r="B442">
        <v>22</v>
      </c>
      <c r="C442" s="4">
        <v>363.65</v>
      </c>
      <c r="D442">
        <v>2</v>
      </c>
    </row>
    <row r="443" spans="1:4" x14ac:dyDescent="0.25">
      <c r="A443" t="s">
        <v>9411</v>
      </c>
      <c r="B443">
        <v>107</v>
      </c>
      <c r="C443" s="4">
        <v>3006.15</v>
      </c>
      <c r="D443">
        <v>4</v>
      </c>
    </row>
    <row r="444" spans="1:4" x14ac:dyDescent="0.25">
      <c r="A444" t="s">
        <v>9412</v>
      </c>
      <c r="B444">
        <v>2</v>
      </c>
      <c r="C444" s="4">
        <v>594</v>
      </c>
      <c r="D444">
        <v>1</v>
      </c>
    </row>
    <row r="445" spans="1:4" x14ac:dyDescent="0.25">
      <c r="A445" t="s">
        <v>9413</v>
      </c>
      <c r="B445">
        <v>50</v>
      </c>
      <c r="C445" s="4">
        <v>1335.19</v>
      </c>
      <c r="D445">
        <v>6</v>
      </c>
    </row>
    <row r="446" spans="1:4" x14ac:dyDescent="0.25">
      <c r="A446" t="s">
        <v>9414</v>
      </c>
      <c r="B446">
        <v>28</v>
      </c>
      <c r="C446" s="4">
        <v>164.23</v>
      </c>
      <c r="D446">
        <v>1</v>
      </c>
    </row>
    <row r="447" spans="1:4" x14ac:dyDescent="0.25">
      <c r="A447" t="s">
        <v>9415</v>
      </c>
      <c r="B447">
        <v>720</v>
      </c>
      <c r="C447" s="4">
        <v>16587.09</v>
      </c>
      <c r="D447">
        <v>37</v>
      </c>
    </row>
    <row r="448" spans="1:4" x14ac:dyDescent="0.25">
      <c r="A448" t="s">
        <v>9416</v>
      </c>
      <c r="B448">
        <v>28</v>
      </c>
      <c r="C448" s="4">
        <v>405.38</v>
      </c>
      <c r="D448">
        <v>1</v>
      </c>
    </row>
    <row r="449" spans="1:4" x14ac:dyDescent="0.25">
      <c r="A449" t="s">
        <v>9417</v>
      </c>
      <c r="B449">
        <v>28</v>
      </c>
      <c r="C449" s="4">
        <v>175.72</v>
      </c>
      <c r="D449">
        <v>1</v>
      </c>
    </row>
    <row r="450" spans="1:4" x14ac:dyDescent="0.25">
      <c r="A450" t="s">
        <v>9418</v>
      </c>
      <c r="B450">
        <v>29</v>
      </c>
      <c r="C450" s="4">
        <v>925.75</v>
      </c>
      <c r="D450">
        <v>4</v>
      </c>
    </row>
    <row r="451" spans="1:4" x14ac:dyDescent="0.25">
      <c r="A451" t="s">
        <v>9419</v>
      </c>
      <c r="B451">
        <v>45</v>
      </c>
      <c r="C451" s="4">
        <v>694.05</v>
      </c>
      <c r="D451">
        <v>2</v>
      </c>
    </row>
    <row r="452" spans="1:4" x14ac:dyDescent="0.25">
      <c r="A452" t="s">
        <v>9420</v>
      </c>
      <c r="B452">
        <v>84</v>
      </c>
      <c r="C452" s="4">
        <v>2062.6999999999998</v>
      </c>
      <c r="D452">
        <v>5</v>
      </c>
    </row>
    <row r="453" spans="1:4" x14ac:dyDescent="0.25">
      <c r="A453" t="s">
        <v>9421</v>
      </c>
      <c r="B453">
        <v>8</v>
      </c>
      <c r="C453" s="4">
        <v>117.85</v>
      </c>
      <c r="D453">
        <v>1</v>
      </c>
    </row>
    <row r="454" spans="1:4" x14ac:dyDescent="0.25">
      <c r="A454" t="s">
        <v>9422</v>
      </c>
      <c r="B454">
        <v>25</v>
      </c>
      <c r="C454" s="4">
        <v>415.8</v>
      </c>
      <c r="D454">
        <v>2</v>
      </c>
    </row>
    <row r="455" spans="1:4" x14ac:dyDescent="0.25">
      <c r="A455" t="s">
        <v>9423</v>
      </c>
      <c r="B455">
        <v>82</v>
      </c>
      <c r="C455" s="4">
        <v>42055.96</v>
      </c>
      <c r="D455">
        <v>15</v>
      </c>
    </row>
    <row r="456" spans="1:4" x14ac:dyDescent="0.25">
      <c r="A456" t="s">
        <v>9424</v>
      </c>
      <c r="B456">
        <v>106</v>
      </c>
      <c r="C456" s="4">
        <v>607.53</v>
      </c>
      <c r="D456">
        <v>3</v>
      </c>
    </row>
    <row r="457" spans="1:4" x14ac:dyDescent="0.25">
      <c r="A457" t="s">
        <v>9425</v>
      </c>
      <c r="B457">
        <v>129</v>
      </c>
      <c r="C457" s="4">
        <v>2160.6999999999998</v>
      </c>
      <c r="D457">
        <v>7</v>
      </c>
    </row>
    <row r="458" spans="1:4" x14ac:dyDescent="0.25">
      <c r="A458" t="s">
        <v>9426</v>
      </c>
      <c r="B458">
        <v>62</v>
      </c>
      <c r="C458" s="4">
        <v>1063.9000000000001</v>
      </c>
      <c r="D458">
        <v>4</v>
      </c>
    </row>
    <row r="459" spans="1:4" x14ac:dyDescent="0.25">
      <c r="A459" t="s">
        <v>9427</v>
      </c>
      <c r="B459">
        <v>120</v>
      </c>
      <c r="C459" s="4">
        <v>1504.27</v>
      </c>
      <c r="D459">
        <v>4</v>
      </c>
    </row>
    <row r="460" spans="1:4" x14ac:dyDescent="0.25">
      <c r="A460" t="s">
        <v>9428</v>
      </c>
      <c r="B460">
        <v>9</v>
      </c>
      <c r="C460" s="4">
        <v>114.14</v>
      </c>
      <c r="D460">
        <v>1</v>
      </c>
    </row>
    <row r="461" spans="1:4" x14ac:dyDescent="0.25">
      <c r="A461" t="s">
        <v>9429</v>
      </c>
      <c r="B461">
        <v>47</v>
      </c>
      <c r="C461" s="4">
        <v>11581.8</v>
      </c>
      <c r="D461">
        <v>8</v>
      </c>
    </row>
    <row r="462" spans="1:4" x14ac:dyDescent="0.25">
      <c r="A462" t="s">
        <v>9430</v>
      </c>
      <c r="B462">
        <v>99</v>
      </c>
      <c r="C462" s="4">
        <v>913.54</v>
      </c>
      <c r="D462">
        <v>2</v>
      </c>
    </row>
    <row r="463" spans="1:4" x14ac:dyDescent="0.25">
      <c r="A463" t="s">
        <v>9431</v>
      </c>
      <c r="B463">
        <v>75</v>
      </c>
      <c r="C463" s="4">
        <v>683.9</v>
      </c>
      <c r="D463">
        <v>3</v>
      </c>
    </row>
    <row r="464" spans="1:4" x14ac:dyDescent="0.25">
      <c r="A464" t="s">
        <v>9432</v>
      </c>
      <c r="B464">
        <v>30</v>
      </c>
      <c r="C464" s="4">
        <v>604.51</v>
      </c>
      <c r="D464">
        <v>2</v>
      </c>
    </row>
    <row r="465" spans="1:4" x14ac:dyDescent="0.25">
      <c r="A465" t="s">
        <v>9433</v>
      </c>
      <c r="B465">
        <v>23</v>
      </c>
      <c r="C465" s="4">
        <v>462.95</v>
      </c>
      <c r="D465">
        <v>1</v>
      </c>
    </row>
    <row r="466" spans="1:4" x14ac:dyDescent="0.25">
      <c r="A466" t="s">
        <v>9434</v>
      </c>
      <c r="B466">
        <v>97</v>
      </c>
      <c r="C466" s="4">
        <v>1603.99</v>
      </c>
      <c r="D466">
        <v>6</v>
      </c>
    </row>
    <row r="467" spans="1:4" x14ac:dyDescent="0.25">
      <c r="A467" t="s">
        <v>9435</v>
      </c>
      <c r="B467">
        <v>116</v>
      </c>
      <c r="C467" s="4">
        <v>2064.9499999999998</v>
      </c>
      <c r="D467">
        <v>7</v>
      </c>
    </row>
    <row r="468" spans="1:4" x14ac:dyDescent="0.25">
      <c r="A468" t="s">
        <v>9436</v>
      </c>
      <c r="B468">
        <v>215</v>
      </c>
      <c r="C468" s="4">
        <v>4167.22</v>
      </c>
      <c r="D468">
        <v>8</v>
      </c>
    </row>
    <row r="469" spans="1:4" x14ac:dyDescent="0.25">
      <c r="A469" t="s">
        <v>9437</v>
      </c>
      <c r="B469">
        <v>23</v>
      </c>
      <c r="C469" s="4">
        <v>1843</v>
      </c>
      <c r="D469">
        <v>3</v>
      </c>
    </row>
    <row r="470" spans="1:4" x14ac:dyDescent="0.25">
      <c r="A470" t="s">
        <v>9438</v>
      </c>
      <c r="B470">
        <v>63</v>
      </c>
      <c r="C470" s="4">
        <v>1064.07</v>
      </c>
      <c r="D470">
        <v>6</v>
      </c>
    </row>
    <row r="471" spans="1:4" x14ac:dyDescent="0.25">
      <c r="A471" t="s">
        <v>9439</v>
      </c>
      <c r="B471">
        <v>79</v>
      </c>
      <c r="C471" s="4">
        <v>1387.79</v>
      </c>
      <c r="D471">
        <v>4</v>
      </c>
    </row>
    <row r="472" spans="1:4" x14ac:dyDescent="0.25">
      <c r="A472" t="s">
        <v>9440</v>
      </c>
      <c r="B472">
        <v>17</v>
      </c>
      <c r="C472" s="4">
        <v>329.85</v>
      </c>
      <c r="D472">
        <v>1</v>
      </c>
    </row>
    <row r="473" spans="1:4" x14ac:dyDescent="0.25">
      <c r="A473" t="s">
        <v>9441</v>
      </c>
      <c r="B473">
        <v>180</v>
      </c>
      <c r="C473" s="4">
        <v>4757.16</v>
      </c>
      <c r="D473">
        <v>11</v>
      </c>
    </row>
    <row r="474" spans="1:4" x14ac:dyDescent="0.25">
      <c r="A474" t="s">
        <v>9442</v>
      </c>
      <c r="B474">
        <v>19</v>
      </c>
      <c r="C474" s="4">
        <v>108.07</v>
      </c>
      <c r="D474">
        <v>1</v>
      </c>
    </row>
    <row r="475" spans="1:4" x14ac:dyDescent="0.25">
      <c r="A475" t="s">
        <v>9443</v>
      </c>
      <c r="B475">
        <v>238</v>
      </c>
      <c r="C475" s="4">
        <v>4017.54</v>
      </c>
      <c r="D475">
        <v>8</v>
      </c>
    </row>
    <row r="476" spans="1:4" x14ac:dyDescent="0.25">
      <c r="A476" t="s">
        <v>9444</v>
      </c>
      <c r="B476">
        <v>16</v>
      </c>
      <c r="C476" s="4">
        <v>266.39</v>
      </c>
      <c r="D476">
        <v>2</v>
      </c>
    </row>
    <row r="477" spans="1:4" x14ac:dyDescent="0.25">
      <c r="A477" t="s">
        <v>9445</v>
      </c>
      <c r="B477">
        <v>95</v>
      </c>
      <c r="C477" s="4">
        <v>1856.63</v>
      </c>
      <c r="D477">
        <v>8</v>
      </c>
    </row>
    <row r="478" spans="1:4" x14ac:dyDescent="0.25">
      <c r="A478" t="s">
        <v>9446</v>
      </c>
      <c r="B478">
        <v>109</v>
      </c>
      <c r="C478" s="4">
        <v>771.91</v>
      </c>
      <c r="D478">
        <v>1</v>
      </c>
    </row>
    <row r="479" spans="1:4" x14ac:dyDescent="0.25">
      <c r="A479" t="s">
        <v>9447</v>
      </c>
      <c r="B479">
        <v>10</v>
      </c>
      <c r="C479" s="4">
        <v>160.18</v>
      </c>
      <c r="D479">
        <v>1</v>
      </c>
    </row>
    <row r="480" spans="1:4" x14ac:dyDescent="0.25">
      <c r="A480" t="s">
        <v>9448</v>
      </c>
      <c r="B480">
        <v>19</v>
      </c>
      <c r="C480" s="4">
        <v>1660.9</v>
      </c>
      <c r="D480">
        <v>2</v>
      </c>
    </row>
    <row r="481" spans="1:4" x14ac:dyDescent="0.25">
      <c r="A481" t="s">
        <v>9449</v>
      </c>
      <c r="B481">
        <v>5</v>
      </c>
      <c r="C481" s="4">
        <v>135.94999999999999</v>
      </c>
      <c r="D481">
        <v>1</v>
      </c>
    </row>
    <row r="482" spans="1:4" x14ac:dyDescent="0.25">
      <c r="A482" t="s">
        <v>9450</v>
      </c>
      <c r="B482">
        <v>151</v>
      </c>
      <c r="C482" s="4">
        <v>452.24</v>
      </c>
      <c r="D482">
        <v>4</v>
      </c>
    </row>
    <row r="483" spans="1:4" x14ac:dyDescent="0.25">
      <c r="A483" t="s">
        <v>9451</v>
      </c>
      <c r="B483">
        <v>305</v>
      </c>
      <c r="C483" s="4">
        <v>11189.91</v>
      </c>
      <c r="D483">
        <v>86</v>
      </c>
    </row>
    <row r="484" spans="1:4" x14ac:dyDescent="0.25">
      <c r="A484" t="s">
        <v>9452</v>
      </c>
      <c r="B484">
        <v>8</v>
      </c>
      <c r="C484" s="4">
        <v>144.80000000000001</v>
      </c>
      <c r="D484">
        <v>1</v>
      </c>
    </row>
    <row r="485" spans="1:4" x14ac:dyDescent="0.25">
      <c r="A485" t="s">
        <v>9453</v>
      </c>
      <c r="B485">
        <v>22</v>
      </c>
      <c r="C485" s="4">
        <v>738.6</v>
      </c>
      <c r="D485">
        <v>1</v>
      </c>
    </row>
    <row r="486" spans="1:4" x14ac:dyDescent="0.25">
      <c r="A486" t="s">
        <v>9454</v>
      </c>
      <c r="B486">
        <v>9</v>
      </c>
      <c r="C486" s="4">
        <v>39.24</v>
      </c>
      <c r="D486">
        <v>1</v>
      </c>
    </row>
    <row r="487" spans="1:4" x14ac:dyDescent="0.25">
      <c r="A487" t="s">
        <v>9455</v>
      </c>
      <c r="B487">
        <v>20</v>
      </c>
      <c r="C487" s="4">
        <v>7374.9</v>
      </c>
      <c r="D487">
        <v>9</v>
      </c>
    </row>
    <row r="488" spans="1:4" x14ac:dyDescent="0.25">
      <c r="A488" t="s">
        <v>9456</v>
      </c>
      <c r="B488">
        <v>20</v>
      </c>
      <c r="C488" s="4">
        <v>372.22</v>
      </c>
      <c r="D488">
        <v>2</v>
      </c>
    </row>
    <row r="489" spans="1:4" x14ac:dyDescent="0.25">
      <c r="A489" t="s">
        <v>9457</v>
      </c>
      <c r="B489">
        <v>28</v>
      </c>
      <c r="C489" s="4">
        <v>390.54</v>
      </c>
      <c r="D489">
        <v>1</v>
      </c>
    </row>
    <row r="490" spans="1:4" x14ac:dyDescent="0.25">
      <c r="A490" t="s">
        <v>9458</v>
      </c>
      <c r="B490">
        <v>4</v>
      </c>
      <c r="C490" s="4">
        <v>97.5</v>
      </c>
      <c r="D490">
        <v>1</v>
      </c>
    </row>
    <row r="491" spans="1:4" x14ac:dyDescent="0.25">
      <c r="A491" t="s">
        <v>9459</v>
      </c>
      <c r="B491">
        <v>76</v>
      </c>
      <c r="C491" s="4">
        <v>1239.3800000000001</v>
      </c>
      <c r="D491">
        <v>2</v>
      </c>
    </row>
    <row r="492" spans="1:4" x14ac:dyDescent="0.25">
      <c r="A492" t="s">
        <v>9460</v>
      </c>
      <c r="B492">
        <v>28</v>
      </c>
      <c r="C492" s="4">
        <v>558.70000000000005</v>
      </c>
      <c r="D492">
        <v>2</v>
      </c>
    </row>
    <row r="493" spans="1:4" x14ac:dyDescent="0.25">
      <c r="A493" t="s">
        <v>9461</v>
      </c>
      <c r="B493">
        <v>92</v>
      </c>
      <c r="C493" s="4">
        <v>535.32000000000005</v>
      </c>
      <c r="D493">
        <v>1</v>
      </c>
    </row>
    <row r="494" spans="1:4" x14ac:dyDescent="0.25">
      <c r="A494" t="s">
        <v>9462</v>
      </c>
      <c r="B494">
        <v>64</v>
      </c>
      <c r="C494" s="4">
        <v>6924.11</v>
      </c>
      <c r="D494">
        <v>15</v>
      </c>
    </row>
    <row r="495" spans="1:4" x14ac:dyDescent="0.25">
      <c r="A495" t="s">
        <v>9463</v>
      </c>
      <c r="B495">
        <v>13</v>
      </c>
      <c r="C495" s="4">
        <v>409.5</v>
      </c>
      <c r="D495">
        <v>3</v>
      </c>
    </row>
    <row r="496" spans="1:4" x14ac:dyDescent="0.25">
      <c r="A496" t="s">
        <v>9464</v>
      </c>
      <c r="B496">
        <v>31</v>
      </c>
      <c r="C496" s="4">
        <v>503.76</v>
      </c>
      <c r="D496">
        <v>2</v>
      </c>
    </row>
    <row r="497" spans="1:4" x14ac:dyDescent="0.25">
      <c r="A497" t="s">
        <v>9465</v>
      </c>
      <c r="B497">
        <v>27</v>
      </c>
      <c r="C497" s="4">
        <v>414.76</v>
      </c>
      <c r="D497">
        <v>4</v>
      </c>
    </row>
    <row r="498" spans="1:4" x14ac:dyDescent="0.25">
      <c r="A498" t="s">
        <v>9466</v>
      </c>
      <c r="B498">
        <v>61</v>
      </c>
      <c r="C498" s="4">
        <v>974.42</v>
      </c>
      <c r="D498">
        <v>3</v>
      </c>
    </row>
    <row r="499" spans="1:4" x14ac:dyDescent="0.25">
      <c r="A499" t="s">
        <v>9467</v>
      </c>
      <c r="B499">
        <v>3</v>
      </c>
      <c r="C499" s="4">
        <v>211.32</v>
      </c>
      <c r="D499">
        <v>1</v>
      </c>
    </row>
    <row r="500" spans="1:4" x14ac:dyDescent="0.25">
      <c r="A500" t="s">
        <v>9468</v>
      </c>
      <c r="B500">
        <v>59</v>
      </c>
      <c r="C500" s="4">
        <v>1226.8900000000001</v>
      </c>
      <c r="D500">
        <v>4</v>
      </c>
    </row>
    <row r="501" spans="1:4" x14ac:dyDescent="0.25">
      <c r="A501" t="s">
        <v>9469</v>
      </c>
      <c r="B501">
        <v>28</v>
      </c>
      <c r="C501" s="4">
        <v>455.88</v>
      </c>
      <c r="D501">
        <v>3</v>
      </c>
    </row>
    <row r="502" spans="1:4" x14ac:dyDescent="0.25">
      <c r="A502" t="s">
        <v>9470</v>
      </c>
      <c r="B502">
        <v>31</v>
      </c>
      <c r="C502" s="4">
        <v>534.85</v>
      </c>
      <c r="D502">
        <v>3</v>
      </c>
    </row>
    <row r="503" spans="1:4" x14ac:dyDescent="0.25">
      <c r="A503" t="s">
        <v>9471</v>
      </c>
      <c r="B503">
        <v>339</v>
      </c>
      <c r="C503" s="4">
        <v>9818.82</v>
      </c>
      <c r="D503">
        <v>13</v>
      </c>
    </row>
    <row r="504" spans="1:4" x14ac:dyDescent="0.25">
      <c r="A504" t="s">
        <v>9472</v>
      </c>
      <c r="B504">
        <v>7</v>
      </c>
      <c r="C504" s="4">
        <v>120.95</v>
      </c>
      <c r="D504">
        <v>1</v>
      </c>
    </row>
    <row r="505" spans="1:4" x14ac:dyDescent="0.25">
      <c r="A505" t="s">
        <v>9473</v>
      </c>
      <c r="B505">
        <v>6</v>
      </c>
      <c r="C505" s="4">
        <v>149.05000000000001</v>
      </c>
      <c r="D505">
        <v>3</v>
      </c>
    </row>
    <row r="506" spans="1:4" x14ac:dyDescent="0.25">
      <c r="A506" t="s">
        <v>9474</v>
      </c>
      <c r="B506">
        <v>404</v>
      </c>
      <c r="C506" s="4">
        <v>5655.91</v>
      </c>
      <c r="D506">
        <v>18</v>
      </c>
    </row>
    <row r="507" spans="1:4" x14ac:dyDescent="0.25">
      <c r="A507" t="s">
        <v>9475</v>
      </c>
      <c r="B507">
        <v>26</v>
      </c>
      <c r="C507" s="4">
        <v>513.70000000000005</v>
      </c>
      <c r="D507">
        <v>2</v>
      </c>
    </row>
    <row r="508" spans="1:4" x14ac:dyDescent="0.25">
      <c r="A508" t="s">
        <v>9476</v>
      </c>
      <c r="B508">
        <v>4</v>
      </c>
      <c r="C508" s="4">
        <v>81.569999999999993</v>
      </c>
      <c r="D508">
        <v>1</v>
      </c>
    </row>
    <row r="509" spans="1:4" x14ac:dyDescent="0.25">
      <c r="A509" t="s">
        <v>9477</v>
      </c>
      <c r="B509">
        <v>14</v>
      </c>
      <c r="C509" s="4">
        <v>229.47</v>
      </c>
      <c r="D509">
        <v>1</v>
      </c>
    </row>
    <row r="510" spans="1:4" x14ac:dyDescent="0.25">
      <c r="A510" t="s">
        <v>9478</v>
      </c>
      <c r="B510">
        <v>3</v>
      </c>
      <c r="C510" s="4">
        <v>50.55</v>
      </c>
      <c r="D510">
        <v>1</v>
      </c>
    </row>
    <row r="511" spans="1:4" x14ac:dyDescent="0.25">
      <c r="A511" t="s">
        <v>9479</v>
      </c>
      <c r="B511">
        <v>89</v>
      </c>
      <c r="C511" s="4">
        <v>1661.84</v>
      </c>
      <c r="D511">
        <v>8</v>
      </c>
    </row>
    <row r="512" spans="1:4" x14ac:dyDescent="0.25">
      <c r="A512" t="s">
        <v>9480</v>
      </c>
      <c r="B512">
        <v>219</v>
      </c>
      <c r="C512" s="4">
        <v>4810.9399999999996</v>
      </c>
      <c r="D512">
        <v>13</v>
      </c>
    </row>
    <row r="513" spans="1:4" x14ac:dyDescent="0.25">
      <c r="A513" t="s">
        <v>9481</v>
      </c>
      <c r="B513">
        <v>109</v>
      </c>
      <c r="C513" s="4">
        <v>3466.28</v>
      </c>
      <c r="D513">
        <v>10</v>
      </c>
    </row>
    <row r="514" spans="1:4" x14ac:dyDescent="0.25">
      <c r="A514" t="s">
        <v>9482</v>
      </c>
      <c r="B514">
        <v>176</v>
      </c>
      <c r="C514" s="4">
        <v>3346.28</v>
      </c>
      <c r="D514">
        <v>5</v>
      </c>
    </row>
    <row r="515" spans="1:4" x14ac:dyDescent="0.25">
      <c r="A515" t="s">
        <v>9483</v>
      </c>
      <c r="B515">
        <v>47</v>
      </c>
      <c r="C515" s="4">
        <v>789.89</v>
      </c>
      <c r="D515">
        <v>3</v>
      </c>
    </row>
    <row r="516" spans="1:4" x14ac:dyDescent="0.25">
      <c r="A516" t="s">
        <v>9484</v>
      </c>
      <c r="B516">
        <v>1</v>
      </c>
      <c r="C516" s="4">
        <v>204</v>
      </c>
      <c r="D516">
        <v>1</v>
      </c>
    </row>
    <row r="517" spans="1:4" x14ac:dyDescent="0.25">
      <c r="A517" t="s">
        <v>9485</v>
      </c>
      <c r="B517">
        <v>458</v>
      </c>
      <c r="C517" s="4">
        <v>7277.7</v>
      </c>
      <c r="D517">
        <v>28</v>
      </c>
    </row>
    <row r="518" spans="1:4" x14ac:dyDescent="0.25">
      <c r="A518" t="s">
        <v>9486</v>
      </c>
      <c r="B518">
        <v>131</v>
      </c>
      <c r="C518" s="4">
        <v>2616.38</v>
      </c>
      <c r="D518">
        <v>9</v>
      </c>
    </row>
    <row r="519" spans="1:4" x14ac:dyDescent="0.25">
      <c r="A519" t="s">
        <v>9487</v>
      </c>
      <c r="B519">
        <v>38</v>
      </c>
      <c r="C519" s="4">
        <v>599.9</v>
      </c>
      <c r="D519">
        <v>2</v>
      </c>
    </row>
    <row r="520" spans="1:4" x14ac:dyDescent="0.25">
      <c r="A520" t="s">
        <v>9488</v>
      </c>
      <c r="B520">
        <v>40</v>
      </c>
      <c r="C520" s="4">
        <v>975.36</v>
      </c>
      <c r="D520">
        <v>5</v>
      </c>
    </row>
    <row r="521" spans="1:4" x14ac:dyDescent="0.25">
      <c r="A521" t="s">
        <v>9489</v>
      </c>
      <c r="B521">
        <v>26</v>
      </c>
      <c r="C521" s="4">
        <v>6912</v>
      </c>
      <c r="D521">
        <v>6</v>
      </c>
    </row>
    <row r="522" spans="1:4" x14ac:dyDescent="0.25">
      <c r="A522" t="s">
        <v>9490</v>
      </c>
      <c r="B522">
        <v>45</v>
      </c>
      <c r="C522" s="4">
        <v>661.32</v>
      </c>
      <c r="D522">
        <v>2</v>
      </c>
    </row>
    <row r="523" spans="1:4" x14ac:dyDescent="0.25">
      <c r="A523" t="s">
        <v>9491</v>
      </c>
      <c r="B523">
        <v>10</v>
      </c>
      <c r="C523" s="4">
        <v>1247.5</v>
      </c>
      <c r="D523">
        <v>3</v>
      </c>
    </row>
    <row r="524" spans="1:4" x14ac:dyDescent="0.25">
      <c r="A524" t="s">
        <v>9492</v>
      </c>
      <c r="B524">
        <v>99</v>
      </c>
      <c r="C524" s="4">
        <v>799.48</v>
      </c>
      <c r="D524">
        <v>2</v>
      </c>
    </row>
    <row r="525" spans="1:4" x14ac:dyDescent="0.25">
      <c r="A525" t="s">
        <v>9493</v>
      </c>
      <c r="B525">
        <v>71</v>
      </c>
      <c r="C525" s="4">
        <v>1010.18</v>
      </c>
      <c r="D525">
        <v>2</v>
      </c>
    </row>
    <row r="526" spans="1:4" x14ac:dyDescent="0.25">
      <c r="A526" t="s">
        <v>9494</v>
      </c>
      <c r="B526">
        <v>11</v>
      </c>
      <c r="C526" s="4">
        <v>190.55</v>
      </c>
      <c r="D526">
        <v>1</v>
      </c>
    </row>
    <row r="527" spans="1:4" x14ac:dyDescent="0.25">
      <c r="A527" t="s">
        <v>9495</v>
      </c>
      <c r="B527">
        <v>37</v>
      </c>
      <c r="C527" s="4">
        <v>642.77</v>
      </c>
      <c r="D527">
        <v>2</v>
      </c>
    </row>
    <row r="528" spans="1:4" x14ac:dyDescent="0.25">
      <c r="A528" t="s">
        <v>9496</v>
      </c>
      <c r="B528">
        <v>27</v>
      </c>
      <c r="C528" s="4">
        <v>921.88</v>
      </c>
      <c r="D528">
        <v>2</v>
      </c>
    </row>
    <row r="529" spans="1:4" x14ac:dyDescent="0.25">
      <c r="A529" t="s">
        <v>9497</v>
      </c>
      <c r="B529">
        <v>48</v>
      </c>
      <c r="C529" s="4">
        <v>881.07</v>
      </c>
      <c r="D529">
        <v>3</v>
      </c>
    </row>
    <row r="530" spans="1:4" x14ac:dyDescent="0.25">
      <c r="A530" t="s">
        <v>9498</v>
      </c>
      <c r="B530">
        <v>28</v>
      </c>
      <c r="C530" s="4">
        <v>908.46</v>
      </c>
      <c r="D530">
        <v>3</v>
      </c>
    </row>
    <row r="531" spans="1:4" x14ac:dyDescent="0.25">
      <c r="A531" t="s">
        <v>9499</v>
      </c>
      <c r="B531">
        <v>43</v>
      </c>
      <c r="C531" s="4">
        <v>676.99</v>
      </c>
      <c r="D531">
        <v>2</v>
      </c>
    </row>
    <row r="532" spans="1:4" x14ac:dyDescent="0.25">
      <c r="A532" t="s">
        <v>9500</v>
      </c>
      <c r="B532">
        <v>13</v>
      </c>
      <c r="C532" s="4">
        <v>516.41999999999996</v>
      </c>
      <c r="D532">
        <v>1</v>
      </c>
    </row>
    <row r="533" spans="1:4" x14ac:dyDescent="0.25">
      <c r="A533" t="s">
        <v>9501</v>
      </c>
      <c r="B533">
        <v>33</v>
      </c>
      <c r="C533" s="4">
        <v>560.47</v>
      </c>
      <c r="D533">
        <v>1</v>
      </c>
    </row>
    <row r="534" spans="1:4" x14ac:dyDescent="0.25">
      <c r="A534" t="s">
        <v>9502</v>
      </c>
      <c r="B534">
        <v>18</v>
      </c>
      <c r="C534" s="4">
        <v>305.27999999999997</v>
      </c>
      <c r="D534">
        <v>1</v>
      </c>
    </row>
    <row r="535" spans="1:4" x14ac:dyDescent="0.25">
      <c r="A535" t="s">
        <v>9503</v>
      </c>
      <c r="B535">
        <v>35</v>
      </c>
      <c r="C535" s="4">
        <v>629.30999999999995</v>
      </c>
      <c r="D535">
        <v>2</v>
      </c>
    </row>
    <row r="536" spans="1:4" x14ac:dyDescent="0.25">
      <c r="A536" t="s">
        <v>4215</v>
      </c>
      <c r="B536">
        <v>171</v>
      </c>
      <c r="C536" s="4">
        <v>3232.59</v>
      </c>
      <c r="D536">
        <v>9</v>
      </c>
    </row>
    <row r="537" spans="1:4" x14ac:dyDescent="0.25">
      <c r="A537" t="s">
        <v>9504</v>
      </c>
      <c r="B537">
        <v>136</v>
      </c>
      <c r="C537" s="4">
        <v>1835.91</v>
      </c>
      <c r="D537">
        <v>4</v>
      </c>
    </row>
    <row r="538" spans="1:4" x14ac:dyDescent="0.25">
      <c r="A538" t="s">
        <v>9505</v>
      </c>
      <c r="B538">
        <v>14</v>
      </c>
      <c r="C538" s="4">
        <v>656.68</v>
      </c>
      <c r="D538">
        <v>2</v>
      </c>
    </row>
    <row r="539" spans="1:4" x14ac:dyDescent="0.25">
      <c r="A539" t="s">
        <v>9506</v>
      </c>
      <c r="B539">
        <v>402</v>
      </c>
      <c r="C539" s="4">
        <v>5833.11</v>
      </c>
      <c r="D539">
        <v>17</v>
      </c>
    </row>
    <row r="540" spans="1:4" x14ac:dyDescent="0.25">
      <c r="A540" t="s">
        <v>9507</v>
      </c>
      <c r="B540">
        <v>18</v>
      </c>
      <c r="C540" s="4">
        <v>348.15</v>
      </c>
      <c r="D540">
        <v>1</v>
      </c>
    </row>
    <row r="541" spans="1:4" x14ac:dyDescent="0.25">
      <c r="A541" t="s">
        <v>9508</v>
      </c>
      <c r="B541">
        <v>76</v>
      </c>
      <c r="C541" s="4">
        <v>1214.4100000000001</v>
      </c>
      <c r="D541">
        <v>3</v>
      </c>
    </row>
    <row r="542" spans="1:4" x14ac:dyDescent="0.25">
      <c r="A542" t="s">
        <v>9509</v>
      </c>
      <c r="B542">
        <v>8</v>
      </c>
      <c r="C542" s="4">
        <v>271.39999999999998</v>
      </c>
      <c r="D542">
        <v>3</v>
      </c>
    </row>
    <row r="543" spans="1:4" x14ac:dyDescent="0.25">
      <c r="A543" t="s">
        <v>9510</v>
      </c>
      <c r="B543">
        <v>8</v>
      </c>
      <c r="C543" s="4">
        <v>183.4</v>
      </c>
      <c r="D543">
        <v>1</v>
      </c>
    </row>
    <row r="544" spans="1:4" x14ac:dyDescent="0.25">
      <c r="A544" t="s">
        <v>9511</v>
      </c>
      <c r="B544">
        <v>15</v>
      </c>
      <c r="C544" s="4">
        <v>307.52999999999997</v>
      </c>
      <c r="D544">
        <v>1</v>
      </c>
    </row>
    <row r="545" spans="1:4" x14ac:dyDescent="0.25">
      <c r="A545" t="s">
        <v>9512</v>
      </c>
      <c r="B545">
        <v>10</v>
      </c>
      <c r="C545" s="4">
        <v>248.61</v>
      </c>
      <c r="D545">
        <v>1</v>
      </c>
    </row>
    <row r="546" spans="1:4" x14ac:dyDescent="0.25">
      <c r="A546" t="s">
        <v>9513</v>
      </c>
      <c r="B546">
        <v>11</v>
      </c>
      <c r="C546" s="4">
        <v>346.98</v>
      </c>
      <c r="D546">
        <v>1</v>
      </c>
    </row>
    <row r="547" spans="1:4" x14ac:dyDescent="0.25">
      <c r="A547" t="s">
        <v>9514</v>
      </c>
      <c r="B547">
        <v>69</v>
      </c>
      <c r="C547" s="4">
        <v>1119.49</v>
      </c>
      <c r="D547">
        <v>4</v>
      </c>
    </row>
    <row r="548" spans="1:4" x14ac:dyDescent="0.25">
      <c r="A548" t="s">
        <v>9515</v>
      </c>
      <c r="B548">
        <v>14</v>
      </c>
      <c r="C548" s="4">
        <v>205.86</v>
      </c>
      <c r="D548">
        <v>1</v>
      </c>
    </row>
    <row r="549" spans="1:4" x14ac:dyDescent="0.25">
      <c r="A549" t="s">
        <v>9516</v>
      </c>
      <c r="B549">
        <v>48</v>
      </c>
      <c r="C549" s="4">
        <v>470.8</v>
      </c>
      <c r="D549">
        <v>2</v>
      </c>
    </row>
    <row r="550" spans="1:4" x14ac:dyDescent="0.25">
      <c r="A550" t="s">
        <v>9517</v>
      </c>
      <c r="B550">
        <v>15</v>
      </c>
      <c r="C550" s="4">
        <v>115.46</v>
      </c>
      <c r="D550">
        <v>1</v>
      </c>
    </row>
    <row r="551" spans="1:4" x14ac:dyDescent="0.25">
      <c r="A551" t="s">
        <v>9518</v>
      </c>
      <c r="B551">
        <v>2</v>
      </c>
      <c r="C551" s="4">
        <v>344</v>
      </c>
      <c r="D551">
        <v>2</v>
      </c>
    </row>
    <row r="552" spans="1:4" x14ac:dyDescent="0.25">
      <c r="A552" t="s">
        <v>9519</v>
      </c>
      <c r="B552">
        <v>425</v>
      </c>
      <c r="C552" s="4">
        <v>4436.12</v>
      </c>
      <c r="D552">
        <v>24</v>
      </c>
    </row>
    <row r="553" spans="1:4" x14ac:dyDescent="0.25">
      <c r="A553" t="s">
        <v>9520</v>
      </c>
      <c r="B553">
        <v>9</v>
      </c>
      <c r="C553" s="4">
        <v>228.8</v>
      </c>
      <c r="D553">
        <v>1</v>
      </c>
    </row>
    <row r="554" spans="1:4" x14ac:dyDescent="0.25">
      <c r="A554" t="s">
        <v>9521</v>
      </c>
      <c r="B554">
        <v>7</v>
      </c>
      <c r="C554" s="4">
        <v>177.15</v>
      </c>
      <c r="D554">
        <v>1</v>
      </c>
    </row>
    <row r="555" spans="1:4" x14ac:dyDescent="0.25">
      <c r="A555" t="s">
        <v>9522</v>
      </c>
      <c r="B555">
        <v>22</v>
      </c>
      <c r="C555" s="4">
        <v>919.61</v>
      </c>
      <c r="D555">
        <v>1</v>
      </c>
    </row>
    <row r="556" spans="1:4" x14ac:dyDescent="0.25">
      <c r="A556" t="s">
        <v>9523</v>
      </c>
      <c r="B556">
        <v>112</v>
      </c>
      <c r="C556" s="4">
        <v>729.27</v>
      </c>
      <c r="D556">
        <v>4</v>
      </c>
    </row>
    <row r="557" spans="1:4" x14ac:dyDescent="0.25">
      <c r="A557" t="s">
        <v>9524</v>
      </c>
      <c r="B557">
        <v>358</v>
      </c>
      <c r="C557" s="4">
        <v>12627.94</v>
      </c>
      <c r="D557">
        <v>26</v>
      </c>
    </row>
    <row r="558" spans="1:4" x14ac:dyDescent="0.25">
      <c r="A558" t="s">
        <v>9525</v>
      </c>
      <c r="B558">
        <v>6</v>
      </c>
      <c r="C558" s="4">
        <v>220.1</v>
      </c>
      <c r="D558">
        <v>5</v>
      </c>
    </row>
    <row r="559" spans="1:4" x14ac:dyDescent="0.25">
      <c r="A559" t="s">
        <v>9526</v>
      </c>
      <c r="B559">
        <v>6</v>
      </c>
      <c r="C559" s="4">
        <v>58.08</v>
      </c>
      <c r="D559">
        <v>1</v>
      </c>
    </row>
    <row r="560" spans="1:4" x14ac:dyDescent="0.25">
      <c r="A560" t="s">
        <v>9527</v>
      </c>
      <c r="B560">
        <v>1024</v>
      </c>
      <c r="C560" s="4">
        <v>28337.38</v>
      </c>
      <c r="D560">
        <v>11</v>
      </c>
    </row>
    <row r="561" spans="1:4" x14ac:dyDescent="0.25">
      <c r="A561" t="s">
        <v>9528</v>
      </c>
      <c r="B561">
        <v>73</v>
      </c>
      <c r="C561" s="4">
        <v>3613.63</v>
      </c>
      <c r="D561">
        <v>9</v>
      </c>
    </row>
    <row r="562" spans="1:4" x14ac:dyDescent="0.25">
      <c r="A562" t="s">
        <v>9529</v>
      </c>
      <c r="B562">
        <v>18</v>
      </c>
      <c r="C562" s="4">
        <v>303.75</v>
      </c>
      <c r="D562">
        <v>2</v>
      </c>
    </row>
    <row r="563" spans="1:4" x14ac:dyDescent="0.25">
      <c r="A563" t="s">
        <v>9530</v>
      </c>
      <c r="B563">
        <v>22</v>
      </c>
      <c r="C563" s="4">
        <v>416.08</v>
      </c>
      <c r="D563">
        <v>2</v>
      </c>
    </row>
    <row r="564" spans="1:4" x14ac:dyDescent="0.25">
      <c r="A564" t="s">
        <v>9531</v>
      </c>
      <c r="B564">
        <v>1818</v>
      </c>
      <c r="C564" s="4">
        <v>58825.83</v>
      </c>
      <c r="D564">
        <v>97</v>
      </c>
    </row>
    <row r="565" spans="1:4" x14ac:dyDescent="0.25">
      <c r="A565" t="s">
        <v>9532</v>
      </c>
      <c r="B565">
        <v>154</v>
      </c>
      <c r="C565" s="4">
        <v>8895.82</v>
      </c>
      <c r="D565">
        <v>13</v>
      </c>
    </row>
    <row r="566" spans="1:4" x14ac:dyDescent="0.25">
      <c r="A566" t="s">
        <v>9533</v>
      </c>
      <c r="B566">
        <v>21</v>
      </c>
      <c r="C566" s="4">
        <v>345.82</v>
      </c>
      <c r="D566">
        <v>1</v>
      </c>
    </row>
    <row r="567" spans="1:4" x14ac:dyDescent="0.25">
      <c r="A567" t="s">
        <v>9534</v>
      </c>
      <c r="B567">
        <v>25</v>
      </c>
      <c r="C567" s="4">
        <v>477.83</v>
      </c>
      <c r="D567">
        <v>5</v>
      </c>
    </row>
    <row r="568" spans="1:4" x14ac:dyDescent="0.25">
      <c r="A568" t="s">
        <v>9535</v>
      </c>
      <c r="B568">
        <v>159</v>
      </c>
      <c r="C568" s="4">
        <v>7832.47</v>
      </c>
      <c r="D568">
        <v>8</v>
      </c>
    </row>
    <row r="569" spans="1:4" x14ac:dyDescent="0.25">
      <c r="A569" t="s">
        <v>9536</v>
      </c>
      <c r="B569">
        <v>24</v>
      </c>
      <c r="C569" s="4">
        <v>1927.32</v>
      </c>
      <c r="D569">
        <v>12</v>
      </c>
    </row>
    <row r="570" spans="1:4" x14ac:dyDescent="0.25">
      <c r="A570" t="s">
        <v>9537</v>
      </c>
      <c r="B570">
        <v>6</v>
      </c>
      <c r="C570" s="4">
        <v>74.400000000000006</v>
      </c>
      <c r="D570">
        <v>1</v>
      </c>
    </row>
    <row r="571" spans="1:4" x14ac:dyDescent="0.25">
      <c r="A571" t="s">
        <v>9538</v>
      </c>
      <c r="B571">
        <v>423</v>
      </c>
      <c r="C571" s="4">
        <v>6010.42</v>
      </c>
      <c r="D571">
        <v>10</v>
      </c>
    </row>
    <row r="572" spans="1:4" x14ac:dyDescent="0.25">
      <c r="A572" t="s">
        <v>9539</v>
      </c>
      <c r="B572">
        <v>572</v>
      </c>
      <c r="C572" s="4">
        <v>28882.44</v>
      </c>
      <c r="D572">
        <v>28</v>
      </c>
    </row>
    <row r="573" spans="1:4" x14ac:dyDescent="0.25">
      <c r="A573" t="s">
        <v>9540</v>
      </c>
      <c r="B573">
        <v>1</v>
      </c>
      <c r="C573" s="4">
        <v>207.36</v>
      </c>
      <c r="D573">
        <v>1</v>
      </c>
    </row>
    <row r="574" spans="1:4" x14ac:dyDescent="0.25">
      <c r="A574" t="s">
        <v>9541</v>
      </c>
      <c r="B574">
        <v>8</v>
      </c>
      <c r="C574" s="4">
        <v>101.19</v>
      </c>
      <c r="D574">
        <v>1</v>
      </c>
    </row>
    <row r="575" spans="1:4" x14ac:dyDescent="0.25">
      <c r="A575" t="s">
        <v>9542</v>
      </c>
      <c r="B575">
        <v>304</v>
      </c>
      <c r="C575" s="4">
        <v>6424.09</v>
      </c>
      <c r="D575">
        <v>24</v>
      </c>
    </row>
    <row r="576" spans="1:4" x14ac:dyDescent="0.25">
      <c r="A576" t="s">
        <v>9543</v>
      </c>
      <c r="B576">
        <v>8</v>
      </c>
      <c r="C576" s="4">
        <v>243.94</v>
      </c>
      <c r="D576">
        <v>1</v>
      </c>
    </row>
    <row r="577" spans="1:4" x14ac:dyDescent="0.25">
      <c r="A577" t="s">
        <v>9544</v>
      </c>
      <c r="B577">
        <v>20</v>
      </c>
      <c r="C577" s="4">
        <v>1098.48</v>
      </c>
      <c r="D577">
        <v>6</v>
      </c>
    </row>
    <row r="578" spans="1:4" x14ac:dyDescent="0.25">
      <c r="A578" t="s">
        <v>9545</v>
      </c>
      <c r="B578">
        <v>1</v>
      </c>
      <c r="C578" s="4">
        <v>76.5</v>
      </c>
      <c r="D578">
        <v>1</v>
      </c>
    </row>
    <row r="579" spans="1:4" x14ac:dyDescent="0.25">
      <c r="A579" t="s">
        <v>9546</v>
      </c>
      <c r="B579">
        <v>58</v>
      </c>
      <c r="C579" s="4">
        <v>1531.62</v>
      </c>
      <c r="D579">
        <v>4</v>
      </c>
    </row>
    <row r="580" spans="1:4" x14ac:dyDescent="0.25">
      <c r="A580" t="s">
        <v>9547</v>
      </c>
      <c r="B580">
        <v>10</v>
      </c>
      <c r="C580" s="4">
        <v>350.06</v>
      </c>
      <c r="D580">
        <v>1</v>
      </c>
    </row>
    <row r="581" spans="1:4" x14ac:dyDescent="0.25">
      <c r="A581" t="s">
        <v>9548</v>
      </c>
      <c r="B581">
        <v>47</v>
      </c>
      <c r="C581" s="4">
        <v>786.54</v>
      </c>
      <c r="D581">
        <v>2</v>
      </c>
    </row>
    <row r="582" spans="1:4" x14ac:dyDescent="0.25">
      <c r="A582" t="s">
        <v>9549</v>
      </c>
      <c r="B582">
        <v>145</v>
      </c>
      <c r="C582" s="4">
        <v>1488.67</v>
      </c>
      <c r="D582">
        <v>7</v>
      </c>
    </row>
    <row r="583" spans="1:4" x14ac:dyDescent="0.25">
      <c r="A583" t="s">
        <v>9550</v>
      </c>
      <c r="B583">
        <v>200</v>
      </c>
      <c r="C583" s="4">
        <v>12245.96</v>
      </c>
      <c r="D583">
        <v>24</v>
      </c>
    </row>
    <row r="584" spans="1:4" x14ac:dyDescent="0.25">
      <c r="A584" t="s">
        <v>9551</v>
      </c>
      <c r="B584">
        <v>120</v>
      </c>
      <c r="C584" s="4">
        <v>2294.7800000000002</v>
      </c>
      <c r="D584">
        <v>4</v>
      </c>
    </row>
    <row r="585" spans="1:4" x14ac:dyDescent="0.25">
      <c r="A585" t="s">
        <v>9552</v>
      </c>
      <c r="B585">
        <v>30</v>
      </c>
      <c r="C585" s="4">
        <v>501.14</v>
      </c>
      <c r="D585">
        <v>1</v>
      </c>
    </row>
    <row r="586" spans="1:4" x14ac:dyDescent="0.25">
      <c r="A586" t="s">
        <v>9553</v>
      </c>
      <c r="B586">
        <v>76</v>
      </c>
      <c r="C586" s="4">
        <v>984.91</v>
      </c>
      <c r="D586">
        <v>8</v>
      </c>
    </row>
    <row r="587" spans="1:4" x14ac:dyDescent="0.25">
      <c r="A587" t="s">
        <v>9554</v>
      </c>
      <c r="B587">
        <v>79</v>
      </c>
      <c r="C587" s="4">
        <v>1197.81</v>
      </c>
      <c r="D587">
        <v>5</v>
      </c>
    </row>
    <row r="588" spans="1:4" x14ac:dyDescent="0.25">
      <c r="A588" t="s">
        <v>9555</v>
      </c>
      <c r="B588">
        <v>1</v>
      </c>
      <c r="C588" s="4">
        <v>30.6</v>
      </c>
      <c r="D588">
        <v>1</v>
      </c>
    </row>
    <row r="589" spans="1:4" x14ac:dyDescent="0.25">
      <c r="A589" t="s">
        <v>9556</v>
      </c>
      <c r="B589">
        <v>50</v>
      </c>
      <c r="C589" s="4">
        <v>283.73</v>
      </c>
      <c r="D589">
        <v>1</v>
      </c>
    </row>
    <row r="590" spans="1:4" x14ac:dyDescent="0.25">
      <c r="A590" t="s">
        <v>9557</v>
      </c>
      <c r="B590">
        <v>55</v>
      </c>
      <c r="C590" s="4">
        <v>922.39</v>
      </c>
      <c r="D590">
        <v>2</v>
      </c>
    </row>
    <row r="591" spans="1:4" x14ac:dyDescent="0.25">
      <c r="A591" t="s">
        <v>9558</v>
      </c>
      <c r="B591">
        <v>235</v>
      </c>
      <c r="C591" s="4">
        <v>3866.33</v>
      </c>
      <c r="D591">
        <v>3</v>
      </c>
    </row>
    <row r="592" spans="1:4" x14ac:dyDescent="0.25">
      <c r="A592" t="s">
        <v>9559</v>
      </c>
      <c r="B592">
        <v>140</v>
      </c>
      <c r="C592" s="4">
        <v>2099.64</v>
      </c>
      <c r="D592">
        <v>8</v>
      </c>
    </row>
    <row r="593" spans="1:4" x14ac:dyDescent="0.25">
      <c r="A593" t="s">
        <v>9560</v>
      </c>
      <c r="B593">
        <v>15</v>
      </c>
      <c r="C593" s="4">
        <v>259.17</v>
      </c>
      <c r="D593">
        <v>1</v>
      </c>
    </row>
    <row r="594" spans="1:4" x14ac:dyDescent="0.25">
      <c r="A594" t="s">
        <v>9561</v>
      </c>
      <c r="B594">
        <v>2</v>
      </c>
      <c r="C594" s="4">
        <v>64</v>
      </c>
      <c r="D594">
        <v>1</v>
      </c>
    </row>
    <row r="595" spans="1:4" x14ac:dyDescent="0.25">
      <c r="A595" t="s">
        <v>9562</v>
      </c>
      <c r="B595">
        <v>44</v>
      </c>
      <c r="C595" s="4">
        <v>1073.3</v>
      </c>
      <c r="D595">
        <v>3</v>
      </c>
    </row>
    <row r="596" spans="1:4" x14ac:dyDescent="0.25">
      <c r="A596" t="s">
        <v>9563</v>
      </c>
      <c r="B596">
        <v>3</v>
      </c>
      <c r="C596" s="4">
        <v>77.3</v>
      </c>
      <c r="D596">
        <v>1</v>
      </c>
    </row>
    <row r="597" spans="1:4" x14ac:dyDescent="0.25">
      <c r="A597" t="s">
        <v>9564</v>
      </c>
      <c r="B597">
        <v>7</v>
      </c>
      <c r="C597" s="4">
        <v>109.8</v>
      </c>
      <c r="D597">
        <v>2</v>
      </c>
    </row>
    <row r="598" spans="1:4" x14ac:dyDescent="0.25">
      <c r="A598" t="s">
        <v>9565</v>
      </c>
      <c r="B598">
        <v>98</v>
      </c>
      <c r="C598" s="4">
        <v>1793.58</v>
      </c>
      <c r="D598">
        <v>4</v>
      </c>
    </row>
    <row r="599" spans="1:4" x14ac:dyDescent="0.25">
      <c r="A599" t="s">
        <v>9566</v>
      </c>
      <c r="B599">
        <v>1</v>
      </c>
      <c r="C599" s="4">
        <v>3096</v>
      </c>
      <c r="D599">
        <v>1</v>
      </c>
    </row>
    <row r="600" spans="1:4" x14ac:dyDescent="0.25">
      <c r="A600" t="s">
        <v>9567</v>
      </c>
      <c r="B600">
        <v>127</v>
      </c>
      <c r="C600" s="4">
        <v>2607.61</v>
      </c>
      <c r="D600">
        <v>5</v>
      </c>
    </row>
    <row r="601" spans="1:4" x14ac:dyDescent="0.25">
      <c r="A601" t="s">
        <v>9568</v>
      </c>
      <c r="B601">
        <v>704</v>
      </c>
      <c r="C601" s="4">
        <v>3650.41</v>
      </c>
      <c r="D601">
        <v>8</v>
      </c>
    </row>
    <row r="602" spans="1:4" x14ac:dyDescent="0.25">
      <c r="A602" t="s">
        <v>9569</v>
      </c>
      <c r="B602">
        <v>63</v>
      </c>
      <c r="C602" s="4">
        <v>962.39</v>
      </c>
      <c r="D602">
        <v>6</v>
      </c>
    </row>
    <row r="603" spans="1:4" x14ac:dyDescent="0.25">
      <c r="A603" t="s">
        <v>9570</v>
      </c>
      <c r="B603">
        <v>170</v>
      </c>
      <c r="C603" s="4">
        <v>5064.9399999999996</v>
      </c>
      <c r="D603">
        <v>7</v>
      </c>
    </row>
    <row r="604" spans="1:4" x14ac:dyDescent="0.25">
      <c r="A604" t="s">
        <v>9571</v>
      </c>
      <c r="B604">
        <v>46</v>
      </c>
      <c r="C604" s="4">
        <v>423.72</v>
      </c>
      <c r="D604">
        <v>3</v>
      </c>
    </row>
    <row r="605" spans="1:4" x14ac:dyDescent="0.25">
      <c r="A605" t="s">
        <v>9572</v>
      </c>
      <c r="B605">
        <v>135</v>
      </c>
      <c r="C605" s="4">
        <v>2388.75</v>
      </c>
      <c r="D605">
        <v>5</v>
      </c>
    </row>
    <row r="606" spans="1:4" x14ac:dyDescent="0.25">
      <c r="A606" t="s">
        <v>9573</v>
      </c>
      <c r="B606">
        <v>23</v>
      </c>
      <c r="C606" s="4">
        <v>307.08999999999997</v>
      </c>
      <c r="D606">
        <v>1</v>
      </c>
    </row>
    <row r="607" spans="1:4" x14ac:dyDescent="0.25">
      <c r="A607" t="s">
        <v>9574</v>
      </c>
      <c r="B607">
        <v>3</v>
      </c>
      <c r="C607" s="4">
        <v>110.95</v>
      </c>
      <c r="D607">
        <v>1</v>
      </c>
    </row>
    <row r="608" spans="1:4" x14ac:dyDescent="0.25">
      <c r="A608" t="s">
        <v>9575</v>
      </c>
      <c r="B608">
        <v>6</v>
      </c>
      <c r="C608" s="4">
        <v>618.52</v>
      </c>
      <c r="D608">
        <v>4</v>
      </c>
    </row>
    <row r="609" spans="1:4" x14ac:dyDescent="0.25">
      <c r="A609" t="s">
        <v>9576</v>
      </c>
      <c r="B609">
        <v>17</v>
      </c>
      <c r="C609" s="4">
        <v>228.91</v>
      </c>
      <c r="D609">
        <v>1</v>
      </c>
    </row>
    <row r="610" spans="1:4" x14ac:dyDescent="0.25">
      <c r="A610" t="s">
        <v>9577</v>
      </c>
      <c r="B610">
        <v>4</v>
      </c>
      <c r="C610" s="4">
        <v>712.8</v>
      </c>
      <c r="D610">
        <v>4</v>
      </c>
    </row>
    <row r="611" spans="1:4" x14ac:dyDescent="0.25">
      <c r="A611" t="s">
        <v>9578</v>
      </c>
      <c r="B611">
        <v>319</v>
      </c>
      <c r="C611" s="4">
        <v>3707.12</v>
      </c>
      <c r="D611">
        <v>12</v>
      </c>
    </row>
    <row r="612" spans="1:4" x14ac:dyDescent="0.25">
      <c r="A612" t="s">
        <v>9579</v>
      </c>
      <c r="B612">
        <v>86</v>
      </c>
      <c r="C612" s="4">
        <v>1676.06</v>
      </c>
      <c r="D612">
        <v>4</v>
      </c>
    </row>
    <row r="613" spans="1:4" x14ac:dyDescent="0.25">
      <c r="A613" t="s">
        <v>9580</v>
      </c>
      <c r="B613">
        <v>74</v>
      </c>
      <c r="C613" s="4">
        <v>1257.8699999999999</v>
      </c>
      <c r="D613">
        <v>1</v>
      </c>
    </row>
    <row r="614" spans="1:4" x14ac:dyDescent="0.25">
      <c r="A614" t="s">
        <v>9581</v>
      </c>
      <c r="B614">
        <v>15</v>
      </c>
      <c r="C614" s="4">
        <v>486.22</v>
      </c>
      <c r="D614">
        <v>1</v>
      </c>
    </row>
    <row r="615" spans="1:4" x14ac:dyDescent="0.25">
      <c r="A615" t="s">
        <v>9582</v>
      </c>
      <c r="B615">
        <v>85</v>
      </c>
      <c r="C615" s="4">
        <v>971.76</v>
      </c>
      <c r="D615">
        <v>4</v>
      </c>
    </row>
    <row r="616" spans="1:4" x14ac:dyDescent="0.25">
      <c r="A616" t="s">
        <v>9583</v>
      </c>
      <c r="B616">
        <v>87</v>
      </c>
      <c r="C616" s="4">
        <v>1741.22</v>
      </c>
      <c r="D616">
        <v>4</v>
      </c>
    </row>
    <row r="617" spans="1:4" x14ac:dyDescent="0.25">
      <c r="A617" t="s">
        <v>9584</v>
      </c>
      <c r="B617">
        <v>79</v>
      </c>
      <c r="C617" s="4">
        <v>1201.06</v>
      </c>
      <c r="D617">
        <v>4</v>
      </c>
    </row>
    <row r="618" spans="1:4" x14ac:dyDescent="0.25">
      <c r="A618" t="s">
        <v>9585</v>
      </c>
      <c r="B618">
        <v>121</v>
      </c>
      <c r="C618" s="4">
        <v>1437.85</v>
      </c>
      <c r="D618">
        <v>4</v>
      </c>
    </row>
    <row r="619" spans="1:4" x14ac:dyDescent="0.25">
      <c r="A619" t="s">
        <v>9586</v>
      </c>
      <c r="B619">
        <v>4</v>
      </c>
      <c r="C619" s="4">
        <v>91.8</v>
      </c>
      <c r="D619">
        <v>1</v>
      </c>
    </row>
    <row r="620" spans="1:4" x14ac:dyDescent="0.25">
      <c r="A620" t="s">
        <v>9587</v>
      </c>
      <c r="B620">
        <v>8</v>
      </c>
      <c r="C620" s="4">
        <v>112.75</v>
      </c>
      <c r="D620">
        <v>1</v>
      </c>
    </row>
    <row r="621" spans="1:4" x14ac:dyDescent="0.25">
      <c r="A621" t="s">
        <v>9588</v>
      </c>
      <c r="B621">
        <v>79</v>
      </c>
      <c r="C621" s="4">
        <v>1688.29</v>
      </c>
      <c r="D621">
        <v>4</v>
      </c>
    </row>
    <row r="622" spans="1:4" x14ac:dyDescent="0.25">
      <c r="A622" t="s">
        <v>9589</v>
      </c>
      <c r="B622">
        <v>42</v>
      </c>
      <c r="C622" s="4">
        <v>1021.48</v>
      </c>
      <c r="D622">
        <v>2</v>
      </c>
    </row>
    <row r="623" spans="1:4" x14ac:dyDescent="0.25">
      <c r="A623" t="s">
        <v>9590</v>
      </c>
      <c r="B623">
        <v>41</v>
      </c>
      <c r="C623" s="4">
        <v>417.2</v>
      </c>
      <c r="D623">
        <v>1</v>
      </c>
    </row>
    <row r="624" spans="1:4" x14ac:dyDescent="0.25">
      <c r="A624" t="s">
        <v>9591</v>
      </c>
      <c r="B624">
        <v>64</v>
      </c>
      <c r="C624" s="4">
        <v>779.33</v>
      </c>
      <c r="D624">
        <v>4</v>
      </c>
    </row>
    <row r="625" spans="1:4" x14ac:dyDescent="0.25">
      <c r="A625" t="s">
        <v>9592</v>
      </c>
      <c r="B625">
        <v>131</v>
      </c>
      <c r="C625" s="4">
        <v>1319.19</v>
      </c>
      <c r="D625">
        <v>4</v>
      </c>
    </row>
    <row r="626" spans="1:4" x14ac:dyDescent="0.25">
      <c r="A626" t="s">
        <v>9593</v>
      </c>
      <c r="B626">
        <v>13</v>
      </c>
      <c r="C626" s="4">
        <v>712.88</v>
      </c>
      <c r="D626">
        <v>2</v>
      </c>
    </row>
    <row r="627" spans="1:4" x14ac:dyDescent="0.25">
      <c r="A627" t="s">
        <v>9594</v>
      </c>
      <c r="B627">
        <v>32</v>
      </c>
      <c r="C627" s="4">
        <v>116.01</v>
      </c>
      <c r="D627">
        <v>1</v>
      </c>
    </row>
    <row r="628" spans="1:4" x14ac:dyDescent="0.25">
      <c r="A628" t="s">
        <v>9595</v>
      </c>
      <c r="B628">
        <v>46</v>
      </c>
      <c r="C628" s="4">
        <v>468.41</v>
      </c>
      <c r="D628">
        <v>3</v>
      </c>
    </row>
    <row r="629" spans="1:4" x14ac:dyDescent="0.25">
      <c r="A629" t="s">
        <v>9596</v>
      </c>
      <c r="B629">
        <v>43</v>
      </c>
      <c r="C629" s="4">
        <v>353.65</v>
      </c>
      <c r="D629">
        <v>2</v>
      </c>
    </row>
    <row r="630" spans="1:4" x14ac:dyDescent="0.25">
      <c r="A630" t="s">
        <v>9597</v>
      </c>
      <c r="B630">
        <v>313</v>
      </c>
      <c r="C630" s="4">
        <v>2813.03</v>
      </c>
      <c r="D630">
        <v>3</v>
      </c>
    </row>
    <row r="631" spans="1:4" x14ac:dyDescent="0.25">
      <c r="A631" t="s">
        <v>9598</v>
      </c>
      <c r="B631">
        <v>72</v>
      </c>
      <c r="C631" s="4">
        <v>492.84</v>
      </c>
      <c r="D631">
        <v>1</v>
      </c>
    </row>
    <row r="632" spans="1:4" x14ac:dyDescent="0.25">
      <c r="A632" t="s">
        <v>9599</v>
      </c>
      <c r="B632">
        <v>17</v>
      </c>
      <c r="C632" s="4">
        <v>282.45</v>
      </c>
      <c r="D632">
        <v>1</v>
      </c>
    </row>
    <row r="633" spans="1:4" x14ac:dyDescent="0.25">
      <c r="A633" t="s">
        <v>9600</v>
      </c>
      <c r="B633">
        <v>265</v>
      </c>
      <c r="C633" s="4">
        <v>5725.47</v>
      </c>
      <c r="D633">
        <v>11</v>
      </c>
    </row>
    <row r="634" spans="1:4" x14ac:dyDescent="0.25">
      <c r="A634" t="s">
        <v>9601</v>
      </c>
      <c r="B634">
        <v>11</v>
      </c>
      <c r="C634" s="4">
        <v>121.18</v>
      </c>
      <c r="D634">
        <v>1</v>
      </c>
    </row>
    <row r="635" spans="1:4" x14ac:dyDescent="0.25">
      <c r="A635" t="s">
        <v>9602</v>
      </c>
      <c r="B635">
        <v>94</v>
      </c>
      <c r="C635" s="4">
        <v>3957.78</v>
      </c>
      <c r="D635">
        <v>9</v>
      </c>
    </row>
    <row r="636" spans="1:4" x14ac:dyDescent="0.25">
      <c r="A636" t="s">
        <v>9603</v>
      </c>
      <c r="B636">
        <v>180</v>
      </c>
      <c r="C636" s="4">
        <v>1700.29</v>
      </c>
      <c r="D636">
        <v>10</v>
      </c>
    </row>
    <row r="637" spans="1:4" x14ac:dyDescent="0.25">
      <c r="A637" t="s">
        <v>9604</v>
      </c>
      <c r="B637">
        <v>1</v>
      </c>
      <c r="C637" s="4">
        <v>71.400000000000006</v>
      </c>
      <c r="D637">
        <v>1</v>
      </c>
    </row>
    <row r="638" spans="1:4" x14ac:dyDescent="0.25">
      <c r="A638" t="s">
        <v>9605</v>
      </c>
      <c r="B638">
        <v>79</v>
      </c>
      <c r="C638" s="4">
        <v>1575.89</v>
      </c>
      <c r="D638">
        <v>3</v>
      </c>
    </row>
    <row r="639" spans="1:4" x14ac:dyDescent="0.25">
      <c r="A639" t="s">
        <v>9606</v>
      </c>
      <c r="B639">
        <v>37</v>
      </c>
      <c r="C639" s="4">
        <v>236.02</v>
      </c>
      <c r="D639">
        <v>1</v>
      </c>
    </row>
    <row r="640" spans="1:4" x14ac:dyDescent="0.25">
      <c r="A640" t="s">
        <v>9607</v>
      </c>
      <c r="B640">
        <v>2</v>
      </c>
      <c r="C640" s="4">
        <v>114.6</v>
      </c>
      <c r="D640">
        <v>1</v>
      </c>
    </row>
    <row r="641" spans="1:4" x14ac:dyDescent="0.25">
      <c r="A641" t="s">
        <v>9608</v>
      </c>
      <c r="B641">
        <v>29</v>
      </c>
      <c r="C641" s="4">
        <v>260.68</v>
      </c>
      <c r="D641">
        <v>2</v>
      </c>
    </row>
    <row r="642" spans="1:4" x14ac:dyDescent="0.25">
      <c r="A642" t="s">
        <v>9609</v>
      </c>
      <c r="B642">
        <v>63</v>
      </c>
      <c r="C642" s="4">
        <v>911.94</v>
      </c>
      <c r="D642">
        <v>2</v>
      </c>
    </row>
    <row r="643" spans="1:4" x14ac:dyDescent="0.25">
      <c r="A643" t="s">
        <v>9610</v>
      </c>
      <c r="B643">
        <v>29</v>
      </c>
      <c r="C643" s="4">
        <v>117.88</v>
      </c>
      <c r="D643">
        <v>1</v>
      </c>
    </row>
    <row r="644" spans="1:4" x14ac:dyDescent="0.25">
      <c r="A644" t="s">
        <v>9611</v>
      </c>
      <c r="B644">
        <v>3</v>
      </c>
      <c r="C644" s="4">
        <v>60.7</v>
      </c>
      <c r="D644">
        <v>1</v>
      </c>
    </row>
    <row r="645" spans="1:4" x14ac:dyDescent="0.25">
      <c r="A645" t="s">
        <v>9612</v>
      </c>
      <c r="B645">
        <v>110</v>
      </c>
      <c r="C645" s="4">
        <v>1797.78</v>
      </c>
      <c r="D645">
        <v>4</v>
      </c>
    </row>
    <row r="646" spans="1:4" x14ac:dyDescent="0.25">
      <c r="A646" t="s">
        <v>9613</v>
      </c>
      <c r="B646">
        <v>226</v>
      </c>
      <c r="C646" s="4">
        <v>3401.24</v>
      </c>
      <c r="D646">
        <v>6</v>
      </c>
    </row>
    <row r="647" spans="1:4" x14ac:dyDescent="0.25">
      <c r="A647" t="s">
        <v>9614</v>
      </c>
      <c r="B647">
        <v>118</v>
      </c>
      <c r="C647" s="4">
        <v>9802.1200000000008</v>
      </c>
      <c r="D647">
        <v>37</v>
      </c>
    </row>
    <row r="648" spans="1:4" x14ac:dyDescent="0.25">
      <c r="A648" t="s">
        <v>9615</v>
      </c>
      <c r="B648">
        <v>46</v>
      </c>
      <c r="C648" s="4">
        <v>870.09</v>
      </c>
      <c r="D648">
        <v>4</v>
      </c>
    </row>
    <row r="649" spans="1:4" x14ac:dyDescent="0.25">
      <c r="A649" t="s">
        <v>9616</v>
      </c>
      <c r="B649">
        <v>57</v>
      </c>
      <c r="C649" s="4">
        <v>869.46</v>
      </c>
      <c r="D649">
        <v>4</v>
      </c>
    </row>
    <row r="650" spans="1:4" x14ac:dyDescent="0.25">
      <c r="A650" t="s">
        <v>9617</v>
      </c>
      <c r="B650">
        <v>8</v>
      </c>
      <c r="C650" s="4">
        <v>250.26</v>
      </c>
      <c r="D650">
        <v>2</v>
      </c>
    </row>
    <row r="651" spans="1:4" x14ac:dyDescent="0.25">
      <c r="A651" t="s">
        <v>9618</v>
      </c>
      <c r="B651">
        <v>147</v>
      </c>
      <c r="C651" s="4">
        <v>1199.42</v>
      </c>
      <c r="D651">
        <v>5</v>
      </c>
    </row>
    <row r="652" spans="1:4" x14ac:dyDescent="0.25">
      <c r="A652" t="s">
        <v>9619</v>
      </c>
      <c r="B652">
        <v>321</v>
      </c>
      <c r="C652" s="4">
        <v>5891.61</v>
      </c>
      <c r="D652">
        <v>8</v>
      </c>
    </row>
    <row r="653" spans="1:4" x14ac:dyDescent="0.25">
      <c r="A653" t="s">
        <v>9620</v>
      </c>
      <c r="B653">
        <v>22</v>
      </c>
      <c r="C653" s="4">
        <v>353.48</v>
      </c>
      <c r="D653">
        <v>1</v>
      </c>
    </row>
    <row r="654" spans="1:4" x14ac:dyDescent="0.25">
      <c r="A654" t="s">
        <v>9621</v>
      </c>
      <c r="B654">
        <v>56</v>
      </c>
      <c r="C654" s="4">
        <v>1197.42</v>
      </c>
      <c r="D654">
        <v>3</v>
      </c>
    </row>
    <row r="655" spans="1:4" x14ac:dyDescent="0.25">
      <c r="A655" t="s">
        <v>9622</v>
      </c>
      <c r="B655">
        <v>142</v>
      </c>
      <c r="C655" s="4">
        <v>788.08</v>
      </c>
      <c r="D655">
        <v>3</v>
      </c>
    </row>
    <row r="656" spans="1:4" x14ac:dyDescent="0.25">
      <c r="A656" t="s">
        <v>9623</v>
      </c>
      <c r="B656">
        <v>90</v>
      </c>
      <c r="C656" s="4">
        <v>1520.58</v>
      </c>
      <c r="D656">
        <v>5</v>
      </c>
    </row>
    <row r="657" spans="1:4" x14ac:dyDescent="0.25">
      <c r="A657" t="s">
        <v>9624</v>
      </c>
      <c r="B657">
        <v>5</v>
      </c>
      <c r="C657" s="4">
        <v>333.74</v>
      </c>
      <c r="D657">
        <v>1</v>
      </c>
    </row>
    <row r="658" spans="1:4" x14ac:dyDescent="0.25">
      <c r="A658" t="s">
        <v>9625</v>
      </c>
      <c r="B658">
        <v>4</v>
      </c>
      <c r="C658" s="4">
        <v>533.98</v>
      </c>
      <c r="D658">
        <v>3</v>
      </c>
    </row>
    <row r="659" spans="1:4" x14ac:dyDescent="0.25">
      <c r="A659" t="s">
        <v>9626</v>
      </c>
      <c r="B659">
        <v>5</v>
      </c>
      <c r="C659" s="4">
        <v>62.64</v>
      </c>
      <c r="D659">
        <v>1</v>
      </c>
    </row>
    <row r="660" spans="1:4" x14ac:dyDescent="0.25">
      <c r="A660" t="s">
        <v>9627</v>
      </c>
      <c r="B660">
        <v>21</v>
      </c>
      <c r="C660" s="4">
        <v>819.29</v>
      </c>
      <c r="D660">
        <v>4</v>
      </c>
    </row>
    <row r="661" spans="1:4" x14ac:dyDescent="0.25">
      <c r="A661" t="s">
        <v>9628</v>
      </c>
      <c r="B661">
        <v>65</v>
      </c>
      <c r="C661" s="4">
        <v>844.86</v>
      </c>
      <c r="D661">
        <v>2</v>
      </c>
    </row>
    <row r="662" spans="1:4" x14ac:dyDescent="0.25">
      <c r="A662" t="s">
        <v>9629</v>
      </c>
      <c r="B662">
        <v>5</v>
      </c>
      <c r="C662" s="4">
        <v>163.19999999999999</v>
      </c>
      <c r="D662">
        <v>2</v>
      </c>
    </row>
    <row r="663" spans="1:4" x14ac:dyDescent="0.25">
      <c r="A663" t="s">
        <v>9630</v>
      </c>
      <c r="B663">
        <v>107</v>
      </c>
      <c r="C663" s="4">
        <v>2152.9499999999998</v>
      </c>
      <c r="D663">
        <v>2</v>
      </c>
    </row>
    <row r="664" spans="1:4" x14ac:dyDescent="0.25">
      <c r="A664" t="s">
        <v>9631</v>
      </c>
      <c r="B664">
        <v>32</v>
      </c>
      <c r="C664" s="4">
        <v>6463.84</v>
      </c>
      <c r="D664">
        <v>7</v>
      </c>
    </row>
    <row r="665" spans="1:4" x14ac:dyDescent="0.25">
      <c r="A665" t="s">
        <v>9632</v>
      </c>
      <c r="B665">
        <v>16</v>
      </c>
      <c r="C665" s="4">
        <v>108.21</v>
      </c>
      <c r="D665">
        <v>1</v>
      </c>
    </row>
    <row r="666" spans="1:4" x14ac:dyDescent="0.25">
      <c r="A666" t="s">
        <v>9633</v>
      </c>
      <c r="B666">
        <v>9</v>
      </c>
      <c r="C666" s="4">
        <v>257.7</v>
      </c>
      <c r="D666">
        <v>1</v>
      </c>
    </row>
    <row r="667" spans="1:4" x14ac:dyDescent="0.25">
      <c r="A667" t="s">
        <v>9634</v>
      </c>
      <c r="B667">
        <v>2</v>
      </c>
      <c r="C667" s="4">
        <v>358</v>
      </c>
      <c r="D667">
        <v>1</v>
      </c>
    </row>
    <row r="668" spans="1:4" x14ac:dyDescent="0.25">
      <c r="A668" t="s">
        <v>9635</v>
      </c>
      <c r="B668">
        <v>10</v>
      </c>
      <c r="C668" s="4">
        <v>160.94999999999999</v>
      </c>
      <c r="D668">
        <v>1</v>
      </c>
    </row>
    <row r="669" spans="1:4" x14ac:dyDescent="0.25">
      <c r="A669" t="s">
        <v>9636</v>
      </c>
      <c r="B669">
        <v>611</v>
      </c>
      <c r="C669" s="4">
        <v>2806.97</v>
      </c>
      <c r="D669">
        <v>14</v>
      </c>
    </row>
    <row r="670" spans="1:4" x14ac:dyDescent="0.25">
      <c r="A670" t="s">
        <v>9637</v>
      </c>
      <c r="B670">
        <v>206</v>
      </c>
      <c r="C670" s="4">
        <v>1357</v>
      </c>
      <c r="D670">
        <v>7</v>
      </c>
    </row>
    <row r="671" spans="1:4" x14ac:dyDescent="0.25">
      <c r="A671" t="s">
        <v>9638</v>
      </c>
      <c r="B671">
        <v>43</v>
      </c>
      <c r="C671" s="4">
        <v>605.12</v>
      </c>
      <c r="D671">
        <v>2</v>
      </c>
    </row>
    <row r="672" spans="1:4" x14ac:dyDescent="0.25">
      <c r="A672" t="s">
        <v>9639</v>
      </c>
      <c r="B672">
        <v>58</v>
      </c>
      <c r="C672" s="4">
        <v>1031.07</v>
      </c>
      <c r="D672">
        <v>1</v>
      </c>
    </row>
    <row r="673" spans="1:4" x14ac:dyDescent="0.25">
      <c r="A673" t="s">
        <v>9640</v>
      </c>
      <c r="B673">
        <v>36</v>
      </c>
      <c r="C673" s="4">
        <v>744.85</v>
      </c>
      <c r="D673">
        <v>2</v>
      </c>
    </row>
    <row r="674" spans="1:4" x14ac:dyDescent="0.25">
      <c r="A674" t="s">
        <v>9641</v>
      </c>
      <c r="B674">
        <v>31</v>
      </c>
      <c r="C674" s="4">
        <v>700.73</v>
      </c>
      <c r="D674">
        <v>4</v>
      </c>
    </row>
    <row r="675" spans="1:4" x14ac:dyDescent="0.25">
      <c r="A675" t="s">
        <v>9642</v>
      </c>
      <c r="B675">
        <v>21</v>
      </c>
      <c r="C675" s="4">
        <v>329.56</v>
      </c>
      <c r="D675">
        <v>1</v>
      </c>
    </row>
    <row r="676" spans="1:4" x14ac:dyDescent="0.25">
      <c r="A676" t="s">
        <v>9643</v>
      </c>
      <c r="B676">
        <v>66</v>
      </c>
      <c r="C676" s="4">
        <v>648.70000000000005</v>
      </c>
      <c r="D676">
        <v>4</v>
      </c>
    </row>
    <row r="677" spans="1:4" x14ac:dyDescent="0.25">
      <c r="A677" t="s">
        <v>9644</v>
      </c>
      <c r="B677">
        <v>13</v>
      </c>
      <c r="C677" s="4">
        <v>270.39999999999998</v>
      </c>
      <c r="D677">
        <v>3</v>
      </c>
    </row>
    <row r="678" spans="1:4" x14ac:dyDescent="0.25">
      <c r="A678" t="s">
        <v>9645</v>
      </c>
      <c r="B678">
        <v>58</v>
      </c>
      <c r="C678" s="4">
        <v>600.07000000000005</v>
      </c>
      <c r="D678">
        <v>1</v>
      </c>
    </row>
    <row r="679" spans="1:4" x14ac:dyDescent="0.25">
      <c r="A679" t="s">
        <v>9646</v>
      </c>
      <c r="B679">
        <v>27</v>
      </c>
      <c r="C679" s="4">
        <v>121.74</v>
      </c>
      <c r="D679">
        <v>1</v>
      </c>
    </row>
    <row r="680" spans="1:4" x14ac:dyDescent="0.25">
      <c r="A680" t="s">
        <v>9647</v>
      </c>
      <c r="B680">
        <v>16</v>
      </c>
      <c r="C680" s="4">
        <v>430.5</v>
      </c>
      <c r="D680">
        <v>1</v>
      </c>
    </row>
    <row r="681" spans="1:4" x14ac:dyDescent="0.25">
      <c r="A681" t="s">
        <v>9648</v>
      </c>
      <c r="B681">
        <v>141</v>
      </c>
      <c r="C681" s="4">
        <v>1987.3</v>
      </c>
      <c r="D681">
        <v>6</v>
      </c>
    </row>
    <row r="682" spans="1:4" x14ac:dyDescent="0.25">
      <c r="A682" t="s">
        <v>9649</v>
      </c>
      <c r="B682">
        <v>25</v>
      </c>
      <c r="C682" s="4">
        <v>501.12</v>
      </c>
      <c r="D682">
        <v>4</v>
      </c>
    </row>
    <row r="683" spans="1:4" x14ac:dyDescent="0.25">
      <c r="A683" t="s">
        <v>9650</v>
      </c>
      <c r="B683">
        <v>26</v>
      </c>
      <c r="C683" s="4">
        <v>465.68</v>
      </c>
      <c r="D683">
        <v>2</v>
      </c>
    </row>
    <row r="684" spans="1:4" x14ac:dyDescent="0.25">
      <c r="A684" t="s">
        <v>9651</v>
      </c>
      <c r="B684">
        <v>23</v>
      </c>
      <c r="C684" s="4">
        <v>711.41</v>
      </c>
      <c r="D684">
        <v>3</v>
      </c>
    </row>
    <row r="685" spans="1:4" x14ac:dyDescent="0.25">
      <c r="A685" t="s">
        <v>9652</v>
      </c>
      <c r="B685">
        <v>36</v>
      </c>
      <c r="C685" s="4">
        <v>1030.4000000000001</v>
      </c>
      <c r="D685">
        <v>2</v>
      </c>
    </row>
    <row r="686" spans="1:4" x14ac:dyDescent="0.25">
      <c r="A686" t="s">
        <v>9653</v>
      </c>
      <c r="B686">
        <v>13</v>
      </c>
      <c r="C686" s="4">
        <v>399.51</v>
      </c>
      <c r="D686">
        <v>2</v>
      </c>
    </row>
    <row r="687" spans="1:4" x14ac:dyDescent="0.25">
      <c r="A687" t="s">
        <v>9654</v>
      </c>
      <c r="B687">
        <v>38</v>
      </c>
      <c r="C687" s="4">
        <v>698.58</v>
      </c>
      <c r="D687">
        <v>3</v>
      </c>
    </row>
    <row r="688" spans="1:4" x14ac:dyDescent="0.25">
      <c r="A688" t="s">
        <v>9655</v>
      </c>
      <c r="B688">
        <v>87</v>
      </c>
      <c r="C688" s="4">
        <v>292.32</v>
      </c>
      <c r="D688">
        <v>1</v>
      </c>
    </row>
    <row r="689" spans="1:4" x14ac:dyDescent="0.25">
      <c r="A689" t="s">
        <v>9656</v>
      </c>
      <c r="B689">
        <v>8</v>
      </c>
      <c r="C689" s="4">
        <v>557.62</v>
      </c>
      <c r="D689">
        <v>1</v>
      </c>
    </row>
    <row r="690" spans="1:4" x14ac:dyDescent="0.25">
      <c r="A690" t="s">
        <v>9657</v>
      </c>
      <c r="B690">
        <v>9</v>
      </c>
      <c r="C690" s="4">
        <v>944.1</v>
      </c>
      <c r="D690">
        <v>2</v>
      </c>
    </row>
    <row r="691" spans="1:4" x14ac:dyDescent="0.25">
      <c r="A691" t="s">
        <v>9658</v>
      </c>
      <c r="B691">
        <v>11</v>
      </c>
      <c r="C691" s="4">
        <v>200.29</v>
      </c>
      <c r="D691">
        <v>1</v>
      </c>
    </row>
    <row r="692" spans="1:4" x14ac:dyDescent="0.25">
      <c r="A692" t="s">
        <v>9659</v>
      </c>
      <c r="B692">
        <v>1672</v>
      </c>
      <c r="C692" s="4">
        <v>7428.85</v>
      </c>
      <c r="D692">
        <v>34</v>
      </c>
    </row>
    <row r="693" spans="1:4" x14ac:dyDescent="0.25">
      <c r="A693" t="s">
        <v>9660</v>
      </c>
      <c r="B693">
        <v>91</v>
      </c>
      <c r="C693" s="4">
        <v>2107.66</v>
      </c>
      <c r="D693">
        <v>5</v>
      </c>
    </row>
    <row r="694" spans="1:4" x14ac:dyDescent="0.25">
      <c r="A694" t="s">
        <v>9661</v>
      </c>
      <c r="B694">
        <v>187</v>
      </c>
      <c r="C694" s="4">
        <v>3834.26</v>
      </c>
      <c r="D694">
        <v>12</v>
      </c>
    </row>
    <row r="695" spans="1:4" x14ac:dyDescent="0.25">
      <c r="A695" t="s">
        <v>9662</v>
      </c>
      <c r="B695">
        <v>211</v>
      </c>
      <c r="C695" s="4">
        <v>4521.49</v>
      </c>
      <c r="D695">
        <v>19</v>
      </c>
    </row>
    <row r="696" spans="1:4" x14ac:dyDescent="0.25">
      <c r="A696" t="s">
        <v>9663</v>
      </c>
      <c r="B696">
        <v>439</v>
      </c>
      <c r="C696" s="4">
        <v>3192.65</v>
      </c>
      <c r="D696">
        <v>10</v>
      </c>
    </row>
    <row r="697" spans="1:4" x14ac:dyDescent="0.25">
      <c r="A697" t="s">
        <v>9664</v>
      </c>
      <c r="B697">
        <v>316</v>
      </c>
      <c r="C697" s="4">
        <v>5346.23</v>
      </c>
      <c r="D697">
        <v>15</v>
      </c>
    </row>
    <row r="698" spans="1:4" x14ac:dyDescent="0.25">
      <c r="A698" t="s">
        <v>9665</v>
      </c>
      <c r="B698">
        <v>1</v>
      </c>
      <c r="C698" s="4">
        <v>590</v>
      </c>
      <c r="D698">
        <v>1</v>
      </c>
    </row>
    <row r="699" spans="1:4" x14ac:dyDescent="0.25">
      <c r="A699" t="s">
        <v>9666</v>
      </c>
      <c r="B699">
        <v>96</v>
      </c>
      <c r="C699" s="4">
        <v>217.38</v>
      </c>
      <c r="D699">
        <v>1</v>
      </c>
    </row>
    <row r="700" spans="1:4" x14ac:dyDescent="0.25">
      <c r="A700" t="s">
        <v>9667</v>
      </c>
      <c r="B700">
        <v>15</v>
      </c>
      <c r="C700" s="4">
        <v>276.56</v>
      </c>
      <c r="D700">
        <v>2</v>
      </c>
    </row>
    <row r="701" spans="1:4" x14ac:dyDescent="0.25">
      <c r="A701" t="s">
        <v>9668</v>
      </c>
      <c r="B701">
        <v>16</v>
      </c>
      <c r="C701" s="4">
        <v>138.97999999999999</v>
      </c>
      <c r="D701">
        <v>1</v>
      </c>
    </row>
    <row r="702" spans="1:4" x14ac:dyDescent="0.25">
      <c r="A702" t="s">
        <v>9669</v>
      </c>
      <c r="B702">
        <v>30</v>
      </c>
      <c r="C702" s="4">
        <v>590.92999999999995</v>
      </c>
      <c r="D702">
        <v>2</v>
      </c>
    </row>
    <row r="703" spans="1:4" x14ac:dyDescent="0.25">
      <c r="A703" t="s">
        <v>9670</v>
      </c>
      <c r="B703">
        <v>8</v>
      </c>
      <c r="C703" s="4">
        <v>258.39999999999998</v>
      </c>
      <c r="D703">
        <v>4</v>
      </c>
    </row>
    <row r="704" spans="1:4" x14ac:dyDescent="0.25">
      <c r="A704" t="s">
        <v>9671</v>
      </c>
      <c r="B704">
        <v>46</v>
      </c>
      <c r="C704" s="4">
        <v>542.73</v>
      </c>
      <c r="D704">
        <v>1</v>
      </c>
    </row>
    <row r="705" spans="1:4" x14ac:dyDescent="0.25">
      <c r="A705" t="s">
        <v>9672</v>
      </c>
      <c r="B705">
        <v>9</v>
      </c>
      <c r="C705" s="4">
        <v>137.75</v>
      </c>
      <c r="D705">
        <v>1</v>
      </c>
    </row>
    <row r="706" spans="1:4" x14ac:dyDescent="0.25">
      <c r="A706" t="s">
        <v>9673</v>
      </c>
      <c r="B706">
        <v>85</v>
      </c>
      <c r="C706" s="4">
        <v>814.86</v>
      </c>
      <c r="D706">
        <v>3</v>
      </c>
    </row>
    <row r="707" spans="1:4" x14ac:dyDescent="0.25">
      <c r="A707" t="s">
        <v>9674</v>
      </c>
      <c r="B707">
        <v>37</v>
      </c>
      <c r="C707" s="4">
        <v>1132.1400000000001</v>
      </c>
      <c r="D707">
        <v>3</v>
      </c>
    </row>
    <row r="708" spans="1:4" x14ac:dyDescent="0.25">
      <c r="A708" t="s">
        <v>9675</v>
      </c>
      <c r="B708">
        <v>7</v>
      </c>
      <c r="C708" s="4">
        <v>93.66</v>
      </c>
      <c r="D708">
        <v>2</v>
      </c>
    </row>
    <row r="709" spans="1:4" x14ac:dyDescent="0.25">
      <c r="A709" t="s">
        <v>9676</v>
      </c>
      <c r="B709">
        <v>13</v>
      </c>
      <c r="C709" s="4">
        <v>201.19</v>
      </c>
      <c r="D709">
        <v>1</v>
      </c>
    </row>
    <row r="710" spans="1:4" x14ac:dyDescent="0.25">
      <c r="A710" t="s">
        <v>9677</v>
      </c>
      <c r="B710">
        <v>187</v>
      </c>
      <c r="C710" s="4">
        <v>2709.12</v>
      </c>
      <c r="D710">
        <v>4</v>
      </c>
    </row>
    <row r="711" spans="1:4" x14ac:dyDescent="0.25">
      <c r="A711" t="s">
        <v>9678</v>
      </c>
      <c r="B711">
        <v>42</v>
      </c>
      <c r="C711" s="4">
        <v>361.11</v>
      </c>
      <c r="D711">
        <v>1</v>
      </c>
    </row>
    <row r="712" spans="1:4" x14ac:dyDescent="0.25">
      <c r="A712" t="s">
        <v>9679</v>
      </c>
      <c r="B712">
        <v>31</v>
      </c>
      <c r="C712" s="4">
        <v>578.94000000000005</v>
      </c>
      <c r="D712">
        <v>2</v>
      </c>
    </row>
    <row r="713" spans="1:4" x14ac:dyDescent="0.25">
      <c r="A713" t="s">
        <v>9680</v>
      </c>
      <c r="B713">
        <v>54</v>
      </c>
      <c r="C713" s="4">
        <v>873.74</v>
      </c>
      <c r="D713">
        <v>2</v>
      </c>
    </row>
    <row r="714" spans="1:4" x14ac:dyDescent="0.25">
      <c r="A714" t="s">
        <v>9681</v>
      </c>
      <c r="B714">
        <v>10</v>
      </c>
      <c r="C714" s="4">
        <v>201.2</v>
      </c>
      <c r="D714">
        <v>1</v>
      </c>
    </row>
    <row r="715" spans="1:4" x14ac:dyDescent="0.25">
      <c r="A715" t="s">
        <v>9682</v>
      </c>
      <c r="B715">
        <v>5</v>
      </c>
      <c r="C715" s="4">
        <v>87.4</v>
      </c>
      <c r="D715">
        <v>1</v>
      </c>
    </row>
    <row r="716" spans="1:4" x14ac:dyDescent="0.25">
      <c r="A716" t="s">
        <v>9683</v>
      </c>
      <c r="B716">
        <v>59</v>
      </c>
      <c r="C716" s="4">
        <v>2089.85</v>
      </c>
      <c r="D716">
        <v>4</v>
      </c>
    </row>
    <row r="717" spans="1:4" x14ac:dyDescent="0.25">
      <c r="A717" t="s">
        <v>9684</v>
      </c>
      <c r="B717">
        <v>2</v>
      </c>
      <c r="C717" s="4">
        <v>360</v>
      </c>
      <c r="D717">
        <v>1</v>
      </c>
    </row>
    <row r="718" spans="1:4" x14ac:dyDescent="0.25">
      <c r="A718" t="s">
        <v>9685</v>
      </c>
      <c r="B718">
        <v>5</v>
      </c>
      <c r="C718" s="4">
        <v>142.5</v>
      </c>
      <c r="D718">
        <v>1</v>
      </c>
    </row>
    <row r="719" spans="1:4" x14ac:dyDescent="0.25">
      <c r="A719" t="s">
        <v>9686</v>
      </c>
      <c r="B719">
        <v>20</v>
      </c>
      <c r="C719" s="4">
        <v>371.89</v>
      </c>
      <c r="D719">
        <v>1</v>
      </c>
    </row>
    <row r="720" spans="1:4" x14ac:dyDescent="0.25">
      <c r="A720" t="s">
        <v>9687</v>
      </c>
      <c r="B720">
        <v>80</v>
      </c>
      <c r="C720" s="4">
        <v>600.19000000000005</v>
      </c>
      <c r="D720">
        <v>4</v>
      </c>
    </row>
    <row r="721" spans="1:4" x14ac:dyDescent="0.25">
      <c r="A721" t="s">
        <v>9688</v>
      </c>
      <c r="B721">
        <v>1</v>
      </c>
      <c r="C721" s="4">
        <v>63.75</v>
      </c>
      <c r="D721">
        <v>1</v>
      </c>
    </row>
    <row r="722" spans="1:4" x14ac:dyDescent="0.25">
      <c r="A722" t="s">
        <v>9689</v>
      </c>
      <c r="B722">
        <v>21</v>
      </c>
      <c r="C722" s="4">
        <v>300.42</v>
      </c>
      <c r="D722">
        <v>1</v>
      </c>
    </row>
    <row r="723" spans="1:4" x14ac:dyDescent="0.25">
      <c r="A723" t="s">
        <v>9690</v>
      </c>
      <c r="B723">
        <v>81</v>
      </c>
      <c r="C723" s="4">
        <v>2000.86</v>
      </c>
      <c r="D723">
        <v>10</v>
      </c>
    </row>
    <row r="724" spans="1:4" x14ac:dyDescent="0.25">
      <c r="A724" t="s">
        <v>9691</v>
      </c>
      <c r="B724">
        <v>1</v>
      </c>
      <c r="C724" s="4">
        <v>15</v>
      </c>
      <c r="D724">
        <v>1</v>
      </c>
    </row>
    <row r="725" spans="1:4" x14ac:dyDescent="0.25">
      <c r="A725" t="s">
        <v>9692</v>
      </c>
      <c r="B725">
        <v>54</v>
      </c>
      <c r="C725" s="4">
        <v>1385.51</v>
      </c>
      <c r="D725">
        <v>3</v>
      </c>
    </row>
    <row r="726" spans="1:4" x14ac:dyDescent="0.25">
      <c r="A726" t="s">
        <v>9693</v>
      </c>
      <c r="B726">
        <v>107</v>
      </c>
      <c r="C726" s="4">
        <v>1456.79</v>
      </c>
      <c r="D726">
        <v>5</v>
      </c>
    </row>
    <row r="727" spans="1:4" x14ac:dyDescent="0.25">
      <c r="A727" t="s">
        <v>9694</v>
      </c>
      <c r="B727">
        <v>72</v>
      </c>
      <c r="C727" s="4">
        <v>1132.03</v>
      </c>
      <c r="D727">
        <v>3</v>
      </c>
    </row>
    <row r="728" spans="1:4" x14ac:dyDescent="0.25">
      <c r="A728" t="s">
        <v>9695</v>
      </c>
      <c r="B728">
        <v>26</v>
      </c>
      <c r="C728" s="4">
        <v>598.57000000000005</v>
      </c>
      <c r="D728">
        <v>2</v>
      </c>
    </row>
    <row r="729" spans="1:4" x14ac:dyDescent="0.25">
      <c r="A729" t="s">
        <v>9696</v>
      </c>
      <c r="B729">
        <v>78</v>
      </c>
      <c r="C729" s="4">
        <v>1555.32</v>
      </c>
      <c r="D729">
        <v>5</v>
      </c>
    </row>
    <row r="730" spans="1:4" x14ac:dyDescent="0.25">
      <c r="A730" t="s">
        <v>9697</v>
      </c>
      <c r="B730">
        <v>62</v>
      </c>
      <c r="C730" s="4">
        <v>775.94</v>
      </c>
      <c r="D730">
        <v>3</v>
      </c>
    </row>
    <row r="731" spans="1:4" x14ac:dyDescent="0.25">
      <c r="A731" t="s">
        <v>9698</v>
      </c>
      <c r="B731">
        <v>87</v>
      </c>
      <c r="C731" s="4">
        <v>5977.73</v>
      </c>
      <c r="D731">
        <v>4</v>
      </c>
    </row>
    <row r="732" spans="1:4" x14ac:dyDescent="0.25">
      <c r="A732" t="s">
        <v>9699</v>
      </c>
      <c r="B732">
        <v>124</v>
      </c>
      <c r="C732" s="4">
        <v>2273.6799999999998</v>
      </c>
      <c r="D732">
        <v>6</v>
      </c>
    </row>
    <row r="733" spans="1:4" x14ac:dyDescent="0.25">
      <c r="A733" t="s">
        <v>9700</v>
      </c>
      <c r="B733">
        <v>20</v>
      </c>
      <c r="C733" s="4">
        <v>640.76</v>
      </c>
      <c r="D733">
        <v>3</v>
      </c>
    </row>
    <row r="734" spans="1:4" x14ac:dyDescent="0.25">
      <c r="A734" t="s">
        <v>9701</v>
      </c>
      <c r="B734">
        <v>476</v>
      </c>
      <c r="C734" s="4">
        <v>10845.55</v>
      </c>
      <c r="D734">
        <v>26</v>
      </c>
    </row>
    <row r="735" spans="1:4" x14ac:dyDescent="0.25">
      <c r="A735" t="s">
        <v>9702</v>
      </c>
      <c r="B735">
        <v>106</v>
      </c>
      <c r="C735" s="4">
        <v>1548.7</v>
      </c>
      <c r="D735">
        <v>4</v>
      </c>
    </row>
    <row r="736" spans="1:4" x14ac:dyDescent="0.25">
      <c r="A736" t="s">
        <v>9703</v>
      </c>
      <c r="B736">
        <v>11</v>
      </c>
      <c r="C736" s="4">
        <v>567.36</v>
      </c>
      <c r="D736">
        <v>2</v>
      </c>
    </row>
    <row r="737" spans="1:4" x14ac:dyDescent="0.25">
      <c r="A737" t="s">
        <v>9704</v>
      </c>
      <c r="B737">
        <v>25</v>
      </c>
      <c r="C737" s="4">
        <v>199.48</v>
      </c>
      <c r="D737">
        <v>1</v>
      </c>
    </row>
    <row r="738" spans="1:4" x14ac:dyDescent="0.25">
      <c r="A738" t="s">
        <v>9705</v>
      </c>
      <c r="B738">
        <v>21</v>
      </c>
      <c r="C738" s="4">
        <v>787.85</v>
      </c>
      <c r="D738">
        <v>5</v>
      </c>
    </row>
    <row r="739" spans="1:4" x14ac:dyDescent="0.25">
      <c r="A739" t="s">
        <v>9706</v>
      </c>
      <c r="B739">
        <v>75</v>
      </c>
      <c r="C739" s="4">
        <v>7121.95</v>
      </c>
      <c r="D739">
        <v>10</v>
      </c>
    </row>
    <row r="740" spans="1:4" x14ac:dyDescent="0.25">
      <c r="A740" t="s">
        <v>9707</v>
      </c>
      <c r="B740">
        <v>12</v>
      </c>
      <c r="C740" s="4">
        <v>675.3</v>
      </c>
      <c r="D740">
        <v>1</v>
      </c>
    </row>
    <row r="741" spans="1:4" x14ac:dyDescent="0.25">
      <c r="A741" t="s">
        <v>9708</v>
      </c>
      <c r="B741">
        <v>108</v>
      </c>
      <c r="C741" s="4">
        <v>3627.77</v>
      </c>
      <c r="D741">
        <v>8</v>
      </c>
    </row>
    <row r="742" spans="1:4" x14ac:dyDescent="0.25">
      <c r="A742" t="s">
        <v>9709</v>
      </c>
      <c r="B742">
        <v>17</v>
      </c>
      <c r="C742" s="4">
        <v>1308.48</v>
      </c>
      <c r="D742">
        <v>1</v>
      </c>
    </row>
    <row r="743" spans="1:4" x14ac:dyDescent="0.25">
      <c r="A743" t="s">
        <v>9710</v>
      </c>
      <c r="B743">
        <v>17</v>
      </c>
      <c r="C743" s="4">
        <v>789</v>
      </c>
      <c r="D743">
        <v>2</v>
      </c>
    </row>
    <row r="744" spans="1:4" x14ac:dyDescent="0.25">
      <c r="A744" t="s">
        <v>9711</v>
      </c>
      <c r="B744">
        <v>53</v>
      </c>
      <c r="C744" s="4">
        <v>1140.93</v>
      </c>
      <c r="D744">
        <v>3</v>
      </c>
    </row>
    <row r="745" spans="1:4" x14ac:dyDescent="0.25">
      <c r="A745" t="s">
        <v>9712</v>
      </c>
      <c r="B745">
        <v>21</v>
      </c>
      <c r="C745" s="4">
        <v>350.9</v>
      </c>
      <c r="D745">
        <v>1</v>
      </c>
    </row>
    <row r="746" spans="1:4" x14ac:dyDescent="0.25">
      <c r="A746" t="s">
        <v>9713</v>
      </c>
      <c r="B746">
        <v>268</v>
      </c>
      <c r="C746" s="4">
        <v>3536.82</v>
      </c>
      <c r="D746">
        <v>3</v>
      </c>
    </row>
    <row r="747" spans="1:4" x14ac:dyDescent="0.25">
      <c r="A747" t="s">
        <v>9714</v>
      </c>
      <c r="B747">
        <v>51</v>
      </c>
      <c r="C747" s="4">
        <v>795.12</v>
      </c>
      <c r="D747">
        <v>1</v>
      </c>
    </row>
    <row r="748" spans="1:4" x14ac:dyDescent="0.25">
      <c r="A748" t="s">
        <v>9715</v>
      </c>
      <c r="B748">
        <v>18</v>
      </c>
      <c r="C748" s="4">
        <v>437.02</v>
      </c>
      <c r="D748">
        <v>1</v>
      </c>
    </row>
    <row r="749" spans="1:4" x14ac:dyDescent="0.25">
      <c r="A749" t="s">
        <v>9716</v>
      </c>
      <c r="B749">
        <v>54</v>
      </c>
      <c r="C749" s="4">
        <v>860.12</v>
      </c>
      <c r="D749">
        <v>1</v>
      </c>
    </row>
    <row r="750" spans="1:4" x14ac:dyDescent="0.25">
      <c r="A750" t="s">
        <v>9717</v>
      </c>
      <c r="B750">
        <v>134</v>
      </c>
      <c r="C750" s="4">
        <v>10736.48</v>
      </c>
      <c r="D750">
        <v>7</v>
      </c>
    </row>
    <row r="751" spans="1:4" x14ac:dyDescent="0.25">
      <c r="A751" t="s">
        <v>9718</v>
      </c>
      <c r="B751">
        <v>42</v>
      </c>
      <c r="C751" s="4">
        <v>775.85</v>
      </c>
      <c r="D751">
        <v>1</v>
      </c>
    </row>
    <row r="752" spans="1:4" x14ac:dyDescent="0.25">
      <c r="A752" t="s">
        <v>9719</v>
      </c>
      <c r="B752">
        <v>18</v>
      </c>
      <c r="C752" s="4">
        <v>303.43</v>
      </c>
      <c r="D752">
        <v>1</v>
      </c>
    </row>
    <row r="753" spans="1:4" x14ac:dyDescent="0.25">
      <c r="A753" t="s">
        <v>9720</v>
      </c>
      <c r="B753">
        <v>119</v>
      </c>
      <c r="C753" s="4">
        <v>2543.7199999999998</v>
      </c>
      <c r="D753">
        <v>3</v>
      </c>
    </row>
    <row r="754" spans="1:4" x14ac:dyDescent="0.25">
      <c r="A754" t="s">
        <v>9721</v>
      </c>
      <c r="B754">
        <v>19</v>
      </c>
      <c r="C754" s="4">
        <v>339.5</v>
      </c>
      <c r="D754">
        <v>1</v>
      </c>
    </row>
    <row r="755" spans="1:4" x14ac:dyDescent="0.25">
      <c r="A755" t="s">
        <v>9722</v>
      </c>
      <c r="B755">
        <v>7</v>
      </c>
      <c r="C755" s="4">
        <v>291.36</v>
      </c>
      <c r="D755">
        <v>1</v>
      </c>
    </row>
    <row r="756" spans="1:4" x14ac:dyDescent="0.25">
      <c r="A756" t="s">
        <v>9723</v>
      </c>
      <c r="B756">
        <v>14</v>
      </c>
      <c r="C756" s="4">
        <v>233.76</v>
      </c>
      <c r="D756">
        <v>1</v>
      </c>
    </row>
    <row r="757" spans="1:4" x14ac:dyDescent="0.25">
      <c r="A757" t="s">
        <v>9724</v>
      </c>
      <c r="B757">
        <v>15</v>
      </c>
      <c r="C757" s="4">
        <v>197.32</v>
      </c>
      <c r="D757">
        <v>1</v>
      </c>
    </row>
    <row r="758" spans="1:4" x14ac:dyDescent="0.25">
      <c r="A758" t="s">
        <v>9725</v>
      </c>
      <c r="B758">
        <v>38</v>
      </c>
      <c r="C758" s="4">
        <v>879.12</v>
      </c>
      <c r="D758">
        <v>2</v>
      </c>
    </row>
    <row r="759" spans="1:4" x14ac:dyDescent="0.25">
      <c r="A759" t="s">
        <v>9726</v>
      </c>
      <c r="B759">
        <v>15</v>
      </c>
      <c r="C759" s="4">
        <v>323.94</v>
      </c>
      <c r="D759">
        <v>1</v>
      </c>
    </row>
    <row r="760" spans="1:4" x14ac:dyDescent="0.25">
      <c r="A760" t="s">
        <v>9727</v>
      </c>
      <c r="B760">
        <v>23</v>
      </c>
      <c r="C760" s="4">
        <v>347.98</v>
      </c>
      <c r="D760">
        <v>1</v>
      </c>
    </row>
    <row r="761" spans="1:4" x14ac:dyDescent="0.25">
      <c r="A761" t="s">
        <v>9728</v>
      </c>
      <c r="B761">
        <v>51</v>
      </c>
      <c r="C761" s="4">
        <v>743.53</v>
      </c>
      <c r="D761">
        <v>1</v>
      </c>
    </row>
    <row r="762" spans="1:4" x14ac:dyDescent="0.25">
      <c r="A762" t="s">
        <v>9729</v>
      </c>
      <c r="B762">
        <v>32</v>
      </c>
      <c r="C762" s="4">
        <v>674.7</v>
      </c>
      <c r="D762">
        <v>1</v>
      </c>
    </row>
    <row r="763" spans="1:4" x14ac:dyDescent="0.25">
      <c r="A763" t="s">
        <v>9730</v>
      </c>
      <c r="B763">
        <v>42</v>
      </c>
      <c r="C763" s="4">
        <v>768.24</v>
      </c>
      <c r="D763">
        <v>1</v>
      </c>
    </row>
    <row r="764" spans="1:4" x14ac:dyDescent="0.25">
      <c r="A764" t="s">
        <v>9731</v>
      </c>
      <c r="B764">
        <v>90</v>
      </c>
      <c r="C764" s="4">
        <v>609.95000000000005</v>
      </c>
      <c r="D764">
        <v>1</v>
      </c>
    </row>
    <row r="765" spans="1:4" x14ac:dyDescent="0.25">
      <c r="A765" t="s">
        <v>9732</v>
      </c>
      <c r="B765">
        <v>28</v>
      </c>
      <c r="C765" s="4">
        <v>389.03</v>
      </c>
      <c r="D765">
        <v>1</v>
      </c>
    </row>
    <row r="766" spans="1:4" x14ac:dyDescent="0.25">
      <c r="A766" t="s">
        <v>9733</v>
      </c>
      <c r="B766">
        <v>22</v>
      </c>
      <c r="C766" s="4">
        <v>389.56</v>
      </c>
      <c r="D766">
        <v>1</v>
      </c>
    </row>
    <row r="767" spans="1:4" x14ac:dyDescent="0.25">
      <c r="A767" t="s">
        <v>9734</v>
      </c>
      <c r="B767">
        <v>166</v>
      </c>
      <c r="C767" s="4">
        <v>3090.74</v>
      </c>
      <c r="D767">
        <v>4</v>
      </c>
    </row>
    <row r="768" spans="1:4" x14ac:dyDescent="0.25">
      <c r="A768" t="s">
        <v>9735</v>
      </c>
      <c r="B768">
        <v>58</v>
      </c>
      <c r="C768" s="4">
        <v>892.5</v>
      </c>
      <c r="D768">
        <v>2</v>
      </c>
    </row>
    <row r="769" spans="1:4" x14ac:dyDescent="0.25">
      <c r="A769" t="s">
        <v>9736</v>
      </c>
      <c r="B769">
        <v>10</v>
      </c>
      <c r="C769" s="4">
        <v>134.96</v>
      </c>
      <c r="D769">
        <v>1</v>
      </c>
    </row>
    <row r="770" spans="1:4" x14ac:dyDescent="0.25">
      <c r="A770" t="s">
        <v>9737</v>
      </c>
      <c r="B770">
        <v>128</v>
      </c>
      <c r="C770" s="4">
        <v>2225.37</v>
      </c>
      <c r="D770">
        <v>2</v>
      </c>
    </row>
    <row r="771" spans="1:4" x14ac:dyDescent="0.25">
      <c r="A771" t="s">
        <v>9738</v>
      </c>
      <c r="B771">
        <v>1</v>
      </c>
      <c r="C771" s="4">
        <v>56.16</v>
      </c>
      <c r="D771">
        <v>1</v>
      </c>
    </row>
    <row r="772" spans="1:4" x14ac:dyDescent="0.25">
      <c r="A772" t="s">
        <v>9739</v>
      </c>
      <c r="B772">
        <v>28</v>
      </c>
      <c r="C772" s="4">
        <v>573.4</v>
      </c>
      <c r="D772">
        <v>2</v>
      </c>
    </row>
    <row r="773" spans="1:4" x14ac:dyDescent="0.25">
      <c r="A773" t="s">
        <v>9740</v>
      </c>
      <c r="B773">
        <v>13</v>
      </c>
      <c r="C773" s="4">
        <v>258.27999999999997</v>
      </c>
      <c r="D773">
        <v>1</v>
      </c>
    </row>
    <row r="774" spans="1:4" x14ac:dyDescent="0.25">
      <c r="A774" t="s">
        <v>9741</v>
      </c>
      <c r="B774">
        <v>39</v>
      </c>
      <c r="C774" s="4">
        <v>754.87</v>
      </c>
      <c r="D774">
        <v>1</v>
      </c>
    </row>
    <row r="775" spans="1:4" x14ac:dyDescent="0.25">
      <c r="A775" t="s">
        <v>9742</v>
      </c>
      <c r="B775">
        <v>22</v>
      </c>
      <c r="C775" s="4">
        <v>328.64</v>
      </c>
      <c r="D775">
        <v>1</v>
      </c>
    </row>
    <row r="776" spans="1:4" x14ac:dyDescent="0.25">
      <c r="A776" t="s">
        <v>9743</v>
      </c>
      <c r="B776">
        <v>158</v>
      </c>
      <c r="C776" s="4">
        <v>3312.25</v>
      </c>
      <c r="D776">
        <v>3</v>
      </c>
    </row>
    <row r="777" spans="1:4" x14ac:dyDescent="0.25">
      <c r="A777" t="s">
        <v>9744</v>
      </c>
      <c r="B777">
        <v>37</v>
      </c>
      <c r="C777" s="4">
        <v>778.65</v>
      </c>
      <c r="D777">
        <v>1</v>
      </c>
    </row>
    <row r="778" spans="1:4" x14ac:dyDescent="0.25">
      <c r="A778" t="s">
        <v>9745</v>
      </c>
      <c r="B778">
        <v>50</v>
      </c>
      <c r="C778" s="4">
        <v>869.76</v>
      </c>
      <c r="D778">
        <v>3</v>
      </c>
    </row>
    <row r="779" spans="1:4" x14ac:dyDescent="0.25">
      <c r="A779" t="s">
        <v>9746</v>
      </c>
      <c r="B779">
        <v>97</v>
      </c>
      <c r="C779" s="4">
        <v>572.55999999999995</v>
      </c>
      <c r="D779">
        <v>3</v>
      </c>
    </row>
    <row r="780" spans="1:4" x14ac:dyDescent="0.25">
      <c r="A780" t="s">
        <v>9747</v>
      </c>
      <c r="B780">
        <v>172</v>
      </c>
      <c r="C780" s="4">
        <v>3639.31</v>
      </c>
      <c r="D780">
        <v>6</v>
      </c>
    </row>
    <row r="781" spans="1:4" x14ac:dyDescent="0.25">
      <c r="A781" t="s">
        <v>9748</v>
      </c>
      <c r="B781">
        <v>15</v>
      </c>
      <c r="C781" s="4">
        <v>222.99</v>
      </c>
      <c r="D781">
        <v>1</v>
      </c>
    </row>
    <row r="782" spans="1:4" x14ac:dyDescent="0.25">
      <c r="A782" t="s">
        <v>9749</v>
      </c>
      <c r="B782">
        <v>152</v>
      </c>
      <c r="C782" s="4">
        <v>4151.93</v>
      </c>
      <c r="D782">
        <v>7</v>
      </c>
    </row>
    <row r="783" spans="1:4" x14ac:dyDescent="0.25">
      <c r="A783" t="s">
        <v>9750</v>
      </c>
      <c r="B783">
        <v>35</v>
      </c>
      <c r="C783" s="4">
        <v>534.57000000000005</v>
      </c>
      <c r="D783">
        <v>1</v>
      </c>
    </row>
    <row r="784" spans="1:4" x14ac:dyDescent="0.25">
      <c r="A784" t="s">
        <v>9751</v>
      </c>
      <c r="B784">
        <v>35</v>
      </c>
      <c r="C784" s="4">
        <v>677.1</v>
      </c>
      <c r="D784">
        <v>2</v>
      </c>
    </row>
    <row r="785" spans="1:4" x14ac:dyDescent="0.25">
      <c r="A785" t="s">
        <v>9752</v>
      </c>
      <c r="B785">
        <v>51</v>
      </c>
      <c r="C785" s="4">
        <v>797.96</v>
      </c>
      <c r="D785">
        <v>3</v>
      </c>
    </row>
    <row r="786" spans="1:4" x14ac:dyDescent="0.25">
      <c r="A786" t="s">
        <v>9753</v>
      </c>
      <c r="B786">
        <v>13</v>
      </c>
      <c r="C786" s="4">
        <v>544.08000000000004</v>
      </c>
      <c r="D786">
        <v>1</v>
      </c>
    </row>
    <row r="787" spans="1:4" x14ac:dyDescent="0.25">
      <c r="A787" t="s">
        <v>9754</v>
      </c>
      <c r="B787">
        <v>1</v>
      </c>
      <c r="C787" s="4">
        <v>59.8</v>
      </c>
      <c r="D787">
        <v>1</v>
      </c>
    </row>
    <row r="788" spans="1:4" x14ac:dyDescent="0.25">
      <c r="A788" t="s">
        <v>9755</v>
      </c>
      <c r="B788">
        <v>155</v>
      </c>
      <c r="C788" s="4">
        <v>2520.02</v>
      </c>
      <c r="D788">
        <v>8</v>
      </c>
    </row>
    <row r="789" spans="1:4" x14ac:dyDescent="0.25">
      <c r="A789" t="s">
        <v>9756</v>
      </c>
      <c r="B789">
        <v>21</v>
      </c>
      <c r="C789" s="4">
        <v>307.72000000000003</v>
      </c>
      <c r="D789">
        <v>1</v>
      </c>
    </row>
    <row r="790" spans="1:4" x14ac:dyDescent="0.25">
      <c r="A790" t="s">
        <v>9757</v>
      </c>
      <c r="B790">
        <v>43</v>
      </c>
      <c r="C790" s="4">
        <v>1360.99</v>
      </c>
      <c r="D790">
        <v>2</v>
      </c>
    </row>
    <row r="791" spans="1:4" x14ac:dyDescent="0.25">
      <c r="A791" t="s">
        <v>9758</v>
      </c>
      <c r="B791">
        <v>38</v>
      </c>
      <c r="C791" s="4">
        <v>1544.13</v>
      </c>
      <c r="D791">
        <v>5</v>
      </c>
    </row>
    <row r="792" spans="1:4" x14ac:dyDescent="0.25">
      <c r="A792" t="s">
        <v>9759</v>
      </c>
      <c r="B792">
        <v>26</v>
      </c>
      <c r="C792" s="4">
        <v>457.34</v>
      </c>
      <c r="D792">
        <v>1</v>
      </c>
    </row>
    <row r="793" spans="1:4" x14ac:dyDescent="0.25">
      <c r="A793" t="s">
        <v>9760</v>
      </c>
      <c r="B793">
        <v>39</v>
      </c>
      <c r="C793" s="4">
        <v>621.23</v>
      </c>
      <c r="D793">
        <v>2</v>
      </c>
    </row>
    <row r="794" spans="1:4" x14ac:dyDescent="0.25">
      <c r="A794" t="s">
        <v>9761</v>
      </c>
      <c r="B794">
        <v>3</v>
      </c>
      <c r="C794" s="4">
        <v>75</v>
      </c>
      <c r="D794">
        <v>1</v>
      </c>
    </row>
    <row r="795" spans="1:4" x14ac:dyDescent="0.25">
      <c r="A795" t="s">
        <v>9762</v>
      </c>
      <c r="B795">
        <v>11</v>
      </c>
      <c r="C795" s="4">
        <v>252.49</v>
      </c>
      <c r="D795">
        <v>2</v>
      </c>
    </row>
    <row r="796" spans="1:4" x14ac:dyDescent="0.25">
      <c r="A796" t="s">
        <v>9763</v>
      </c>
      <c r="B796">
        <v>25</v>
      </c>
      <c r="C796" s="4">
        <v>557.45000000000005</v>
      </c>
      <c r="D796">
        <v>2</v>
      </c>
    </row>
    <row r="797" spans="1:4" x14ac:dyDescent="0.25">
      <c r="A797" t="s">
        <v>9764</v>
      </c>
      <c r="B797">
        <v>478</v>
      </c>
      <c r="C797" s="4">
        <v>28117.040000000001</v>
      </c>
      <c r="D797">
        <v>62</v>
      </c>
    </row>
    <row r="798" spans="1:4" x14ac:dyDescent="0.25">
      <c r="A798" t="s">
        <v>9765</v>
      </c>
      <c r="B798">
        <v>28</v>
      </c>
      <c r="C798" s="4">
        <v>1003.06</v>
      </c>
      <c r="D798">
        <v>5</v>
      </c>
    </row>
    <row r="799" spans="1:4" x14ac:dyDescent="0.25">
      <c r="A799" t="s">
        <v>9766</v>
      </c>
      <c r="B799">
        <v>18</v>
      </c>
      <c r="C799" s="4">
        <v>213.55</v>
      </c>
      <c r="D799">
        <v>1</v>
      </c>
    </row>
    <row r="800" spans="1:4" x14ac:dyDescent="0.25">
      <c r="A800" t="s">
        <v>9767</v>
      </c>
      <c r="B800">
        <v>24</v>
      </c>
      <c r="C800" s="4">
        <v>1390.5</v>
      </c>
      <c r="D800">
        <v>3</v>
      </c>
    </row>
    <row r="801" spans="1:4" x14ac:dyDescent="0.25">
      <c r="A801" t="s">
        <v>9768</v>
      </c>
      <c r="B801">
        <v>19</v>
      </c>
      <c r="C801" s="4">
        <v>712.5</v>
      </c>
      <c r="D801">
        <v>2</v>
      </c>
    </row>
    <row r="802" spans="1:4" x14ac:dyDescent="0.25">
      <c r="A802" t="s">
        <v>9769</v>
      </c>
      <c r="B802">
        <v>28</v>
      </c>
      <c r="C802" s="4">
        <v>640.83000000000004</v>
      </c>
      <c r="D802">
        <v>2</v>
      </c>
    </row>
    <row r="803" spans="1:4" x14ac:dyDescent="0.25">
      <c r="A803" t="s">
        <v>9770</v>
      </c>
      <c r="B803">
        <v>304</v>
      </c>
      <c r="C803" s="4">
        <v>6127.43</v>
      </c>
      <c r="D803">
        <v>18</v>
      </c>
    </row>
    <row r="804" spans="1:4" x14ac:dyDescent="0.25">
      <c r="A804" t="s">
        <v>9771</v>
      </c>
      <c r="B804">
        <v>16</v>
      </c>
      <c r="C804" s="4">
        <v>221.06</v>
      </c>
      <c r="D804">
        <v>1</v>
      </c>
    </row>
    <row r="805" spans="1:4" x14ac:dyDescent="0.25">
      <c r="A805" t="s">
        <v>9772</v>
      </c>
      <c r="B805">
        <v>8</v>
      </c>
      <c r="C805" s="4">
        <v>159.85</v>
      </c>
      <c r="D805">
        <v>2</v>
      </c>
    </row>
    <row r="806" spans="1:4" x14ac:dyDescent="0.25">
      <c r="A806" t="s">
        <v>9773</v>
      </c>
      <c r="B806">
        <v>103</v>
      </c>
      <c r="C806" s="4">
        <v>1840.58</v>
      </c>
      <c r="D806">
        <v>2</v>
      </c>
    </row>
    <row r="807" spans="1:4" x14ac:dyDescent="0.25">
      <c r="A807" t="s">
        <v>9774</v>
      </c>
      <c r="B807">
        <v>127</v>
      </c>
      <c r="C807" s="4">
        <v>2626.3</v>
      </c>
      <c r="D807">
        <v>1</v>
      </c>
    </row>
    <row r="808" spans="1:4" x14ac:dyDescent="0.25">
      <c r="A808" t="s">
        <v>9775</v>
      </c>
      <c r="B808">
        <v>78</v>
      </c>
      <c r="C808" s="4">
        <v>1624.21</v>
      </c>
      <c r="D808">
        <v>3</v>
      </c>
    </row>
    <row r="809" spans="1:4" x14ac:dyDescent="0.25">
      <c r="A809" t="s">
        <v>9776</v>
      </c>
      <c r="B809">
        <v>157</v>
      </c>
      <c r="C809" s="4">
        <v>3641.32</v>
      </c>
      <c r="D809">
        <v>10</v>
      </c>
    </row>
    <row r="810" spans="1:4" x14ac:dyDescent="0.25">
      <c r="A810" t="s">
        <v>9777</v>
      </c>
      <c r="B810">
        <v>29</v>
      </c>
      <c r="C810" s="4">
        <v>582.6</v>
      </c>
      <c r="D810">
        <v>3</v>
      </c>
    </row>
    <row r="811" spans="1:4" x14ac:dyDescent="0.25">
      <c r="A811" t="s">
        <v>9778</v>
      </c>
      <c r="B811">
        <v>74</v>
      </c>
      <c r="C811" s="4">
        <v>218.47</v>
      </c>
      <c r="D811">
        <v>1</v>
      </c>
    </row>
    <row r="812" spans="1:4" x14ac:dyDescent="0.25">
      <c r="A812" t="s">
        <v>9779</v>
      </c>
      <c r="B812">
        <v>67</v>
      </c>
      <c r="C812" s="4">
        <v>1006.8</v>
      </c>
      <c r="D812">
        <v>4</v>
      </c>
    </row>
    <row r="813" spans="1:4" x14ac:dyDescent="0.25">
      <c r="A813" t="s">
        <v>9780</v>
      </c>
      <c r="B813">
        <v>49</v>
      </c>
      <c r="C813" s="4">
        <v>679.45</v>
      </c>
      <c r="D813">
        <v>2</v>
      </c>
    </row>
    <row r="814" spans="1:4" x14ac:dyDescent="0.25">
      <c r="A814" t="s">
        <v>9781</v>
      </c>
      <c r="B814">
        <v>46</v>
      </c>
      <c r="C814" s="4">
        <v>1269.0999999999999</v>
      </c>
      <c r="D814">
        <v>2</v>
      </c>
    </row>
    <row r="815" spans="1:4" x14ac:dyDescent="0.25">
      <c r="A815" t="s">
        <v>9782</v>
      </c>
      <c r="B815">
        <v>10</v>
      </c>
      <c r="C815" s="4">
        <v>534.24</v>
      </c>
      <c r="D815">
        <v>2</v>
      </c>
    </row>
    <row r="816" spans="1:4" x14ac:dyDescent="0.25">
      <c r="A816" t="s">
        <v>9783</v>
      </c>
      <c r="B816">
        <v>101</v>
      </c>
      <c r="C816" s="4">
        <v>3809.89</v>
      </c>
      <c r="D816">
        <v>7</v>
      </c>
    </row>
    <row r="817" spans="1:4" x14ac:dyDescent="0.25">
      <c r="A817" t="s">
        <v>9784</v>
      </c>
      <c r="B817">
        <v>12</v>
      </c>
      <c r="C817" s="4">
        <v>196.89</v>
      </c>
      <c r="D817">
        <v>1</v>
      </c>
    </row>
    <row r="818" spans="1:4" x14ac:dyDescent="0.25">
      <c r="A818" t="s">
        <v>9785</v>
      </c>
      <c r="B818">
        <v>167</v>
      </c>
      <c r="C818" s="4">
        <v>3408.06</v>
      </c>
      <c r="D818">
        <v>7</v>
      </c>
    </row>
    <row r="819" spans="1:4" x14ac:dyDescent="0.25">
      <c r="A819" t="s">
        <v>9786</v>
      </c>
      <c r="B819">
        <v>54</v>
      </c>
      <c r="C819" s="4">
        <v>283.70999999999998</v>
      </c>
      <c r="D819">
        <v>1</v>
      </c>
    </row>
    <row r="820" spans="1:4" x14ac:dyDescent="0.25">
      <c r="A820" t="s">
        <v>9787</v>
      </c>
      <c r="B820">
        <v>13</v>
      </c>
      <c r="C820" s="4">
        <v>296.64</v>
      </c>
      <c r="D820">
        <v>1</v>
      </c>
    </row>
    <row r="821" spans="1:4" x14ac:dyDescent="0.25">
      <c r="A821" t="s">
        <v>9788</v>
      </c>
      <c r="B821">
        <v>59</v>
      </c>
      <c r="C821" s="4">
        <v>1129.1400000000001</v>
      </c>
      <c r="D821">
        <v>3</v>
      </c>
    </row>
    <row r="822" spans="1:4" x14ac:dyDescent="0.25">
      <c r="A822" t="s">
        <v>9789</v>
      </c>
      <c r="B822">
        <v>195</v>
      </c>
      <c r="C822" s="4">
        <v>3539.37</v>
      </c>
      <c r="D822">
        <v>6</v>
      </c>
    </row>
    <row r="823" spans="1:4" x14ac:dyDescent="0.25">
      <c r="A823" t="s">
        <v>9790</v>
      </c>
      <c r="B823">
        <v>19</v>
      </c>
      <c r="C823" s="4">
        <v>291.88</v>
      </c>
      <c r="D823">
        <v>1</v>
      </c>
    </row>
    <row r="824" spans="1:4" x14ac:dyDescent="0.25">
      <c r="A824" t="s">
        <v>9791</v>
      </c>
      <c r="B824">
        <v>71</v>
      </c>
      <c r="C824" s="4">
        <v>2043.72</v>
      </c>
      <c r="D824">
        <v>6</v>
      </c>
    </row>
    <row r="825" spans="1:4" x14ac:dyDescent="0.25">
      <c r="A825" t="s">
        <v>9792</v>
      </c>
      <c r="B825">
        <v>443</v>
      </c>
      <c r="C825" s="4">
        <v>2976.15</v>
      </c>
      <c r="D825">
        <v>5</v>
      </c>
    </row>
    <row r="826" spans="1:4" x14ac:dyDescent="0.25">
      <c r="A826" t="s">
        <v>9793</v>
      </c>
      <c r="B826">
        <v>2</v>
      </c>
      <c r="C826" s="4">
        <v>590</v>
      </c>
      <c r="D826">
        <v>2</v>
      </c>
    </row>
    <row r="827" spans="1:4" x14ac:dyDescent="0.25">
      <c r="A827" t="s">
        <v>9794</v>
      </c>
      <c r="B827">
        <v>17</v>
      </c>
      <c r="C827" s="4">
        <v>356.98</v>
      </c>
      <c r="D827">
        <v>2</v>
      </c>
    </row>
    <row r="828" spans="1:4" x14ac:dyDescent="0.25">
      <c r="A828" t="s">
        <v>9795</v>
      </c>
      <c r="B828">
        <v>46</v>
      </c>
      <c r="C828" s="4">
        <v>1058.3399999999999</v>
      </c>
      <c r="D828">
        <v>2</v>
      </c>
    </row>
    <row r="829" spans="1:4" x14ac:dyDescent="0.25">
      <c r="A829" t="s">
        <v>9796</v>
      </c>
      <c r="B829">
        <v>63</v>
      </c>
      <c r="C829" s="4">
        <v>1766.72</v>
      </c>
      <c r="D829">
        <v>6</v>
      </c>
    </row>
    <row r="830" spans="1:4" x14ac:dyDescent="0.25">
      <c r="A830" t="s">
        <v>9797</v>
      </c>
      <c r="B830">
        <v>382</v>
      </c>
      <c r="C830" s="4">
        <v>9646.57</v>
      </c>
      <c r="D830">
        <v>14</v>
      </c>
    </row>
    <row r="831" spans="1:4" x14ac:dyDescent="0.25">
      <c r="A831" t="s">
        <v>9798</v>
      </c>
      <c r="B831">
        <v>17</v>
      </c>
      <c r="C831" s="4">
        <v>183.44</v>
      </c>
      <c r="D831">
        <v>2</v>
      </c>
    </row>
    <row r="832" spans="1:4" x14ac:dyDescent="0.25">
      <c r="A832" t="s">
        <v>9799</v>
      </c>
      <c r="B832">
        <v>27</v>
      </c>
      <c r="C832" s="4">
        <v>1445</v>
      </c>
      <c r="D832">
        <v>3</v>
      </c>
    </row>
    <row r="833" spans="1:4" x14ac:dyDescent="0.25">
      <c r="A833" t="s">
        <v>9800</v>
      </c>
      <c r="B833">
        <v>9</v>
      </c>
      <c r="C833" s="4">
        <v>151.5</v>
      </c>
      <c r="D833">
        <v>1</v>
      </c>
    </row>
    <row r="834" spans="1:4" x14ac:dyDescent="0.25">
      <c r="A834" t="s">
        <v>9801</v>
      </c>
      <c r="B834">
        <v>41</v>
      </c>
      <c r="C834" s="4">
        <v>674.68</v>
      </c>
      <c r="D834">
        <v>1</v>
      </c>
    </row>
    <row r="835" spans="1:4" x14ac:dyDescent="0.25">
      <c r="A835" t="s">
        <v>9802</v>
      </c>
      <c r="B835">
        <v>17</v>
      </c>
      <c r="C835" s="4">
        <v>307.89999999999998</v>
      </c>
      <c r="D835">
        <v>1</v>
      </c>
    </row>
    <row r="836" spans="1:4" x14ac:dyDescent="0.25">
      <c r="A836" t="s">
        <v>9803</v>
      </c>
      <c r="B836">
        <v>99</v>
      </c>
      <c r="C836" s="4">
        <v>1083.71</v>
      </c>
      <c r="D836">
        <v>2</v>
      </c>
    </row>
    <row r="837" spans="1:4" x14ac:dyDescent="0.25">
      <c r="A837" t="s">
        <v>9804</v>
      </c>
      <c r="B837">
        <v>302</v>
      </c>
      <c r="C837" s="4">
        <v>5704.97</v>
      </c>
      <c r="D837">
        <v>37</v>
      </c>
    </row>
    <row r="838" spans="1:4" x14ac:dyDescent="0.25">
      <c r="A838" t="s">
        <v>9805</v>
      </c>
      <c r="B838">
        <v>10</v>
      </c>
      <c r="C838" s="4">
        <v>165</v>
      </c>
      <c r="D838">
        <v>2</v>
      </c>
    </row>
    <row r="839" spans="1:4" x14ac:dyDescent="0.25">
      <c r="A839" t="s">
        <v>9806</v>
      </c>
      <c r="B839">
        <v>260</v>
      </c>
      <c r="C839" s="4">
        <v>2531.58</v>
      </c>
      <c r="D839">
        <v>4</v>
      </c>
    </row>
    <row r="840" spans="1:4" x14ac:dyDescent="0.25">
      <c r="A840" t="s">
        <v>9807</v>
      </c>
      <c r="B840">
        <v>21</v>
      </c>
      <c r="C840" s="4">
        <v>422.64</v>
      </c>
      <c r="D840">
        <v>2</v>
      </c>
    </row>
    <row r="841" spans="1:4" x14ac:dyDescent="0.25">
      <c r="A841" t="s">
        <v>9808</v>
      </c>
      <c r="B841">
        <v>64</v>
      </c>
      <c r="C841" s="4">
        <v>229.59</v>
      </c>
      <c r="D841">
        <v>1</v>
      </c>
    </row>
    <row r="842" spans="1:4" x14ac:dyDescent="0.25">
      <c r="A842" t="s">
        <v>9809</v>
      </c>
      <c r="B842">
        <v>86</v>
      </c>
      <c r="C842" s="4">
        <v>1431.78</v>
      </c>
      <c r="D842">
        <v>4</v>
      </c>
    </row>
    <row r="843" spans="1:4" x14ac:dyDescent="0.25">
      <c r="A843" t="s">
        <v>9810</v>
      </c>
      <c r="B843">
        <v>58</v>
      </c>
      <c r="C843" s="4">
        <v>1238.47</v>
      </c>
      <c r="D843">
        <v>2</v>
      </c>
    </row>
    <row r="844" spans="1:4" x14ac:dyDescent="0.25">
      <c r="A844" t="s">
        <v>9811</v>
      </c>
      <c r="B844">
        <v>79</v>
      </c>
      <c r="C844" s="4">
        <v>1454.58</v>
      </c>
      <c r="D844">
        <v>6</v>
      </c>
    </row>
    <row r="845" spans="1:4" x14ac:dyDescent="0.25">
      <c r="A845" t="s">
        <v>9812</v>
      </c>
      <c r="B845">
        <v>15</v>
      </c>
      <c r="C845" s="4">
        <v>300.95</v>
      </c>
      <c r="D845">
        <v>2</v>
      </c>
    </row>
    <row r="846" spans="1:4" x14ac:dyDescent="0.25">
      <c r="A846" t="s">
        <v>9813</v>
      </c>
      <c r="B846">
        <v>109</v>
      </c>
      <c r="C846" s="4">
        <v>1804.56</v>
      </c>
      <c r="D846">
        <v>5</v>
      </c>
    </row>
    <row r="847" spans="1:4" x14ac:dyDescent="0.25">
      <c r="A847" t="s">
        <v>9814</v>
      </c>
      <c r="B847">
        <v>11</v>
      </c>
      <c r="C847" s="4">
        <v>184.64</v>
      </c>
      <c r="D847">
        <v>1</v>
      </c>
    </row>
    <row r="848" spans="1:4" x14ac:dyDescent="0.25">
      <c r="A848" t="s">
        <v>9815</v>
      </c>
      <c r="B848">
        <v>10</v>
      </c>
      <c r="C848" s="4">
        <v>140.34</v>
      </c>
      <c r="D848">
        <v>1</v>
      </c>
    </row>
    <row r="849" spans="1:4" x14ac:dyDescent="0.25">
      <c r="A849" t="s">
        <v>9816</v>
      </c>
      <c r="B849">
        <v>8</v>
      </c>
      <c r="C849" s="4">
        <v>313.8</v>
      </c>
      <c r="D849">
        <v>1</v>
      </c>
    </row>
    <row r="850" spans="1:4" x14ac:dyDescent="0.25">
      <c r="A850" t="s">
        <v>9817</v>
      </c>
      <c r="B850">
        <v>23</v>
      </c>
      <c r="C850" s="4">
        <v>454.24</v>
      </c>
      <c r="D850">
        <v>1</v>
      </c>
    </row>
    <row r="851" spans="1:4" x14ac:dyDescent="0.25">
      <c r="A851" t="s">
        <v>9818</v>
      </c>
      <c r="B851">
        <v>69</v>
      </c>
      <c r="C851" s="4">
        <v>1122.4100000000001</v>
      </c>
      <c r="D851">
        <v>3</v>
      </c>
    </row>
    <row r="852" spans="1:4" x14ac:dyDescent="0.25">
      <c r="A852" t="s">
        <v>9819</v>
      </c>
      <c r="B852">
        <v>34</v>
      </c>
      <c r="C852" s="4">
        <v>575.4</v>
      </c>
      <c r="D852">
        <v>3</v>
      </c>
    </row>
    <row r="853" spans="1:4" x14ac:dyDescent="0.25">
      <c r="A853" t="s">
        <v>9820</v>
      </c>
      <c r="B853">
        <v>422</v>
      </c>
      <c r="C853" s="4">
        <v>8968.31</v>
      </c>
      <c r="D853">
        <v>13</v>
      </c>
    </row>
    <row r="854" spans="1:4" x14ac:dyDescent="0.25">
      <c r="A854" t="s">
        <v>9821</v>
      </c>
      <c r="B854">
        <v>14</v>
      </c>
      <c r="C854" s="4">
        <v>449.52</v>
      </c>
      <c r="D854">
        <v>4</v>
      </c>
    </row>
    <row r="855" spans="1:4" x14ac:dyDescent="0.25">
      <c r="A855" t="s">
        <v>9822</v>
      </c>
      <c r="B855">
        <v>86</v>
      </c>
      <c r="C855" s="4">
        <v>1215.82</v>
      </c>
      <c r="D855">
        <v>10</v>
      </c>
    </row>
    <row r="856" spans="1:4" x14ac:dyDescent="0.25">
      <c r="A856" t="s">
        <v>9823</v>
      </c>
      <c r="B856">
        <v>50</v>
      </c>
      <c r="C856" s="4">
        <v>1269.8399999999999</v>
      </c>
      <c r="D856">
        <v>3</v>
      </c>
    </row>
    <row r="857" spans="1:4" x14ac:dyDescent="0.25">
      <c r="A857" t="s">
        <v>9824</v>
      </c>
      <c r="B857">
        <v>6</v>
      </c>
      <c r="C857" s="4">
        <v>498.63</v>
      </c>
      <c r="D857">
        <v>2</v>
      </c>
    </row>
    <row r="858" spans="1:4" x14ac:dyDescent="0.25">
      <c r="A858" t="s">
        <v>9825</v>
      </c>
      <c r="B858">
        <v>18</v>
      </c>
      <c r="C858" s="4">
        <v>316.26</v>
      </c>
      <c r="D858">
        <v>1</v>
      </c>
    </row>
    <row r="859" spans="1:4" x14ac:dyDescent="0.25">
      <c r="A859" t="s">
        <v>9826</v>
      </c>
      <c r="B859">
        <v>48</v>
      </c>
      <c r="C859" s="4">
        <v>2044.87</v>
      </c>
      <c r="D859">
        <v>5</v>
      </c>
    </row>
    <row r="860" spans="1:4" x14ac:dyDescent="0.25">
      <c r="A860" t="s">
        <v>9827</v>
      </c>
      <c r="B860">
        <v>35</v>
      </c>
      <c r="C860" s="4">
        <v>653.33000000000004</v>
      </c>
      <c r="D860">
        <v>2</v>
      </c>
    </row>
    <row r="861" spans="1:4" x14ac:dyDescent="0.25">
      <c r="A861" t="s">
        <v>9828</v>
      </c>
      <c r="B861">
        <v>19</v>
      </c>
      <c r="C861" s="4">
        <v>348.05</v>
      </c>
      <c r="D861">
        <v>2</v>
      </c>
    </row>
    <row r="862" spans="1:4" x14ac:dyDescent="0.25">
      <c r="A862" t="s">
        <v>9829</v>
      </c>
      <c r="B862">
        <v>42</v>
      </c>
      <c r="C862" s="4">
        <v>1159.1099999999999</v>
      </c>
      <c r="D862">
        <v>5</v>
      </c>
    </row>
    <row r="863" spans="1:4" x14ac:dyDescent="0.25">
      <c r="A863" t="s">
        <v>9830</v>
      </c>
      <c r="B863">
        <v>65</v>
      </c>
      <c r="C863" s="4">
        <v>1166.77</v>
      </c>
      <c r="D863">
        <v>3</v>
      </c>
    </row>
    <row r="864" spans="1:4" x14ac:dyDescent="0.25">
      <c r="A864" t="s">
        <v>9831</v>
      </c>
      <c r="B864">
        <v>52</v>
      </c>
      <c r="C864" s="4">
        <v>1340.32</v>
      </c>
      <c r="D864">
        <v>1</v>
      </c>
    </row>
    <row r="865" spans="1:4" x14ac:dyDescent="0.25">
      <c r="A865" t="s">
        <v>9832</v>
      </c>
      <c r="B865">
        <v>18</v>
      </c>
      <c r="C865" s="4">
        <v>292</v>
      </c>
      <c r="D865">
        <v>3</v>
      </c>
    </row>
    <row r="866" spans="1:4" x14ac:dyDescent="0.25">
      <c r="A866" t="s">
        <v>9833</v>
      </c>
      <c r="B866">
        <v>17</v>
      </c>
      <c r="C866" s="4">
        <v>216.85</v>
      </c>
      <c r="D866">
        <v>1</v>
      </c>
    </row>
    <row r="867" spans="1:4" x14ac:dyDescent="0.25">
      <c r="A867" t="s">
        <v>9834</v>
      </c>
      <c r="B867">
        <v>22</v>
      </c>
      <c r="C867" s="4">
        <v>295.93</v>
      </c>
      <c r="D867">
        <v>1</v>
      </c>
    </row>
    <row r="868" spans="1:4" x14ac:dyDescent="0.25">
      <c r="A868" t="s">
        <v>9835</v>
      </c>
      <c r="B868">
        <v>211</v>
      </c>
      <c r="C868" s="4">
        <v>3633.63</v>
      </c>
      <c r="D868">
        <v>4</v>
      </c>
    </row>
    <row r="869" spans="1:4" x14ac:dyDescent="0.25">
      <c r="A869" t="s">
        <v>9836</v>
      </c>
      <c r="B869">
        <v>26</v>
      </c>
      <c r="C869" s="4">
        <v>458.52</v>
      </c>
      <c r="D869">
        <v>2</v>
      </c>
    </row>
    <row r="870" spans="1:4" x14ac:dyDescent="0.25">
      <c r="A870" t="s">
        <v>9837</v>
      </c>
      <c r="B870">
        <v>162</v>
      </c>
      <c r="C870" s="4">
        <v>2479.16</v>
      </c>
      <c r="D870">
        <v>4</v>
      </c>
    </row>
    <row r="871" spans="1:4" x14ac:dyDescent="0.25">
      <c r="A871" t="s">
        <v>9838</v>
      </c>
      <c r="B871">
        <v>12</v>
      </c>
      <c r="C871" s="4">
        <v>110.97</v>
      </c>
      <c r="D871">
        <v>1</v>
      </c>
    </row>
    <row r="872" spans="1:4" x14ac:dyDescent="0.25">
      <c r="A872" t="s">
        <v>9839</v>
      </c>
      <c r="B872">
        <v>43</v>
      </c>
      <c r="C872" s="4">
        <v>964.72</v>
      </c>
      <c r="D872">
        <v>6</v>
      </c>
    </row>
    <row r="873" spans="1:4" x14ac:dyDescent="0.25">
      <c r="A873" t="s">
        <v>9840</v>
      </c>
      <c r="B873">
        <v>115</v>
      </c>
      <c r="C873" s="4">
        <v>1791.56</v>
      </c>
      <c r="D873">
        <v>4</v>
      </c>
    </row>
    <row r="874" spans="1:4" x14ac:dyDescent="0.25">
      <c r="A874" t="s">
        <v>9841</v>
      </c>
      <c r="B874">
        <v>15</v>
      </c>
      <c r="C874" s="4">
        <v>251.21</v>
      </c>
      <c r="D874">
        <v>1</v>
      </c>
    </row>
    <row r="875" spans="1:4" x14ac:dyDescent="0.25">
      <c r="A875" t="s">
        <v>9842</v>
      </c>
      <c r="B875">
        <v>10</v>
      </c>
      <c r="C875" s="4">
        <v>205.1</v>
      </c>
      <c r="D875">
        <v>1</v>
      </c>
    </row>
    <row r="876" spans="1:4" x14ac:dyDescent="0.25">
      <c r="A876" t="s">
        <v>9843</v>
      </c>
      <c r="B876">
        <v>4</v>
      </c>
      <c r="C876" s="4">
        <v>152.19999999999999</v>
      </c>
      <c r="D876">
        <v>1</v>
      </c>
    </row>
    <row r="877" spans="1:4" x14ac:dyDescent="0.25">
      <c r="A877" t="s">
        <v>9844</v>
      </c>
      <c r="B877">
        <v>59</v>
      </c>
      <c r="C877" s="4">
        <v>891.12</v>
      </c>
      <c r="D877">
        <v>4</v>
      </c>
    </row>
    <row r="878" spans="1:4" x14ac:dyDescent="0.25">
      <c r="A878" t="s">
        <v>9845</v>
      </c>
      <c r="B878">
        <v>44</v>
      </c>
      <c r="C878" s="4">
        <v>1389.41</v>
      </c>
      <c r="D878">
        <v>3</v>
      </c>
    </row>
    <row r="879" spans="1:4" x14ac:dyDescent="0.25">
      <c r="A879" t="s">
        <v>9846</v>
      </c>
      <c r="B879">
        <v>141</v>
      </c>
      <c r="C879" s="4">
        <v>2128.42</v>
      </c>
      <c r="D879">
        <v>3</v>
      </c>
    </row>
    <row r="880" spans="1:4" x14ac:dyDescent="0.25">
      <c r="A880" t="s">
        <v>9847</v>
      </c>
      <c r="B880">
        <v>38</v>
      </c>
      <c r="C880" s="4">
        <v>659.44</v>
      </c>
      <c r="D880">
        <v>1</v>
      </c>
    </row>
    <row r="881" spans="1:4" x14ac:dyDescent="0.25">
      <c r="A881" t="s">
        <v>9848</v>
      </c>
      <c r="B881">
        <v>8</v>
      </c>
      <c r="C881" s="4">
        <v>122.75</v>
      </c>
      <c r="D881">
        <v>1</v>
      </c>
    </row>
    <row r="882" spans="1:4" x14ac:dyDescent="0.25">
      <c r="A882" t="s">
        <v>9849</v>
      </c>
      <c r="B882">
        <v>87</v>
      </c>
      <c r="C882" s="4">
        <v>2984.35</v>
      </c>
      <c r="D882">
        <v>6</v>
      </c>
    </row>
    <row r="883" spans="1:4" x14ac:dyDescent="0.25">
      <c r="A883" t="s">
        <v>9850</v>
      </c>
      <c r="B883">
        <v>435</v>
      </c>
      <c r="C883" s="4">
        <v>1092.3900000000001</v>
      </c>
      <c r="D883">
        <v>3</v>
      </c>
    </row>
    <row r="884" spans="1:4" x14ac:dyDescent="0.25">
      <c r="A884" t="s">
        <v>9851</v>
      </c>
      <c r="B884">
        <v>5</v>
      </c>
      <c r="C884" s="4">
        <v>125.8</v>
      </c>
      <c r="D884">
        <v>1</v>
      </c>
    </row>
    <row r="885" spans="1:4" x14ac:dyDescent="0.25">
      <c r="A885" t="s">
        <v>9852</v>
      </c>
      <c r="B885">
        <v>172</v>
      </c>
      <c r="C885" s="4">
        <v>3964.88</v>
      </c>
      <c r="D885">
        <v>5</v>
      </c>
    </row>
    <row r="886" spans="1:4" x14ac:dyDescent="0.25">
      <c r="A886" t="s">
        <v>9853</v>
      </c>
      <c r="B886">
        <v>27</v>
      </c>
      <c r="C886" s="4">
        <v>680.18</v>
      </c>
      <c r="D886">
        <v>5</v>
      </c>
    </row>
    <row r="887" spans="1:4" x14ac:dyDescent="0.25">
      <c r="A887" t="s">
        <v>9854</v>
      </c>
      <c r="B887">
        <v>6</v>
      </c>
      <c r="C887" s="4">
        <v>628.78</v>
      </c>
      <c r="D887">
        <v>2</v>
      </c>
    </row>
    <row r="888" spans="1:4" x14ac:dyDescent="0.25">
      <c r="A888" t="s">
        <v>9855</v>
      </c>
      <c r="B888">
        <v>223</v>
      </c>
      <c r="C888" s="4">
        <v>2287.5100000000002</v>
      </c>
      <c r="D888">
        <v>7</v>
      </c>
    </row>
    <row r="889" spans="1:4" x14ac:dyDescent="0.25">
      <c r="A889" t="s">
        <v>9856</v>
      </c>
      <c r="B889">
        <v>15</v>
      </c>
      <c r="C889" s="4">
        <v>307.76</v>
      </c>
      <c r="D889">
        <v>2</v>
      </c>
    </row>
    <row r="890" spans="1:4" x14ac:dyDescent="0.25">
      <c r="A890" t="s">
        <v>9857</v>
      </c>
      <c r="B890">
        <v>22</v>
      </c>
      <c r="C890" s="4">
        <v>483.8</v>
      </c>
      <c r="D890">
        <v>2</v>
      </c>
    </row>
    <row r="891" spans="1:4" x14ac:dyDescent="0.25">
      <c r="A891" t="s">
        <v>9858</v>
      </c>
      <c r="B891">
        <v>66</v>
      </c>
      <c r="C891" s="4">
        <v>210.31</v>
      </c>
      <c r="D891">
        <v>1</v>
      </c>
    </row>
    <row r="892" spans="1:4" x14ac:dyDescent="0.25">
      <c r="A892" t="s">
        <v>9859</v>
      </c>
      <c r="B892">
        <v>76</v>
      </c>
      <c r="C892" s="4">
        <v>270.79000000000002</v>
      </c>
      <c r="D892">
        <v>3</v>
      </c>
    </row>
    <row r="893" spans="1:4" x14ac:dyDescent="0.25">
      <c r="A893" t="s">
        <v>9860</v>
      </c>
      <c r="B893">
        <v>296</v>
      </c>
      <c r="C893" s="4">
        <v>5870.08</v>
      </c>
      <c r="D893">
        <v>25</v>
      </c>
    </row>
    <row r="894" spans="1:4" x14ac:dyDescent="0.25">
      <c r="A894" t="s">
        <v>9861</v>
      </c>
      <c r="B894">
        <v>179</v>
      </c>
      <c r="C894" s="4">
        <v>3448.29</v>
      </c>
      <c r="D894">
        <v>7</v>
      </c>
    </row>
    <row r="895" spans="1:4" x14ac:dyDescent="0.25">
      <c r="A895" t="s">
        <v>9862</v>
      </c>
      <c r="B895">
        <v>25</v>
      </c>
      <c r="C895" s="4">
        <v>1280.8499999999999</v>
      </c>
      <c r="D895">
        <v>7</v>
      </c>
    </row>
    <row r="896" spans="1:4" x14ac:dyDescent="0.25">
      <c r="A896" t="s">
        <v>9863</v>
      </c>
      <c r="B896">
        <v>37</v>
      </c>
      <c r="C896" s="4">
        <v>631.34</v>
      </c>
      <c r="D896">
        <v>3</v>
      </c>
    </row>
    <row r="897" spans="1:4" x14ac:dyDescent="0.25">
      <c r="A897" t="s">
        <v>9864</v>
      </c>
      <c r="B897">
        <v>87</v>
      </c>
      <c r="C897" s="4">
        <v>291.41000000000003</v>
      </c>
      <c r="D897">
        <v>2</v>
      </c>
    </row>
    <row r="898" spans="1:4" x14ac:dyDescent="0.25">
      <c r="A898" t="s">
        <v>9865</v>
      </c>
      <c r="B898">
        <v>98</v>
      </c>
      <c r="C898" s="4">
        <v>626.99</v>
      </c>
      <c r="D898">
        <v>3</v>
      </c>
    </row>
    <row r="899" spans="1:4" x14ac:dyDescent="0.25">
      <c r="A899" t="s">
        <v>9866</v>
      </c>
      <c r="B899">
        <v>124</v>
      </c>
      <c r="C899" s="4">
        <v>682.41</v>
      </c>
      <c r="D899">
        <v>2</v>
      </c>
    </row>
    <row r="900" spans="1:4" x14ac:dyDescent="0.25">
      <c r="A900" t="s">
        <v>9867</v>
      </c>
      <c r="B900">
        <v>51</v>
      </c>
      <c r="C900" s="4">
        <v>918.2</v>
      </c>
      <c r="D900">
        <v>7</v>
      </c>
    </row>
    <row r="901" spans="1:4" x14ac:dyDescent="0.25">
      <c r="A901" t="s">
        <v>9868</v>
      </c>
      <c r="B901">
        <v>4</v>
      </c>
      <c r="C901" s="4">
        <v>91.8</v>
      </c>
      <c r="D901">
        <v>1</v>
      </c>
    </row>
    <row r="902" spans="1:4" x14ac:dyDescent="0.25">
      <c r="A902" t="s">
        <v>9869</v>
      </c>
      <c r="B902">
        <v>109</v>
      </c>
      <c r="C902" s="4">
        <v>3740.07</v>
      </c>
      <c r="D902">
        <v>12</v>
      </c>
    </row>
    <row r="903" spans="1:4" x14ac:dyDescent="0.25">
      <c r="A903" t="s">
        <v>9870</v>
      </c>
      <c r="B903">
        <v>136</v>
      </c>
      <c r="C903" s="4">
        <v>4149.28</v>
      </c>
      <c r="D903">
        <v>4</v>
      </c>
    </row>
    <row r="904" spans="1:4" x14ac:dyDescent="0.25">
      <c r="A904" t="s">
        <v>9871</v>
      </c>
      <c r="B904">
        <v>34</v>
      </c>
      <c r="C904" s="4">
        <v>584.05999999999995</v>
      </c>
      <c r="D904">
        <v>2</v>
      </c>
    </row>
    <row r="905" spans="1:4" x14ac:dyDescent="0.25">
      <c r="A905" t="s">
        <v>9872</v>
      </c>
      <c r="B905">
        <v>175</v>
      </c>
      <c r="C905" s="4">
        <v>605.05999999999995</v>
      </c>
      <c r="D905">
        <v>4</v>
      </c>
    </row>
    <row r="906" spans="1:4" x14ac:dyDescent="0.25">
      <c r="A906" t="s">
        <v>9873</v>
      </c>
      <c r="B906">
        <v>33</v>
      </c>
      <c r="C906" s="4">
        <v>174.37</v>
      </c>
      <c r="D906">
        <v>1</v>
      </c>
    </row>
    <row r="907" spans="1:4" x14ac:dyDescent="0.25">
      <c r="A907" t="s">
        <v>9874</v>
      </c>
      <c r="B907">
        <v>14</v>
      </c>
      <c r="C907" s="4">
        <v>141.86000000000001</v>
      </c>
      <c r="D907">
        <v>1</v>
      </c>
    </row>
    <row r="908" spans="1:4" x14ac:dyDescent="0.25">
      <c r="A908" t="s">
        <v>9875</v>
      </c>
      <c r="B908">
        <v>82</v>
      </c>
      <c r="C908" s="4">
        <v>1799.33</v>
      </c>
      <c r="D908">
        <v>3</v>
      </c>
    </row>
    <row r="909" spans="1:4" x14ac:dyDescent="0.25">
      <c r="A909" t="s">
        <v>9876</v>
      </c>
      <c r="B909">
        <v>49</v>
      </c>
      <c r="C909" s="4">
        <v>777.53</v>
      </c>
      <c r="D909">
        <v>2</v>
      </c>
    </row>
    <row r="910" spans="1:4" x14ac:dyDescent="0.25">
      <c r="A910" t="s">
        <v>9877</v>
      </c>
      <c r="B910">
        <v>82</v>
      </c>
      <c r="C910" s="4">
        <v>1198.3800000000001</v>
      </c>
      <c r="D910">
        <v>2</v>
      </c>
    </row>
    <row r="911" spans="1:4" x14ac:dyDescent="0.25">
      <c r="A911" t="s">
        <v>9878</v>
      </c>
      <c r="B911">
        <v>38</v>
      </c>
      <c r="C911" s="4">
        <v>240.22</v>
      </c>
      <c r="D911">
        <v>2</v>
      </c>
    </row>
    <row r="912" spans="1:4" x14ac:dyDescent="0.25">
      <c r="A912" t="s">
        <v>9879</v>
      </c>
      <c r="B912">
        <v>176</v>
      </c>
      <c r="C912" s="4">
        <v>874.71</v>
      </c>
      <c r="D912">
        <v>2</v>
      </c>
    </row>
    <row r="913" spans="1:4" x14ac:dyDescent="0.25">
      <c r="A913" t="s">
        <v>9880</v>
      </c>
      <c r="B913">
        <v>44</v>
      </c>
      <c r="C913" s="4">
        <v>192.85</v>
      </c>
      <c r="D913">
        <v>1</v>
      </c>
    </row>
    <row r="914" spans="1:4" x14ac:dyDescent="0.25">
      <c r="A914" t="s">
        <v>9881</v>
      </c>
      <c r="B914">
        <v>84</v>
      </c>
      <c r="C914" s="4">
        <v>372.25</v>
      </c>
      <c r="D914">
        <v>2</v>
      </c>
    </row>
    <row r="915" spans="1:4" x14ac:dyDescent="0.25">
      <c r="A915" t="s">
        <v>9882</v>
      </c>
      <c r="B915">
        <v>27</v>
      </c>
      <c r="C915" s="4">
        <v>239.49</v>
      </c>
      <c r="D915">
        <v>1</v>
      </c>
    </row>
    <row r="916" spans="1:4" x14ac:dyDescent="0.25">
      <c r="A916" t="s">
        <v>9883</v>
      </c>
      <c r="B916">
        <v>341</v>
      </c>
      <c r="C916" s="4">
        <v>2092.3200000000002</v>
      </c>
      <c r="D916">
        <v>12</v>
      </c>
    </row>
    <row r="917" spans="1:4" x14ac:dyDescent="0.25">
      <c r="A917" t="s">
        <v>9884</v>
      </c>
      <c r="B917">
        <v>33</v>
      </c>
      <c r="C917" s="4">
        <v>1384.25</v>
      </c>
      <c r="D917">
        <v>1</v>
      </c>
    </row>
    <row r="918" spans="1:4" x14ac:dyDescent="0.25">
      <c r="A918" t="s">
        <v>9885</v>
      </c>
      <c r="B918">
        <v>26</v>
      </c>
      <c r="C918" s="4">
        <v>294.39999999999998</v>
      </c>
      <c r="D918">
        <v>2</v>
      </c>
    </row>
    <row r="919" spans="1:4" x14ac:dyDescent="0.25">
      <c r="A919" t="s">
        <v>9886</v>
      </c>
      <c r="B919">
        <v>46</v>
      </c>
      <c r="C919" s="4">
        <v>732.07</v>
      </c>
      <c r="D919">
        <v>5</v>
      </c>
    </row>
    <row r="920" spans="1:4" x14ac:dyDescent="0.25">
      <c r="A920" t="s">
        <v>9887</v>
      </c>
      <c r="B920">
        <v>126</v>
      </c>
      <c r="C920" s="4">
        <v>6717.34</v>
      </c>
      <c r="D920">
        <v>18</v>
      </c>
    </row>
    <row r="921" spans="1:4" x14ac:dyDescent="0.25">
      <c r="A921" t="s">
        <v>9888</v>
      </c>
      <c r="B921">
        <v>83</v>
      </c>
      <c r="C921" s="4">
        <v>1687.6</v>
      </c>
      <c r="D921">
        <v>4</v>
      </c>
    </row>
    <row r="922" spans="1:4" x14ac:dyDescent="0.25">
      <c r="A922" t="s">
        <v>9889</v>
      </c>
      <c r="B922">
        <v>23</v>
      </c>
      <c r="C922" s="4">
        <v>467.04</v>
      </c>
      <c r="D922">
        <v>2</v>
      </c>
    </row>
    <row r="923" spans="1:4" x14ac:dyDescent="0.25">
      <c r="A923" t="s">
        <v>9890</v>
      </c>
      <c r="B923">
        <v>10</v>
      </c>
      <c r="C923" s="4">
        <v>118</v>
      </c>
      <c r="D923">
        <v>1</v>
      </c>
    </row>
    <row r="924" spans="1:4" x14ac:dyDescent="0.25">
      <c r="A924" t="s">
        <v>9891</v>
      </c>
      <c r="B924">
        <v>53</v>
      </c>
      <c r="C924" s="4">
        <v>781.03</v>
      </c>
      <c r="D924">
        <v>1</v>
      </c>
    </row>
    <row r="925" spans="1:4" x14ac:dyDescent="0.25">
      <c r="A925" t="s">
        <v>9892</v>
      </c>
      <c r="B925">
        <v>24</v>
      </c>
      <c r="C925" s="4">
        <v>142.4</v>
      </c>
      <c r="D925">
        <v>1</v>
      </c>
    </row>
    <row r="926" spans="1:4" x14ac:dyDescent="0.25">
      <c r="A926" t="s">
        <v>9893</v>
      </c>
      <c r="B926">
        <v>8</v>
      </c>
      <c r="C926" s="4">
        <v>712.4</v>
      </c>
      <c r="D926">
        <v>1</v>
      </c>
    </row>
    <row r="927" spans="1:4" x14ac:dyDescent="0.25">
      <c r="A927" t="s">
        <v>9894</v>
      </c>
      <c r="B927">
        <v>174</v>
      </c>
      <c r="C927" s="4">
        <v>2478.9499999999998</v>
      </c>
      <c r="D927">
        <v>9</v>
      </c>
    </row>
    <row r="928" spans="1:4" x14ac:dyDescent="0.25">
      <c r="A928" t="s">
        <v>9895</v>
      </c>
      <c r="B928">
        <v>21</v>
      </c>
      <c r="C928" s="4">
        <v>379.65</v>
      </c>
      <c r="D928">
        <v>2</v>
      </c>
    </row>
    <row r="929" spans="1:4" x14ac:dyDescent="0.25">
      <c r="A929" t="s">
        <v>9896</v>
      </c>
      <c r="B929">
        <v>87</v>
      </c>
      <c r="C929" s="4">
        <v>1981.92</v>
      </c>
      <c r="D929">
        <v>6</v>
      </c>
    </row>
    <row r="930" spans="1:4" x14ac:dyDescent="0.25">
      <c r="A930" t="s">
        <v>9897</v>
      </c>
      <c r="B930">
        <v>58</v>
      </c>
      <c r="C930" s="4">
        <v>1117.1300000000001</v>
      </c>
      <c r="D930">
        <v>3</v>
      </c>
    </row>
    <row r="931" spans="1:4" x14ac:dyDescent="0.25">
      <c r="A931" t="s">
        <v>9898</v>
      </c>
      <c r="B931">
        <v>16</v>
      </c>
      <c r="C931" s="4">
        <v>247.96</v>
      </c>
      <c r="D931">
        <v>4</v>
      </c>
    </row>
    <row r="932" spans="1:4" x14ac:dyDescent="0.25">
      <c r="A932" t="s">
        <v>9899</v>
      </c>
      <c r="B932">
        <v>128</v>
      </c>
      <c r="C932" s="4">
        <v>2037.08</v>
      </c>
      <c r="D932">
        <v>5</v>
      </c>
    </row>
    <row r="933" spans="1:4" x14ac:dyDescent="0.25">
      <c r="A933" t="s">
        <v>9900</v>
      </c>
      <c r="B933">
        <v>26</v>
      </c>
      <c r="C933" s="4">
        <v>396.97</v>
      </c>
      <c r="D933">
        <v>1</v>
      </c>
    </row>
    <row r="934" spans="1:4" x14ac:dyDescent="0.25">
      <c r="A934" t="s">
        <v>9901</v>
      </c>
      <c r="B934">
        <v>166</v>
      </c>
      <c r="C934" s="4">
        <v>697.04</v>
      </c>
      <c r="D934">
        <v>2</v>
      </c>
    </row>
    <row r="935" spans="1:4" x14ac:dyDescent="0.25">
      <c r="A935" t="s">
        <v>9902</v>
      </c>
      <c r="B935">
        <v>40</v>
      </c>
      <c r="C935" s="4">
        <v>180.17</v>
      </c>
      <c r="D935">
        <v>1</v>
      </c>
    </row>
    <row r="936" spans="1:4" x14ac:dyDescent="0.25">
      <c r="A936" t="s">
        <v>9903</v>
      </c>
      <c r="B936">
        <v>247</v>
      </c>
      <c r="C936" s="4">
        <v>5153.67</v>
      </c>
      <c r="D936">
        <v>21</v>
      </c>
    </row>
    <row r="937" spans="1:4" x14ac:dyDescent="0.25">
      <c r="A937" t="s">
        <v>9904</v>
      </c>
      <c r="B937">
        <v>19</v>
      </c>
      <c r="C937" s="4">
        <v>219.52</v>
      </c>
      <c r="D937">
        <v>1</v>
      </c>
    </row>
    <row r="938" spans="1:4" x14ac:dyDescent="0.25">
      <c r="A938" t="s">
        <v>9905</v>
      </c>
      <c r="B938">
        <v>99</v>
      </c>
      <c r="C938" s="4">
        <v>693.32</v>
      </c>
      <c r="D938">
        <v>2</v>
      </c>
    </row>
    <row r="939" spans="1:4" x14ac:dyDescent="0.25">
      <c r="A939" t="s">
        <v>9906</v>
      </c>
      <c r="B939">
        <v>23</v>
      </c>
      <c r="C939" s="4">
        <v>428.89</v>
      </c>
      <c r="D939">
        <v>1</v>
      </c>
    </row>
    <row r="940" spans="1:4" x14ac:dyDescent="0.25">
      <c r="A940" t="s">
        <v>9907</v>
      </c>
      <c r="B940">
        <v>27</v>
      </c>
      <c r="C940" s="4">
        <v>164.34</v>
      </c>
      <c r="D940">
        <v>1</v>
      </c>
    </row>
    <row r="941" spans="1:4" x14ac:dyDescent="0.25">
      <c r="A941" t="s">
        <v>9908</v>
      </c>
      <c r="B941">
        <v>43</v>
      </c>
      <c r="C941" s="4">
        <v>280.54000000000002</v>
      </c>
      <c r="D941">
        <v>3</v>
      </c>
    </row>
    <row r="942" spans="1:4" x14ac:dyDescent="0.25">
      <c r="A942" t="s">
        <v>9909</v>
      </c>
      <c r="B942">
        <v>98</v>
      </c>
      <c r="C942" s="4">
        <v>678.01</v>
      </c>
      <c r="D942">
        <v>1</v>
      </c>
    </row>
    <row r="943" spans="1:4" x14ac:dyDescent="0.25">
      <c r="A943" t="s">
        <v>9910</v>
      </c>
      <c r="B943">
        <v>226</v>
      </c>
      <c r="C943" s="4">
        <v>1131.8800000000001</v>
      </c>
      <c r="D943">
        <v>7</v>
      </c>
    </row>
    <row r="944" spans="1:4" x14ac:dyDescent="0.25">
      <c r="A944" t="s">
        <v>9911</v>
      </c>
      <c r="B944">
        <v>74</v>
      </c>
      <c r="C944" s="4">
        <v>1171.8</v>
      </c>
      <c r="D944">
        <v>3</v>
      </c>
    </row>
    <row r="945" spans="1:4" x14ac:dyDescent="0.25">
      <c r="A945" t="s">
        <v>9912</v>
      </c>
      <c r="B945">
        <v>201</v>
      </c>
      <c r="C945" s="4">
        <v>1610.46</v>
      </c>
      <c r="D945">
        <v>4</v>
      </c>
    </row>
    <row r="946" spans="1:4" x14ac:dyDescent="0.25">
      <c r="A946" t="s">
        <v>9913</v>
      </c>
      <c r="B946">
        <v>23</v>
      </c>
      <c r="C946" s="4">
        <v>417.69</v>
      </c>
      <c r="D946">
        <v>1</v>
      </c>
    </row>
    <row r="947" spans="1:4" x14ac:dyDescent="0.25">
      <c r="A947" t="s">
        <v>9914</v>
      </c>
      <c r="B947">
        <v>44</v>
      </c>
      <c r="C947" s="4">
        <v>544.17999999999995</v>
      </c>
      <c r="D947">
        <v>3</v>
      </c>
    </row>
    <row r="948" spans="1:4" x14ac:dyDescent="0.25">
      <c r="A948" t="s">
        <v>9915</v>
      </c>
      <c r="B948">
        <v>13</v>
      </c>
      <c r="C948" s="4">
        <v>177.34</v>
      </c>
      <c r="D948">
        <v>1</v>
      </c>
    </row>
    <row r="949" spans="1:4" x14ac:dyDescent="0.25">
      <c r="A949" t="s">
        <v>9916</v>
      </c>
      <c r="B949">
        <v>19</v>
      </c>
      <c r="C949" s="4">
        <v>213.85</v>
      </c>
      <c r="D949">
        <v>1</v>
      </c>
    </row>
    <row r="950" spans="1:4" x14ac:dyDescent="0.25">
      <c r="A950" t="s">
        <v>9917</v>
      </c>
      <c r="B950">
        <v>81</v>
      </c>
      <c r="C950" s="4">
        <v>747.78</v>
      </c>
      <c r="D950">
        <v>5</v>
      </c>
    </row>
    <row r="951" spans="1:4" x14ac:dyDescent="0.25">
      <c r="A951" t="s">
        <v>9918</v>
      </c>
      <c r="B951">
        <v>19</v>
      </c>
      <c r="C951" s="4">
        <v>257.23</v>
      </c>
      <c r="D951">
        <v>1</v>
      </c>
    </row>
    <row r="952" spans="1:4" x14ac:dyDescent="0.25">
      <c r="A952" t="s">
        <v>9919</v>
      </c>
      <c r="B952">
        <v>92</v>
      </c>
      <c r="C952" s="4">
        <v>1638.47</v>
      </c>
      <c r="D952">
        <v>5</v>
      </c>
    </row>
    <row r="953" spans="1:4" x14ac:dyDescent="0.25">
      <c r="A953" t="s">
        <v>9920</v>
      </c>
      <c r="B953">
        <v>59</v>
      </c>
      <c r="C953" s="4">
        <v>7792.36</v>
      </c>
      <c r="D953">
        <v>11</v>
      </c>
    </row>
    <row r="954" spans="1:4" x14ac:dyDescent="0.25">
      <c r="A954" t="s">
        <v>9921</v>
      </c>
      <c r="B954">
        <v>71</v>
      </c>
      <c r="C954" s="4">
        <v>2031.78</v>
      </c>
      <c r="D954">
        <v>7</v>
      </c>
    </row>
    <row r="955" spans="1:4" x14ac:dyDescent="0.25">
      <c r="A955" t="s">
        <v>9922</v>
      </c>
      <c r="B955">
        <v>11</v>
      </c>
      <c r="C955" s="4">
        <v>3070.42</v>
      </c>
      <c r="D955">
        <v>11</v>
      </c>
    </row>
    <row r="956" spans="1:4" x14ac:dyDescent="0.25">
      <c r="A956" t="s">
        <v>9923</v>
      </c>
      <c r="B956">
        <v>146</v>
      </c>
      <c r="C956" s="4">
        <v>2121.27</v>
      </c>
      <c r="D956">
        <v>5</v>
      </c>
    </row>
    <row r="957" spans="1:4" x14ac:dyDescent="0.25">
      <c r="A957" t="s">
        <v>9924</v>
      </c>
      <c r="B957">
        <v>188</v>
      </c>
      <c r="C957" s="4">
        <v>1575.16</v>
      </c>
      <c r="D957">
        <v>5</v>
      </c>
    </row>
    <row r="958" spans="1:4" x14ac:dyDescent="0.25">
      <c r="A958" t="s">
        <v>9925</v>
      </c>
      <c r="B958">
        <v>62</v>
      </c>
      <c r="C958" s="4">
        <v>1071.03</v>
      </c>
      <c r="D958">
        <v>1</v>
      </c>
    </row>
    <row r="959" spans="1:4" x14ac:dyDescent="0.25">
      <c r="A959" t="s">
        <v>9926</v>
      </c>
      <c r="B959">
        <v>63</v>
      </c>
      <c r="C959" s="4">
        <v>949.12</v>
      </c>
      <c r="D959">
        <v>5</v>
      </c>
    </row>
    <row r="960" spans="1:4" x14ac:dyDescent="0.25">
      <c r="A960" t="s">
        <v>9927</v>
      </c>
      <c r="B960">
        <v>100</v>
      </c>
      <c r="C960" s="4">
        <v>809.25</v>
      </c>
      <c r="D960">
        <v>3</v>
      </c>
    </row>
    <row r="961" spans="1:4" x14ac:dyDescent="0.25">
      <c r="A961" t="s">
        <v>9928</v>
      </c>
      <c r="B961">
        <v>8</v>
      </c>
      <c r="C961" s="4">
        <v>122.64</v>
      </c>
      <c r="D961">
        <v>1</v>
      </c>
    </row>
    <row r="962" spans="1:4" x14ac:dyDescent="0.25">
      <c r="A962" t="s">
        <v>9929</v>
      </c>
      <c r="B962">
        <v>40</v>
      </c>
      <c r="C962" s="4">
        <v>1033.3399999999999</v>
      </c>
      <c r="D962">
        <v>1</v>
      </c>
    </row>
    <row r="963" spans="1:4" x14ac:dyDescent="0.25">
      <c r="A963" t="s">
        <v>9930</v>
      </c>
      <c r="B963">
        <v>66</v>
      </c>
      <c r="C963" s="4">
        <v>354.8</v>
      </c>
      <c r="D963">
        <v>1</v>
      </c>
    </row>
    <row r="964" spans="1:4" x14ac:dyDescent="0.25">
      <c r="A964" t="s">
        <v>9931</v>
      </c>
      <c r="B964">
        <v>28</v>
      </c>
      <c r="C964" s="4">
        <v>519.44000000000005</v>
      </c>
      <c r="D964">
        <v>3</v>
      </c>
    </row>
    <row r="965" spans="1:4" x14ac:dyDescent="0.25">
      <c r="A965" t="s">
        <v>9932</v>
      </c>
      <c r="B965">
        <v>146</v>
      </c>
      <c r="C965" s="4">
        <v>2624.26</v>
      </c>
      <c r="D965">
        <v>4</v>
      </c>
    </row>
    <row r="966" spans="1:4" x14ac:dyDescent="0.25">
      <c r="A966" t="s">
        <v>9933</v>
      </c>
      <c r="B966">
        <v>5</v>
      </c>
      <c r="C966" s="4">
        <v>252.1</v>
      </c>
      <c r="D966">
        <v>1</v>
      </c>
    </row>
    <row r="967" spans="1:4" x14ac:dyDescent="0.25">
      <c r="A967" t="s">
        <v>9934</v>
      </c>
      <c r="B967">
        <v>79</v>
      </c>
      <c r="C967" s="4">
        <v>1678.12</v>
      </c>
      <c r="D967">
        <v>4</v>
      </c>
    </row>
    <row r="968" spans="1:4" x14ac:dyDescent="0.25">
      <c r="A968" t="s">
        <v>9935</v>
      </c>
      <c r="B968">
        <v>23</v>
      </c>
      <c r="C968" s="4">
        <v>346.6</v>
      </c>
      <c r="D968">
        <v>2</v>
      </c>
    </row>
    <row r="969" spans="1:4" x14ac:dyDescent="0.25">
      <c r="A969" t="s">
        <v>9936</v>
      </c>
      <c r="B969">
        <v>96</v>
      </c>
      <c r="C969" s="4">
        <v>1836.34</v>
      </c>
      <c r="D969">
        <v>6</v>
      </c>
    </row>
    <row r="970" spans="1:4" x14ac:dyDescent="0.25">
      <c r="A970" t="s">
        <v>9937</v>
      </c>
      <c r="B970">
        <v>5</v>
      </c>
      <c r="C970" s="4">
        <v>79.2</v>
      </c>
      <c r="D970">
        <v>1</v>
      </c>
    </row>
    <row r="971" spans="1:4" x14ac:dyDescent="0.25">
      <c r="A971" t="s">
        <v>9938</v>
      </c>
      <c r="B971">
        <v>63</v>
      </c>
      <c r="C971" s="4">
        <v>1095.08</v>
      </c>
      <c r="D971">
        <v>3</v>
      </c>
    </row>
    <row r="972" spans="1:4" x14ac:dyDescent="0.25">
      <c r="A972" t="s">
        <v>9939</v>
      </c>
      <c r="B972">
        <v>166</v>
      </c>
      <c r="C972" s="4">
        <v>2707.33</v>
      </c>
      <c r="D972">
        <v>6</v>
      </c>
    </row>
    <row r="973" spans="1:4" x14ac:dyDescent="0.25">
      <c r="A973" t="s">
        <v>9940</v>
      </c>
      <c r="B973">
        <v>56</v>
      </c>
      <c r="C973" s="4">
        <v>932.97</v>
      </c>
      <c r="D973">
        <v>2</v>
      </c>
    </row>
    <row r="974" spans="1:4" x14ac:dyDescent="0.25">
      <c r="A974" t="s">
        <v>9941</v>
      </c>
      <c r="B974">
        <v>49</v>
      </c>
      <c r="C974" s="4">
        <v>379.65</v>
      </c>
      <c r="D974">
        <v>2</v>
      </c>
    </row>
    <row r="975" spans="1:4" x14ac:dyDescent="0.25">
      <c r="A975" t="s">
        <v>9942</v>
      </c>
      <c r="B975">
        <v>16</v>
      </c>
      <c r="C975" s="4">
        <v>382.14</v>
      </c>
      <c r="D975">
        <v>2</v>
      </c>
    </row>
    <row r="976" spans="1:4" x14ac:dyDescent="0.25">
      <c r="A976" t="s">
        <v>9943</v>
      </c>
      <c r="B976">
        <v>108</v>
      </c>
      <c r="C976" s="4">
        <v>2639.17</v>
      </c>
      <c r="D976">
        <v>5</v>
      </c>
    </row>
    <row r="977" spans="1:4" x14ac:dyDescent="0.25">
      <c r="A977" t="s">
        <v>9944</v>
      </c>
      <c r="B977">
        <v>104</v>
      </c>
      <c r="C977" s="4">
        <v>1573.2</v>
      </c>
      <c r="D977">
        <v>2</v>
      </c>
    </row>
    <row r="978" spans="1:4" x14ac:dyDescent="0.25">
      <c r="A978" t="s">
        <v>9945</v>
      </c>
      <c r="B978">
        <v>53</v>
      </c>
      <c r="C978" s="4">
        <v>897.76</v>
      </c>
      <c r="D978">
        <v>3</v>
      </c>
    </row>
    <row r="979" spans="1:4" x14ac:dyDescent="0.25">
      <c r="A979" t="s">
        <v>9946</v>
      </c>
      <c r="B979">
        <v>13</v>
      </c>
      <c r="C979" s="4">
        <v>189.47</v>
      </c>
      <c r="D979">
        <v>1</v>
      </c>
    </row>
    <row r="980" spans="1:4" x14ac:dyDescent="0.25">
      <c r="A980" t="s">
        <v>9947</v>
      </c>
      <c r="B980">
        <v>12</v>
      </c>
      <c r="C980" s="4">
        <v>84.65</v>
      </c>
      <c r="D980">
        <v>3</v>
      </c>
    </row>
    <row r="981" spans="1:4" x14ac:dyDescent="0.25">
      <c r="A981" t="s">
        <v>9948</v>
      </c>
      <c r="B981">
        <v>87</v>
      </c>
      <c r="C981" s="4">
        <v>305.02</v>
      </c>
      <c r="D981">
        <v>1</v>
      </c>
    </row>
    <row r="982" spans="1:4" x14ac:dyDescent="0.25">
      <c r="A982" t="s">
        <v>9949</v>
      </c>
      <c r="B982">
        <v>470</v>
      </c>
      <c r="C982" s="4">
        <v>6363.59</v>
      </c>
      <c r="D982">
        <v>21</v>
      </c>
    </row>
    <row r="983" spans="1:4" x14ac:dyDescent="0.25">
      <c r="A983" t="s">
        <v>9950</v>
      </c>
      <c r="B983">
        <v>9</v>
      </c>
      <c r="C983" s="4">
        <v>218.55</v>
      </c>
      <c r="D983">
        <v>2</v>
      </c>
    </row>
    <row r="984" spans="1:4" x14ac:dyDescent="0.25">
      <c r="A984" t="s">
        <v>9951</v>
      </c>
      <c r="B984">
        <v>25</v>
      </c>
      <c r="C984" s="4">
        <v>349.7</v>
      </c>
      <c r="D984">
        <v>1</v>
      </c>
    </row>
    <row r="985" spans="1:4" x14ac:dyDescent="0.25">
      <c r="A985" t="s">
        <v>9952</v>
      </c>
      <c r="B985">
        <v>6</v>
      </c>
      <c r="C985" s="4">
        <v>186.39</v>
      </c>
      <c r="D985">
        <v>2</v>
      </c>
    </row>
    <row r="986" spans="1:4" x14ac:dyDescent="0.25">
      <c r="A986" t="s">
        <v>9953</v>
      </c>
      <c r="B986">
        <v>65</v>
      </c>
      <c r="C986" s="4">
        <v>396.92</v>
      </c>
      <c r="D986">
        <v>2</v>
      </c>
    </row>
    <row r="987" spans="1:4" x14ac:dyDescent="0.25">
      <c r="A987" t="s">
        <v>9954</v>
      </c>
      <c r="B987">
        <v>25</v>
      </c>
      <c r="C987" s="4">
        <v>486.82</v>
      </c>
      <c r="D987">
        <v>2</v>
      </c>
    </row>
    <row r="988" spans="1:4" x14ac:dyDescent="0.25">
      <c r="A988" t="s">
        <v>9955</v>
      </c>
      <c r="B988">
        <v>16</v>
      </c>
      <c r="C988" s="4">
        <v>232.6</v>
      </c>
      <c r="D988">
        <v>1</v>
      </c>
    </row>
    <row r="989" spans="1:4" x14ac:dyDescent="0.25">
      <c r="A989" t="s">
        <v>9956</v>
      </c>
      <c r="B989">
        <v>195</v>
      </c>
      <c r="C989" s="4">
        <v>3722.42</v>
      </c>
      <c r="D989">
        <v>4</v>
      </c>
    </row>
    <row r="990" spans="1:4" x14ac:dyDescent="0.25">
      <c r="A990" t="s">
        <v>9957</v>
      </c>
      <c r="B990">
        <v>57</v>
      </c>
      <c r="C990" s="4">
        <v>827.83</v>
      </c>
      <c r="D990">
        <v>4</v>
      </c>
    </row>
    <row r="991" spans="1:4" x14ac:dyDescent="0.25">
      <c r="A991" t="s">
        <v>9958</v>
      </c>
      <c r="B991">
        <v>3</v>
      </c>
      <c r="C991" s="4">
        <v>59.5</v>
      </c>
      <c r="D991">
        <v>1</v>
      </c>
    </row>
    <row r="992" spans="1:4" x14ac:dyDescent="0.25">
      <c r="A992" t="s">
        <v>9959</v>
      </c>
      <c r="B992">
        <v>30</v>
      </c>
      <c r="C992" s="4">
        <v>67.23</v>
      </c>
      <c r="D992">
        <v>1</v>
      </c>
    </row>
    <row r="993" spans="1:4" x14ac:dyDescent="0.25">
      <c r="A993" t="s">
        <v>9960</v>
      </c>
      <c r="B993">
        <v>39</v>
      </c>
      <c r="C993" s="4">
        <v>3119.44</v>
      </c>
      <c r="D993">
        <v>7</v>
      </c>
    </row>
    <row r="994" spans="1:4" x14ac:dyDescent="0.25">
      <c r="A994" t="s">
        <v>9961</v>
      </c>
      <c r="B994">
        <v>8</v>
      </c>
      <c r="C994" s="4">
        <v>72</v>
      </c>
      <c r="D994">
        <v>1</v>
      </c>
    </row>
    <row r="995" spans="1:4" x14ac:dyDescent="0.25">
      <c r="A995" t="s">
        <v>9962</v>
      </c>
      <c r="B995">
        <v>6</v>
      </c>
      <c r="C995" s="4">
        <v>910</v>
      </c>
      <c r="D995">
        <v>1</v>
      </c>
    </row>
    <row r="996" spans="1:4" x14ac:dyDescent="0.25">
      <c r="A996" t="s">
        <v>9963</v>
      </c>
      <c r="B996">
        <v>9</v>
      </c>
      <c r="C996" s="4">
        <v>172.25</v>
      </c>
      <c r="D996">
        <v>1</v>
      </c>
    </row>
    <row r="997" spans="1:4" x14ac:dyDescent="0.25">
      <c r="A997" t="s">
        <v>9964</v>
      </c>
      <c r="B997">
        <v>53</v>
      </c>
      <c r="C997" s="4">
        <v>1488.32</v>
      </c>
      <c r="D997">
        <v>3</v>
      </c>
    </row>
    <row r="998" spans="1:4" x14ac:dyDescent="0.25">
      <c r="A998" t="s">
        <v>9965</v>
      </c>
      <c r="B998">
        <v>568</v>
      </c>
      <c r="C998" s="4">
        <v>65039.62</v>
      </c>
      <c r="D998">
        <v>50</v>
      </c>
    </row>
    <row r="999" spans="1:4" x14ac:dyDescent="0.25">
      <c r="A999" t="s">
        <v>9966</v>
      </c>
      <c r="B999">
        <v>90</v>
      </c>
      <c r="C999" s="4">
        <v>2504.13</v>
      </c>
      <c r="D999">
        <v>15</v>
      </c>
    </row>
    <row r="1000" spans="1:4" x14ac:dyDescent="0.25">
      <c r="A1000" t="s">
        <v>9967</v>
      </c>
      <c r="B1000">
        <v>12</v>
      </c>
      <c r="C1000" s="4">
        <v>151.30000000000001</v>
      </c>
      <c r="D1000">
        <v>1</v>
      </c>
    </row>
    <row r="1001" spans="1:4" x14ac:dyDescent="0.25">
      <c r="A1001" t="s">
        <v>9968</v>
      </c>
      <c r="B1001">
        <v>14</v>
      </c>
      <c r="C1001" s="4">
        <v>308.58</v>
      </c>
      <c r="D1001">
        <v>1</v>
      </c>
    </row>
    <row r="1002" spans="1:4" x14ac:dyDescent="0.25">
      <c r="A1002" t="s">
        <v>9969</v>
      </c>
      <c r="B1002">
        <v>197</v>
      </c>
      <c r="C1002" s="4">
        <v>2265.12</v>
      </c>
      <c r="D1002">
        <v>10</v>
      </c>
    </row>
    <row r="1003" spans="1:4" x14ac:dyDescent="0.25">
      <c r="A1003" t="s">
        <v>9970</v>
      </c>
      <c r="B1003">
        <v>1</v>
      </c>
      <c r="C1003" s="4">
        <v>99.5</v>
      </c>
      <c r="D1003">
        <v>1</v>
      </c>
    </row>
    <row r="1004" spans="1:4" x14ac:dyDescent="0.25">
      <c r="A1004" t="s">
        <v>9971</v>
      </c>
      <c r="B1004">
        <v>134</v>
      </c>
      <c r="C1004" s="4">
        <v>2308.06</v>
      </c>
      <c r="D1004">
        <v>9</v>
      </c>
    </row>
    <row r="1005" spans="1:4" x14ac:dyDescent="0.25">
      <c r="A1005" t="s">
        <v>9972</v>
      </c>
      <c r="B1005">
        <v>28</v>
      </c>
      <c r="C1005" s="4">
        <v>711.86</v>
      </c>
      <c r="D1005">
        <v>3</v>
      </c>
    </row>
    <row r="1006" spans="1:4" x14ac:dyDescent="0.25">
      <c r="A1006" t="s">
        <v>9973</v>
      </c>
      <c r="B1006">
        <v>20</v>
      </c>
      <c r="C1006" s="4">
        <v>330.79</v>
      </c>
      <c r="D1006">
        <v>1</v>
      </c>
    </row>
    <row r="1007" spans="1:4" x14ac:dyDescent="0.25">
      <c r="A1007" t="s">
        <v>9974</v>
      </c>
      <c r="B1007">
        <v>48</v>
      </c>
      <c r="C1007" s="4">
        <v>806.41</v>
      </c>
      <c r="D1007">
        <v>2</v>
      </c>
    </row>
    <row r="1008" spans="1:4" x14ac:dyDescent="0.25">
      <c r="A1008" t="s">
        <v>9975</v>
      </c>
      <c r="B1008">
        <v>50</v>
      </c>
      <c r="C1008" s="4">
        <v>294.88</v>
      </c>
      <c r="D1008">
        <v>1</v>
      </c>
    </row>
    <row r="1009" spans="1:4" x14ac:dyDescent="0.25">
      <c r="A1009" t="s">
        <v>9976</v>
      </c>
      <c r="B1009">
        <v>336</v>
      </c>
      <c r="C1009" s="4">
        <v>6328.05</v>
      </c>
      <c r="D1009">
        <v>13</v>
      </c>
    </row>
    <row r="1010" spans="1:4" x14ac:dyDescent="0.25">
      <c r="A1010" t="s">
        <v>9977</v>
      </c>
      <c r="B1010">
        <v>8</v>
      </c>
      <c r="C1010" s="4">
        <v>180.48</v>
      </c>
      <c r="D1010">
        <v>1</v>
      </c>
    </row>
    <row r="1011" spans="1:4" x14ac:dyDescent="0.25">
      <c r="A1011" t="s">
        <v>9978</v>
      </c>
      <c r="B1011">
        <v>13</v>
      </c>
      <c r="C1011" s="4">
        <v>252.06</v>
      </c>
      <c r="D1011">
        <v>2</v>
      </c>
    </row>
    <row r="1012" spans="1:4" x14ac:dyDescent="0.25">
      <c r="A1012" t="s">
        <v>9979</v>
      </c>
      <c r="B1012">
        <v>10</v>
      </c>
      <c r="C1012" s="4">
        <v>228.84</v>
      </c>
      <c r="D1012">
        <v>1</v>
      </c>
    </row>
    <row r="1013" spans="1:4" x14ac:dyDescent="0.25">
      <c r="A1013" t="s">
        <v>9980</v>
      </c>
      <c r="B1013">
        <v>105</v>
      </c>
      <c r="C1013" s="4">
        <v>1079.3399999999999</v>
      </c>
      <c r="D1013">
        <v>5</v>
      </c>
    </row>
    <row r="1014" spans="1:4" x14ac:dyDescent="0.25">
      <c r="A1014" t="s">
        <v>9981</v>
      </c>
      <c r="B1014">
        <v>21</v>
      </c>
      <c r="C1014" s="4">
        <v>138.28</v>
      </c>
      <c r="D1014">
        <v>1</v>
      </c>
    </row>
    <row r="1015" spans="1:4" x14ac:dyDescent="0.25">
      <c r="A1015" t="s">
        <v>9982</v>
      </c>
      <c r="B1015">
        <v>102</v>
      </c>
      <c r="C1015" s="4">
        <v>1445.01</v>
      </c>
      <c r="D1015">
        <v>6</v>
      </c>
    </row>
    <row r="1016" spans="1:4" x14ac:dyDescent="0.25">
      <c r="A1016" t="s">
        <v>9983</v>
      </c>
      <c r="B1016">
        <v>12</v>
      </c>
      <c r="C1016" s="4">
        <v>306.55</v>
      </c>
      <c r="D1016">
        <v>2</v>
      </c>
    </row>
    <row r="1017" spans="1:4" x14ac:dyDescent="0.25">
      <c r="A1017" t="s">
        <v>9984</v>
      </c>
      <c r="B1017">
        <v>60</v>
      </c>
      <c r="C1017" s="4">
        <v>1041.68</v>
      </c>
      <c r="D1017">
        <v>5</v>
      </c>
    </row>
    <row r="1018" spans="1:4" x14ac:dyDescent="0.25">
      <c r="A1018" t="s">
        <v>9985</v>
      </c>
      <c r="B1018">
        <v>43</v>
      </c>
      <c r="C1018" s="4">
        <v>799.9</v>
      </c>
      <c r="D1018">
        <v>4</v>
      </c>
    </row>
    <row r="1019" spans="1:4" x14ac:dyDescent="0.25">
      <c r="A1019" t="s">
        <v>9986</v>
      </c>
      <c r="B1019">
        <v>28</v>
      </c>
      <c r="C1019" s="4">
        <v>524.14</v>
      </c>
      <c r="D1019">
        <v>1</v>
      </c>
    </row>
    <row r="1020" spans="1:4" x14ac:dyDescent="0.25">
      <c r="A1020" t="s">
        <v>9987</v>
      </c>
      <c r="B1020">
        <v>85</v>
      </c>
      <c r="C1020" s="4">
        <v>2375.41</v>
      </c>
      <c r="D1020">
        <v>3</v>
      </c>
    </row>
    <row r="1021" spans="1:4" x14ac:dyDescent="0.25">
      <c r="A1021" t="s">
        <v>9988</v>
      </c>
      <c r="B1021">
        <v>6</v>
      </c>
      <c r="C1021" s="4">
        <v>199.85</v>
      </c>
      <c r="D1021">
        <v>1</v>
      </c>
    </row>
    <row r="1022" spans="1:4" x14ac:dyDescent="0.25">
      <c r="A1022" t="s">
        <v>9989</v>
      </c>
      <c r="B1022">
        <v>104</v>
      </c>
      <c r="C1022" s="4">
        <v>1980.56</v>
      </c>
      <c r="D1022">
        <v>8</v>
      </c>
    </row>
    <row r="1023" spans="1:4" x14ac:dyDescent="0.25">
      <c r="A1023" t="s">
        <v>9990</v>
      </c>
      <c r="B1023">
        <v>42</v>
      </c>
      <c r="C1023" s="4">
        <v>1079.6600000000001</v>
      </c>
      <c r="D1023">
        <v>2</v>
      </c>
    </row>
    <row r="1024" spans="1:4" x14ac:dyDescent="0.25">
      <c r="A1024" t="s">
        <v>9991</v>
      </c>
      <c r="B1024">
        <v>20</v>
      </c>
      <c r="C1024" s="4">
        <v>333.48</v>
      </c>
      <c r="D1024">
        <v>2</v>
      </c>
    </row>
    <row r="1025" spans="1:4" x14ac:dyDescent="0.25">
      <c r="A1025" t="s">
        <v>9992</v>
      </c>
      <c r="B1025">
        <v>63</v>
      </c>
      <c r="C1025" s="4">
        <v>1016.14</v>
      </c>
      <c r="D1025">
        <v>6</v>
      </c>
    </row>
    <row r="1026" spans="1:4" x14ac:dyDescent="0.25">
      <c r="A1026" t="s">
        <v>9993</v>
      </c>
      <c r="B1026">
        <v>43</v>
      </c>
      <c r="C1026" s="4">
        <v>752.6</v>
      </c>
      <c r="D1026">
        <v>2</v>
      </c>
    </row>
    <row r="1027" spans="1:4" x14ac:dyDescent="0.25">
      <c r="A1027" t="s">
        <v>9994</v>
      </c>
      <c r="B1027">
        <v>38</v>
      </c>
      <c r="C1027" s="4">
        <v>610.59</v>
      </c>
      <c r="D1027">
        <v>2</v>
      </c>
    </row>
    <row r="1028" spans="1:4" x14ac:dyDescent="0.25">
      <c r="A1028" t="s">
        <v>9995</v>
      </c>
      <c r="B1028">
        <v>33</v>
      </c>
      <c r="C1028" s="4">
        <v>491.86</v>
      </c>
      <c r="D1028">
        <v>1</v>
      </c>
    </row>
    <row r="1029" spans="1:4" x14ac:dyDescent="0.25">
      <c r="A1029" t="s">
        <v>9996</v>
      </c>
      <c r="B1029">
        <v>196</v>
      </c>
      <c r="C1029" s="4">
        <v>2885.24</v>
      </c>
      <c r="D1029">
        <v>4</v>
      </c>
    </row>
    <row r="1030" spans="1:4" x14ac:dyDescent="0.25">
      <c r="A1030" t="s">
        <v>9997</v>
      </c>
      <c r="B1030">
        <v>191</v>
      </c>
      <c r="C1030" s="4">
        <v>731.9</v>
      </c>
      <c r="D1030">
        <v>2</v>
      </c>
    </row>
    <row r="1031" spans="1:4" x14ac:dyDescent="0.25">
      <c r="A1031" t="s">
        <v>9998</v>
      </c>
      <c r="B1031">
        <v>30</v>
      </c>
      <c r="C1031" s="4">
        <v>339.6</v>
      </c>
      <c r="D1031">
        <v>1</v>
      </c>
    </row>
    <row r="1032" spans="1:4" x14ac:dyDescent="0.25">
      <c r="A1032" t="s">
        <v>9999</v>
      </c>
      <c r="B1032">
        <v>3</v>
      </c>
      <c r="C1032" s="4">
        <v>216.9</v>
      </c>
      <c r="D1032">
        <v>1</v>
      </c>
    </row>
    <row r="1033" spans="1:4" x14ac:dyDescent="0.25">
      <c r="A1033" t="s">
        <v>10000</v>
      </c>
      <c r="B1033">
        <v>23</v>
      </c>
      <c r="C1033" s="4">
        <v>350.75</v>
      </c>
      <c r="D1033">
        <v>1</v>
      </c>
    </row>
    <row r="1034" spans="1:4" x14ac:dyDescent="0.25">
      <c r="A1034" t="s">
        <v>10001</v>
      </c>
      <c r="B1034">
        <v>34</v>
      </c>
      <c r="C1034" s="4">
        <v>668.43</v>
      </c>
      <c r="D1034">
        <v>3</v>
      </c>
    </row>
    <row r="1035" spans="1:4" x14ac:dyDescent="0.25">
      <c r="A1035" t="s">
        <v>10002</v>
      </c>
      <c r="B1035">
        <v>321</v>
      </c>
      <c r="C1035" s="4">
        <v>3131.02</v>
      </c>
      <c r="D1035">
        <v>12</v>
      </c>
    </row>
    <row r="1036" spans="1:4" x14ac:dyDescent="0.25">
      <c r="A1036" t="s">
        <v>10003</v>
      </c>
      <c r="B1036">
        <v>41</v>
      </c>
      <c r="C1036" s="4">
        <v>1341.6</v>
      </c>
      <c r="D1036">
        <v>7</v>
      </c>
    </row>
    <row r="1037" spans="1:4" x14ac:dyDescent="0.25">
      <c r="A1037" t="s">
        <v>10004</v>
      </c>
      <c r="B1037">
        <v>72</v>
      </c>
      <c r="C1037" s="4">
        <v>1156.3599999999999</v>
      </c>
      <c r="D1037">
        <v>2</v>
      </c>
    </row>
    <row r="1038" spans="1:4" x14ac:dyDescent="0.25">
      <c r="A1038" t="s">
        <v>10005</v>
      </c>
      <c r="B1038">
        <v>25</v>
      </c>
      <c r="C1038" s="4">
        <v>300.04000000000002</v>
      </c>
      <c r="D1038">
        <v>1</v>
      </c>
    </row>
    <row r="1039" spans="1:4" x14ac:dyDescent="0.25">
      <c r="A1039" t="s">
        <v>10006</v>
      </c>
      <c r="B1039">
        <v>1</v>
      </c>
      <c r="C1039" s="4">
        <v>79.599999999999994</v>
      </c>
      <c r="D1039">
        <v>1</v>
      </c>
    </row>
    <row r="1040" spans="1:4" x14ac:dyDescent="0.25">
      <c r="A1040" t="s">
        <v>10007</v>
      </c>
      <c r="B1040">
        <v>28</v>
      </c>
      <c r="C1040" s="4">
        <v>948.25</v>
      </c>
      <c r="D1040">
        <v>5</v>
      </c>
    </row>
    <row r="1041" spans="1:4" x14ac:dyDescent="0.25">
      <c r="A1041" t="s">
        <v>10008</v>
      </c>
      <c r="B1041">
        <v>24</v>
      </c>
      <c r="C1041" s="4">
        <v>1647.26</v>
      </c>
      <c r="D1041">
        <v>5</v>
      </c>
    </row>
    <row r="1042" spans="1:4" x14ac:dyDescent="0.25">
      <c r="A1042" t="s">
        <v>10009</v>
      </c>
      <c r="B1042">
        <v>9</v>
      </c>
      <c r="C1042" s="4">
        <v>296.25</v>
      </c>
      <c r="D1042">
        <v>1</v>
      </c>
    </row>
    <row r="1043" spans="1:4" x14ac:dyDescent="0.25">
      <c r="A1043" t="s">
        <v>10010</v>
      </c>
      <c r="B1043">
        <v>76</v>
      </c>
      <c r="C1043" s="4">
        <v>1186.28</v>
      </c>
      <c r="D1043">
        <v>6</v>
      </c>
    </row>
    <row r="1044" spans="1:4" x14ac:dyDescent="0.25">
      <c r="A1044" t="s">
        <v>10011</v>
      </c>
      <c r="B1044">
        <v>35</v>
      </c>
      <c r="C1044" s="4">
        <v>741.26</v>
      </c>
      <c r="D1044">
        <v>1</v>
      </c>
    </row>
    <row r="1045" spans="1:4" x14ac:dyDescent="0.25">
      <c r="A1045" t="s">
        <v>10012</v>
      </c>
      <c r="B1045">
        <v>12</v>
      </c>
      <c r="C1045" s="4">
        <v>282.60000000000002</v>
      </c>
      <c r="D1045">
        <v>2</v>
      </c>
    </row>
    <row r="1046" spans="1:4" x14ac:dyDescent="0.25">
      <c r="A1046" t="s">
        <v>10013</v>
      </c>
      <c r="B1046">
        <v>342</v>
      </c>
      <c r="C1046" s="4">
        <v>2161.35</v>
      </c>
      <c r="D1046">
        <v>9</v>
      </c>
    </row>
    <row r="1047" spans="1:4" x14ac:dyDescent="0.25">
      <c r="A1047" t="s">
        <v>10014</v>
      </c>
      <c r="B1047">
        <v>142</v>
      </c>
      <c r="C1047" s="4">
        <v>5189.5200000000004</v>
      </c>
      <c r="D1047">
        <v>14</v>
      </c>
    </row>
    <row r="1048" spans="1:4" x14ac:dyDescent="0.25">
      <c r="A1048" t="s">
        <v>10015</v>
      </c>
      <c r="B1048">
        <v>117</v>
      </c>
      <c r="C1048" s="4">
        <v>3190.55</v>
      </c>
      <c r="D1048">
        <v>7</v>
      </c>
    </row>
    <row r="1049" spans="1:4" x14ac:dyDescent="0.25">
      <c r="A1049" t="s">
        <v>10016</v>
      </c>
      <c r="B1049">
        <v>25</v>
      </c>
      <c r="C1049" s="4">
        <v>659.41</v>
      </c>
      <c r="D1049">
        <v>2</v>
      </c>
    </row>
    <row r="1050" spans="1:4" x14ac:dyDescent="0.25">
      <c r="A1050" t="s">
        <v>10017</v>
      </c>
      <c r="B1050">
        <v>57</v>
      </c>
      <c r="C1050" s="4">
        <v>286.79000000000002</v>
      </c>
      <c r="D1050">
        <v>2</v>
      </c>
    </row>
    <row r="1051" spans="1:4" x14ac:dyDescent="0.25">
      <c r="A1051" t="s">
        <v>10018</v>
      </c>
      <c r="B1051">
        <v>70</v>
      </c>
      <c r="C1051" s="4">
        <v>1070.6500000000001</v>
      </c>
      <c r="D1051">
        <v>2</v>
      </c>
    </row>
    <row r="1052" spans="1:4" x14ac:dyDescent="0.25">
      <c r="A1052" t="s">
        <v>10019</v>
      </c>
      <c r="B1052">
        <v>7</v>
      </c>
      <c r="C1052" s="4">
        <v>306.72000000000003</v>
      </c>
      <c r="D1052">
        <v>1</v>
      </c>
    </row>
    <row r="1053" spans="1:4" x14ac:dyDescent="0.25">
      <c r="A1053" t="s">
        <v>10020</v>
      </c>
      <c r="B1053">
        <v>15</v>
      </c>
      <c r="C1053" s="4">
        <v>1714.96</v>
      </c>
      <c r="D1053">
        <v>1</v>
      </c>
    </row>
    <row r="1054" spans="1:4" x14ac:dyDescent="0.25">
      <c r="A1054" t="s">
        <v>10021</v>
      </c>
      <c r="B1054">
        <v>207</v>
      </c>
      <c r="C1054" s="4">
        <v>1518.76</v>
      </c>
      <c r="D1054">
        <v>3</v>
      </c>
    </row>
    <row r="1055" spans="1:4" x14ac:dyDescent="0.25">
      <c r="A1055" t="s">
        <v>10022</v>
      </c>
      <c r="B1055">
        <v>368</v>
      </c>
      <c r="C1055" s="4">
        <v>17220.36</v>
      </c>
      <c r="D1055">
        <v>37</v>
      </c>
    </row>
    <row r="1056" spans="1:4" x14ac:dyDescent="0.25">
      <c r="A1056" t="s">
        <v>10023</v>
      </c>
      <c r="B1056">
        <v>135</v>
      </c>
      <c r="C1056" s="4">
        <v>2796.51</v>
      </c>
      <c r="D1056">
        <v>10</v>
      </c>
    </row>
    <row r="1057" spans="1:4" x14ac:dyDescent="0.25">
      <c r="A1057" t="s">
        <v>10024</v>
      </c>
      <c r="B1057">
        <v>119</v>
      </c>
      <c r="C1057" s="4">
        <v>2634.45</v>
      </c>
      <c r="D1057">
        <v>4</v>
      </c>
    </row>
    <row r="1058" spans="1:4" x14ac:dyDescent="0.25">
      <c r="A1058" t="s">
        <v>10025</v>
      </c>
      <c r="B1058">
        <v>177</v>
      </c>
      <c r="C1058" s="4">
        <v>1132.1300000000001</v>
      </c>
      <c r="D1058">
        <v>3</v>
      </c>
    </row>
    <row r="1059" spans="1:4" x14ac:dyDescent="0.25">
      <c r="A1059" t="s">
        <v>10026</v>
      </c>
      <c r="B1059">
        <v>22</v>
      </c>
      <c r="C1059" s="4">
        <v>345</v>
      </c>
      <c r="D1059">
        <v>1</v>
      </c>
    </row>
    <row r="1060" spans="1:4" x14ac:dyDescent="0.25">
      <c r="A1060" t="s">
        <v>10027</v>
      </c>
      <c r="B1060">
        <v>197</v>
      </c>
      <c r="C1060" s="4">
        <v>25977.16</v>
      </c>
      <c r="D1060">
        <v>33</v>
      </c>
    </row>
    <row r="1061" spans="1:4" x14ac:dyDescent="0.25">
      <c r="A1061" t="s">
        <v>10028</v>
      </c>
      <c r="B1061">
        <v>9</v>
      </c>
      <c r="C1061" s="4">
        <v>178.7</v>
      </c>
      <c r="D1061">
        <v>1</v>
      </c>
    </row>
    <row r="1062" spans="1:4" x14ac:dyDescent="0.25">
      <c r="A1062" t="s">
        <v>10029</v>
      </c>
      <c r="B1062">
        <v>57</v>
      </c>
      <c r="C1062" s="4">
        <v>360.01</v>
      </c>
      <c r="D1062">
        <v>2</v>
      </c>
    </row>
    <row r="1063" spans="1:4" x14ac:dyDescent="0.25">
      <c r="A1063" t="s">
        <v>10030</v>
      </c>
      <c r="B1063">
        <v>17</v>
      </c>
      <c r="C1063" s="4">
        <v>127.84</v>
      </c>
      <c r="D1063">
        <v>1</v>
      </c>
    </row>
    <row r="1064" spans="1:4" x14ac:dyDescent="0.25">
      <c r="A1064" t="s">
        <v>10031</v>
      </c>
      <c r="B1064">
        <v>115</v>
      </c>
      <c r="C1064" s="4">
        <v>912</v>
      </c>
      <c r="D1064">
        <v>6</v>
      </c>
    </row>
    <row r="1065" spans="1:4" x14ac:dyDescent="0.25">
      <c r="A1065" t="s">
        <v>10032</v>
      </c>
      <c r="B1065">
        <v>31</v>
      </c>
      <c r="C1065" s="4">
        <v>2462.79</v>
      </c>
      <c r="D1065">
        <v>11</v>
      </c>
    </row>
    <row r="1066" spans="1:4" x14ac:dyDescent="0.25">
      <c r="A1066" t="s">
        <v>10033</v>
      </c>
      <c r="B1066">
        <v>7</v>
      </c>
      <c r="C1066" s="4">
        <v>230.4</v>
      </c>
      <c r="D1066">
        <v>1</v>
      </c>
    </row>
    <row r="1067" spans="1:4" x14ac:dyDescent="0.25">
      <c r="A1067" t="s">
        <v>10034</v>
      </c>
      <c r="B1067">
        <v>31</v>
      </c>
      <c r="C1067" s="4">
        <v>309.04000000000002</v>
      </c>
      <c r="D1067">
        <v>2</v>
      </c>
    </row>
    <row r="1068" spans="1:4" x14ac:dyDescent="0.25">
      <c r="A1068" t="s">
        <v>10035</v>
      </c>
      <c r="B1068">
        <v>45</v>
      </c>
      <c r="C1068" s="4">
        <v>348.8</v>
      </c>
      <c r="D1068">
        <v>1</v>
      </c>
    </row>
    <row r="1069" spans="1:4" x14ac:dyDescent="0.25">
      <c r="A1069" t="s">
        <v>10036</v>
      </c>
      <c r="B1069">
        <v>11</v>
      </c>
      <c r="C1069" s="4">
        <v>1516</v>
      </c>
      <c r="D1069">
        <v>2</v>
      </c>
    </row>
    <row r="1070" spans="1:4" x14ac:dyDescent="0.25">
      <c r="A1070" t="s">
        <v>10037</v>
      </c>
      <c r="B1070">
        <v>13</v>
      </c>
      <c r="C1070" s="4">
        <v>195.55</v>
      </c>
      <c r="D1070">
        <v>2</v>
      </c>
    </row>
    <row r="1071" spans="1:4" x14ac:dyDescent="0.25">
      <c r="A1071" t="s">
        <v>10038</v>
      </c>
      <c r="B1071">
        <v>349</v>
      </c>
      <c r="C1071" s="4">
        <v>37153.85</v>
      </c>
      <c r="D1071">
        <v>57</v>
      </c>
    </row>
    <row r="1072" spans="1:4" x14ac:dyDescent="0.25">
      <c r="A1072" t="s">
        <v>10039</v>
      </c>
      <c r="B1072">
        <v>39</v>
      </c>
      <c r="C1072" s="4">
        <v>688.86</v>
      </c>
      <c r="D1072">
        <v>2</v>
      </c>
    </row>
    <row r="1073" spans="1:4" x14ac:dyDescent="0.25">
      <c r="A1073" t="s">
        <v>10040</v>
      </c>
      <c r="B1073">
        <v>33</v>
      </c>
      <c r="C1073" s="4">
        <v>558.32000000000005</v>
      </c>
      <c r="D1073">
        <v>1</v>
      </c>
    </row>
    <row r="1074" spans="1:4" x14ac:dyDescent="0.25">
      <c r="A1074" t="s">
        <v>10041</v>
      </c>
      <c r="B1074">
        <v>23</v>
      </c>
      <c r="C1074" s="4">
        <v>324.8</v>
      </c>
      <c r="D1074">
        <v>1</v>
      </c>
    </row>
    <row r="1075" spans="1:4" x14ac:dyDescent="0.25">
      <c r="A1075" t="s">
        <v>10042</v>
      </c>
      <c r="B1075">
        <v>60</v>
      </c>
      <c r="C1075" s="4">
        <v>4599.42</v>
      </c>
      <c r="D1075">
        <v>3</v>
      </c>
    </row>
    <row r="1076" spans="1:4" x14ac:dyDescent="0.25">
      <c r="A1076" t="s">
        <v>10043</v>
      </c>
      <c r="B1076">
        <v>17</v>
      </c>
      <c r="C1076" s="4">
        <v>277.07</v>
      </c>
      <c r="D1076">
        <v>1</v>
      </c>
    </row>
    <row r="1077" spans="1:4" x14ac:dyDescent="0.25">
      <c r="A1077" t="s">
        <v>10044</v>
      </c>
      <c r="B1077">
        <v>137</v>
      </c>
      <c r="C1077" s="4">
        <v>2635.79</v>
      </c>
      <c r="D1077">
        <v>7</v>
      </c>
    </row>
    <row r="1078" spans="1:4" x14ac:dyDescent="0.25">
      <c r="A1078" t="s">
        <v>10045</v>
      </c>
      <c r="B1078">
        <v>13</v>
      </c>
      <c r="C1078" s="4">
        <v>924.6</v>
      </c>
      <c r="D1078">
        <v>2</v>
      </c>
    </row>
    <row r="1079" spans="1:4" x14ac:dyDescent="0.25">
      <c r="A1079" t="s">
        <v>10046</v>
      </c>
      <c r="B1079">
        <v>10</v>
      </c>
      <c r="C1079" s="4">
        <v>256.38</v>
      </c>
      <c r="D1079">
        <v>1</v>
      </c>
    </row>
    <row r="1080" spans="1:4" x14ac:dyDescent="0.25">
      <c r="A1080" t="s">
        <v>10047</v>
      </c>
      <c r="B1080">
        <v>7</v>
      </c>
      <c r="C1080" s="4">
        <v>112.6</v>
      </c>
      <c r="D1080">
        <v>1</v>
      </c>
    </row>
    <row r="1081" spans="1:4" x14ac:dyDescent="0.25">
      <c r="A1081" t="s">
        <v>10048</v>
      </c>
      <c r="B1081">
        <v>76</v>
      </c>
      <c r="C1081" s="4">
        <v>1747.66</v>
      </c>
      <c r="D1081">
        <v>5</v>
      </c>
    </row>
    <row r="1082" spans="1:4" x14ac:dyDescent="0.25">
      <c r="A1082" t="s">
        <v>10049</v>
      </c>
      <c r="B1082">
        <v>12</v>
      </c>
      <c r="C1082" s="4">
        <v>155.05000000000001</v>
      </c>
      <c r="D1082">
        <v>1</v>
      </c>
    </row>
    <row r="1083" spans="1:4" x14ac:dyDescent="0.25">
      <c r="A1083" t="s">
        <v>10050</v>
      </c>
      <c r="B1083">
        <v>32</v>
      </c>
      <c r="C1083" s="4">
        <v>827.51</v>
      </c>
      <c r="D1083">
        <v>2</v>
      </c>
    </row>
    <row r="1084" spans="1:4" x14ac:dyDescent="0.25">
      <c r="A1084" t="s">
        <v>10051</v>
      </c>
      <c r="B1084">
        <v>10</v>
      </c>
      <c r="C1084" s="4">
        <v>519.75</v>
      </c>
      <c r="D1084">
        <v>2</v>
      </c>
    </row>
    <row r="1085" spans="1:4" x14ac:dyDescent="0.25">
      <c r="A1085" t="s">
        <v>10052</v>
      </c>
      <c r="B1085">
        <v>33</v>
      </c>
      <c r="C1085" s="4">
        <v>485</v>
      </c>
      <c r="D1085">
        <v>3</v>
      </c>
    </row>
    <row r="1086" spans="1:4" x14ac:dyDescent="0.25">
      <c r="A1086" t="s">
        <v>10053</v>
      </c>
      <c r="B1086">
        <v>65</v>
      </c>
      <c r="C1086" s="4">
        <v>1168.8599999999999</v>
      </c>
      <c r="D1086">
        <v>4</v>
      </c>
    </row>
    <row r="1087" spans="1:4" x14ac:dyDescent="0.25">
      <c r="A1087" t="s">
        <v>10054</v>
      </c>
      <c r="B1087">
        <v>57</v>
      </c>
      <c r="C1087" s="4">
        <v>1579.12</v>
      </c>
      <c r="D1087">
        <v>2</v>
      </c>
    </row>
    <row r="1088" spans="1:4" x14ac:dyDescent="0.25">
      <c r="A1088" t="s">
        <v>10055</v>
      </c>
      <c r="B1088">
        <v>173</v>
      </c>
      <c r="C1088" s="4">
        <v>3667.36</v>
      </c>
      <c r="D1088">
        <v>4</v>
      </c>
    </row>
    <row r="1089" spans="1:4" x14ac:dyDescent="0.25">
      <c r="A1089" t="s">
        <v>10056</v>
      </c>
      <c r="B1089">
        <v>26</v>
      </c>
      <c r="C1089" s="4">
        <v>499.67</v>
      </c>
      <c r="D1089">
        <v>2</v>
      </c>
    </row>
    <row r="1090" spans="1:4" x14ac:dyDescent="0.25">
      <c r="A1090" t="s">
        <v>10057</v>
      </c>
      <c r="B1090">
        <v>22</v>
      </c>
      <c r="C1090" s="4">
        <v>328.98</v>
      </c>
      <c r="D1090">
        <v>2</v>
      </c>
    </row>
    <row r="1091" spans="1:4" x14ac:dyDescent="0.25">
      <c r="A1091" t="s">
        <v>10058</v>
      </c>
      <c r="B1091">
        <v>36</v>
      </c>
      <c r="C1091" s="4">
        <v>1140.3499999999999</v>
      </c>
      <c r="D1091">
        <v>3</v>
      </c>
    </row>
    <row r="1092" spans="1:4" x14ac:dyDescent="0.25">
      <c r="A1092" t="s">
        <v>10059</v>
      </c>
      <c r="B1092">
        <v>59</v>
      </c>
      <c r="C1092" s="4">
        <v>385.64</v>
      </c>
      <c r="D1092">
        <v>2</v>
      </c>
    </row>
    <row r="1093" spans="1:4" x14ac:dyDescent="0.25">
      <c r="A1093" t="s">
        <v>10060</v>
      </c>
      <c r="B1093">
        <v>96</v>
      </c>
      <c r="C1093" s="4">
        <v>632</v>
      </c>
      <c r="D1093">
        <v>2</v>
      </c>
    </row>
    <row r="1094" spans="1:4" x14ac:dyDescent="0.25">
      <c r="A1094" t="s">
        <v>10061</v>
      </c>
      <c r="B1094">
        <v>40</v>
      </c>
      <c r="C1094" s="4">
        <v>957.66</v>
      </c>
      <c r="D1094">
        <v>2</v>
      </c>
    </row>
    <row r="1095" spans="1:4" x14ac:dyDescent="0.25">
      <c r="A1095" t="s">
        <v>10062</v>
      </c>
      <c r="B1095">
        <v>46</v>
      </c>
      <c r="C1095" s="4">
        <v>1698.94</v>
      </c>
      <c r="D1095">
        <v>5</v>
      </c>
    </row>
    <row r="1096" spans="1:4" x14ac:dyDescent="0.25">
      <c r="A1096" t="s">
        <v>10063</v>
      </c>
      <c r="B1096">
        <v>10</v>
      </c>
      <c r="C1096" s="4">
        <v>189.5</v>
      </c>
      <c r="D1096">
        <v>1</v>
      </c>
    </row>
    <row r="1097" spans="1:4" x14ac:dyDescent="0.25">
      <c r="A1097" t="s">
        <v>10064</v>
      </c>
      <c r="B1097">
        <v>93</v>
      </c>
      <c r="C1097" s="4">
        <v>412.05</v>
      </c>
      <c r="D1097">
        <v>3</v>
      </c>
    </row>
    <row r="1098" spans="1:4" x14ac:dyDescent="0.25">
      <c r="A1098" t="s">
        <v>10065</v>
      </c>
      <c r="B1098">
        <v>15</v>
      </c>
      <c r="C1098" s="4">
        <v>209.49</v>
      </c>
      <c r="D1098">
        <v>1</v>
      </c>
    </row>
    <row r="1099" spans="1:4" x14ac:dyDescent="0.25">
      <c r="A1099" t="s">
        <v>10066</v>
      </c>
      <c r="B1099">
        <v>74</v>
      </c>
      <c r="C1099" s="4">
        <v>2202.9899999999998</v>
      </c>
      <c r="D1099">
        <v>6</v>
      </c>
    </row>
    <row r="1100" spans="1:4" x14ac:dyDescent="0.25">
      <c r="A1100" t="s">
        <v>10067</v>
      </c>
      <c r="B1100">
        <v>3</v>
      </c>
      <c r="C1100" s="4">
        <v>52.2</v>
      </c>
      <c r="D1100">
        <v>1</v>
      </c>
    </row>
    <row r="1101" spans="1:4" x14ac:dyDescent="0.25">
      <c r="A1101" t="s">
        <v>10068</v>
      </c>
      <c r="B1101">
        <v>29</v>
      </c>
      <c r="C1101" s="4">
        <v>384.8</v>
      </c>
      <c r="D1101">
        <v>1</v>
      </c>
    </row>
    <row r="1102" spans="1:4" x14ac:dyDescent="0.25">
      <c r="A1102" t="s">
        <v>10069</v>
      </c>
      <c r="B1102">
        <v>55</v>
      </c>
      <c r="C1102" s="4">
        <v>834.57</v>
      </c>
      <c r="D1102">
        <v>4</v>
      </c>
    </row>
    <row r="1103" spans="1:4" x14ac:dyDescent="0.25">
      <c r="A1103" t="s">
        <v>10070</v>
      </c>
      <c r="B1103">
        <v>19</v>
      </c>
      <c r="C1103" s="4">
        <v>271.24</v>
      </c>
      <c r="D1103">
        <v>2</v>
      </c>
    </row>
    <row r="1104" spans="1:4" x14ac:dyDescent="0.25">
      <c r="A1104" t="s">
        <v>10071</v>
      </c>
      <c r="B1104">
        <v>174</v>
      </c>
      <c r="C1104" s="4">
        <v>691.73</v>
      </c>
      <c r="D1104">
        <v>4</v>
      </c>
    </row>
    <row r="1105" spans="1:4" x14ac:dyDescent="0.25">
      <c r="A1105" t="s">
        <v>10072</v>
      </c>
      <c r="B1105">
        <v>1</v>
      </c>
      <c r="C1105" s="4">
        <v>85</v>
      </c>
      <c r="D1105">
        <v>1</v>
      </c>
    </row>
    <row r="1106" spans="1:4" x14ac:dyDescent="0.25">
      <c r="A1106" t="s">
        <v>10073</v>
      </c>
      <c r="B1106">
        <v>206</v>
      </c>
      <c r="C1106" s="4">
        <v>3385.62</v>
      </c>
      <c r="D1106">
        <v>9</v>
      </c>
    </row>
    <row r="1107" spans="1:4" x14ac:dyDescent="0.25">
      <c r="A1107" t="s">
        <v>10074</v>
      </c>
      <c r="B1107">
        <v>20</v>
      </c>
      <c r="C1107" s="4">
        <v>361.62</v>
      </c>
      <c r="D1107">
        <v>1</v>
      </c>
    </row>
    <row r="1108" spans="1:4" x14ac:dyDescent="0.25">
      <c r="A1108" t="s">
        <v>10075</v>
      </c>
      <c r="B1108">
        <v>9</v>
      </c>
      <c r="C1108" s="4">
        <v>312.98</v>
      </c>
      <c r="D1108">
        <v>1</v>
      </c>
    </row>
    <row r="1109" spans="1:4" x14ac:dyDescent="0.25">
      <c r="A1109" t="s">
        <v>10076</v>
      </c>
      <c r="B1109">
        <v>55</v>
      </c>
      <c r="C1109" s="4">
        <v>865.06</v>
      </c>
      <c r="D1109">
        <v>3</v>
      </c>
    </row>
    <row r="1110" spans="1:4" x14ac:dyDescent="0.25">
      <c r="A1110" t="s">
        <v>10077</v>
      </c>
      <c r="B1110">
        <v>5</v>
      </c>
      <c r="C1110" s="4">
        <v>1255</v>
      </c>
      <c r="D1110">
        <v>3</v>
      </c>
    </row>
    <row r="1111" spans="1:4" x14ac:dyDescent="0.25">
      <c r="A1111" t="s">
        <v>10078</v>
      </c>
      <c r="B1111">
        <v>101</v>
      </c>
      <c r="C1111" s="4">
        <v>1537.95</v>
      </c>
      <c r="D1111">
        <v>2</v>
      </c>
    </row>
    <row r="1112" spans="1:4" x14ac:dyDescent="0.25">
      <c r="A1112" t="s">
        <v>10079</v>
      </c>
      <c r="B1112">
        <v>93</v>
      </c>
      <c r="C1112" s="4">
        <v>1595.48</v>
      </c>
      <c r="D1112">
        <v>1</v>
      </c>
    </row>
    <row r="1113" spans="1:4" x14ac:dyDescent="0.25">
      <c r="A1113" t="s">
        <v>10080</v>
      </c>
      <c r="B1113">
        <v>81</v>
      </c>
      <c r="C1113" s="4">
        <v>2651.46</v>
      </c>
      <c r="D1113">
        <v>3</v>
      </c>
    </row>
    <row r="1114" spans="1:4" x14ac:dyDescent="0.25">
      <c r="A1114" t="s">
        <v>10081</v>
      </c>
      <c r="B1114">
        <v>23</v>
      </c>
      <c r="C1114" s="4">
        <v>1090.1400000000001</v>
      </c>
      <c r="D1114">
        <v>1</v>
      </c>
    </row>
    <row r="1115" spans="1:4" x14ac:dyDescent="0.25">
      <c r="A1115" t="s">
        <v>10082</v>
      </c>
      <c r="B1115">
        <v>110</v>
      </c>
      <c r="C1115" s="4">
        <v>8109.52</v>
      </c>
      <c r="D1115">
        <v>25</v>
      </c>
    </row>
    <row r="1116" spans="1:4" x14ac:dyDescent="0.25">
      <c r="A1116" t="s">
        <v>10083</v>
      </c>
      <c r="B1116">
        <v>14</v>
      </c>
      <c r="C1116" s="4">
        <v>388.5</v>
      </c>
      <c r="D1116">
        <v>3</v>
      </c>
    </row>
    <row r="1117" spans="1:4" x14ac:dyDescent="0.25">
      <c r="A1117" t="s">
        <v>10084</v>
      </c>
      <c r="B1117">
        <v>11</v>
      </c>
      <c r="C1117" s="4">
        <v>216.17</v>
      </c>
      <c r="D1117">
        <v>1</v>
      </c>
    </row>
    <row r="1118" spans="1:4" x14ac:dyDescent="0.25">
      <c r="A1118" t="s">
        <v>10085</v>
      </c>
      <c r="B1118">
        <v>28</v>
      </c>
      <c r="C1118" s="4">
        <v>201.16</v>
      </c>
      <c r="D1118">
        <v>1</v>
      </c>
    </row>
    <row r="1119" spans="1:4" x14ac:dyDescent="0.25">
      <c r="A1119" t="s">
        <v>10086</v>
      </c>
      <c r="B1119">
        <v>76</v>
      </c>
      <c r="C1119" s="4">
        <v>1245.9000000000001</v>
      </c>
      <c r="D1119">
        <v>5</v>
      </c>
    </row>
    <row r="1120" spans="1:4" x14ac:dyDescent="0.25">
      <c r="A1120" t="s">
        <v>10087</v>
      </c>
      <c r="B1120">
        <v>139</v>
      </c>
      <c r="C1120" s="4">
        <v>2209.36</v>
      </c>
      <c r="D1120">
        <v>8</v>
      </c>
    </row>
    <row r="1121" spans="1:4" x14ac:dyDescent="0.25">
      <c r="A1121" t="s">
        <v>10088</v>
      </c>
      <c r="B1121">
        <v>20</v>
      </c>
      <c r="C1121" s="4">
        <v>305.77999999999997</v>
      </c>
      <c r="D1121">
        <v>1</v>
      </c>
    </row>
    <row r="1122" spans="1:4" x14ac:dyDescent="0.25">
      <c r="A1122" t="s">
        <v>10089</v>
      </c>
      <c r="B1122">
        <v>30</v>
      </c>
      <c r="C1122" s="4">
        <v>501.56</v>
      </c>
      <c r="D1122">
        <v>4</v>
      </c>
    </row>
    <row r="1123" spans="1:4" x14ac:dyDescent="0.25">
      <c r="A1123" t="s">
        <v>10090</v>
      </c>
      <c r="B1123">
        <v>7</v>
      </c>
      <c r="C1123" s="4">
        <v>145.66999999999999</v>
      </c>
      <c r="D1123">
        <v>1</v>
      </c>
    </row>
    <row r="1124" spans="1:4" x14ac:dyDescent="0.25">
      <c r="A1124" t="s">
        <v>10091</v>
      </c>
      <c r="B1124">
        <v>61</v>
      </c>
      <c r="C1124" s="4">
        <v>1015.29</v>
      </c>
      <c r="D1124">
        <v>3</v>
      </c>
    </row>
    <row r="1125" spans="1:4" x14ac:dyDescent="0.25">
      <c r="A1125" t="s">
        <v>10092</v>
      </c>
      <c r="B1125">
        <v>33</v>
      </c>
      <c r="C1125" s="4">
        <v>3192.54</v>
      </c>
      <c r="D1125">
        <v>2</v>
      </c>
    </row>
    <row r="1126" spans="1:4" x14ac:dyDescent="0.25">
      <c r="A1126" t="s">
        <v>10093</v>
      </c>
      <c r="B1126">
        <v>307</v>
      </c>
      <c r="C1126" s="4">
        <v>3104.95</v>
      </c>
      <c r="D1126">
        <v>4</v>
      </c>
    </row>
    <row r="1127" spans="1:4" x14ac:dyDescent="0.25">
      <c r="A1127" t="s">
        <v>10094</v>
      </c>
      <c r="B1127">
        <v>115</v>
      </c>
      <c r="C1127" s="4">
        <v>2770.94</v>
      </c>
      <c r="D1127">
        <v>8</v>
      </c>
    </row>
    <row r="1128" spans="1:4" x14ac:dyDescent="0.25">
      <c r="A1128" t="s">
        <v>10095</v>
      </c>
      <c r="B1128">
        <v>336</v>
      </c>
      <c r="C1128" s="4">
        <v>6403.25</v>
      </c>
      <c r="D1128">
        <v>13</v>
      </c>
    </row>
    <row r="1129" spans="1:4" x14ac:dyDescent="0.25">
      <c r="A1129" t="s">
        <v>10096</v>
      </c>
      <c r="B1129">
        <v>23</v>
      </c>
      <c r="C1129" s="4">
        <v>389.6</v>
      </c>
      <c r="D1129">
        <v>3</v>
      </c>
    </row>
    <row r="1130" spans="1:4" x14ac:dyDescent="0.25">
      <c r="A1130" t="s">
        <v>10097</v>
      </c>
      <c r="B1130">
        <v>18</v>
      </c>
      <c r="C1130" s="4">
        <v>540.45000000000005</v>
      </c>
      <c r="D1130">
        <v>1</v>
      </c>
    </row>
    <row r="1131" spans="1:4" x14ac:dyDescent="0.25">
      <c r="A1131" t="s">
        <v>10098</v>
      </c>
      <c r="B1131">
        <v>104</v>
      </c>
      <c r="C1131" s="4">
        <v>1786.79</v>
      </c>
      <c r="D1131">
        <v>5</v>
      </c>
    </row>
    <row r="1132" spans="1:4" x14ac:dyDescent="0.25">
      <c r="A1132" t="s">
        <v>10099</v>
      </c>
      <c r="B1132">
        <v>7</v>
      </c>
      <c r="C1132" s="4">
        <v>122.7</v>
      </c>
      <c r="D1132">
        <v>1</v>
      </c>
    </row>
    <row r="1133" spans="1:4" x14ac:dyDescent="0.25">
      <c r="A1133" t="s">
        <v>10100</v>
      </c>
      <c r="B1133">
        <v>3</v>
      </c>
      <c r="C1133" s="4">
        <v>117.24</v>
      </c>
      <c r="D1133">
        <v>1</v>
      </c>
    </row>
    <row r="1134" spans="1:4" x14ac:dyDescent="0.25">
      <c r="A1134" t="s">
        <v>10101</v>
      </c>
      <c r="B1134">
        <v>36</v>
      </c>
      <c r="C1134" s="4">
        <v>1281.53</v>
      </c>
      <c r="D1134">
        <v>1</v>
      </c>
    </row>
    <row r="1135" spans="1:4" x14ac:dyDescent="0.25">
      <c r="A1135" t="s">
        <v>10102</v>
      </c>
      <c r="B1135">
        <v>165</v>
      </c>
      <c r="C1135" s="4">
        <v>3219.77</v>
      </c>
      <c r="D1135">
        <v>13</v>
      </c>
    </row>
    <row r="1136" spans="1:4" x14ac:dyDescent="0.25">
      <c r="A1136" t="s">
        <v>10103</v>
      </c>
      <c r="B1136">
        <v>178</v>
      </c>
      <c r="C1136" s="4">
        <v>17159.52</v>
      </c>
      <c r="D1136">
        <v>20</v>
      </c>
    </row>
    <row r="1137" spans="1:4" x14ac:dyDescent="0.25">
      <c r="A1137" t="s">
        <v>10104</v>
      </c>
      <c r="B1137">
        <v>65</v>
      </c>
      <c r="C1137" s="4">
        <v>1191.1300000000001</v>
      </c>
      <c r="D1137">
        <v>5</v>
      </c>
    </row>
    <row r="1138" spans="1:4" x14ac:dyDescent="0.25">
      <c r="A1138" t="s">
        <v>10105</v>
      </c>
      <c r="B1138">
        <v>142</v>
      </c>
      <c r="C1138" s="4">
        <v>2674.48</v>
      </c>
      <c r="D1138">
        <v>5</v>
      </c>
    </row>
    <row r="1139" spans="1:4" x14ac:dyDescent="0.25">
      <c r="A1139" t="s">
        <v>10106</v>
      </c>
      <c r="B1139">
        <v>59</v>
      </c>
      <c r="C1139" s="4">
        <v>787.6</v>
      </c>
      <c r="D1139">
        <v>5</v>
      </c>
    </row>
    <row r="1140" spans="1:4" x14ac:dyDescent="0.25">
      <c r="A1140" t="s">
        <v>10107</v>
      </c>
      <c r="B1140">
        <v>28</v>
      </c>
      <c r="C1140" s="4">
        <v>506.8</v>
      </c>
      <c r="D1140">
        <v>2</v>
      </c>
    </row>
    <row r="1141" spans="1:4" x14ac:dyDescent="0.25">
      <c r="A1141" t="s">
        <v>10108</v>
      </c>
      <c r="B1141">
        <v>16</v>
      </c>
      <c r="C1141" s="4">
        <v>243.56</v>
      </c>
      <c r="D1141">
        <v>1</v>
      </c>
    </row>
    <row r="1142" spans="1:4" x14ac:dyDescent="0.25">
      <c r="A1142" t="s">
        <v>10109</v>
      </c>
      <c r="B1142">
        <v>19</v>
      </c>
      <c r="C1142" s="4">
        <v>349.55</v>
      </c>
      <c r="D1142">
        <v>1</v>
      </c>
    </row>
    <row r="1143" spans="1:4" x14ac:dyDescent="0.25">
      <c r="A1143" t="s">
        <v>10110</v>
      </c>
      <c r="B1143">
        <v>40</v>
      </c>
      <c r="C1143" s="4">
        <v>605.63</v>
      </c>
      <c r="D1143">
        <v>2</v>
      </c>
    </row>
    <row r="1144" spans="1:4" x14ac:dyDescent="0.25">
      <c r="A1144" t="s">
        <v>10111</v>
      </c>
      <c r="B1144">
        <v>15</v>
      </c>
      <c r="C1144" s="4">
        <v>416.9</v>
      </c>
      <c r="D1144">
        <v>1</v>
      </c>
    </row>
    <row r="1145" spans="1:4" x14ac:dyDescent="0.25">
      <c r="A1145" t="s">
        <v>10112</v>
      </c>
      <c r="B1145">
        <v>110</v>
      </c>
      <c r="C1145" s="4">
        <v>1883.81</v>
      </c>
      <c r="D1145">
        <v>10</v>
      </c>
    </row>
    <row r="1146" spans="1:4" x14ac:dyDescent="0.25">
      <c r="A1146" t="s">
        <v>10113</v>
      </c>
      <c r="B1146">
        <v>27</v>
      </c>
      <c r="C1146" s="4">
        <v>632.97</v>
      </c>
      <c r="D1146">
        <v>4</v>
      </c>
    </row>
    <row r="1147" spans="1:4" x14ac:dyDescent="0.25">
      <c r="A1147" t="s">
        <v>10114</v>
      </c>
      <c r="B1147">
        <v>21</v>
      </c>
      <c r="C1147" s="4">
        <v>821.1</v>
      </c>
      <c r="D1147">
        <v>1</v>
      </c>
    </row>
    <row r="1148" spans="1:4" x14ac:dyDescent="0.25">
      <c r="A1148" t="s">
        <v>10115</v>
      </c>
      <c r="B1148">
        <v>27</v>
      </c>
      <c r="C1148" s="4">
        <v>564.62</v>
      </c>
      <c r="D1148">
        <v>3</v>
      </c>
    </row>
    <row r="1149" spans="1:4" x14ac:dyDescent="0.25">
      <c r="A1149" t="s">
        <v>10116</v>
      </c>
      <c r="B1149">
        <v>118</v>
      </c>
      <c r="C1149" s="4">
        <v>2593.0700000000002</v>
      </c>
      <c r="D1149">
        <v>4</v>
      </c>
    </row>
    <row r="1150" spans="1:4" x14ac:dyDescent="0.25">
      <c r="A1150" t="s">
        <v>10117</v>
      </c>
      <c r="B1150">
        <v>17</v>
      </c>
      <c r="C1150" s="4">
        <v>311.16000000000003</v>
      </c>
      <c r="D1150">
        <v>1</v>
      </c>
    </row>
    <row r="1151" spans="1:4" x14ac:dyDescent="0.25">
      <c r="A1151" t="s">
        <v>10118</v>
      </c>
      <c r="B1151">
        <v>12</v>
      </c>
      <c r="C1151" s="4">
        <v>155.93</v>
      </c>
      <c r="D1151">
        <v>1</v>
      </c>
    </row>
    <row r="1152" spans="1:4" x14ac:dyDescent="0.25">
      <c r="A1152" t="s">
        <v>10119</v>
      </c>
      <c r="B1152">
        <v>19</v>
      </c>
      <c r="C1152" s="4">
        <v>388.52</v>
      </c>
      <c r="D1152">
        <v>2</v>
      </c>
    </row>
    <row r="1153" spans="1:4" x14ac:dyDescent="0.25">
      <c r="A1153" t="s">
        <v>10120</v>
      </c>
      <c r="B1153">
        <v>43</v>
      </c>
      <c r="C1153" s="4">
        <v>740.95</v>
      </c>
      <c r="D1153">
        <v>3</v>
      </c>
    </row>
    <row r="1154" spans="1:4" x14ac:dyDescent="0.25">
      <c r="A1154" t="s">
        <v>10121</v>
      </c>
      <c r="B1154">
        <v>149</v>
      </c>
      <c r="C1154" s="4">
        <v>2867.2</v>
      </c>
      <c r="D1154">
        <v>5</v>
      </c>
    </row>
    <row r="1155" spans="1:4" x14ac:dyDescent="0.25">
      <c r="A1155" t="s">
        <v>10122</v>
      </c>
      <c r="B1155">
        <v>26</v>
      </c>
      <c r="C1155" s="4">
        <v>332.64</v>
      </c>
      <c r="D1155">
        <v>2</v>
      </c>
    </row>
    <row r="1156" spans="1:4" x14ac:dyDescent="0.25">
      <c r="A1156" t="s">
        <v>10123</v>
      </c>
      <c r="B1156">
        <v>121</v>
      </c>
      <c r="C1156" s="4">
        <v>2319.5500000000002</v>
      </c>
      <c r="D1156">
        <v>4</v>
      </c>
    </row>
    <row r="1157" spans="1:4" x14ac:dyDescent="0.25">
      <c r="A1157" t="s">
        <v>10124</v>
      </c>
      <c r="B1157">
        <v>148</v>
      </c>
      <c r="C1157" s="4">
        <v>2580.91</v>
      </c>
      <c r="D1157">
        <v>9</v>
      </c>
    </row>
    <row r="1158" spans="1:4" x14ac:dyDescent="0.25">
      <c r="A1158" t="s">
        <v>10125</v>
      </c>
      <c r="B1158">
        <v>33</v>
      </c>
      <c r="C1158" s="4">
        <v>626.45000000000005</v>
      </c>
      <c r="D1158">
        <v>2</v>
      </c>
    </row>
    <row r="1159" spans="1:4" x14ac:dyDescent="0.25">
      <c r="A1159" t="s">
        <v>10126</v>
      </c>
      <c r="B1159">
        <v>18</v>
      </c>
      <c r="C1159" s="4">
        <v>272.04000000000002</v>
      </c>
      <c r="D1159">
        <v>2</v>
      </c>
    </row>
    <row r="1160" spans="1:4" x14ac:dyDescent="0.25">
      <c r="A1160" t="s">
        <v>10127</v>
      </c>
      <c r="B1160">
        <v>30</v>
      </c>
      <c r="C1160" s="4">
        <v>1212.8399999999999</v>
      </c>
      <c r="D1160">
        <v>2</v>
      </c>
    </row>
    <row r="1161" spans="1:4" x14ac:dyDescent="0.25">
      <c r="A1161" t="s">
        <v>10128</v>
      </c>
      <c r="B1161">
        <v>26</v>
      </c>
      <c r="C1161" s="4">
        <v>348.81</v>
      </c>
      <c r="D1161">
        <v>2</v>
      </c>
    </row>
    <row r="1162" spans="1:4" x14ac:dyDescent="0.25">
      <c r="A1162" t="s">
        <v>10129</v>
      </c>
      <c r="B1162">
        <v>7</v>
      </c>
      <c r="C1162" s="4">
        <v>172.25</v>
      </c>
      <c r="D1162">
        <v>1</v>
      </c>
    </row>
    <row r="1163" spans="1:4" x14ac:dyDescent="0.25">
      <c r="A1163" t="s">
        <v>10130</v>
      </c>
      <c r="B1163">
        <v>20</v>
      </c>
      <c r="C1163" s="4">
        <v>351.13</v>
      </c>
      <c r="D1163">
        <v>1</v>
      </c>
    </row>
    <row r="1164" spans="1:4" x14ac:dyDescent="0.25">
      <c r="A1164" t="s">
        <v>10131</v>
      </c>
      <c r="B1164">
        <v>117</v>
      </c>
      <c r="C1164" s="4">
        <v>1838.85</v>
      </c>
      <c r="D1164">
        <v>6</v>
      </c>
    </row>
    <row r="1165" spans="1:4" x14ac:dyDescent="0.25">
      <c r="A1165" t="s">
        <v>10132</v>
      </c>
      <c r="B1165">
        <v>41</v>
      </c>
      <c r="C1165" s="4">
        <v>678.25</v>
      </c>
      <c r="D1165">
        <v>4</v>
      </c>
    </row>
    <row r="1166" spans="1:4" x14ac:dyDescent="0.25">
      <c r="A1166" t="s">
        <v>10133</v>
      </c>
      <c r="B1166">
        <v>11</v>
      </c>
      <c r="C1166" s="4">
        <v>223.85</v>
      </c>
      <c r="D1166">
        <v>1</v>
      </c>
    </row>
    <row r="1167" spans="1:4" x14ac:dyDescent="0.25">
      <c r="A1167" t="s">
        <v>10134</v>
      </c>
      <c r="B1167">
        <v>21</v>
      </c>
      <c r="C1167" s="4">
        <v>348.99</v>
      </c>
      <c r="D1167">
        <v>1</v>
      </c>
    </row>
    <row r="1168" spans="1:4" x14ac:dyDescent="0.25">
      <c r="A1168" t="s">
        <v>10135</v>
      </c>
      <c r="B1168">
        <v>27</v>
      </c>
      <c r="C1168" s="4">
        <v>464.57</v>
      </c>
      <c r="D1168">
        <v>4</v>
      </c>
    </row>
    <row r="1169" spans="1:4" x14ac:dyDescent="0.25">
      <c r="A1169" t="s">
        <v>10136</v>
      </c>
      <c r="B1169">
        <v>9</v>
      </c>
      <c r="C1169" s="4">
        <v>842.65</v>
      </c>
      <c r="D1169">
        <v>2</v>
      </c>
    </row>
    <row r="1170" spans="1:4" x14ac:dyDescent="0.25">
      <c r="A1170" t="s">
        <v>10137</v>
      </c>
      <c r="B1170">
        <v>17</v>
      </c>
      <c r="C1170" s="4">
        <v>337.34</v>
      </c>
      <c r="D1170">
        <v>2</v>
      </c>
    </row>
    <row r="1171" spans="1:4" x14ac:dyDescent="0.25">
      <c r="A1171" t="s">
        <v>10138</v>
      </c>
      <c r="B1171">
        <v>58</v>
      </c>
      <c r="C1171" s="4">
        <v>1237.53</v>
      </c>
      <c r="D1171">
        <v>2</v>
      </c>
    </row>
    <row r="1172" spans="1:4" x14ac:dyDescent="0.25">
      <c r="A1172" t="s">
        <v>10139</v>
      </c>
      <c r="B1172">
        <v>16</v>
      </c>
      <c r="C1172" s="4">
        <v>307.39999999999998</v>
      </c>
      <c r="D1172">
        <v>1</v>
      </c>
    </row>
    <row r="1173" spans="1:4" x14ac:dyDescent="0.25">
      <c r="A1173" t="s">
        <v>10140</v>
      </c>
      <c r="B1173">
        <v>23</v>
      </c>
      <c r="C1173" s="4">
        <v>608.79</v>
      </c>
      <c r="D1173">
        <v>2</v>
      </c>
    </row>
    <row r="1174" spans="1:4" x14ac:dyDescent="0.25">
      <c r="A1174" t="s">
        <v>10141</v>
      </c>
      <c r="B1174">
        <v>31</v>
      </c>
      <c r="C1174" s="4">
        <v>922.1</v>
      </c>
      <c r="D1174">
        <v>1</v>
      </c>
    </row>
    <row r="1175" spans="1:4" x14ac:dyDescent="0.25">
      <c r="A1175" t="s">
        <v>10142</v>
      </c>
      <c r="B1175">
        <v>26</v>
      </c>
      <c r="C1175" s="4">
        <v>376.58</v>
      </c>
      <c r="D1175">
        <v>1</v>
      </c>
    </row>
    <row r="1176" spans="1:4" x14ac:dyDescent="0.25">
      <c r="A1176" t="s">
        <v>10143</v>
      </c>
      <c r="B1176">
        <v>9</v>
      </c>
      <c r="C1176" s="4">
        <v>158.85</v>
      </c>
      <c r="D1176">
        <v>1</v>
      </c>
    </row>
    <row r="1177" spans="1:4" x14ac:dyDescent="0.25">
      <c r="A1177" t="s">
        <v>10144</v>
      </c>
      <c r="B1177">
        <v>7</v>
      </c>
      <c r="C1177" s="4">
        <v>71.66</v>
      </c>
      <c r="D1177">
        <v>1</v>
      </c>
    </row>
    <row r="1178" spans="1:4" x14ac:dyDescent="0.25">
      <c r="A1178" t="s">
        <v>10145</v>
      </c>
      <c r="B1178">
        <v>45</v>
      </c>
      <c r="C1178" s="4">
        <v>568.54999999999995</v>
      </c>
      <c r="D1178">
        <v>3</v>
      </c>
    </row>
    <row r="1179" spans="1:4" x14ac:dyDescent="0.25">
      <c r="A1179" t="s">
        <v>10146</v>
      </c>
      <c r="B1179">
        <v>49</v>
      </c>
      <c r="C1179" s="4">
        <v>839.14</v>
      </c>
      <c r="D1179">
        <v>4</v>
      </c>
    </row>
    <row r="1180" spans="1:4" x14ac:dyDescent="0.25">
      <c r="A1180" t="s">
        <v>10147</v>
      </c>
      <c r="B1180">
        <v>45</v>
      </c>
      <c r="C1180" s="4">
        <v>5112.96</v>
      </c>
      <c r="D1180">
        <v>5</v>
      </c>
    </row>
    <row r="1181" spans="1:4" x14ac:dyDescent="0.25">
      <c r="A1181" t="s">
        <v>10148</v>
      </c>
      <c r="B1181">
        <v>11</v>
      </c>
      <c r="C1181" s="4">
        <v>561.57000000000005</v>
      </c>
      <c r="D1181">
        <v>3</v>
      </c>
    </row>
    <row r="1182" spans="1:4" x14ac:dyDescent="0.25">
      <c r="A1182" t="s">
        <v>10149</v>
      </c>
      <c r="B1182">
        <v>5</v>
      </c>
      <c r="C1182" s="4">
        <v>90.6</v>
      </c>
      <c r="D1182">
        <v>1</v>
      </c>
    </row>
    <row r="1183" spans="1:4" x14ac:dyDescent="0.25">
      <c r="A1183" t="s">
        <v>10150</v>
      </c>
      <c r="B1183">
        <v>3</v>
      </c>
      <c r="C1183" s="4">
        <v>102</v>
      </c>
      <c r="D1183">
        <v>1</v>
      </c>
    </row>
    <row r="1184" spans="1:4" x14ac:dyDescent="0.25">
      <c r="A1184" t="s">
        <v>10151</v>
      </c>
      <c r="B1184">
        <v>160</v>
      </c>
      <c r="C1184" s="4">
        <v>2427.3200000000002</v>
      </c>
      <c r="D1184">
        <v>6</v>
      </c>
    </row>
    <row r="1185" spans="1:4" x14ac:dyDescent="0.25">
      <c r="A1185" t="s">
        <v>10152</v>
      </c>
      <c r="B1185">
        <v>35</v>
      </c>
      <c r="C1185" s="4">
        <v>745.06</v>
      </c>
      <c r="D1185">
        <v>4</v>
      </c>
    </row>
    <row r="1186" spans="1:4" x14ac:dyDescent="0.25">
      <c r="A1186" t="s">
        <v>10153</v>
      </c>
      <c r="B1186">
        <v>39</v>
      </c>
      <c r="C1186" s="4">
        <v>674.45</v>
      </c>
      <c r="D1186">
        <v>3</v>
      </c>
    </row>
    <row r="1187" spans="1:4" x14ac:dyDescent="0.25">
      <c r="A1187" t="s">
        <v>10154</v>
      </c>
      <c r="B1187">
        <v>137</v>
      </c>
      <c r="C1187" s="4">
        <v>3251.0709999999999</v>
      </c>
      <c r="D1187">
        <v>2</v>
      </c>
    </row>
    <row r="1188" spans="1:4" x14ac:dyDescent="0.25">
      <c r="A1188" t="s">
        <v>10155</v>
      </c>
      <c r="B1188">
        <v>20</v>
      </c>
      <c r="C1188" s="4">
        <v>3515.68</v>
      </c>
      <c r="D1188">
        <v>7</v>
      </c>
    </row>
    <row r="1189" spans="1:4" x14ac:dyDescent="0.25">
      <c r="A1189" t="s">
        <v>10156</v>
      </c>
      <c r="B1189">
        <v>25</v>
      </c>
      <c r="C1189" s="4">
        <v>439.92</v>
      </c>
      <c r="D1189">
        <v>2</v>
      </c>
    </row>
    <row r="1190" spans="1:4" x14ac:dyDescent="0.25">
      <c r="A1190" t="s">
        <v>10157</v>
      </c>
      <c r="B1190">
        <v>33</v>
      </c>
      <c r="C1190" s="4">
        <v>322.95999999999998</v>
      </c>
      <c r="D1190">
        <v>2</v>
      </c>
    </row>
    <row r="1191" spans="1:4" x14ac:dyDescent="0.25">
      <c r="A1191" t="s">
        <v>10158</v>
      </c>
      <c r="B1191">
        <v>152</v>
      </c>
      <c r="C1191" s="4">
        <v>1026.42</v>
      </c>
      <c r="D1191">
        <v>5</v>
      </c>
    </row>
    <row r="1192" spans="1:4" x14ac:dyDescent="0.25">
      <c r="A1192" t="s">
        <v>10159</v>
      </c>
      <c r="B1192">
        <v>92</v>
      </c>
      <c r="C1192" s="4">
        <v>598.20000000000005</v>
      </c>
      <c r="D1192">
        <v>3</v>
      </c>
    </row>
    <row r="1193" spans="1:4" x14ac:dyDescent="0.25">
      <c r="A1193" t="s">
        <v>10160</v>
      </c>
      <c r="B1193">
        <v>12</v>
      </c>
      <c r="C1193" s="4">
        <v>230.22</v>
      </c>
      <c r="D1193">
        <v>2</v>
      </c>
    </row>
    <row r="1194" spans="1:4" x14ac:dyDescent="0.25">
      <c r="A1194" t="s">
        <v>10161</v>
      </c>
      <c r="B1194">
        <v>11</v>
      </c>
      <c r="C1194" s="4">
        <v>169.55</v>
      </c>
      <c r="D1194">
        <v>2</v>
      </c>
    </row>
    <row r="1195" spans="1:4" x14ac:dyDescent="0.25">
      <c r="A1195" t="s">
        <v>10162</v>
      </c>
      <c r="B1195">
        <v>35</v>
      </c>
      <c r="C1195" s="4">
        <v>664.54</v>
      </c>
      <c r="D1195">
        <v>4</v>
      </c>
    </row>
    <row r="1196" spans="1:4" x14ac:dyDescent="0.25">
      <c r="A1196" t="s">
        <v>10163</v>
      </c>
      <c r="B1196">
        <v>2</v>
      </c>
      <c r="C1196" s="4">
        <v>80.7</v>
      </c>
      <c r="D1196">
        <v>1</v>
      </c>
    </row>
    <row r="1197" spans="1:4" x14ac:dyDescent="0.25">
      <c r="A1197" t="s">
        <v>10164</v>
      </c>
      <c r="B1197">
        <v>626</v>
      </c>
      <c r="C1197" s="4">
        <v>9053.94</v>
      </c>
      <c r="D1197">
        <v>18</v>
      </c>
    </row>
    <row r="1198" spans="1:4" x14ac:dyDescent="0.25">
      <c r="A1198" t="s">
        <v>10165</v>
      </c>
      <c r="B1198">
        <v>149</v>
      </c>
      <c r="C1198" s="4">
        <v>2758.26</v>
      </c>
      <c r="D1198">
        <v>8</v>
      </c>
    </row>
    <row r="1199" spans="1:4" x14ac:dyDescent="0.25">
      <c r="A1199" t="s">
        <v>10166</v>
      </c>
      <c r="B1199">
        <v>15</v>
      </c>
      <c r="C1199" s="4">
        <v>190.25</v>
      </c>
      <c r="D1199">
        <v>2</v>
      </c>
    </row>
    <row r="1200" spans="1:4" x14ac:dyDescent="0.25">
      <c r="A1200" t="s">
        <v>10167</v>
      </c>
      <c r="B1200">
        <v>11</v>
      </c>
      <c r="C1200" s="4">
        <v>264.7</v>
      </c>
      <c r="D1200">
        <v>1</v>
      </c>
    </row>
    <row r="1201" spans="1:4" x14ac:dyDescent="0.25">
      <c r="A1201" t="s">
        <v>10168</v>
      </c>
      <c r="B1201">
        <v>28</v>
      </c>
      <c r="C1201" s="4">
        <v>413.59</v>
      </c>
      <c r="D1201">
        <v>1</v>
      </c>
    </row>
    <row r="1202" spans="1:4" x14ac:dyDescent="0.25">
      <c r="A1202" t="s">
        <v>10169</v>
      </c>
      <c r="B1202">
        <v>338</v>
      </c>
      <c r="C1202" s="4">
        <v>2526.2800000000002</v>
      </c>
      <c r="D1202">
        <v>6</v>
      </c>
    </row>
    <row r="1203" spans="1:4" x14ac:dyDescent="0.25">
      <c r="A1203" t="s">
        <v>10170</v>
      </c>
      <c r="B1203">
        <v>10</v>
      </c>
      <c r="C1203" s="4">
        <v>357.98</v>
      </c>
      <c r="D1203">
        <v>1</v>
      </c>
    </row>
    <row r="1204" spans="1:4" x14ac:dyDescent="0.25">
      <c r="A1204" t="s">
        <v>10171</v>
      </c>
      <c r="B1204">
        <v>15</v>
      </c>
      <c r="C1204" s="4">
        <v>196.79</v>
      </c>
      <c r="D1204">
        <v>2</v>
      </c>
    </row>
    <row r="1205" spans="1:4" x14ac:dyDescent="0.25">
      <c r="A1205" t="s">
        <v>10172</v>
      </c>
      <c r="B1205">
        <v>54</v>
      </c>
      <c r="C1205" s="4">
        <v>869.87</v>
      </c>
      <c r="D1205">
        <v>1</v>
      </c>
    </row>
    <row r="1206" spans="1:4" x14ac:dyDescent="0.25">
      <c r="A1206" t="s">
        <v>10173</v>
      </c>
      <c r="B1206">
        <v>11</v>
      </c>
      <c r="C1206" s="4">
        <v>200.14</v>
      </c>
      <c r="D1206">
        <v>1</v>
      </c>
    </row>
    <row r="1207" spans="1:4" x14ac:dyDescent="0.25">
      <c r="A1207" t="s">
        <v>10174</v>
      </c>
      <c r="B1207">
        <v>111</v>
      </c>
      <c r="C1207" s="4">
        <v>1871.81</v>
      </c>
      <c r="D1207">
        <v>4</v>
      </c>
    </row>
    <row r="1208" spans="1:4" x14ac:dyDescent="0.25">
      <c r="A1208" t="s">
        <v>10175</v>
      </c>
      <c r="B1208">
        <v>107</v>
      </c>
      <c r="C1208" s="4">
        <v>2603.4299999999998</v>
      </c>
      <c r="D1208">
        <v>12</v>
      </c>
    </row>
    <row r="1209" spans="1:4" x14ac:dyDescent="0.25">
      <c r="A1209" t="s">
        <v>10176</v>
      </c>
      <c r="B1209">
        <v>16</v>
      </c>
      <c r="C1209" s="4">
        <v>920.51</v>
      </c>
      <c r="D1209">
        <v>5</v>
      </c>
    </row>
    <row r="1210" spans="1:4" x14ac:dyDescent="0.25">
      <c r="A1210" t="s">
        <v>10177</v>
      </c>
      <c r="B1210">
        <v>349</v>
      </c>
      <c r="C1210" s="4">
        <v>7060.13</v>
      </c>
      <c r="D1210">
        <v>15</v>
      </c>
    </row>
    <row r="1211" spans="1:4" x14ac:dyDescent="0.25">
      <c r="A1211" t="s">
        <v>10178</v>
      </c>
      <c r="B1211">
        <v>13</v>
      </c>
      <c r="C1211" s="4">
        <v>320.45999999999998</v>
      </c>
      <c r="D1211">
        <v>1</v>
      </c>
    </row>
    <row r="1212" spans="1:4" x14ac:dyDescent="0.25">
      <c r="A1212" t="s">
        <v>10179</v>
      </c>
      <c r="B1212">
        <v>234</v>
      </c>
      <c r="C1212" s="4">
        <v>4147.96</v>
      </c>
      <c r="D1212">
        <v>6</v>
      </c>
    </row>
    <row r="1213" spans="1:4" x14ac:dyDescent="0.25">
      <c r="A1213" t="s">
        <v>10180</v>
      </c>
      <c r="B1213">
        <v>41</v>
      </c>
      <c r="C1213" s="4">
        <v>1266.08</v>
      </c>
      <c r="D1213">
        <v>2</v>
      </c>
    </row>
    <row r="1214" spans="1:4" x14ac:dyDescent="0.25">
      <c r="A1214" t="s">
        <v>10181</v>
      </c>
      <c r="B1214">
        <v>16</v>
      </c>
      <c r="C1214" s="4">
        <v>311.3</v>
      </c>
      <c r="D1214">
        <v>1</v>
      </c>
    </row>
    <row r="1215" spans="1:4" x14ac:dyDescent="0.25">
      <c r="A1215" t="s">
        <v>10182</v>
      </c>
      <c r="B1215">
        <v>83</v>
      </c>
      <c r="C1215" s="4">
        <v>854.97</v>
      </c>
      <c r="D1215">
        <v>6</v>
      </c>
    </row>
    <row r="1216" spans="1:4" x14ac:dyDescent="0.25">
      <c r="A1216" t="s">
        <v>10183</v>
      </c>
      <c r="B1216">
        <v>5</v>
      </c>
      <c r="C1216" s="4">
        <v>76.8</v>
      </c>
      <c r="D1216">
        <v>1</v>
      </c>
    </row>
    <row r="1217" spans="1:4" x14ac:dyDescent="0.25">
      <c r="A1217" t="s">
        <v>10184</v>
      </c>
      <c r="B1217">
        <v>121</v>
      </c>
      <c r="C1217" s="4">
        <v>3466.36</v>
      </c>
      <c r="D1217">
        <v>9</v>
      </c>
    </row>
    <row r="1218" spans="1:4" x14ac:dyDescent="0.25">
      <c r="A1218" t="s">
        <v>10185</v>
      </c>
      <c r="B1218">
        <v>155</v>
      </c>
      <c r="C1218" s="4">
        <v>2313.14</v>
      </c>
      <c r="D1218">
        <v>6</v>
      </c>
    </row>
    <row r="1219" spans="1:4" x14ac:dyDescent="0.25">
      <c r="A1219" t="s">
        <v>10186</v>
      </c>
      <c r="B1219">
        <v>86</v>
      </c>
      <c r="C1219" s="4">
        <v>1393.69</v>
      </c>
      <c r="D1219">
        <v>5</v>
      </c>
    </row>
    <row r="1220" spans="1:4" x14ac:dyDescent="0.25">
      <c r="A1220" t="s">
        <v>10187</v>
      </c>
      <c r="B1220">
        <v>208</v>
      </c>
      <c r="C1220" s="4">
        <v>3901.81</v>
      </c>
      <c r="D1220">
        <v>12</v>
      </c>
    </row>
    <row r="1221" spans="1:4" x14ac:dyDescent="0.25">
      <c r="A1221" t="s">
        <v>10188</v>
      </c>
      <c r="B1221">
        <v>15</v>
      </c>
      <c r="C1221" s="4">
        <v>635.66</v>
      </c>
      <c r="D1221">
        <v>1</v>
      </c>
    </row>
    <row r="1222" spans="1:4" x14ac:dyDescent="0.25">
      <c r="A1222" t="s">
        <v>10189</v>
      </c>
      <c r="B1222">
        <v>39</v>
      </c>
      <c r="C1222" s="4">
        <v>2043.08</v>
      </c>
      <c r="D1222">
        <v>3</v>
      </c>
    </row>
    <row r="1223" spans="1:4" x14ac:dyDescent="0.25">
      <c r="A1223" t="s">
        <v>10190</v>
      </c>
      <c r="B1223">
        <v>47</v>
      </c>
      <c r="C1223" s="4">
        <v>529.73</v>
      </c>
      <c r="D1223">
        <v>2</v>
      </c>
    </row>
    <row r="1224" spans="1:4" x14ac:dyDescent="0.25">
      <c r="A1224" t="s">
        <v>10191</v>
      </c>
      <c r="B1224">
        <v>171</v>
      </c>
      <c r="C1224" s="4">
        <v>4582.6400000000003</v>
      </c>
      <c r="D1224">
        <v>7</v>
      </c>
    </row>
    <row r="1225" spans="1:4" x14ac:dyDescent="0.25">
      <c r="A1225" t="s">
        <v>10192</v>
      </c>
      <c r="B1225">
        <v>84</v>
      </c>
      <c r="C1225" s="4">
        <v>2874.72</v>
      </c>
      <c r="D1225">
        <v>5</v>
      </c>
    </row>
    <row r="1226" spans="1:4" x14ac:dyDescent="0.25">
      <c r="A1226" t="s">
        <v>10193</v>
      </c>
      <c r="B1226">
        <v>30</v>
      </c>
      <c r="C1226" s="4">
        <v>962.19</v>
      </c>
      <c r="D1226">
        <v>3</v>
      </c>
    </row>
    <row r="1227" spans="1:4" x14ac:dyDescent="0.25">
      <c r="A1227" t="s">
        <v>10194</v>
      </c>
      <c r="B1227">
        <v>42</v>
      </c>
      <c r="C1227" s="4">
        <v>695.61</v>
      </c>
      <c r="D1227">
        <v>2</v>
      </c>
    </row>
    <row r="1228" spans="1:4" x14ac:dyDescent="0.25">
      <c r="A1228" t="s">
        <v>10195</v>
      </c>
      <c r="B1228">
        <v>11</v>
      </c>
      <c r="C1228" s="4">
        <v>328.8</v>
      </c>
      <c r="D1228">
        <v>1</v>
      </c>
    </row>
    <row r="1229" spans="1:4" x14ac:dyDescent="0.25">
      <c r="A1229" t="s">
        <v>10196</v>
      </c>
      <c r="B1229">
        <v>34</v>
      </c>
      <c r="C1229" s="4">
        <v>473.02</v>
      </c>
      <c r="D1229">
        <v>3</v>
      </c>
    </row>
    <row r="1230" spans="1:4" x14ac:dyDescent="0.25">
      <c r="A1230" t="s">
        <v>10197</v>
      </c>
      <c r="B1230">
        <v>39</v>
      </c>
      <c r="C1230" s="4">
        <v>505.18</v>
      </c>
      <c r="D1230">
        <v>1</v>
      </c>
    </row>
    <row r="1231" spans="1:4" x14ac:dyDescent="0.25">
      <c r="A1231" t="s">
        <v>10198</v>
      </c>
      <c r="B1231">
        <v>20</v>
      </c>
      <c r="C1231" s="4">
        <v>917.34</v>
      </c>
      <c r="D1231">
        <v>1</v>
      </c>
    </row>
    <row r="1232" spans="1:4" x14ac:dyDescent="0.25">
      <c r="A1232" t="s">
        <v>10199</v>
      </c>
      <c r="B1232">
        <v>160</v>
      </c>
      <c r="C1232" s="4">
        <v>4291.21</v>
      </c>
      <c r="D1232">
        <v>4</v>
      </c>
    </row>
    <row r="1233" spans="1:4" x14ac:dyDescent="0.25">
      <c r="A1233" t="s">
        <v>10200</v>
      </c>
      <c r="B1233">
        <v>66</v>
      </c>
      <c r="C1233" s="4">
        <v>1421.61</v>
      </c>
      <c r="D1233">
        <v>3</v>
      </c>
    </row>
    <row r="1234" spans="1:4" x14ac:dyDescent="0.25">
      <c r="A1234" t="s">
        <v>10201</v>
      </c>
      <c r="B1234">
        <v>39</v>
      </c>
      <c r="C1234" s="4">
        <v>642.79999999999995</v>
      </c>
      <c r="D1234">
        <v>2</v>
      </c>
    </row>
    <row r="1235" spans="1:4" x14ac:dyDescent="0.25">
      <c r="A1235" t="s">
        <v>10202</v>
      </c>
      <c r="B1235">
        <v>22</v>
      </c>
      <c r="C1235" s="4">
        <v>631.9</v>
      </c>
      <c r="D1235">
        <v>3</v>
      </c>
    </row>
    <row r="1236" spans="1:4" x14ac:dyDescent="0.25">
      <c r="A1236" t="s">
        <v>10203</v>
      </c>
      <c r="B1236">
        <v>28</v>
      </c>
      <c r="C1236" s="4">
        <v>440</v>
      </c>
      <c r="D1236">
        <v>1</v>
      </c>
    </row>
    <row r="1237" spans="1:4" x14ac:dyDescent="0.25">
      <c r="A1237" t="s">
        <v>10204</v>
      </c>
      <c r="B1237">
        <v>31</v>
      </c>
      <c r="C1237" s="4">
        <v>584.07000000000005</v>
      </c>
      <c r="D1237">
        <v>2</v>
      </c>
    </row>
    <row r="1238" spans="1:4" x14ac:dyDescent="0.25">
      <c r="A1238" t="s">
        <v>10205</v>
      </c>
      <c r="B1238">
        <v>16</v>
      </c>
      <c r="C1238" s="4">
        <v>327.7</v>
      </c>
      <c r="D1238">
        <v>2</v>
      </c>
    </row>
    <row r="1239" spans="1:4" x14ac:dyDescent="0.25">
      <c r="A1239" t="s">
        <v>10206</v>
      </c>
      <c r="B1239">
        <v>6</v>
      </c>
      <c r="C1239" s="4">
        <v>104.82</v>
      </c>
      <c r="D1239">
        <v>1</v>
      </c>
    </row>
    <row r="1240" spans="1:4" x14ac:dyDescent="0.25">
      <c r="A1240" t="s">
        <v>10207</v>
      </c>
      <c r="B1240">
        <v>15</v>
      </c>
      <c r="C1240" s="4">
        <v>467.66</v>
      </c>
      <c r="D1240">
        <v>2</v>
      </c>
    </row>
    <row r="1241" spans="1:4" x14ac:dyDescent="0.25">
      <c r="A1241" t="s">
        <v>10208</v>
      </c>
      <c r="B1241">
        <v>243</v>
      </c>
      <c r="C1241" s="4">
        <v>2360.09</v>
      </c>
      <c r="D1241">
        <v>8</v>
      </c>
    </row>
    <row r="1242" spans="1:4" x14ac:dyDescent="0.25">
      <c r="A1242" t="s">
        <v>10209</v>
      </c>
      <c r="B1242">
        <v>250</v>
      </c>
      <c r="C1242" s="4">
        <v>17286.86</v>
      </c>
      <c r="D1242">
        <v>19</v>
      </c>
    </row>
    <row r="1243" spans="1:4" x14ac:dyDescent="0.25">
      <c r="A1243" t="s">
        <v>10210</v>
      </c>
      <c r="B1243">
        <v>143</v>
      </c>
      <c r="C1243" s="4">
        <v>2975.59</v>
      </c>
      <c r="D1243">
        <v>11</v>
      </c>
    </row>
    <row r="1244" spans="1:4" x14ac:dyDescent="0.25">
      <c r="A1244" t="s">
        <v>10211</v>
      </c>
      <c r="B1244">
        <v>89</v>
      </c>
      <c r="C1244" s="4">
        <v>651.82000000000005</v>
      </c>
      <c r="D1244">
        <v>3</v>
      </c>
    </row>
    <row r="1245" spans="1:4" x14ac:dyDescent="0.25">
      <c r="A1245" t="s">
        <v>10212</v>
      </c>
      <c r="B1245">
        <v>66</v>
      </c>
      <c r="C1245" s="4">
        <v>1428.02</v>
      </c>
      <c r="D1245">
        <v>5</v>
      </c>
    </row>
    <row r="1246" spans="1:4" x14ac:dyDescent="0.25">
      <c r="A1246" t="s">
        <v>10213</v>
      </c>
      <c r="B1246">
        <v>38</v>
      </c>
      <c r="C1246" s="4">
        <v>626.65</v>
      </c>
      <c r="D1246">
        <v>1</v>
      </c>
    </row>
    <row r="1247" spans="1:4" x14ac:dyDescent="0.25">
      <c r="A1247" t="s">
        <v>10214</v>
      </c>
      <c r="B1247">
        <v>28</v>
      </c>
      <c r="C1247" s="4">
        <v>147.19999999999999</v>
      </c>
      <c r="D1247">
        <v>2</v>
      </c>
    </row>
    <row r="1248" spans="1:4" x14ac:dyDescent="0.25">
      <c r="A1248" t="s">
        <v>10215</v>
      </c>
      <c r="B1248">
        <v>92</v>
      </c>
      <c r="C1248" s="4">
        <v>1560.38</v>
      </c>
      <c r="D1248">
        <v>3</v>
      </c>
    </row>
    <row r="1249" spans="1:4" x14ac:dyDescent="0.25">
      <c r="A1249" t="s">
        <v>10216</v>
      </c>
      <c r="B1249">
        <v>6</v>
      </c>
      <c r="C1249" s="4">
        <v>152.19999999999999</v>
      </c>
      <c r="D1249">
        <v>1</v>
      </c>
    </row>
    <row r="1250" spans="1:4" x14ac:dyDescent="0.25">
      <c r="A1250" t="s">
        <v>10217</v>
      </c>
      <c r="B1250">
        <v>235</v>
      </c>
      <c r="C1250" s="4">
        <v>3614.92</v>
      </c>
      <c r="D1250">
        <v>12</v>
      </c>
    </row>
    <row r="1251" spans="1:4" x14ac:dyDescent="0.25">
      <c r="A1251" t="s">
        <v>10218</v>
      </c>
      <c r="B1251">
        <v>21</v>
      </c>
      <c r="C1251" s="4">
        <v>141.41</v>
      </c>
      <c r="D1251">
        <v>1</v>
      </c>
    </row>
    <row r="1252" spans="1:4" x14ac:dyDescent="0.25">
      <c r="A1252" t="s">
        <v>10219</v>
      </c>
      <c r="B1252">
        <v>209</v>
      </c>
      <c r="C1252" s="4">
        <v>652.82000000000005</v>
      </c>
      <c r="D1252">
        <v>4</v>
      </c>
    </row>
    <row r="1253" spans="1:4" x14ac:dyDescent="0.25">
      <c r="A1253" t="s">
        <v>10220</v>
      </c>
      <c r="B1253">
        <v>6</v>
      </c>
      <c r="C1253" s="4">
        <v>1659.75</v>
      </c>
      <c r="D1253">
        <v>4</v>
      </c>
    </row>
    <row r="1254" spans="1:4" x14ac:dyDescent="0.25">
      <c r="A1254" t="s">
        <v>10221</v>
      </c>
      <c r="B1254">
        <v>13</v>
      </c>
      <c r="C1254" s="4">
        <v>151.59</v>
      </c>
      <c r="D1254">
        <v>1</v>
      </c>
    </row>
    <row r="1255" spans="1:4" x14ac:dyDescent="0.25">
      <c r="A1255" t="s">
        <v>10222</v>
      </c>
      <c r="B1255">
        <v>32</v>
      </c>
      <c r="C1255" s="4">
        <v>1308.6099999999999</v>
      </c>
      <c r="D1255">
        <v>5</v>
      </c>
    </row>
    <row r="1256" spans="1:4" x14ac:dyDescent="0.25">
      <c r="A1256" t="s">
        <v>10223</v>
      </c>
      <c r="B1256">
        <v>85</v>
      </c>
      <c r="C1256" s="4">
        <v>409.93</v>
      </c>
      <c r="D1256">
        <v>1</v>
      </c>
    </row>
    <row r="1257" spans="1:4" x14ac:dyDescent="0.25">
      <c r="A1257" t="s">
        <v>10224</v>
      </c>
      <c r="B1257">
        <v>488</v>
      </c>
      <c r="C1257" s="4">
        <v>5681.72</v>
      </c>
      <c r="D1257">
        <v>4</v>
      </c>
    </row>
    <row r="1258" spans="1:4" x14ac:dyDescent="0.25">
      <c r="A1258" t="s">
        <v>10225</v>
      </c>
      <c r="B1258">
        <v>54</v>
      </c>
      <c r="C1258" s="4">
        <v>746.36</v>
      </c>
      <c r="D1258">
        <v>2</v>
      </c>
    </row>
    <row r="1259" spans="1:4" x14ac:dyDescent="0.25">
      <c r="A1259" t="s">
        <v>10226</v>
      </c>
      <c r="B1259">
        <v>210</v>
      </c>
      <c r="C1259" s="4">
        <v>15610.39</v>
      </c>
      <c r="D1259">
        <v>23</v>
      </c>
    </row>
    <row r="1260" spans="1:4" x14ac:dyDescent="0.25">
      <c r="A1260" t="s">
        <v>10227</v>
      </c>
      <c r="B1260">
        <v>56</v>
      </c>
      <c r="C1260" s="4">
        <v>225.36</v>
      </c>
      <c r="D1260">
        <v>1</v>
      </c>
    </row>
    <row r="1261" spans="1:4" x14ac:dyDescent="0.25">
      <c r="A1261" t="s">
        <v>10228</v>
      </c>
      <c r="B1261">
        <v>4</v>
      </c>
      <c r="C1261" s="4">
        <v>260.25</v>
      </c>
      <c r="D1261">
        <v>2</v>
      </c>
    </row>
    <row r="1262" spans="1:4" x14ac:dyDescent="0.25">
      <c r="A1262" t="s">
        <v>10229</v>
      </c>
      <c r="B1262">
        <v>6</v>
      </c>
      <c r="C1262" s="4">
        <v>92.46</v>
      </c>
      <c r="D1262">
        <v>1</v>
      </c>
    </row>
    <row r="1263" spans="1:4" x14ac:dyDescent="0.25">
      <c r="A1263" t="s">
        <v>10230</v>
      </c>
      <c r="B1263">
        <v>10</v>
      </c>
      <c r="C1263" s="4">
        <v>725.64</v>
      </c>
      <c r="D1263">
        <v>1</v>
      </c>
    </row>
    <row r="1264" spans="1:4" x14ac:dyDescent="0.25">
      <c r="A1264" t="s">
        <v>10231</v>
      </c>
      <c r="B1264">
        <v>1106</v>
      </c>
      <c r="C1264" s="4">
        <v>8214.65</v>
      </c>
      <c r="D1264">
        <v>23</v>
      </c>
    </row>
    <row r="1265" spans="1:4" x14ac:dyDescent="0.25">
      <c r="A1265" t="s">
        <v>10232</v>
      </c>
      <c r="B1265">
        <v>284</v>
      </c>
      <c r="C1265" s="4">
        <v>6217.96</v>
      </c>
      <c r="D1265">
        <v>17</v>
      </c>
    </row>
    <row r="1266" spans="1:4" x14ac:dyDescent="0.25">
      <c r="A1266" t="s">
        <v>10233</v>
      </c>
      <c r="B1266">
        <v>8</v>
      </c>
      <c r="C1266" s="4">
        <v>183.6</v>
      </c>
      <c r="D1266">
        <v>1</v>
      </c>
    </row>
    <row r="1267" spans="1:4" x14ac:dyDescent="0.25">
      <c r="A1267" t="s">
        <v>10234</v>
      </c>
      <c r="B1267">
        <v>202</v>
      </c>
      <c r="C1267" s="4">
        <v>6140.42</v>
      </c>
      <c r="D1267">
        <v>19</v>
      </c>
    </row>
    <row r="1268" spans="1:4" x14ac:dyDescent="0.25">
      <c r="A1268" t="s">
        <v>10235</v>
      </c>
      <c r="B1268">
        <v>111</v>
      </c>
      <c r="C1268" s="4">
        <v>10464.85</v>
      </c>
      <c r="D1268">
        <v>12</v>
      </c>
    </row>
    <row r="1269" spans="1:4" x14ac:dyDescent="0.25">
      <c r="A1269" t="s">
        <v>10236</v>
      </c>
      <c r="B1269">
        <v>80</v>
      </c>
      <c r="C1269" s="4">
        <v>1353.74</v>
      </c>
      <c r="D1269">
        <v>5</v>
      </c>
    </row>
    <row r="1270" spans="1:4" x14ac:dyDescent="0.25">
      <c r="A1270" t="s">
        <v>10237</v>
      </c>
      <c r="B1270">
        <v>7</v>
      </c>
      <c r="C1270" s="4">
        <v>152.55000000000001</v>
      </c>
      <c r="D1270">
        <v>1</v>
      </c>
    </row>
    <row r="1271" spans="1:4" x14ac:dyDescent="0.25">
      <c r="A1271" t="s">
        <v>10238</v>
      </c>
      <c r="B1271">
        <v>52</v>
      </c>
      <c r="C1271" s="4">
        <v>374.7</v>
      </c>
      <c r="D1271">
        <v>2</v>
      </c>
    </row>
    <row r="1272" spans="1:4" x14ac:dyDescent="0.25">
      <c r="A1272" t="s">
        <v>10239</v>
      </c>
      <c r="B1272">
        <v>24</v>
      </c>
      <c r="C1272" s="4">
        <v>265.85000000000002</v>
      </c>
      <c r="D1272">
        <v>1</v>
      </c>
    </row>
    <row r="1273" spans="1:4" x14ac:dyDescent="0.25">
      <c r="A1273" t="s">
        <v>10240</v>
      </c>
      <c r="B1273">
        <v>322</v>
      </c>
      <c r="C1273" s="4">
        <v>1424</v>
      </c>
      <c r="D1273">
        <v>8</v>
      </c>
    </row>
    <row r="1274" spans="1:4" x14ac:dyDescent="0.25">
      <c r="A1274" t="s">
        <v>10241</v>
      </c>
      <c r="B1274">
        <v>13</v>
      </c>
      <c r="C1274" s="4">
        <v>151.04</v>
      </c>
      <c r="D1274">
        <v>1</v>
      </c>
    </row>
    <row r="1275" spans="1:4" x14ac:dyDescent="0.25">
      <c r="A1275" t="s">
        <v>10242</v>
      </c>
      <c r="B1275">
        <v>43</v>
      </c>
      <c r="C1275" s="4">
        <v>942.26</v>
      </c>
      <c r="D1275">
        <v>3</v>
      </c>
    </row>
    <row r="1276" spans="1:4" x14ac:dyDescent="0.25">
      <c r="A1276" t="s">
        <v>10243</v>
      </c>
      <c r="B1276">
        <v>46</v>
      </c>
      <c r="C1276" s="4">
        <v>122.47</v>
      </c>
      <c r="D1276">
        <v>1</v>
      </c>
    </row>
    <row r="1277" spans="1:4" x14ac:dyDescent="0.25">
      <c r="A1277" t="s">
        <v>10244</v>
      </c>
      <c r="B1277">
        <v>42</v>
      </c>
      <c r="C1277" s="4">
        <v>499.42</v>
      </c>
      <c r="D1277">
        <v>5</v>
      </c>
    </row>
    <row r="1278" spans="1:4" x14ac:dyDescent="0.25">
      <c r="A1278" t="s">
        <v>10245</v>
      </c>
      <c r="B1278">
        <v>65</v>
      </c>
      <c r="C1278" s="4">
        <v>1049.3699999999999</v>
      </c>
      <c r="D1278">
        <v>6</v>
      </c>
    </row>
    <row r="1279" spans="1:4" x14ac:dyDescent="0.25">
      <c r="A1279" t="s">
        <v>10246</v>
      </c>
      <c r="B1279">
        <v>12</v>
      </c>
      <c r="C1279" s="4">
        <v>375.1</v>
      </c>
      <c r="D1279">
        <v>1</v>
      </c>
    </row>
    <row r="1280" spans="1:4" x14ac:dyDescent="0.25">
      <c r="A1280" t="s">
        <v>10247</v>
      </c>
      <c r="B1280">
        <v>4</v>
      </c>
      <c r="C1280" s="4">
        <v>45.6</v>
      </c>
      <c r="D1280">
        <v>1</v>
      </c>
    </row>
    <row r="1281" spans="1:4" x14ac:dyDescent="0.25">
      <c r="A1281" t="s">
        <v>10248</v>
      </c>
      <c r="B1281">
        <v>153</v>
      </c>
      <c r="C1281" s="4">
        <v>934.52</v>
      </c>
      <c r="D1281">
        <v>2</v>
      </c>
    </row>
    <row r="1282" spans="1:4" x14ac:dyDescent="0.25">
      <c r="A1282" t="s">
        <v>10249</v>
      </c>
      <c r="B1282">
        <v>29</v>
      </c>
      <c r="C1282" s="4">
        <v>182.25</v>
      </c>
      <c r="D1282">
        <v>1</v>
      </c>
    </row>
    <row r="1283" spans="1:4" x14ac:dyDescent="0.25">
      <c r="A1283" t="s">
        <v>10250</v>
      </c>
      <c r="B1283">
        <v>181</v>
      </c>
      <c r="C1283" s="4">
        <v>1018.43</v>
      </c>
      <c r="D1283">
        <v>9</v>
      </c>
    </row>
    <row r="1284" spans="1:4" x14ac:dyDescent="0.25">
      <c r="A1284" t="s">
        <v>10251</v>
      </c>
      <c r="B1284">
        <v>450</v>
      </c>
      <c r="C1284" s="4">
        <v>4448.54</v>
      </c>
      <c r="D1284">
        <v>18</v>
      </c>
    </row>
    <row r="1285" spans="1:4" x14ac:dyDescent="0.25">
      <c r="A1285" t="s">
        <v>10252</v>
      </c>
      <c r="B1285">
        <v>69</v>
      </c>
      <c r="C1285" s="4">
        <v>194.42</v>
      </c>
      <c r="D1285">
        <v>1</v>
      </c>
    </row>
    <row r="1286" spans="1:4" x14ac:dyDescent="0.25">
      <c r="A1286" t="s">
        <v>10253</v>
      </c>
      <c r="B1286">
        <v>589</v>
      </c>
      <c r="C1286" s="4">
        <v>50491.81</v>
      </c>
      <c r="D1286">
        <v>13</v>
      </c>
    </row>
    <row r="1287" spans="1:4" x14ac:dyDescent="0.25">
      <c r="A1287" t="s">
        <v>10254</v>
      </c>
      <c r="B1287">
        <v>14</v>
      </c>
      <c r="C1287" s="4">
        <v>161</v>
      </c>
      <c r="D1287">
        <v>1</v>
      </c>
    </row>
    <row r="1288" spans="1:4" x14ac:dyDescent="0.25">
      <c r="A1288" t="s">
        <v>10255</v>
      </c>
      <c r="B1288">
        <v>1</v>
      </c>
      <c r="C1288" s="4">
        <v>76.319999999999993</v>
      </c>
      <c r="D1288">
        <v>1</v>
      </c>
    </row>
    <row r="1289" spans="1:4" x14ac:dyDescent="0.25">
      <c r="A1289" t="s">
        <v>10256</v>
      </c>
      <c r="B1289">
        <v>214</v>
      </c>
      <c r="C1289" s="4">
        <v>4076.91</v>
      </c>
      <c r="D1289">
        <v>14</v>
      </c>
    </row>
    <row r="1290" spans="1:4" x14ac:dyDescent="0.25">
      <c r="A1290" t="s">
        <v>10257</v>
      </c>
      <c r="B1290">
        <v>105</v>
      </c>
      <c r="C1290" s="4">
        <v>442.85</v>
      </c>
      <c r="D1290">
        <v>1</v>
      </c>
    </row>
    <row r="1291" spans="1:4" x14ac:dyDescent="0.25">
      <c r="A1291" t="s">
        <v>10258</v>
      </c>
      <c r="B1291">
        <v>5095</v>
      </c>
      <c r="C1291" s="4">
        <v>53258.43</v>
      </c>
      <c r="D1291">
        <v>17</v>
      </c>
    </row>
    <row r="1292" spans="1:4" x14ac:dyDescent="0.25">
      <c r="A1292" t="s">
        <v>10259</v>
      </c>
      <c r="B1292">
        <v>21</v>
      </c>
      <c r="C1292" s="4">
        <v>147.35</v>
      </c>
      <c r="D1292">
        <v>1</v>
      </c>
    </row>
    <row r="1293" spans="1:4" x14ac:dyDescent="0.25">
      <c r="A1293" t="s">
        <v>10260</v>
      </c>
      <c r="B1293">
        <v>250</v>
      </c>
      <c r="C1293" s="4">
        <v>3104.17</v>
      </c>
      <c r="D1293">
        <v>11</v>
      </c>
    </row>
    <row r="1294" spans="1:4" x14ac:dyDescent="0.25">
      <c r="A1294" t="s">
        <v>10261</v>
      </c>
      <c r="B1294">
        <v>26</v>
      </c>
      <c r="C1294" s="4">
        <v>194.9</v>
      </c>
      <c r="D1294">
        <v>1</v>
      </c>
    </row>
    <row r="1295" spans="1:4" x14ac:dyDescent="0.25">
      <c r="A1295" t="s">
        <v>10262</v>
      </c>
      <c r="B1295">
        <v>35</v>
      </c>
      <c r="C1295" s="4">
        <v>5976.79</v>
      </c>
      <c r="D1295">
        <v>6</v>
      </c>
    </row>
    <row r="1296" spans="1:4" x14ac:dyDescent="0.25">
      <c r="A1296" t="s">
        <v>10263</v>
      </c>
      <c r="B1296">
        <v>79</v>
      </c>
      <c r="C1296" s="4">
        <v>1360.28</v>
      </c>
      <c r="D1296">
        <v>5</v>
      </c>
    </row>
    <row r="1297" spans="1:4" x14ac:dyDescent="0.25">
      <c r="A1297" t="s">
        <v>10264</v>
      </c>
      <c r="B1297">
        <v>21</v>
      </c>
      <c r="C1297" s="4">
        <v>216.21</v>
      </c>
      <c r="D1297">
        <v>2</v>
      </c>
    </row>
    <row r="1298" spans="1:4" x14ac:dyDescent="0.25">
      <c r="A1298" t="s">
        <v>10265</v>
      </c>
      <c r="B1298">
        <v>74</v>
      </c>
      <c r="C1298" s="4">
        <v>1266.23</v>
      </c>
      <c r="D1298">
        <v>1</v>
      </c>
    </row>
    <row r="1299" spans="1:4" x14ac:dyDescent="0.25">
      <c r="A1299" t="s">
        <v>10266</v>
      </c>
      <c r="B1299">
        <v>123</v>
      </c>
      <c r="C1299" s="4">
        <v>2703.23</v>
      </c>
      <c r="D1299">
        <v>7</v>
      </c>
    </row>
    <row r="1300" spans="1:4" x14ac:dyDescent="0.25">
      <c r="A1300" t="s">
        <v>10267</v>
      </c>
      <c r="B1300">
        <v>34</v>
      </c>
      <c r="C1300" s="4">
        <v>597.91</v>
      </c>
      <c r="D1300">
        <v>2</v>
      </c>
    </row>
    <row r="1301" spans="1:4" x14ac:dyDescent="0.25">
      <c r="A1301" t="s">
        <v>10268</v>
      </c>
      <c r="B1301">
        <v>9</v>
      </c>
      <c r="C1301" s="4">
        <v>144.19999999999999</v>
      </c>
      <c r="D1301">
        <v>1</v>
      </c>
    </row>
    <row r="1302" spans="1:4" x14ac:dyDescent="0.25">
      <c r="A1302" t="s">
        <v>10269</v>
      </c>
      <c r="B1302">
        <v>155</v>
      </c>
      <c r="C1302" s="4">
        <v>5683.15</v>
      </c>
      <c r="D1302">
        <v>12</v>
      </c>
    </row>
    <row r="1303" spans="1:4" x14ac:dyDescent="0.25">
      <c r="A1303" t="s">
        <v>10270</v>
      </c>
      <c r="B1303">
        <v>10</v>
      </c>
      <c r="C1303" s="4">
        <v>692.85</v>
      </c>
      <c r="D1303">
        <v>4</v>
      </c>
    </row>
    <row r="1304" spans="1:4" x14ac:dyDescent="0.25">
      <c r="A1304" t="s">
        <v>10271</v>
      </c>
      <c r="B1304">
        <v>160</v>
      </c>
      <c r="C1304" s="4">
        <v>2915.15</v>
      </c>
      <c r="D1304">
        <v>7</v>
      </c>
    </row>
    <row r="1305" spans="1:4" x14ac:dyDescent="0.25">
      <c r="A1305" t="s">
        <v>10272</v>
      </c>
      <c r="B1305">
        <v>34</v>
      </c>
      <c r="C1305" s="4">
        <v>1840.42</v>
      </c>
      <c r="D1305">
        <v>4</v>
      </c>
    </row>
    <row r="1306" spans="1:4" x14ac:dyDescent="0.25">
      <c r="A1306" t="s">
        <v>10273</v>
      </c>
      <c r="B1306">
        <v>15</v>
      </c>
      <c r="C1306" s="4">
        <v>386.53</v>
      </c>
      <c r="D1306">
        <v>2</v>
      </c>
    </row>
    <row r="1307" spans="1:4" x14ac:dyDescent="0.25">
      <c r="A1307" t="s">
        <v>10274</v>
      </c>
      <c r="B1307">
        <v>72</v>
      </c>
      <c r="C1307" s="4">
        <v>1382.74</v>
      </c>
      <c r="D1307">
        <v>5</v>
      </c>
    </row>
    <row r="1308" spans="1:4" x14ac:dyDescent="0.25">
      <c r="A1308" t="s">
        <v>10275</v>
      </c>
      <c r="B1308">
        <v>3</v>
      </c>
      <c r="C1308" s="4">
        <v>90</v>
      </c>
      <c r="D1308">
        <v>1</v>
      </c>
    </row>
    <row r="1309" spans="1:4" x14ac:dyDescent="0.25">
      <c r="A1309" t="s">
        <v>10276</v>
      </c>
      <c r="B1309">
        <v>159</v>
      </c>
      <c r="C1309" s="4">
        <v>2780.15</v>
      </c>
      <c r="D1309">
        <v>4</v>
      </c>
    </row>
    <row r="1310" spans="1:4" x14ac:dyDescent="0.25">
      <c r="A1310" t="s">
        <v>10277</v>
      </c>
      <c r="B1310">
        <v>5</v>
      </c>
      <c r="C1310" s="4">
        <v>419.58</v>
      </c>
      <c r="D1310">
        <v>1</v>
      </c>
    </row>
    <row r="1311" spans="1:4" x14ac:dyDescent="0.25">
      <c r="A1311" t="s">
        <v>10278</v>
      </c>
      <c r="B1311">
        <v>167</v>
      </c>
      <c r="C1311" s="4">
        <v>2740.43</v>
      </c>
      <c r="D1311">
        <v>3</v>
      </c>
    </row>
    <row r="1312" spans="1:4" x14ac:dyDescent="0.25">
      <c r="A1312" t="s">
        <v>10279</v>
      </c>
      <c r="B1312">
        <v>15</v>
      </c>
      <c r="C1312" s="4">
        <v>706.13</v>
      </c>
      <c r="D1312">
        <v>3</v>
      </c>
    </row>
    <row r="1313" spans="1:4" x14ac:dyDescent="0.25">
      <c r="A1313" t="s">
        <v>10280</v>
      </c>
      <c r="B1313">
        <v>44</v>
      </c>
      <c r="C1313" s="4">
        <v>709.71</v>
      </c>
      <c r="D1313">
        <v>3</v>
      </c>
    </row>
    <row r="1314" spans="1:4" x14ac:dyDescent="0.25">
      <c r="A1314" t="s">
        <v>10281</v>
      </c>
      <c r="B1314">
        <v>46</v>
      </c>
      <c r="C1314" s="4">
        <v>637.5</v>
      </c>
      <c r="D1314">
        <v>2</v>
      </c>
    </row>
    <row r="1315" spans="1:4" x14ac:dyDescent="0.25">
      <c r="A1315" t="s">
        <v>10282</v>
      </c>
      <c r="B1315">
        <v>52</v>
      </c>
      <c r="C1315" s="4">
        <v>1123.8599999999999</v>
      </c>
      <c r="D1315">
        <v>5</v>
      </c>
    </row>
    <row r="1316" spans="1:4" x14ac:dyDescent="0.25">
      <c r="A1316" t="s">
        <v>10283</v>
      </c>
      <c r="B1316">
        <v>67</v>
      </c>
      <c r="C1316" s="4">
        <v>483.86</v>
      </c>
      <c r="D1316">
        <v>1</v>
      </c>
    </row>
    <row r="1317" spans="1:4" x14ac:dyDescent="0.25">
      <c r="A1317" t="s">
        <v>10284</v>
      </c>
      <c r="B1317">
        <v>200</v>
      </c>
      <c r="C1317" s="4">
        <v>3586.03</v>
      </c>
      <c r="D1317">
        <v>11</v>
      </c>
    </row>
    <row r="1318" spans="1:4" x14ac:dyDescent="0.25">
      <c r="A1318" t="s">
        <v>10285</v>
      </c>
      <c r="B1318">
        <v>28</v>
      </c>
      <c r="C1318" s="4">
        <v>605.64</v>
      </c>
      <c r="D1318">
        <v>3</v>
      </c>
    </row>
    <row r="1319" spans="1:4" x14ac:dyDescent="0.25">
      <c r="A1319" t="s">
        <v>10286</v>
      </c>
      <c r="B1319">
        <v>134</v>
      </c>
      <c r="C1319" s="4">
        <v>4690.3100000000004</v>
      </c>
      <c r="D1319">
        <v>15</v>
      </c>
    </row>
    <row r="1320" spans="1:4" x14ac:dyDescent="0.25">
      <c r="A1320" t="s">
        <v>10287</v>
      </c>
      <c r="B1320">
        <v>47</v>
      </c>
      <c r="C1320" s="4">
        <v>982.38</v>
      </c>
      <c r="D1320">
        <v>2</v>
      </c>
    </row>
    <row r="1321" spans="1:4" x14ac:dyDescent="0.25">
      <c r="A1321" t="s">
        <v>10288</v>
      </c>
      <c r="B1321">
        <v>26</v>
      </c>
      <c r="C1321" s="4">
        <v>415.82</v>
      </c>
      <c r="D1321">
        <v>1</v>
      </c>
    </row>
    <row r="1322" spans="1:4" x14ac:dyDescent="0.25">
      <c r="A1322" t="s">
        <v>10289</v>
      </c>
      <c r="B1322">
        <v>66</v>
      </c>
      <c r="C1322" s="4">
        <v>935.05</v>
      </c>
      <c r="D1322">
        <v>2</v>
      </c>
    </row>
    <row r="1323" spans="1:4" x14ac:dyDescent="0.25">
      <c r="A1323" t="s">
        <v>10290</v>
      </c>
      <c r="B1323">
        <v>40</v>
      </c>
      <c r="C1323" s="4">
        <v>915.13</v>
      </c>
      <c r="D1323">
        <v>4</v>
      </c>
    </row>
    <row r="1324" spans="1:4" x14ac:dyDescent="0.25">
      <c r="A1324" t="s">
        <v>10291</v>
      </c>
      <c r="B1324">
        <v>22</v>
      </c>
      <c r="C1324" s="4">
        <v>311.81</v>
      </c>
      <c r="D1324">
        <v>1</v>
      </c>
    </row>
    <row r="1325" spans="1:4" x14ac:dyDescent="0.25">
      <c r="A1325" t="s">
        <v>10292</v>
      </c>
      <c r="B1325">
        <v>7</v>
      </c>
      <c r="C1325" s="4">
        <v>115.8</v>
      </c>
      <c r="D1325">
        <v>1</v>
      </c>
    </row>
    <row r="1326" spans="1:4" x14ac:dyDescent="0.25">
      <c r="A1326" t="s">
        <v>10293</v>
      </c>
      <c r="B1326">
        <v>11</v>
      </c>
      <c r="C1326" s="4">
        <v>3742.2</v>
      </c>
      <c r="D1326">
        <v>4</v>
      </c>
    </row>
    <row r="1327" spans="1:4" x14ac:dyDescent="0.25">
      <c r="A1327" t="s">
        <v>10294</v>
      </c>
      <c r="B1327">
        <v>210</v>
      </c>
      <c r="C1327" s="4">
        <v>4191</v>
      </c>
      <c r="D1327">
        <v>5</v>
      </c>
    </row>
    <row r="1328" spans="1:4" x14ac:dyDescent="0.25">
      <c r="A1328" t="s">
        <v>10295</v>
      </c>
      <c r="B1328">
        <v>5</v>
      </c>
      <c r="C1328" s="4">
        <v>483.4</v>
      </c>
      <c r="D1328">
        <v>2</v>
      </c>
    </row>
    <row r="1329" spans="1:4" x14ac:dyDescent="0.25">
      <c r="A1329" t="s">
        <v>10296</v>
      </c>
      <c r="B1329">
        <v>3</v>
      </c>
      <c r="C1329" s="4">
        <v>157.19999999999999</v>
      </c>
      <c r="D1329">
        <v>1</v>
      </c>
    </row>
    <row r="1330" spans="1:4" x14ac:dyDescent="0.25">
      <c r="A1330" t="s">
        <v>10297</v>
      </c>
      <c r="B1330">
        <v>28</v>
      </c>
      <c r="C1330" s="4">
        <v>446.62</v>
      </c>
      <c r="D1330">
        <v>1</v>
      </c>
    </row>
    <row r="1331" spans="1:4" x14ac:dyDescent="0.25">
      <c r="A1331" t="s">
        <v>10298</v>
      </c>
      <c r="B1331">
        <v>26</v>
      </c>
      <c r="C1331" s="4">
        <v>658.64</v>
      </c>
      <c r="D1331">
        <v>2</v>
      </c>
    </row>
    <row r="1332" spans="1:4" x14ac:dyDescent="0.25">
      <c r="A1332" t="s">
        <v>10299</v>
      </c>
      <c r="B1332">
        <v>49</v>
      </c>
      <c r="C1332" s="4">
        <v>621.29</v>
      </c>
      <c r="D1332">
        <v>2</v>
      </c>
    </row>
    <row r="1333" spans="1:4" x14ac:dyDescent="0.25">
      <c r="A1333" t="s">
        <v>10300</v>
      </c>
      <c r="B1333">
        <v>52</v>
      </c>
      <c r="C1333" s="4">
        <v>1345.62</v>
      </c>
      <c r="D1333">
        <v>2</v>
      </c>
    </row>
    <row r="1334" spans="1:4" x14ac:dyDescent="0.25">
      <c r="A1334" t="s">
        <v>10301</v>
      </c>
      <c r="B1334">
        <v>6</v>
      </c>
      <c r="C1334" s="4">
        <v>118.75</v>
      </c>
      <c r="D1334">
        <v>1</v>
      </c>
    </row>
    <row r="1335" spans="1:4" x14ac:dyDescent="0.25">
      <c r="A1335" t="s">
        <v>10302</v>
      </c>
      <c r="B1335">
        <v>1387</v>
      </c>
      <c r="C1335" s="4">
        <v>116729.63</v>
      </c>
      <c r="D1335">
        <v>54</v>
      </c>
    </row>
    <row r="1336" spans="1:4" x14ac:dyDescent="0.25">
      <c r="A1336" t="s">
        <v>10303</v>
      </c>
      <c r="B1336">
        <v>48</v>
      </c>
      <c r="C1336" s="4">
        <v>432.88</v>
      </c>
      <c r="D1336">
        <v>2</v>
      </c>
    </row>
    <row r="1337" spans="1:4" x14ac:dyDescent="0.25">
      <c r="A1337" t="s">
        <v>10304</v>
      </c>
      <c r="B1337">
        <v>41</v>
      </c>
      <c r="C1337" s="4">
        <v>507.66</v>
      </c>
      <c r="D1337">
        <v>1</v>
      </c>
    </row>
    <row r="1338" spans="1:4" x14ac:dyDescent="0.25">
      <c r="A1338" t="s">
        <v>10305</v>
      </c>
      <c r="B1338">
        <v>1203</v>
      </c>
      <c r="C1338" s="4">
        <v>4690.6400000000003</v>
      </c>
      <c r="D1338">
        <v>11</v>
      </c>
    </row>
    <row r="1339" spans="1:4" x14ac:dyDescent="0.25">
      <c r="A1339" t="s">
        <v>10306</v>
      </c>
      <c r="B1339">
        <v>108</v>
      </c>
      <c r="C1339" s="4">
        <v>1110.52</v>
      </c>
      <c r="D1339">
        <v>3</v>
      </c>
    </row>
    <row r="1340" spans="1:4" x14ac:dyDescent="0.25">
      <c r="A1340" t="s">
        <v>10307</v>
      </c>
      <c r="B1340">
        <v>25</v>
      </c>
      <c r="C1340" s="4">
        <v>289.36</v>
      </c>
      <c r="D1340">
        <v>2</v>
      </c>
    </row>
    <row r="1341" spans="1:4" x14ac:dyDescent="0.25">
      <c r="A1341" t="s">
        <v>10308</v>
      </c>
      <c r="B1341">
        <v>52</v>
      </c>
      <c r="C1341" s="4">
        <v>2445.91</v>
      </c>
      <c r="D1341">
        <v>4</v>
      </c>
    </row>
    <row r="1342" spans="1:4" x14ac:dyDescent="0.25">
      <c r="A1342" t="s">
        <v>10309</v>
      </c>
      <c r="B1342">
        <v>29</v>
      </c>
      <c r="C1342" s="4">
        <v>1631.77</v>
      </c>
      <c r="D1342">
        <v>2</v>
      </c>
    </row>
    <row r="1343" spans="1:4" x14ac:dyDescent="0.25">
      <c r="A1343" t="s">
        <v>10310</v>
      </c>
      <c r="B1343">
        <v>25</v>
      </c>
      <c r="C1343" s="4">
        <v>122.54</v>
      </c>
      <c r="D1343">
        <v>1</v>
      </c>
    </row>
    <row r="1344" spans="1:4" x14ac:dyDescent="0.25">
      <c r="A1344" t="s">
        <v>10311</v>
      </c>
      <c r="B1344">
        <v>52</v>
      </c>
      <c r="C1344" s="4">
        <v>574.84</v>
      </c>
      <c r="D1344">
        <v>4</v>
      </c>
    </row>
    <row r="1345" spans="1:4" x14ac:dyDescent="0.25">
      <c r="A1345" t="s">
        <v>10312</v>
      </c>
      <c r="B1345">
        <v>58</v>
      </c>
      <c r="C1345" s="4">
        <v>363.79</v>
      </c>
      <c r="D1345">
        <v>1</v>
      </c>
    </row>
    <row r="1346" spans="1:4" x14ac:dyDescent="0.25">
      <c r="A1346" t="s">
        <v>10313</v>
      </c>
      <c r="B1346">
        <v>29</v>
      </c>
      <c r="C1346" s="4">
        <v>450.84</v>
      </c>
      <c r="D1346">
        <v>4</v>
      </c>
    </row>
    <row r="1347" spans="1:4" x14ac:dyDescent="0.25">
      <c r="A1347" t="s">
        <v>10314</v>
      </c>
      <c r="B1347">
        <v>26</v>
      </c>
      <c r="C1347" s="4">
        <v>134.46</v>
      </c>
      <c r="D1347">
        <v>1</v>
      </c>
    </row>
    <row r="1348" spans="1:4" x14ac:dyDescent="0.25">
      <c r="A1348" t="s">
        <v>10315</v>
      </c>
      <c r="B1348">
        <v>149</v>
      </c>
      <c r="C1348" s="4">
        <v>3222.3</v>
      </c>
      <c r="D1348">
        <v>3</v>
      </c>
    </row>
    <row r="1349" spans="1:4" x14ac:dyDescent="0.25">
      <c r="A1349" t="s">
        <v>10316</v>
      </c>
      <c r="B1349">
        <v>31</v>
      </c>
      <c r="C1349" s="4">
        <v>576.9</v>
      </c>
      <c r="D1349">
        <v>4</v>
      </c>
    </row>
    <row r="1350" spans="1:4" x14ac:dyDescent="0.25">
      <c r="A1350" t="s">
        <v>10317</v>
      </c>
      <c r="B1350">
        <v>42</v>
      </c>
      <c r="C1350" s="4">
        <v>559.41</v>
      </c>
      <c r="D1350">
        <v>4</v>
      </c>
    </row>
    <row r="1351" spans="1:4" x14ac:dyDescent="0.25">
      <c r="A1351" t="s">
        <v>10318</v>
      </c>
      <c r="B1351">
        <v>325</v>
      </c>
      <c r="C1351" s="4">
        <v>1600.93</v>
      </c>
      <c r="D1351">
        <v>7</v>
      </c>
    </row>
    <row r="1352" spans="1:4" x14ac:dyDescent="0.25">
      <c r="A1352" t="s">
        <v>10319</v>
      </c>
      <c r="B1352">
        <v>165</v>
      </c>
      <c r="C1352" s="4">
        <v>719.78</v>
      </c>
      <c r="D1352">
        <v>2</v>
      </c>
    </row>
    <row r="1353" spans="1:4" x14ac:dyDescent="0.25">
      <c r="A1353" t="s">
        <v>10320</v>
      </c>
      <c r="B1353">
        <v>240</v>
      </c>
      <c r="C1353" s="4">
        <v>4748.5200000000004</v>
      </c>
      <c r="D1353">
        <v>25</v>
      </c>
    </row>
    <row r="1354" spans="1:4" x14ac:dyDescent="0.25">
      <c r="A1354" t="s">
        <v>10321</v>
      </c>
      <c r="B1354">
        <v>24</v>
      </c>
      <c r="C1354" s="4">
        <v>452.89</v>
      </c>
      <c r="D1354">
        <v>1</v>
      </c>
    </row>
    <row r="1355" spans="1:4" x14ac:dyDescent="0.25">
      <c r="A1355" t="s">
        <v>10322</v>
      </c>
      <c r="B1355">
        <v>3</v>
      </c>
      <c r="C1355" s="4">
        <v>197.65</v>
      </c>
      <c r="D1355">
        <v>1</v>
      </c>
    </row>
    <row r="1356" spans="1:4" x14ac:dyDescent="0.25">
      <c r="A1356" t="s">
        <v>10323</v>
      </c>
      <c r="B1356">
        <v>65</v>
      </c>
      <c r="C1356" s="4">
        <v>2054.36</v>
      </c>
      <c r="D1356">
        <v>6</v>
      </c>
    </row>
    <row r="1357" spans="1:4" x14ac:dyDescent="0.25">
      <c r="A1357" t="s">
        <v>10324</v>
      </c>
      <c r="B1357">
        <v>265</v>
      </c>
      <c r="C1357" s="4">
        <v>4654.08</v>
      </c>
      <c r="D1357">
        <v>15</v>
      </c>
    </row>
    <row r="1358" spans="1:4" x14ac:dyDescent="0.25">
      <c r="A1358" t="s">
        <v>10325</v>
      </c>
      <c r="B1358">
        <v>259</v>
      </c>
      <c r="C1358" s="4">
        <v>4684.76</v>
      </c>
      <c r="D1358">
        <v>13</v>
      </c>
    </row>
    <row r="1359" spans="1:4" x14ac:dyDescent="0.25">
      <c r="A1359" t="s">
        <v>10326</v>
      </c>
      <c r="B1359">
        <v>42</v>
      </c>
      <c r="C1359" s="4">
        <v>853.39</v>
      </c>
      <c r="D1359">
        <v>2</v>
      </c>
    </row>
    <row r="1360" spans="1:4" x14ac:dyDescent="0.25">
      <c r="A1360" t="s">
        <v>10327</v>
      </c>
      <c r="B1360">
        <v>579</v>
      </c>
      <c r="C1360" s="4">
        <v>11349.52</v>
      </c>
      <c r="D1360">
        <v>21</v>
      </c>
    </row>
    <row r="1361" spans="1:4" x14ac:dyDescent="0.25">
      <c r="A1361" t="s">
        <v>10328</v>
      </c>
      <c r="B1361">
        <v>7</v>
      </c>
      <c r="C1361" s="4">
        <v>1012</v>
      </c>
      <c r="D1361">
        <v>2</v>
      </c>
    </row>
    <row r="1362" spans="1:4" x14ac:dyDescent="0.25">
      <c r="A1362" t="s">
        <v>10329</v>
      </c>
      <c r="B1362">
        <v>6</v>
      </c>
      <c r="C1362" s="4">
        <v>335.52</v>
      </c>
      <c r="D1362">
        <v>1</v>
      </c>
    </row>
    <row r="1363" spans="1:4" x14ac:dyDescent="0.25">
      <c r="A1363" t="s">
        <v>10330</v>
      </c>
      <c r="B1363">
        <v>39</v>
      </c>
      <c r="C1363" s="4">
        <v>701.4</v>
      </c>
      <c r="D1363">
        <v>4</v>
      </c>
    </row>
    <row r="1364" spans="1:4" x14ac:dyDescent="0.25">
      <c r="A1364" t="s">
        <v>10331</v>
      </c>
      <c r="B1364">
        <v>2</v>
      </c>
      <c r="C1364" s="4">
        <v>185.4</v>
      </c>
      <c r="D1364">
        <v>1</v>
      </c>
    </row>
    <row r="1365" spans="1:4" x14ac:dyDescent="0.25">
      <c r="A1365" t="s">
        <v>10332</v>
      </c>
      <c r="B1365">
        <v>37</v>
      </c>
      <c r="C1365" s="4">
        <v>747.44</v>
      </c>
      <c r="D1365">
        <v>7</v>
      </c>
    </row>
    <row r="1366" spans="1:4" x14ac:dyDescent="0.25">
      <c r="A1366" t="s">
        <v>10333</v>
      </c>
      <c r="B1366">
        <v>44</v>
      </c>
      <c r="C1366" s="4">
        <v>161.03</v>
      </c>
      <c r="D1366">
        <v>1</v>
      </c>
    </row>
    <row r="1367" spans="1:4" x14ac:dyDescent="0.25">
      <c r="A1367" t="s">
        <v>10334</v>
      </c>
      <c r="B1367">
        <v>24</v>
      </c>
      <c r="C1367" s="4">
        <v>466.7</v>
      </c>
      <c r="D1367">
        <v>2</v>
      </c>
    </row>
    <row r="1368" spans="1:4" x14ac:dyDescent="0.25">
      <c r="A1368" t="s">
        <v>10335</v>
      </c>
      <c r="B1368">
        <v>20</v>
      </c>
      <c r="C1368" s="4">
        <v>328.16</v>
      </c>
      <c r="D1368">
        <v>1</v>
      </c>
    </row>
    <row r="1369" spans="1:4" x14ac:dyDescent="0.25">
      <c r="A1369" t="s">
        <v>10336</v>
      </c>
      <c r="B1369">
        <v>10</v>
      </c>
      <c r="C1369" s="4">
        <v>151.74</v>
      </c>
      <c r="D1369">
        <v>1</v>
      </c>
    </row>
    <row r="1370" spans="1:4" x14ac:dyDescent="0.25">
      <c r="A1370" t="s">
        <v>10337</v>
      </c>
      <c r="B1370">
        <v>87</v>
      </c>
      <c r="C1370" s="4">
        <v>2073.4299999999998</v>
      </c>
      <c r="D1370">
        <v>6</v>
      </c>
    </row>
    <row r="1371" spans="1:4" x14ac:dyDescent="0.25">
      <c r="A1371" t="s">
        <v>10338</v>
      </c>
      <c r="B1371">
        <v>102</v>
      </c>
      <c r="C1371" s="4">
        <v>1905.84</v>
      </c>
      <c r="D1371">
        <v>6</v>
      </c>
    </row>
    <row r="1372" spans="1:4" x14ac:dyDescent="0.25">
      <c r="A1372" t="s">
        <v>10339</v>
      </c>
      <c r="B1372">
        <v>112</v>
      </c>
      <c r="C1372" s="4">
        <v>2241.1</v>
      </c>
      <c r="D1372">
        <v>9</v>
      </c>
    </row>
    <row r="1373" spans="1:4" x14ac:dyDescent="0.25">
      <c r="A1373" t="s">
        <v>10340</v>
      </c>
      <c r="B1373">
        <v>9</v>
      </c>
      <c r="C1373" s="4">
        <v>1070.48</v>
      </c>
      <c r="D1373">
        <v>1</v>
      </c>
    </row>
    <row r="1374" spans="1:4" x14ac:dyDescent="0.25">
      <c r="A1374" t="s">
        <v>10341</v>
      </c>
      <c r="B1374">
        <v>67</v>
      </c>
      <c r="C1374" s="4">
        <v>1004.38</v>
      </c>
      <c r="D1374">
        <v>5</v>
      </c>
    </row>
    <row r="1375" spans="1:4" x14ac:dyDescent="0.25">
      <c r="A1375" t="s">
        <v>10342</v>
      </c>
      <c r="B1375">
        <v>108</v>
      </c>
      <c r="C1375" s="4">
        <v>1789.72</v>
      </c>
      <c r="D1375">
        <v>6</v>
      </c>
    </row>
    <row r="1376" spans="1:4" x14ac:dyDescent="0.25">
      <c r="A1376" t="s">
        <v>10343</v>
      </c>
      <c r="B1376">
        <v>59</v>
      </c>
      <c r="C1376" s="4">
        <v>1839.3</v>
      </c>
      <c r="D1376">
        <v>4</v>
      </c>
    </row>
    <row r="1377" spans="1:4" x14ac:dyDescent="0.25">
      <c r="A1377" t="s">
        <v>10344</v>
      </c>
      <c r="B1377">
        <v>100</v>
      </c>
      <c r="C1377" s="4">
        <v>2004.98</v>
      </c>
      <c r="D1377">
        <v>17</v>
      </c>
    </row>
    <row r="1378" spans="1:4" x14ac:dyDescent="0.25">
      <c r="A1378" t="s">
        <v>10345</v>
      </c>
      <c r="B1378">
        <v>12</v>
      </c>
      <c r="C1378" s="4">
        <v>169.48</v>
      </c>
      <c r="D1378">
        <v>1</v>
      </c>
    </row>
    <row r="1379" spans="1:4" x14ac:dyDescent="0.25">
      <c r="A1379" t="s">
        <v>10346</v>
      </c>
      <c r="B1379">
        <v>7</v>
      </c>
      <c r="C1379" s="4">
        <v>89.94</v>
      </c>
      <c r="D1379">
        <v>1</v>
      </c>
    </row>
    <row r="1380" spans="1:4" x14ac:dyDescent="0.25">
      <c r="A1380" t="s">
        <v>10347</v>
      </c>
      <c r="B1380">
        <v>21</v>
      </c>
      <c r="C1380" s="4">
        <v>632.4</v>
      </c>
      <c r="D1380">
        <v>2</v>
      </c>
    </row>
    <row r="1381" spans="1:4" x14ac:dyDescent="0.25">
      <c r="A1381" t="s">
        <v>10348</v>
      </c>
      <c r="B1381">
        <v>193</v>
      </c>
      <c r="C1381" s="4">
        <v>3432.8</v>
      </c>
      <c r="D1381">
        <v>9</v>
      </c>
    </row>
    <row r="1382" spans="1:4" x14ac:dyDescent="0.25">
      <c r="A1382" t="s">
        <v>10349</v>
      </c>
      <c r="B1382">
        <v>41</v>
      </c>
      <c r="C1382" s="4">
        <v>683.17</v>
      </c>
      <c r="D1382">
        <v>1</v>
      </c>
    </row>
    <row r="1383" spans="1:4" x14ac:dyDescent="0.25">
      <c r="A1383" t="s">
        <v>10350</v>
      </c>
      <c r="B1383">
        <v>60</v>
      </c>
      <c r="C1383" s="4">
        <v>991.13</v>
      </c>
      <c r="D1383">
        <v>3</v>
      </c>
    </row>
    <row r="1384" spans="1:4" x14ac:dyDescent="0.25">
      <c r="A1384" t="s">
        <v>10351</v>
      </c>
      <c r="B1384">
        <v>118</v>
      </c>
      <c r="C1384" s="4">
        <v>1050.1199999999999</v>
      </c>
      <c r="D1384">
        <v>4</v>
      </c>
    </row>
    <row r="1385" spans="1:4" x14ac:dyDescent="0.25">
      <c r="A1385" t="s">
        <v>10352</v>
      </c>
      <c r="B1385">
        <v>67</v>
      </c>
      <c r="C1385" s="4">
        <v>2232.19</v>
      </c>
      <c r="D1385">
        <v>5</v>
      </c>
    </row>
    <row r="1386" spans="1:4" x14ac:dyDescent="0.25">
      <c r="A1386" t="s">
        <v>10353</v>
      </c>
      <c r="B1386">
        <v>175</v>
      </c>
      <c r="C1386" s="4">
        <v>3350.96</v>
      </c>
      <c r="D1386">
        <v>10</v>
      </c>
    </row>
    <row r="1387" spans="1:4" x14ac:dyDescent="0.25">
      <c r="A1387" t="s">
        <v>10354</v>
      </c>
      <c r="B1387">
        <v>40</v>
      </c>
      <c r="C1387" s="4">
        <v>1547.2</v>
      </c>
      <c r="D1387">
        <v>3</v>
      </c>
    </row>
    <row r="1388" spans="1:4" x14ac:dyDescent="0.25">
      <c r="A1388" t="s">
        <v>10355</v>
      </c>
      <c r="B1388">
        <v>50</v>
      </c>
      <c r="C1388" s="4">
        <v>925.71</v>
      </c>
      <c r="D1388">
        <v>3</v>
      </c>
    </row>
    <row r="1389" spans="1:4" x14ac:dyDescent="0.25">
      <c r="A1389" t="s">
        <v>10356</v>
      </c>
      <c r="B1389">
        <v>115</v>
      </c>
      <c r="C1389" s="4">
        <v>2048.0700000000002</v>
      </c>
      <c r="D1389">
        <v>5</v>
      </c>
    </row>
    <row r="1390" spans="1:4" x14ac:dyDescent="0.25">
      <c r="A1390" t="s">
        <v>10357</v>
      </c>
      <c r="B1390">
        <v>35</v>
      </c>
      <c r="C1390" s="4">
        <v>1462.72</v>
      </c>
      <c r="D1390">
        <v>4</v>
      </c>
    </row>
    <row r="1391" spans="1:4" x14ac:dyDescent="0.25">
      <c r="A1391" t="s">
        <v>10358</v>
      </c>
      <c r="B1391">
        <v>159</v>
      </c>
      <c r="C1391" s="4">
        <v>775.46</v>
      </c>
      <c r="D1391">
        <v>4</v>
      </c>
    </row>
    <row r="1392" spans="1:4" x14ac:dyDescent="0.25">
      <c r="A1392" t="s">
        <v>10359</v>
      </c>
      <c r="B1392">
        <v>79</v>
      </c>
      <c r="C1392" s="4">
        <v>3144.86</v>
      </c>
      <c r="D1392">
        <v>5</v>
      </c>
    </row>
    <row r="1393" spans="1:4" x14ac:dyDescent="0.25">
      <c r="A1393" t="s">
        <v>10360</v>
      </c>
      <c r="B1393">
        <v>15</v>
      </c>
      <c r="C1393" s="4">
        <v>490.86</v>
      </c>
      <c r="D1393">
        <v>2</v>
      </c>
    </row>
    <row r="1394" spans="1:4" x14ac:dyDescent="0.25">
      <c r="A1394" t="s">
        <v>10361</v>
      </c>
      <c r="B1394">
        <v>9</v>
      </c>
      <c r="C1394" s="4">
        <v>161</v>
      </c>
      <c r="D1394">
        <v>1</v>
      </c>
    </row>
    <row r="1395" spans="1:4" x14ac:dyDescent="0.25">
      <c r="A1395" t="s">
        <v>10362</v>
      </c>
      <c r="B1395">
        <v>8</v>
      </c>
      <c r="C1395" s="4">
        <v>146.85</v>
      </c>
      <c r="D1395">
        <v>1</v>
      </c>
    </row>
    <row r="1396" spans="1:4" x14ac:dyDescent="0.25">
      <c r="A1396" t="s">
        <v>10363</v>
      </c>
      <c r="B1396">
        <v>112</v>
      </c>
      <c r="C1396" s="4">
        <v>2380.85</v>
      </c>
      <c r="D1396">
        <v>11</v>
      </c>
    </row>
    <row r="1397" spans="1:4" x14ac:dyDescent="0.25">
      <c r="A1397" t="s">
        <v>10364</v>
      </c>
      <c r="B1397">
        <v>42</v>
      </c>
      <c r="C1397" s="4">
        <v>890.34</v>
      </c>
      <c r="D1397">
        <v>2</v>
      </c>
    </row>
    <row r="1398" spans="1:4" x14ac:dyDescent="0.25">
      <c r="A1398" t="s">
        <v>10365</v>
      </c>
      <c r="B1398">
        <v>10</v>
      </c>
      <c r="C1398" s="4">
        <v>213.7</v>
      </c>
      <c r="D1398">
        <v>1</v>
      </c>
    </row>
    <row r="1399" spans="1:4" x14ac:dyDescent="0.25">
      <c r="A1399" t="s">
        <v>10366</v>
      </c>
      <c r="B1399">
        <v>16</v>
      </c>
      <c r="C1399" s="4">
        <v>280.55</v>
      </c>
      <c r="D1399">
        <v>2</v>
      </c>
    </row>
    <row r="1400" spans="1:4" x14ac:dyDescent="0.25">
      <c r="A1400" t="s">
        <v>10367</v>
      </c>
      <c r="B1400">
        <v>141</v>
      </c>
      <c r="C1400" s="4">
        <v>2588.77</v>
      </c>
      <c r="D1400">
        <v>10</v>
      </c>
    </row>
    <row r="1401" spans="1:4" x14ac:dyDescent="0.25">
      <c r="A1401" t="s">
        <v>10368</v>
      </c>
      <c r="B1401">
        <v>108</v>
      </c>
      <c r="C1401" s="4">
        <v>1693.45</v>
      </c>
      <c r="D1401">
        <v>2</v>
      </c>
    </row>
    <row r="1402" spans="1:4" x14ac:dyDescent="0.25">
      <c r="A1402" t="s">
        <v>10369</v>
      </c>
      <c r="B1402">
        <v>75</v>
      </c>
      <c r="C1402" s="4">
        <v>1474.06</v>
      </c>
      <c r="D1402">
        <v>3</v>
      </c>
    </row>
    <row r="1403" spans="1:4" x14ac:dyDescent="0.25">
      <c r="A1403" t="s">
        <v>10370</v>
      </c>
      <c r="B1403">
        <v>20</v>
      </c>
      <c r="C1403" s="4">
        <v>136.77000000000001</v>
      </c>
      <c r="D1403">
        <v>1</v>
      </c>
    </row>
    <row r="1404" spans="1:4" x14ac:dyDescent="0.25">
      <c r="A1404" t="s">
        <v>10371</v>
      </c>
      <c r="B1404">
        <v>8</v>
      </c>
      <c r="C1404" s="4">
        <v>302.58</v>
      </c>
      <c r="D1404">
        <v>1</v>
      </c>
    </row>
    <row r="1405" spans="1:4" x14ac:dyDescent="0.25">
      <c r="A1405" t="s">
        <v>10372</v>
      </c>
      <c r="B1405">
        <v>111</v>
      </c>
      <c r="C1405" s="4">
        <v>1904.05</v>
      </c>
      <c r="D1405">
        <v>3</v>
      </c>
    </row>
    <row r="1406" spans="1:4" x14ac:dyDescent="0.25">
      <c r="A1406" t="s">
        <v>10373</v>
      </c>
      <c r="B1406">
        <v>78</v>
      </c>
      <c r="C1406" s="4">
        <v>2879.7</v>
      </c>
      <c r="D1406">
        <v>5</v>
      </c>
    </row>
    <row r="1407" spans="1:4" x14ac:dyDescent="0.25">
      <c r="A1407" t="s">
        <v>10374</v>
      </c>
      <c r="B1407">
        <v>53</v>
      </c>
      <c r="C1407" s="4">
        <v>969.06</v>
      </c>
      <c r="D1407">
        <v>2</v>
      </c>
    </row>
    <row r="1408" spans="1:4" x14ac:dyDescent="0.25">
      <c r="A1408" t="s">
        <v>10375</v>
      </c>
      <c r="B1408">
        <v>106</v>
      </c>
      <c r="C1408" s="4">
        <v>3099.72</v>
      </c>
      <c r="D1408">
        <v>5</v>
      </c>
    </row>
    <row r="1409" spans="1:4" x14ac:dyDescent="0.25">
      <c r="A1409" t="s">
        <v>10376</v>
      </c>
      <c r="B1409">
        <v>111</v>
      </c>
      <c r="C1409" s="4">
        <v>12669.98</v>
      </c>
      <c r="D1409">
        <v>9</v>
      </c>
    </row>
    <row r="1410" spans="1:4" x14ac:dyDescent="0.25">
      <c r="A1410" t="s">
        <v>10377</v>
      </c>
      <c r="B1410">
        <v>5</v>
      </c>
      <c r="C1410" s="4">
        <v>120</v>
      </c>
      <c r="D1410">
        <v>1</v>
      </c>
    </row>
    <row r="1411" spans="1:4" x14ac:dyDescent="0.25">
      <c r="A1411" t="s">
        <v>10378</v>
      </c>
      <c r="B1411">
        <v>52</v>
      </c>
      <c r="C1411" s="4">
        <v>1163.45</v>
      </c>
      <c r="D1411">
        <v>2</v>
      </c>
    </row>
    <row r="1412" spans="1:4" x14ac:dyDescent="0.25">
      <c r="A1412" t="s">
        <v>10379</v>
      </c>
      <c r="B1412">
        <v>143</v>
      </c>
      <c r="C1412" s="4">
        <v>2618.23</v>
      </c>
      <c r="D1412">
        <v>8</v>
      </c>
    </row>
    <row r="1413" spans="1:4" x14ac:dyDescent="0.25">
      <c r="A1413" t="s">
        <v>10380</v>
      </c>
      <c r="B1413">
        <v>17</v>
      </c>
      <c r="C1413" s="4">
        <v>333.97</v>
      </c>
      <c r="D1413">
        <v>2</v>
      </c>
    </row>
    <row r="1414" spans="1:4" x14ac:dyDescent="0.25">
      <c r="A1414" t="s">
        <v>10381</v>
      </c>
      <c r="B1414">
        <v>31</v>
      </c>
      <c r="C1414" s="4">
        <v>530.17999999999995</v>
      </c>
      <c r="D1414">
        <v>2</v>
      </c>
    </row>
    <row r="1415" spans="1:4" x14ac:dyDescent="0.25">
      <c r="A1415" t="s">
        <v>10382</v>
      </c>
      <c r="B1415">
        <v>55</v>
      </c>
      <c r="C1415" s="4">
        <v>1516.24</v>
      </c>
      <c r="D1415">
        <v>3</v>
      </c>
    </row>
    <row r="1416" spans="1:4" x14ac:dyDescent="0.25">
      <c r="A1416" t="s">
        <v>10383</v>
      </c>
      <c r="B1416">
        <v>29</v>
      </c>
      <c r="C1416" s="4">
        <v>492.65</v>
      </c>
      <c r="D1416">
        <v>1</v>
      </c>
    </row>
    <row r="1417" spans="1:4" x14ac:dyDescent="0.25">
      <c r="A1417" t="s">
        <v>10384</v>
      </c>
      <c r="B1417">
        <v>10</v>
      </c>
      <c r="C1417" s="4">
        <v>112.32</v>
      </c>
      <c r="D1417">
        <v>1</v>
      </c>
    </row>
    <row r="1418" spans="1:4" x14ac:dyDescent="0.25">
      <c r="A1418" t="s">
        <v>10385</v>
      </c>
      <c r="B1418">
        <v>33</v>
      </c>
      <c r="C1418" s="4">
        <v>437.96</v>
      </c>
      <c r="D1418">
        <v>2</v>
      </c>
    </row>
    <row r="1419" spans="1:4" x14ac:dyDescent="0.25">
      <c r="A1419" t="s">
        <v>10386</v>
      </c>
      <c r="B1419">
        <v>29</v>
      </c>
      <c r="C1419" s="4">
        <v>559.97</v>
      </c>
      <c r="D1419">
        <v>4</v>
      </c>
    </row>
    <row r="1420" spans="1:4" x14ac:dyDescent="0.25">
      <c r="A1420" t="s">
        <v>10387</v>
      </c>
      <c r="B1420">
        <v>64</v>
      </c>
      <c r="C1420" s="4">
        <v>1119.74</v>
      </c>
      <c r="D1420">
        <v>3</v>
      </c>
    </row>
    <row r="1421" spans="1:4" x14ac:dyDescent="0.25">
      <c r="A1421" t="s">
        <v>10388</v>
      </c>
      <c r="B1421">
        <v>224</v>
      </c>
      <c r="C1421" s="4">
        <v>4180.2</v>
      </c>
      <c r="D1421">
        <v>3</v>
      </c>
    </row>
    <row r="1422" spans="1:4" x14ac:dyDescent="0.25">
      <c r="A1422" t="s">
        <v>10389</v>
      </c>
      <c r="B1422">
        <v>8</v>
      </c>
      <c r="C1422" s="4">
        <v>134.04</v>
      </c>
      <c r="D1422">
        <v>1</v>
      </c>
    </row>
    <row r="1423" spans="1:4" x14ac:dyDescent="0.25">
      <c r="A1423" t="s">
        <v>10390</v>
      </c>
      <c r="B1423">
        <v>156</v>
      </c>
      <c r="C1423" s="4">
        <v>3729.34</v>
      </c>
      <c r="D1423">
        <v>15</v>
      </c>
    </row>
    <row r="1424" spans="1:4" x14ac:dyDescent="0.25">
      <c r="A1424" t="s">
        <v>10391</v>
      </c>
      <c r="B1424">
        <v>32</v>
      </c>
      <c r="C1424" s="4">
        <v>595.25</v>
      </c>
      <c r="D1424">
        <v>2</v>
      </c>
    </row>
    <row r="1425" spans="1:4" x14ac:dyDescent="0.25">
      <c r="A1425" t="s">
        <v>10392</v>
      </c>
      <c r="B1425">
        <v>27</v>
      </c>
      <c r="C1425" s="4">
        <v>1910.01</v>
      </c>
      <c r="D1425">
        <v>4</v>
      </c>
    </row>
    <row r="1426" spans="1:4" x14ac:dyDescent="0.25">
      <c r="A1426" t="s">
        <v>10393</v>
      </c>
      <c r="B1426">
        <v>280</v>
      </c>
      <c r="C1426" s="4">
        <v>4628.75</v>
      </c>
      <c r="D1426">
        <v>3</v>
      </c>
    </row>
    <row r="1427" spans="1:4" x14ac:dyDescent="0.25">
      <c r="A1427" t="s">
        <v>10394</v>
      </c>
      <c r="B1427">
        <v>9</v>
      </c>
      <c r="C1427" s="4">
        <v>176.63</v>
      </c>
      <c r="D1427">
        <v>3</v>
      </c>
    </row>
    <row r="1428" spans="1:4" x14ac:dyDescent="0.25">
      <c r="A1428" t="s">
        <v>10395</v>
      </c>
      <c r="B1428">
        <v>16</v>
      </c>
      <c r="C1428" s="4">
        <v>426.6</v>
      </c>
      <c r="D1428">
        <v>1</v>
      </c>
    </row>
    <row r="1429" spans="1:4" x14ac:dyDescent="0.25">
      <c r="A1429" t="s">
        <v>10396</v>
      </c>
      <c r="B1429">
        <v>47</v>
      </c>
      <c r="C1429" s="4">
        <v>911.26</v>
      </c>
      <c r="D1429">
        <v>6</v>
      </c>
    </row>
    <row r="1430" spans="1:4" x14ac:dyDescent="0.25">
      <c r="A1430" t="s">
        <v>10397</v>
      </c>
      <c r="B1430">
        <v>101</v>
      </c>
      <c r="C1430" s="4">
        <v>2314.65</v>
      </c>
      <c r="D1430">
        <v>5</v>
      </c>
    </row>
    <row r="1431" spans="1:4" x14ac:dyDescent="0.25">
      <c r="A1431" t="s">
        <v>10398</v>
      </c>
      <c r="B1431">
        <v>237</v>
      </c>
      <c r="C1431" s="4">
        <v>3883.25</v>
      </c>
      <c r="D1431">
        <v>11</v>
      </c>
    </row>
    <row r="1432" spans="1:4" x14ac:dyDescent="0.25">
      <c r="A1432" t="s">
        <v>10399</v>
      </c>
      <c r="B1432">
        <v>100</v>
      </c>
      <c r="C1432" s="4">
        <v>4871.93</v>
      </c>
      <c r="D1432">
        <v>9</v>
      </c>
    </row>
    <row r="1433" spans="1:4" x14ac:dyDescent="0.25">
      <c r="A1433" t="s">
        <v>10400</v>
      </c>
      <c r="B1433">
        <v>61</v>
      </c>
      <c r="C1433" s="4">
        <v>1046.56</v>
      </c>
      <c r="D1433">
        <v>4</v>
      </c>
    </row>
    <row r="1434" spans="1:4" x14ac:dyDescent="0.25">
      <c r="A1434" t="s">
        <v>10401</v>
      </c>
      <c r="B1434">
        <v>5</v>
      </c>
      <c r="C1434" s="4">
        <v>166.2</v>
      </c>
      <c r="D1434">
        <v>1</v>
      </c>
    </row>
    <row r="1435" spans="1:4" x14ac:dyDescent="0.25">
      <c r="A1435" t="s">
        <v>10402</v>
      </c>
      <c r="B1435">
        <v>62</v>
      </c>
      <c r="C1435" s="4">
        <v>1305.33</v>
      </c>
      <c r="D1435">
        <v>4</v>
      </c>
    </row>
    <row r="1436" spans="1:4" x14ac:dyDescent="0.25">
      <c r="A1436" t="s">
        <v>10403</v>
      </c>
      <c r="B1436">
        <v>1637</v>
      </c>
      <c r="C1436" s="4">
        <v>51527.3</v>
      </c>
      <c r="D1436">
        <v>44</v>
      </c>
    </row>
    <row r="1437" spans="1:4" x14ac:dyDescent="0.25">
      <c r="A1437" t="s">
        <v>10404</v>
      </c>
      <c r="B1437">
        <v>143</v>
      </c>
      <c r="C1437" s="4">
        <v>3965.62</v>
      </c>
      <c r="D1437">
        <v>9</v>
      </c>
    </row>
    <row r="1438" spans="1:4" x14ac:dyDescent="0.25">
      <c r="A1438" t="s">
        <v>10405</v>
      </c>
      <c r="B1438">
        <v>3</v>
      </c>
      <c r="C1438" s="4">
        <v>43.2</v>
      </c>
      <c r="D1438">
        <v>1</v>
      </c>
    </row>
    <row r="1439" spans="1:4" x14ac:dyDescent="0.25">
      <c r="A1439" t="s">
        <v>10406</v>
      </c>
      <c r="B1439">
        <v>13</v>
      </c>
      <c r="C1439" s="4">
        <v>640.14</v>
      </c>
      <c r="D1439">
        <v>1</v>
      </c>
    </row>
    <row r="1440" spans="1:4" x14ac:dyDescent="0.25">
      <c r="A1440" t="s">
        <v>10407</v>
      </c>
      <c r="B1440">
        <v>17</v>
      </c>
      <c r="C1440" s="4">
        <v>383.45</v>
      </c>
      <c r="D1440">
        <v>1</v>
      </c>
    </row>
    <row r="1441" spans="1:4" x14ac:dyDescent="0.25">
      <c r="A1441" t="s">
        <v>10408</v>
      </c>
      <c r="B1441">
        <v>105</v>
      </c>
      <c r="C1441" s="4">
        <v>1858.96</v>
      </c>
      <c r="D1441">
        <v>3</v>
      </c>
    </row>
    <row r="1442" spans="1:4" x14ac:dyDescent="0.25">
      <c r="A1442" t="s">
        <v>10409</v>
      </c>
      <c r="B1442">
        <v>33</v>
      </c>
      <c r="C1442" s="4">
        <v>2093.3200000000002</v>
      </c>
      <c r="D1442">
        <v>2</v>
      </c>
    </row>
    <row r="1443" spans="1:4" x14ac:dyDescent="0.25">
      <c r="A1443" t="s">
        <v>10410</v>
      </c>
      <c r="B1443">
        <v>180</v>
      </c>
      <c r="C1443" s="4">
        <v>2995.72</v>
      </c>
      <c r="D1443">
        <v>6</v>
      </c>
    </row>
    <row r="1444" spans="1:4" x14ac:dyDescent="0.25">
      <c r="A1444" t="s">
        <v>10411</v>
      </c>
      <c r="B1444">
        <v>117</v>
      </c>
      <c r="C1444" s="4">
        <v>2352.5300000000002</v>
      </c>
      <c r="D1444">
        <v>9</v>
      </c>
    </row>
    <row r="1445" spans="1:4" x14ac:dyDescent="0.25">
      <c r="A1445" t="s">
        <v>10412</v>
      </c>
      <c r="B1445">
        <v>20</v>
      </c>
      <c r="C1445" s="4">
        <v>310.26</v>
      </c>
      <c r="D1445">
        <v>1</v>
      </c>
    </row>
    <row r="1446" spans="1:4" x14ac:dyDescent="0.25">
      <c r="A1446" t="s">
        <v>10413</v>
      </c>
      <c r="B1446">
        <v>87</v>
      </c>
      <c r="C1446" s="4">
        <v>1611.59</v>
      </c>
      <c r="D1446">
        <v>6</v>
      </c>
    </row>
    <row r="1447" spans="1:4" x14ac:dyDescent="0.25">
      <c r="A1447" t="s">
        <v>10414</v>
      </c>
      <c r="B1447">
        <v>8</v>
      </c>
      <c r="C1447" s="4">
        <v>120</v>
      </c>
      <c r="D1447">
        <v>1</v>
      </c>
    </row>
    <row r="1448" spans="1:4" x14ac:dyDescent="0.25">
      <c r="A1448" t="s">
        <v>10415</v>
      </c>
      <c r="B1448">
        <v>101</v>
      </c>
      <c r="C1448" s="4">
        <v>2481.13</v>
      </c>
      <c r="D1448">
        <v>6</v>
      </c>
    </row>
    <row r="1449" spans="1:4" x14ac:dyDescent="0.25">
      <c r="A1449" t="s">
        <v>10416</v>
      </c>
      <c r="B1449">
        <v>24</v>
      </c>
      <c r="C1449" s="4">
        <v>508.58</v>
      </c>
      <c r="D1449">
        <v>1</v>
      </c>
    </row>
    <row r="1450" spans="1:4" x14ac:dyDescent="0.25">
      <c r="A1450" t="s">
        <v>10417</v>
      </c>
      <c r="B1450">
        <v>31</v>
      </c>
      <c r="C1450" s="4">
        <v>477.79</v>
      </c>
      <c r="D1450">
        <v>2</v>
      </c>
    </row>
    <row r="1451" spans="1:4" x14ac:dyDescent="0.25">
      <c r="A1451" t="s">
        <v>10418</v>
      </c>
      <c r="B1451">
        <v>123</v>
      </c>
      <c r="C1451" s="4">
        <v>1530.75</v>
      </c>
      <c r="D1451">
        <v>5</v>
      </c>
    </row>
    <row r="1452" spans="1:4" x14ac:dyDescent="0.25">
      <c r="A1452" t="s">
        <v>10419</v>
      </c>
      <c r="B1452">
        <v>36</v>
      </c>
      <c r="C1452" s="4">
        <v>605.05999999999995</v>
      </c>
      <c r="D1452">
        <v>2</v>
      </c>
    </row>
    <row r="1453" spans="1:4" x14ac:dyDescent="0.25">
      <c r="A1453" t="s">
        <v>10420</v>
      </c>
      <c r="B1453">
        <v>8</v>
      </c>
      <c r="C1453" s="4">
        <v>183.85</v>
      </c>
      <c r="D1453">
        <v>1</v>
      </c>
    </row>
    <row r="1454" spans="1:4" x14ac:dyDescent="0.25">
      <c r="A1454" t="s">
        <v>10421</v>
      </c>
      <c r="B1454">
        <v>12</v>
      </c>
      <c r="C1454" s="4">
        <v>311.64999999999998</v>
      </c>
      <c r="D1454">
        <v>1</v>
      </c>
    </row>
    <row r="1455" spans="1:4" x14ac:dyDescent="0.25">
      <c r="A1455" t="s">
        <v>10422</v>
      </c>
      <c r="B1455">
        <v>259</v>
      </c>
      <c r="C1455" s="4">
        <v>5014.84</v>
      </c>
      <c r="D1455">
        <v>7</v>
      </c>
    </row>
    <row r="1456" spans="1:4" x14ac:dyDescent="0.25">
      <c r="A1456" t="s">
        <v>10423</v>
      </c>
      <c r="B1456">
        <v>28</v>
      </c>
      <c r="C1456" s="4">
        <v>462.66</v>
      </c>
      <c r="D1456">
        <v>2</v>
      </c>
    </row>
    <row r="1457" spans="1:4" x14ac:dyDescent="0.25">
      <c r="A1457" t="s">
        <v>10424</v>
      </c>
      <c r="B1457">
        <v>26</v>
      </c>
      <c r="C1457" s="4">
        <v>866.31</v>
      </c>
      <c r="D1457">
        <v>3</v>
      </c>
    </row>
    <row r="1458" spans="1:4" x14ac:dyDescent="0.25">
      <c r="A1458" t="s">
        <v>10425</v>
      </c>
      <c r="B1458">
        <v>15</v>
      </c>
      <c r="C1458" s="4">
        <v>415.2</v>
      </c>
      <c r="D1458">
        <v>1</v>
      </c>
    </row>
    <row r="1459" spans="1:4" x14ac:dyDescent="0.25">
      <c r="A1459" t="s">
        <v>10426</v>
      </c>
      <c r="B1459">
        <v>162</v>
      </c>
      <c r="C1459" s="4">
        <v>2552.21</v>
      </c>
      <c r="D1459">
        <v>8</v>
      </c>
    </row>
    <row r="1460" spans="1:4" x14ac:dyDescent="0.25">
      <c r="A1460" t="s">
        <v>10427</v>
      </c>
      <c r="B1460">
        <v>63</v>
      </c>
      <c r="C1460" s="4">
        <v>468.26</v>
      </c>
      <c r="D1460">
        <v>2</v>
      </c>
    </row>
    <row r="1461" spans="1:4" x14ac:dyDescent="0.25">
      <c r="A1461" t="s">
        <v>10428</v>
      </c>
      <c r="B1461">
        <v>90</v>
      </c>
      <c r="C1461" s="4">
        <v>1614.91</v>
      </c>
      <c r="D1461">
        <v>4</v>
      </c>
    </row>
    <row r="1462" spans="1:4" x14ac:dyDescent="0.25">
      <c r="A1462" t="s">
        <v>10429</v>
      </c>
      <c r="B1462">
        <v>31</v>
      </c>
      <c r="C1462" s="4">
        <v>588.22</v>
      </c>
      <c r="D1462">
        <v>2</v>
      </c>
    </row>
    <row r="1463" spans="1:4" x14ac:dyDescent="0.25">
      <c r="A1463" t="s">
        <v>10430</v>
      </c>
      <c r="B1463">
        <v>14</v>
      </c>
      <c r="C1463" s="4">
        <v>309.52</v>
      </c>
      <c r="D1463">
        <v>1</v>
      </c>
    </row>
    <row r="1464" spans="1:4" x14ac:dyDescent="0.25">
      <c r="A1464" t="s">
        <v>10431</v>
      </c>
      <c r="B1464">
        <v>6</v>
      </c>
      <c r="C1464" s="4">
        <v>134.69999999999999</v>
      </c>
      <c r="D1464">
        <v>1</v>
      </c>
    </row>
    <row r="1465" spans="1:4" x14ac:dyDescent="0.25">
      <c r="A1465" t="s">
        <v>10432</v>
      </c>
      <c r="B1465">
        <v>129</v>
      </c>
      <c r="C1465" s="4">
        <v>2182.2800000000002</v>
      </c>
      <c r="D1465">
        <v>8</v>
      </c>
    </row>
    <row r="1466" spans="1:4" x14ac:dyDescent="0.25">
      <c r="A1466" t="s">
        <v>10433</v>
      </c>
      <c r="B1466">
        <v>21</v>
      </c>
      <c r="C1466" s="4">
        <v>668.56</v>
      </c>
      <c r="D1466">
        <v>4</v>
      </c>
    </row>
    <row r="1467" spans="1:4" x14ac:dyDescent="0.25">
      <c r="A1467" t="s">
        <v>10434</v>
      </c>
      <c r="B1467">
        <v>71</v>
      </c>
      <c r="C1467" s="4">
        <v>889.93</v>
      </c>
      <c r="D1467">
        <v>8</v>
      </c>
    </row>
    <row r="1468" spans="1:4" x14ac:dyDescent="0.25">
      <c r="A1468" t="s">
        <v>10435</v>
      </c>
      <c r="B1468">
        <v>6</v>
      </c>
      <c r="C1468" s="4">
        <v>108.98</v>
      </c>
      <c r="D1468">
        <v>1</v>
      </c>
    </row>
    <row r="1469" spans="1:4" x14ac:dyDescent="0.25">
      <c r="A1469" t="s">
        <v>10436</v>
      </c>
      <c r="B1469">
        <v>60</v>
      </c>
      <c r="C1469" s="4">
        <v>1021.58</v>
      </c>
      <c r="D1469">
        <v>2</v>
      </c>
    </row>
    <row r="1470" spans="1:4" x14ac:dyDescent="0.25">
      <c r="A1470" t="s">
        <v>10437</v>
      </c>
      <c r="B1470">
        <v>18</v>
      </c>
      <c r="C1470" s="4">
        <v>409.57</v>
      </c>
      <c r="D1470">
        <v>1</v>
      </c>
    </row>
    <row r="1471" spans="1:4" x14ac:dyDescent="0.25">
      <c r="A1471" t="s">
        <v>10438</v>
      </c>
      <c r="B1471">
        <v>31</v>
      </c>
      <c r="C1471" s="4">
        <v>133.5</v>
      </c>
      <c r="D1471">
        <v>1</v>
      </c>
    </row>
    <row r="1472" spans="1:4" x14ac:dyDescent="0.25">
      <c r="A1472" t="s">
        <v>10439</v>
      </c>
      <c r="B1472">
        <v>18</v>
      </c>
      <c r="C1472" s="4">
        <v>282.93</v>
      </c>
      <c r="D1472">
        <v>1</v>
      </c>
    </row>
    <row r="1473" spans="1:4" x14ac:dyDescent="0.25">
      <c r="A1473" t="s">
        <v>10440</v>
      </c>
      <c r="B1473">
        <v>1</v>
      </c>
      <c r="C1473" s="4">
        <v>51</v>
      </c>
      <c r="D1473">
        <v>1</v>
      </c>
    </row>
    <row r="1474" spans="1:4" x14ac:dyDescent="0.25">
      <c r="A1474" t="s">
        <v>10441</v>
      </c>
      <c r="B1474">
        <v>47</v>
      </c>
      <c r="C1474" s="4">
        <v>1078.96</v>
      </c>
      <c r="D1474">
        <v>4</v>
      </c>
    </row>
    <row r="1475" spans="1:4" x14ac:dyDescent="0.25">
      <c r="A1475" t="s">
        <v>10442</v>
      </c>
      <c r="B1475">
        <v>6</v>
      </c>
      <c r="C1475" s="4">
        <v>90.6</v>
      </c>
      <c r="D1475">
        <v>1</v>
      </c>
    </row>
    <row r="1476" spans="1:4" x14ac:dyDescent="0.25">
      <c r="A1476" t="s">
        <v>10443</v>
      </c>
      <c r="B1476">
        <v>9</v>
      </c>
      <c r="C1476" s="4">
        <v>163.62</v>
      </c>
      <c r="D1476">
        <v>2</v>
      </c>
    </row>
    <row r="1477" spans="1:4" x14ac:dyDescent="0.25">
      <c r="A1477" t="s">
        <v>10444</v>
      </c>
      <c r="B1477">
        <v>11</v>
      </c>
      <c r="C1477" s="4">
        <v>174.4</v>
      </c>
      <c r="D1477">
        <v>1</v>
      </c>
    </row>
    <row r="1478" spans="1:4" x14ac:dyDescent="0.25">
      <c r="A1478" t="s">
        <v>10445</v>
      </c>
      <c r="B1478">
        <v>33</v>
      </c>
      <c r="C1478" s="4">
        <v>701.23</v>
      </c>
      <c r="D1478">
        <v>2</v>
      </c>
    </row>
    <row r="1479" spans="1:4" x14ac:dyDescent="0.25">
      <c r="A1479" t="s">
        <v>10446</v>
      </c>
      <c r="B1479">
        <v>41</v>
      </c>
      <c r="C1479" s="4">
        <v>225.77</v>
      </c>
      <c r="D1479">
        <v>1</v>
      </c>
    </row>
    <row r="1480" spans="1:4" x14ac:dyDescent="0.25">
      <c r="A1480" t="s">
        <v>10447</v>
      </c>
      <c r="B1480">
        <v>55</v>
      </c>
      <c r="C1480" s="4">
        <v>912.18</v>
      </c>
      <c r="D1480">
        <v>3</v>
      </c>
    </row>
    <row r="1481" spans="1:4" x14ac:dyDescent="0.25">
      <c r="A1481" t="s">
        <v>10448</v>
      </c>
      <c r="B1481">
        <v>118</v>
      </c>
      <c r="C1481" s="4">
        <v>2128.23</v>
      </c>
      <c r="D1481">
        <v>4</v>
      </c>
    </row>
    <row r="1482" spans="1:4" x14ac:dyDescent="0.25">
      <c r="A1482" t="s">
        <v>10449</v>
      </c>
      <c r="B1482">
        <v>41</v>
      </c>
      <c r="C1482" s="4">
        <v>161.19999999999999</v>
      </c>
      <c r="D1482">
        <v>1</v>
      </c>
    </row>
    <row r="1483" spans="1:4" x14ac:dyDescent="0.25">
      <c r="A1483" t="s">
        <v>10450</v>
      </c>
      <c r="B1483">
        <v>69</v>
      </c>
      <c r="C1483" s="4">
        <v>3717.35</v>
      </c>
      <c r="D1483">
        <v>8</v>
      </c>
    </row>
    <row r="1484" spans="1:4" x14ac:dyDescent="0.25">
      <c r="A1484" t="s">
        <v>10451</v>
      </c>
      <c r="B1484">
        <v>524</v>
      </c>
      <c r="C1484" s="4">
        <v>9261.52</v>
      </c>
      <c r="D1484">
        <v>16</v>
      </c>
    </row>
    <row r="1485" spans="1:4" x14ac:dyDescent="0.25">
      <c r="A1485" t="s">
        <v>10452</v>
      </c>
      <c r="B1485">
        <v>8</v>
      </c>
      <c r="C1485" s="4">
        <v>155</v>
      </c>
      <c r="D1485">
        <v>1</v>
      </c>
    </row>
    <row r="1486" spans="1:4" x14ac:dyDescent="0.25">
      <c r="A1486" t="s">
        <v>10453</v>
      </c>
      <c r="B1486">
        <v>4</v>
      </c>
      <c r="C1486" s="4">
        <v>100.5</v>
      </c>
      <c r="D1486">
        <v>1</v>
      </c>
    </row>
    <row r="1487" spans="1:4" x14ac:dyDescent="0.25">
      <c r="A1487" t="s">
        <v>10454</v>
      </c>
      <c r="B1487">
        <v>4</v>
      </c>
      <c r="C1487" s="4">
        <v>76.55</v>
      </c>
      <c r="D1487">
        <v>1</v>
      </c>
    </row>
    <row r="1488" spans="1:4" x14ac:dyDescent="0.25">
      <c r="A1488" t="s">
        <v>10455</v>
      </c>
      <c r="B1488">
        <v>75</v>
      </c>
      <c r="C1488" s="4">
        <v>257.68</v>
      </c>
      <c r="D1488">
        <v>1</v>
      </c>
    </row>
    <row r="1489" spans="1:4" x14ac:dyDescent="0.25">
      <c r="A1489" t="s">
        <v>10456</v>
      </c>
      <c r="B1489">
        <v>11</v>
      </c>
      <c r="C1489" s="4">
        <v>617.04999999999995</v>
      </c>
      <c r="D1489">
        <v>2</v>
      </c>
    </row>
    <row r="1490" spans="1:4" x14ac:dyDescent="0.25">
      <c r="A1490" t="s">
        <v>10457</v>
      </c>
      <c r="B1490">
        <v>46</v>
      </c>
      <c r="C1490" s="4">
        <v>348.1</v>
      </c>
      <c r="D1490">
        <v>2</v>
      </c>
    </row>
    <row r="1491" spans="1:4" x14ac:dyDescent="0.25">
      <c r="A1491" t="s">
        <v>10458</v>
      </c>
      <c r="B1491">
        <v>56</v>
      </c>
      <c r="C1491" s="4">
        <v>202.68</v>
      </c>
      <c r="D1491">
        <v>1</v>
      </c>
    </row>
    <row r="1492" spans="1:4" x14ac:dyDescent="0.25">
      <c r="A1492" t="s">
        <v>10459</v>
      </c>
      <c r="B1492">
        <v>131</v>
      </c>
      <c r="C1492" s="4">
        <v>626.07000000000005</v>
      </c>
      <c r="D1492">
        <v>1</v>
      </c>
    </row>
    <row r="1493" spans="1:4" x14ac:dyDescent="0.25">
      <c r="A1493" t="s">
        <v>10460</v>
      </c>
      <c r="B1493">
        <v>59</v>
      </c>
      <c r="C1493" s="4">
        <v>1247.69</v>
      </c>
      <c r="D1493">
        <v>3</v>
      </c>
    </row>
    <row r="1494" spans="1:4" x14ac:dyDescent="0.25">
      <c r="A1494" t="s">
        <v>10461</v>
      </c>
      <c r="B1494">
        <v>14</v>
      </c>
      <c r="C1494" s="4">
        <v>202.11</v>
      </c>
      <c r="D1494">
        <v>3</v>
      </c>
    </row>
    <row r="1495" spans="1:4" x14ac:dyDescent="0.25">
      <c r="A1495" t="s">
        <v>10462</v>
      </c>
      <c r="B1495">
        <v>7</v>
      </c>
      <c r="C1495" s="4">
        <v>142.4</v>
      </c>
      <c r="D1495">
        <v>1</v>
      </c>
    </row>
    <row r="1496" spans="1:4" x14ac:dyDescent="0.25">
      <c r="A1496" t="s">
        <v>10463</v>
      </c>
      <c r="B1496">
        <v>140</v>
      </c>
      <c r="C1496" s="4">
        <v>1770.56</v>
      </c>
      <c r="D1496">
        <v>3</v>
      </c>
    </row>
    <row r="1497" spans="1:4" x14ac:dyDescent="0.25">
      <c r="A1497" t="s">
        <v>10464</v>
      </c>
      <c r="B1497">
        <v>186</v>
      </c>
      <c r="C1497" s="4">
        <v>3212.84</v>
      </c>
      <c r="D1497">
        <v>8</v>
      </c>
    </row>
    <row r="1498" spans="1:4" x14ac:dyDescent="0.25">
      <c r="A1498" t="s">
        <v>10465</v>
      </c>
      <c r="B1498">
        <v>45</v>
      </c>
      <c r="C1498" s="4">
        <v>1043.46</v>
      </c>
      <c r="D1498">
        <v>2</v>
      </c>
    </row>
    <row r="1499" spans="1:4" x14ac:dyDescent="0.25">
      <c r="A1499" t="s">
        <v>10466</v>
      </c>
      <c r="B1499">
        <v>286</v>
      </c>
      <c r="C1499" s="4">
        <v>4652.82</v>
      </c>
      <c r="D1499">
        <v>9</v>
      </c>
    </row>
    <row r="1500" spans="1:4" x14ac:dyDescent="0.25">
      <c r="A1500" t="s">
        <v>10467</v>
      </c>
      <c r="B1500">
        <v>5</v>
      </c>
      <c r="C1500" s="4">
        <v>67.95</v>
      </c>
      <c r="D1500">
        <v>1</v>
      </c>
    </row>
    <row r="1501" spans="1:4" x14ac:dyDescent="0.25">
      <c r="A1501" t="s">
        <v>10468</v>
      </c>
      <c r="B1501">
        <v>350</v>
      </c>
      <c r="C1501" s="4">
        <v>3507.71</v>
      </c>
      <c r="D1501">
        <v>9</v>
      </c>
    </row>
    <row r="1502" spans="1:4" x14ac:dyDescent="0.25">
      <c r="A1502" t="s">
        <v>10469</v>
      </c>
      <c r="B1502">
        <v>73</v>
      </c>
      <c r="C1502" s="4">
        <v>487.99</v>
      </c>
      <c r="D1502">
        <v>2</v>
      </c>
    </row>
    <row r="1503" spans="1:4" x14ac:dyDescent="0.25">
      <c r="A1503" t="s">
        <v>10470</v>
      </c>
      <c r="B1503">
        <v>87</v>
      </c>
      <c r="C1503" s="4">
        <v>2612.96</v>
      </c>
      <c r="D1503">
        <v>19</v>
      </c>
    </row>
    <row r="1504" spans="1:4" x14ac:dyDescent="0.25">
      <c r="A1504" t="s">
        <v>10471</v>
      </c>
      <c r="B1504">
        <v>25</v>
      </c>
      <c r="C1504" s="4">
        <v>574.70000000000005</v>
      </c>
      <c r="D1504">
        <v>1</v>
      </c>
    </row>
    <row r="1505" spans="1:4" x14ac:dyDescent="0.25">
      <c r="A1505" t="s">
        <v>10472</v>
      </c>
      <c r="B1505">
        <v>182</v>
      </c>
      <c r="C1505" s="4">
        <v>4051.48</v>
      </c>
      <c r="D1505">
        <v>13</v>
      </c>
    </row>
    <row r="1506" spans="1:4" x14ac:dyDescent="0.25">
      <c r="A1506" t="s">
        <v>10473</v>
      </c>
      <c r="B1506">
        <v>20</v>
      </c>
      <c r="C1506" s="4">
        <v>1475.81</v>
      </c>
      <c r="D1506">
        <v>4</v>
      </c>
    </row>
    <row r="1507" spans="1:4" x14ac:dyDescent="0.25">
      <c r="A1507" t="s">
        <v>10474</v>
      </c>
      <c r="B1507">
        <v>103</v>
      </c>
      <c r="C1507" s="4">
        <v>1474.32</v>
      </c>
      <c r="D1507">
        <v>6</v>
      </c>
    </row>
    <row r="1508" spans="1:4" x14ac:dyDescent="0.25">
      <c r="A1508" t="s">
        <v>10475</v>
      </c>
      <c r="B1508">
        <v>8</v>
      </c>
      <c r="C1508" s="4">
        <v>156.75</v>
      </c>
      <c r="D1508">
        <v>1</v>
      </c>
    </row>
    <row r="1509" spans="1:4" x14ac:dyDescent="0.25">
      <c r="A1509" t="s">
        <v>10476</v>
      </c>
      <c r="B1509">
        <v>72</v>
      </c>
      <c r="C1509" s="4">
        <v>2142.73</v>
      </c>
      <c r="D1509">
        <v>5</v>
      </c>
    </row>
    <row r="1510" spans="1:4" x14ac:dyDescent="0.25">
      <c r="A1510" t="s">
        <v>10477</v>
      </c>
      <c r="B1510">
        <v>107</v>
      </c>
      <c r="C1510" s="4">
        <v>2606.5300000000002</v>
      </c>
      <c r="D1510">
        <v>7</v>
      </c>
    </row>
    <row r="1511" spans="1:4" x14ac:dyDescent="0.25">
      <c r="A1511" t="s">
        <v>10478</v>
      </c>
      <c r="B1511">
        <v>54</v>
      </c>
      <c r="C1511" s="4">
        <v>2059.4499999999998</v>
      </c>
      <c r="D1511">
        <v>6</v>
      </c>
    </row>
    <row r="1512" spans="1:4" x14ac:dyDescent="0.25">
      <c r="A1512" t="s">
        <v>10479</v>
      </c>
      <c r="B1512">
        <v>192</v>
      </c>
      <c r="C1512" s="4">
        <v>1104.07</v>
      </c>
      <c r="D1512">
        <v>9</v>
      </c>
    </row>
    <row r="1513" spans="1:4" x14ac:dyDescent="0.25">
      <c r="A1513" t="s">
        <v>10480</v>
      </c>
      <c r="B1513">
        <v>14</v>
      </c>
      <c r="C1513" s="4">
        <v>1063</v>
      </c>
      <c r="D1513">
        <v>1</v>
      </c>
    </row>
    <row r="1514" spans="1:4" x14ac:dyDescent="0.25">
      <c r="A1514" t="s">
        <v>10481</v>
      </c>
      <c r="B1514">
        <v>43</v>
      </c>
      <c r="C1514" s="4">
        <v>770.03</v>
      </c>
      <c r="D1514">
        <v>2</v>
      </c>
    </row>
    <row r="1515" spans="1:4" x14ac:dyDescent="0.25">
      <c r="A1515" t="s">
        <v>10482</v>
      </c>
      <c r="B1515">
        <v>23</v>
      </c>
      <c r="C1515" s="4">
        <v>122.7</v>
      </c>
      <c r="D1515">
        <v>1</v>
      </c>
    </row>
    <row r="1516" spans="1:4" x14ac:dyDescent="0.25">
      <c r="A1516" t="s">
        <v>10483</v>
      </c>
      <c r="B1516">
        <v>97</v>
      </c>
      <c r="C1516" s="4">
        <v>1496.98</v>
      </c>
      <c r="D1516">
        <v>7</v>
      </c>
    </row>
    <row r="1517" spans="1:4" x14ac:dyDescent="0.25">
      <c r="A1517" t="s">
        <v>10484</v>
      </c>
      <c r="B1517">
        <v>590</v>
      </c>
      <c r="C1517" s="4">
        <v>5900.28</v>
      </c>
      <c r="D1517">
        <v>13</v>
      </c>
    </row>
    <row r="1518" spans="1:4" x14ac:dyDescent="0.25">
      <c r="A1518" t="s">
        <v>10485</v>
      </c>
      <c r="B1518">
        <v>14</v>
      </c>
      <c r="C1518" s="4">
        <v>490.22</v>
      </c>
      <c r="D1518">
        <v>2</v>
      </c>
    </row>
    <row r="1519" spans="1:4" x14ac:dyDescent="0.25">
      <c r="A1519" t="s">
        <v>10486</v>
      </c>
      <c r="B1519">
        <v>124</v>
      </c>
      <c r="C1519" s="4">
        <v>1937.25</v>
      </c>
      <c r="D1519">
        <v>3</v>
      </c>
    </row>
    <row r="1520" spans="1:4" x14ac:dyDescent="0.25">
      <c r="A1520" t="s">
        <v>10487</v>
      </c>
      <c r="B1520">
        <v>206</v>
      </c>
      <c r="C1520" s="4">
        <v>1058.06</v>
      </c>
      <c r="D1520">
        <v>6</v>
      </c>
    </row>
    <row r="1521" spans="1:4" x14ac:dyDescent="0.25">
      <c r="A1521" t="s">
        <v>10488</v>
      </c>
      <c r="B1521">
        <v>29</v>
      </c>
      <c r="C1521" s="4">
        <v>387.52</v>
      </c>
      <c r="D1521">
        <v>1</v>
      </c>
    </row>
    <row r="1522" spans="1:4" x14ac:dyDescent="0.25">
      <c r="A1522" t="s">
        <v>10489</v>
      </c>
      <c r="B1522">
        <v>27</v>
      </c>
      <c r="C1522" s="4">
        <v>813.11</v>
      </c>
      <c r="D1522">
        <v>2</v>
      </c>
    </row>
    <row r="1523" spans="1:4" x14ac:dyDescent="0.25">
      <c r="A1523" t="s">
        <v>10490</v>
      </c>
      <c r="B1523">
        <v>222</v>
      </c>
      <c r="C1523" s="4">
        <v>4263.6400000000003</v>
      </c>
      <c r="D1523">
        <v>6</v>
      </c>
    </row>
    <row r="1524" spans="1:4" x14ac:dyDescent="0.25">
      <c r="A1524" t="s">
        <v>10491</v>
      </c>
      <c r="B1524">
        <v>3</v>
      </c>
      <c r="C1524" s="4">
        <v>265.2</v>
      </c>
      <c r="D1524">
        <v>1</v>
      </c>
    </row>
    <row r="1525" spans="1:4" x14ac:dyDescent="0.25">
      <c r="A1525" t="s">
        <v>10492</v>
      </c>
      <c r="B1525">
        <v>1</v>
      </c>
      <c r="C1525" s="4">
        <v>322.08</v>
      </c>
      <c r="D1525">
        <v>1</v>
      </c>
    </row>
    <row r="1526" spans="1:4" x14ac:dyDescent="0.25">
      <c r="A1526" t="s">
        <v>10493</v>
      </c>
      <c r="B1526">
        <v>224</v>
      </c>
      <c r="C1526" s="4">
        <v>4481.67</v>
      </c>
      <c r="D1526">
        <v>10</v>
      </c>
    </row>
    <row r="1527" spans="1:4" x14ac:dyDescent="0.25">
      <c r="A1527" t="s">
        <v>10494</v>
      </c>
      <c r="B1527">
        <v>17</v>
      </c>
      <c r="C1527" s="4">
        <v>363.34</v>
      </c>
      <c r="D1527">
        <v>2</v>
      </c>
    </row>
    <row r="1528" spans="1:4" x14ac:dyDescent="0.25">
      <c r="A1528" t="s">
        <v>10495</v>
      </c>
      <c r="B1528">
        <v>144</v>
      </c>
      <c r="C1528" s="4">
        <v>1244.83</v>
      </c>
      <c r="D1528">
        <v>5</v>
      </c>
    </row>
    <row r="1529" spans="1:4" x14ac:dyDescent="0.25">
      <c r="A1529" t="s">
        <v>10496</v>
      </c>
      <c r="B1529">
        <v>17</v>
      </c>
      <c r="C1529" s="4">
        <v>470.36</v>
      </c>
      <c r="D1529">
        <v>1</v>
      </c>
    </row>
    <row r="1530" spans="1:4" x14ac:dyDescent="0.25">
      <c r="A1530" t="s">
        <v>10497</v>
      </c>
      <c r="B1530">
        <v>382</v>
      </c>
      <c r="C1530" s="4">
        <v>2255.5100000000002</v>
      </c>
      <c r="D1530">
        <v>6</v>
      </c>
    </row>
    <row r="1531" spans="1:4" x14ac:dyDescent="0.25">
      <c r="A1531" t="s">
        <v>10498</v>
      </c>
      <c r="B1531">
        <v>12</v>
      </c>
      <c r="C1531" s="4">
        <v>1372.8</v>
      </c>
      <c r="D1531">
        <v>6</v>
      </c>
    </row>
    <row r="1532" spans="1:4" x14ac:dyDescent="0.25">
      <c r="A1532" t="s">
        <v>10499</v>
      </c>
      <c r="B1532">
        <v>9</v>
      </c>
      <c r="C1532" s="4">
        <v>89.06</v>
      </c>
      <c r="D1532">
        <v>1</v>
      </c>
    </row>
    <row r="1533" spans="1:4" x14ac:dyDescent="0.25">
      <c r="A1533" t="s">
        <v>10500</v>
      </c>
      <c r="B1533">
        <v>5</v>
      </c>
      <c r="C1533" s="4">
        <v>63</v>
      </c>
      <c r="D1533">
        <v>1</v>
      </c>
    </row>
    <row r="1534" spans="1:4" x14ac:dyDescent="0.25">
      <c r="A1534" t="s">
        <v>10501</v>
      </c>
      <c r="B1534">
        <v>9</v>
      </c>
      <c r="C1534" s="4">
        <v>131.9</v>
      </c>
      <c r="D1534">
        <v>1</v>
      </c>
    </row>
    <row r="1535" spans="1:4" x14ac:dyDescent="0.25">
      <c r="A1535" t="s">
        <v>10502</v>
      </c>
      <c r="B1535">
        <v>32</v>
      </c>
      <c r="C1535" s="4">
        <v>2661.24</v>
      </c>
      <c r="D1535">
        <v>1</v>
      </c>
    </row>
    <row r="1536" spans="1:4" x14ac:dyDescent="0.25">
      <c r="A1536" t="s">
        <v>10503</v>
      </c>
      <c r="B1536">
        <v>55</v>
      </c>
      <c r="C1536" s="4">
        <v>2357.6799999999998</v>
      </c>
      <c r="D1536">
        <v>5</v>
      </c>
    </row>
    <row r="1537" spans="1:4" x14ac:dyDescent="0.25">
      <c r="A1537" t="s">
        <v>10504</v>
      </c>
      <c r="B1537">
        <v>51</v>
      </c>
      <c r="C1537" s="4">
        <v>1712.89</v>
      </c>
      <c r="D1537">
        <v>4</v>
      </c>
    </row>
    <row r="1538" spans="1:4" x14ac:dyDescent="0.25">
      <c r="A1538" t="s">
        <v>10505</v>
      </c>
      <c r="B1538">
        <v>63</v>
      </c>
      <c r="C1538" s="4">
        <v>1589.82</v>
      </c>
      <c r="D1538">
        <v>2</v>
      </c>
    </row>
    <row r="1539" spans="1:4" x14ac:dyDescent="0.25">
      <c r="A1539" t="s">
        <v>10506</v>
      </c>
      <c r="B1539">
        <v>93</v>
      </c>
      <c r="C1539" s="4">
        <v>1420.2</v>
      </c>
      <c r="D1539">
        <v>4</v>
      </c>
    </row>
    <row r="1540" spans="1:4" x14ac:dyDescent="0.25">
      <c r="A1540" t="s">
        <v>10507</v>
      </c>
      <c r="B1540">
        <v>292</v>
      </c>
      <c r="C1540" s="4">
        <v>1034.78</v>
      </c>
      <c r="D1540">
        <v>4</v>
      </c>
    </row>
    <row r="1541" spans="1:4" x14ac:dyDescent="0.25">
      <c r="A1541" t="s">
        <v>10508</v>
      </c>
      <c r="B1541">
        <v>70</v>
      </c>
      <c r="C1541" s="4">
        <v>1163.23</v>
      </c>
      <c r="D1541">
        <v>5</v>
      </c>
    </row>
    <row r="1542" spans="1:4" x14ac:dyDescent="0.25">
      <c r="A1542" t="s">
        <v>10509</v>
      </c>
      <c r="B1542">
        <v>20</v>
      </c>
      <c r="C1542" s="4">
        <v>375.35</v>
      </c>
      <c r="D1542">
        <v>2</v>
      </c>
    </row>
    <row r="1543" spans="1:4" x14ac:dyDescent="0.25">
      <c r="A1543" t="s">
        <v>10510</v>
      </c>
      <c r="B1543">
        <v>258</v>
      </c>
      <c r="C1543" s="4">
        <v>907.1</v>
      </c>
      <c r="D1543">
        <v>4</v>
      </c>
    </row>
    <row r="1544" spans="1:4" x14ac:dyDescent="0.25">
      <c r="A1544" t="s">
        <v>10511</v>
      </c>
      <c r="B1544">
        <v>40</v>
      </c>
      <c r="C1544" s="4">
        <v>483.25</v>
      </c>
      <c r="D1544">
        <v>3</v>
      </c>
    </row>
    <row r="1545" spans="1:4" x14ac:dyDescent="0.25">
      <c r="A1545" t="s">
        <v>10512</v>
      </c>
      <c r="B1545">
        <v>109</v>
      </c>
      <c r="C1545" s="4">
        <v>662.59</v>
      </c>
      <c r="D1545">
        <v>2</v>
      </c>
    </row>
    <row r="1546" spans="1:4" x14ac:dyDescent="0.25">
      <c r="A1546" t="s">
        <v>10513</v>
      </c>
      <c r="B1546">
        <v>62</v>
      </c>
      <c r="C1546" s="4">
        <v>264.44</v>
      </c>
      <c r="D1546">
        <v>2</v>
      </c>
    </row>
    <row r="1547" spans="1:4" x14ac:dyDescent="0.25">
      <c r="A1547" t="s">
        <v>10514</v>
      </c>
      <c r="B1547">
        <v>22</v>
      </c>
      <c r="C1547" s="4">
        <v>119.93</v>
      </c>
      <c r="D1547">
        <v>1</v>
      </c>
    </row>
    <row r="1548" spans="1:4" x14ac:dyDescent="0.25">
      <c r="A1548" t="s">
        <v>10515</v>
      </c>
      <c r="B1548">
        <v>968</v>
      </c>
      <c r="C1548" s="4">
        <v>3059.44</v>
      </c>
      <c r="D1548">
        <v>9</v>
      </c>
    </row>
    <row r="1549" spans="1:4" x14ac:dyDescent="0.25">
      <c r="A1549" t="s">
        <v>10516</v>
      </c>
      <c r="B1549">
        <v>4</v>
      </c>
      <c r="C1549" s="4">
        <v>113.64</v>
      </c>
      <c r="D1549">
        <v>1</v>
      </c>
    </row>
    <row r="1550" spans="1:4" x14ac:dyDescent="0.25">
      <c r="A1550" t="s">
        <v>10517</v>
      </c>
      <c r="B1550">
        <v>37</v>
      </c>
      <c r="C1550" s="4">
        <v>1837.92</v>
      </c>
      <c r="D1550">
        <v>1</v>
      </c>
    </row>
    <row r="1551" spans="1:4" x14ac:dyDescent="0.25">
      <c r="A1551" t="s">
        <v>10518</v>
      </c>
      <c r="B1551">
        <v>16</v>
      </c>
      <c r="C1551" s="4">
        <v>434.34</v>
      </c>
      <c r="D1551">
        <v>3</v>
      </c>
    </row>
    <row r="1552" spans="1:4" x14ac:dyDescent="0.25">
      <c r="A1552" t="s">
        <v>10519</v>
      </c>
      <c r="B1552">
        <v>179</v>
      </c>
      <c r="C1552" s="4">
        <v>2102.67</v>
      </c>
      <c r="D1552">
        <v>3</v>
      </c>
    </row>
    <row r="1553" spans="1:4" x14ac:dyDescent="0.25">
      <c r="A1553" t="s">
        <v>10520</v>
      </c>
      <c r="B1553">
        <v>239</v>
      </c>
      <c r="C1553" s="4">
        <v>1999.02</v>
      </c>
      <c r="D1553">
        <v>11</v>
      </c>
    </row>
    <row r="1554" spans="1:4" x14ac:dyDescent="0.25">
      <c r="A1554" t="s">
        <v>10521</v>
      </c>
      <c r="B1554">
        <v>6</v>
      </c>
      <c r="C1554" s="4">
        <v>529.62</v>
      </c>
      <c r="D1554">
        <v>3</v>
      </c>
    </row>
    <row r="1555" spans="1:4" x14ac:dyDescent="0.25">
      <c r="A1555" t="s">
        <v>10522</v>
      </c>
      <c r="B1555">
        <v>130</v>
      </c>
      <c r="C1555" s="4">
        <v>1058.6199999999999</v>
      </c>
      <c r="D1555">
        <v>3</v>
      </c>
    </row>
    <row r="1556" spans="1:4" x14ac:dyDescent="0.25">
      <c r="A1556" t="s">
        <v>10523</v>
      </c>
      <c r="B1556">
        <v>72</v>
      </c>
      <c r="C1556" s="4">
        <v>2272.4</v>
      </c>
      <c r="D1556">
        <v>7</v>
      </c>
    </row>
    <row r="1557" spans="1:4" x14ac:dyDescent="0.25">
      <c r="A1557" t="s">
        <v>10524</v>
      </c>
      <c r="B1557">
        <v>90</v>
      </c>
      <c r="C1557" s="4">
        <v>598.76</v>
      </c>
      <c r="D1557">
        <v>4</v>
      </c>
    </row>
    <row r="1558" spans="1:4" x14ac:dyDescent="0.25">
      <c r="A1558" t="s">
        <v>10525</v>
      </c>
      <c r="B1558">
        <v>43</v>
      </c>
      <c r="C1558" s="4">
        <v>461.19</v>
      </c>
      <c r="D1558">
        <v>2</v>
      </c>
    </row>
    <row r="1559" spans="1:4" x14ac:dyDescent="0.25">
      <c r="A1559" t="s">
        <v>10526</v>
      </c>
      <c r="B1559">
        <v>281</v>
      </c>
      <c r="C1559" s="4">
        <v>1936.84</v>
      </c>
      <c r="D1559">
        <v>8</v>
      </c>
    </row>
    <row r="1560" spans="1:4" x14ac:dyDescent="0.25">
      <c r="A1560" t="s">
        <v>10527</v>
      </c>
      <c r="B1560">
        <v>7</v>
      </c>
      <c r="C1560" s="4">
        <v>234.34</v>
      </c>
      <c r="D1560">
        <v>2</v>
      </c>
    </row>
    <row r="1561" spans="1:4" x14ac:dyDescent="0.25">
      <c r="A1561" t="s">
        <v>10528</v>
      </c>
      <c r="B1561">
        <v>29</v>
      </c>
      <c r="C1561" s="4">
        <v>547.66</v>
      </c>
      <c r="D1561">
        <v>1</v>
      </c>
    </row>
    <row r="1562" spans="1:4" x14ac:dyDescent="0.25">
      <c r="A1562" t="s">
        <v>10529</v>
      </c>
      <c r="B1562">
        <v>42</v>
      </c>
      <c r="C1562" s="4">
        <v>925.85</v>
      </c>
      <c r="D1562">
        <v>3</v>
      </c>
    </row>
    <row r="1563" spans="1:4" x14ac:dyDescent="0.25">
      <c r="A1563" t="s">
        <v>10530</v>
      </c>
      <c r="B1563">
        <v>19</v>
      </c>
      <c r="C1563" s="4">
        <v>215.7</v>
      </c>
      <c r="D1563">
        <v>1</v>
      </c>
    </row>
    <row r="1564" spans="1:4" x14ac:dyDescent="0.25">
      <c r="A1564" t="s">
        <v>10531</v>
      </c>
      <c r="B1564">
        <v>10</v>
      </c>
      <c r="C1564" s="4">
        <v>1309.5999999999999</v>
      </c>
      <c r="D1564">
        <v>4</v>
      </c>
    </row>
    <row r="1565" spans="1:4" x14ac:dyDescent="0.25">
      <c r="A1565" t="s">
        <v>10532</v>
      </c>
      <c r="B1565">
        <v>18</v>
      </c>
      <c r="C1565" s="4">
        <v>316.25</v>
      </c>
      <c r="D1565">
        <v>2</v>
      </c>
    </row>
    <row r="1566" spans="1:4" x14ac:dyDescent="0.25">
      <c r="A1566" t="s">
        <v>10533</v>
      </c>
      <c r="B1566">
        <v>13</v>
      </c>
      <c r="C1566" s="4">
        <v>279.05</v>
      </c>
      <c r="D1566">
        <v>1</v>
      </c>
    </row>
    <row r="1567" spans="1:4" x14ac:dyDescent="0.25">
      <c r="A1567" t="s">
        <v>10534</v>
      </c>
      <c r="B1567">
        <v>30</v>
      </c>
      <c r="C1567" s="4">
        <v>636.51</v>
      </c>
      <c r="D1567">
        <v>2</v>
      </c>
    </row>
    <row r="1568" spans="1:4" x14ac:dyDescent="0.25">
      <c r="A1568" t="s">
        <v>10535</v>
      </c>
      <c r="B1568">
        <v>144</v>
      </c>
      <c r="C1568" s="4">
        <v>2068.15</v>
      </c>
      <c r="D1568">
        <v>6</v>
      </c>
    </row>
    <row r="1569" spans="1:4" x14ac:dyDescent="0.25">
      <c r="A1569" t="s">
        <v>10536</v>
      </c>
      <c r="B1569">
        <v>9</v>
      </c>
      <c r="C1569" s="4">
        <v>137.1</v>
      </c>
      <c r="D1569">
        <v>1</v>
      </c>
    </row>
    <row r="1570" spans="1:4" x14ac:dyDescent="0.25">
      <c r="A1570" t="s">
        <v>10537</v>
      </c>
      <c r="B1570">
        <v>14</v>
      </c>
      <c r="C1570" s="4">
        <v>321.92</v>
      </c>
      <c r="D1570">
        <v>1</v>
      </c>
    </row>
    <row r="1571" spans="1:4" x14ac:dyDescent="0.25">
      <c r="A1571" t="s">
        <v>10538</v>
      </c>
      <c r="B1571">
        <v>47</v>
      </c>
      <c r="C1571" s="4">
        <v>165.75</v>
      </c>
      <c r="D1571">
        <v>1</v>
      </c>
    </row>
    <row r="1572" spans="1:4" x14ac:dyDescent="0.25">
      <c r="A1572" t="s">
        <v>10539</v>
      </c>
      <c r="B1572">
        <v>144</v>
      </c>
      <c r="C1572" s="4">
        <v>1196.33</v>
      </c>
      <c r="D1572">
        <v>6</v>
      </c>
    </row>
    <row r="1573" spans="1:4" x14ac:dyDescent="0.25">
      <c r="A1573" t="s">
        <v>10540</v>
      </c>
      <c r="B1573">
        <v>46</v>
      </c>
      <c r="C1573" s="4">
        <v>1064.28</v>
      </c>
      <c r="D1573">
        <v>1</v>
      </c>
    </row>
    <row r="1574" spans="1:4" x14ac:dyDescent="0.25">
      <c r="A1574" t="s">
        <v>10541</v>
      </c>
      <c r="B1574">
        <v>30</v>
      </c>
      <c r="C1574" s="4">
        <v>463.38</v>
      </c>
      <c r="D1574">
        <v>1</v>
      </c>
    </row>
    <row r="1575" spans="1:4" x14ac:dyDescent="0.25">
      <c r="A1575" t="s">
        <v>10542</v>
      </c>
      <c r="B1575">
        <v>17</v>
      </c>
      <c r="C1575" s="4">
        <v>340.93</v>
      </c>
      <c r="D1575">
        <v>2</v>
      </c>
    </row>
    <row r="1576" spans="1:4" x14ac:dyDescent="0.25">
      <c r="A1576" t="s">
        <v>10543</v>
      </c>
      <c r="B1576">
        <v>120</v>
      </c>
      <c r="C1576" s="4">
        <v>2383.2399999999998</v>
      </c>
      <c r="D1576">
        <v>5</v>
      </c>
    </row>
    <row r="1577" spans="1:4" x14ac:dyDescent="0.25">
      <c r="A1577" t="s">
        <v>10544</v>
      </c>
      <c r="B1577">
        <v>7</v>
      </c>
      <c r="C1577" s="4">
        <v>139.56</v>
      </c>
      <c r="D1577">
        <v>1</v>
      </c>
    </row>
    <row r="1578" spans="1:4" x14ac:dyDescent="0.25">
      <c r="A1578" t="s">
        <v>10545</v>
      </c>
      <c r="B1578">
        <v>6</v>
      </c>
      <c r="C1578" s="4">
        <v>123.8</v>
      </c>
      <c r="D1578">
        <v>2</v>
      </c>
    </row>
    <row r="1579" spans="1:4" x14ac:dyDescent="0.25">
      <c r="A1579" t="s">
        <v>10546</v>
      </c>
      <c r="B1579">
        <v>19</v>
      </c>
      <c r="C1579" s="4">
        <v>538.80999999999995</v>
      </c>
      <c r="D1579">
        <v>2</v>
      </c>
    </row>
    <row r="1580" spans="1:4" x14ac:dyDescent="0.25">
      <c r="A1580" t="s">
        <v>10547</v>
      </c>
      <c r="B1580">
        <v>29</v>
      </c>
      <c r="C1580" s="4">
        <v>475.37</v>
      </c>
      <c r="D1580">
        <v>1</v>
      </c>
    </row>
    <row r="1581" spans="1:4" x14ac:dyDescent="0.25">
      <c r="A1581" t="s">
        <v>10548</v>
      </c>
      <c r="B1581">
        <v>193</v>
      </c>
      <c r="C1581" s="4">
        <v>1957.32</v>
      </c>
      <c r="D1581">
        <v>5</v>
      </c>
    </row>
    <row r="1582" spans="1:4" x14ac:dyDescent="0.25">
      <c r="A1582" t="s">
        <v>10549</v>
      </c>
      <c r="B1582">
        <v>194</v>
      </c>
      <c r="C1582" s="4">
        <v>815.32</v>
      </c>
      <c r="D1582">
        <v>3</v>
      </c>
    </row>
    <row r="1583" spans="1:4" x14ac:dyDescent="0.25">
      <c r="A1583" t="s">
        <v>10550</v>
      </c>
      <c r="B1583">
        <v>7</v>
      </c>
      <c r="C1583" s="4">
        <v>356.85</v>
      </c>
      <c r="D1583">
        <v>3</v>
      </c>
    </row>
    <row r="1584" spans="1:4" x14ac:dyDescent="0.25">
      <c r="A1584" t="s">
        <v>10551</v>
      </c>
      <c r="B1584">
        <v>10</v>
      </c>
      <c r="C1584" s="4">
        <v>251.21</v>
      </c>
      <c r="D1584">
        <v>2</v>
      </c>
    </row>
    <row r="1585" spans="1:4" x14ac:dyDescent="0.25">
      <c r="A1585" t="s">
        <v>10552</v>
      </c>
      <c r="B1585">
        <v>623</v>
      </c>
      <c r="C1585" s="4">
        <v>2467.63</v>
      </c>
      <c r="D1585">
        <v>11</v>
      </c>
    </row>
    <row r="1586" spans="1:4" x14ac:dyDescent="0.25">
      <c r="A1586" t="s">
        <v>10553</v>
      </c>
      <c r="B1586">
        <v>164</v>
      </c>
      <c r="C1586" s="4">
        <v>3543.26</v>
      </c>
      <c r="D1586">
        <v>6</v>
      </c>
    </row>
    <row r="1587" spans="1:4" x14ac:dyDescent="0.25">
      <c r="A1587" t="s">
        <v>10554</v>
      </c>
      <c r="B1587">
        <v>107</v>
      </c>
      <c r="C1587" s="4">
        <v>673.26</v>
      </c>
      <c r="D1587">
        <v>4</v>
      </c>
    </row>
    <row r="1588" spans="1:4" x14ac:dyDescent="0.25">
      <c r="A1588" t="s">
        <v>10555</v>
      </c>
      <c r="B1588">
        <v>799</v>
      </c>
      <c r="C1588" s="4">
        <v>5905.64</v>
      </c>
      <c r="D1588">
        <v>8</v>
      </c>
    </row>
    <row r="1589" spans="1:4" x14ac:dyDescent="0.25">
      <c r="A1589" t="s">
        <v>10556</v>
      </c>
      <c r="B1589">
        <v>316</v>
      </c>
      <c r="C1589" s="4">
        <v>2012.17</v>
      </c>
      <c r="D1589">
        <v>5</v>
      </c>
    </row>
    <row r="1590" spans="1:4" x14ac:dyDescent="0.25">
      <c r="A1590" t="s">
        <v>10557</v>
      </c>
      <c r="B1590">
        <v>96</v>
      </c>
      <c r="C1590" s="4">
        <v>1383.18</v>
      </c>
      <c r="D1590">
        <v>6</v>
      </c>
    </row>
    <row r="1591" spans="1:4" x14ac:dyDescent="0.25">
      <c r="A1591" t="s">
        <v>10558</v>
      </c>
      <c r="B1591">
        <v>57</v>
      </c>
      <c r="C1591" s="4">
        <v>276.42</v>
      </c>
      <c r="D1591">
        <v>2</v>
      </c>
    </row>
    <row r="1592" spans="1:4" x14ac:dyDescent="0.25">
      <c r="A1592" t="s">
        <v>10559</v>
      </c>
      <c r="B1592">
        <v>68</v>
      </c>
      <c r="C1592" s="4">
        <v>1314.81</v>
      </c>
      <c r="D1592">
        <v>5</v>
      </c>
    </row>
    <row r="1593" spans="1:4" x14ac:dyDescent="0.25">
      <c r="A1593" t="s">
        <v>10560</v>
      </c>
      <c r="B1593">
        <v>23</v>
      </c>
      <c r="C1593" s="4">
        <v>275.27999999999997</v>
      </c>
      <c r="D1593">
        <v>2</v>
      </c>
    </row>
    <row r="1594" spans="1:4" x14ac:dyDescent="0.25">
      <c r="A1594" t="s">
        <v>10561</v>
      </c>
      <c r="B1594">
        <v>12</v>
      </c>
      <c r="C1594" s="4">
        <v>455.59</v>
      </c>
      <c r="D1594">
        <v>3</v>
      </c>
    </row>
    <row r="1595" spans="1:4" x14ac:dyDescent="0.25">
      <c r="A1595" t="s">
        <v>10562</v>
      </c>
      <c r="B1595">
        <v>73</v>
      </c>
      <c r="C1595" s="4">
        <v>1055.3499999999999</v>
      </c>
      <c r="D1595">
        <v>3</v>
      </c>
    </row>
    <row r="1596" spans="1:4" x14ac:dyDescent="0.25">
      <c r="A1596" t="s">
        <v>10563</v>
      </c>
      <c r="B1596">
        <v>101</v>
      </c>
      <c r="C1596" s="4">
        <v>2102.09</v>
      </c>
      <c r="D1596">
        <v>6</v>
      </c>
    </row>
    <row r="1597" spans="1:4" x14ac:dyDescent="0.25">
      <c r="A1597" t="s">
        <v>10564</v>
      </c>
      <c r="B1597">
        <v>18</v>
      </c>
      <c r="C1597" s="4">
        <v>330.45</v>
      </c>
      <c r="D1597">
        <v>2</v>
      </c>
    </row>
    <row r="1598" spans="1:4" x14ac:dyDescent="0.25">
      <c r="A1598" t="s">
        <v>10565</v>
      </c>
      <c r="B1598">
        <v>16</v>
      </c>
      <c r="C1598" s="4">
        <v>174.37</v>
      </c>
      <c r="D1598">
        <v>1</v>
      </c>
    </row>
    <row r="1599" spans="1:4" x14ac:dyDescent="0.25">
      <c r="A1599" t="s">
        <v>10566</v>
      </c>
      <c r="B1599">
        <v>4</v>
      </c>
      <c r="C1599" s="4">
        <v>270.60000000000002</v>
      </c>
      <c r="D1599">
        <v>2</v>
      </c>
    </row>
    <row r="1600" spans="1:4" x14ac:dyDescent="0.25">
      <c r="A1600" t="s">
        <v>10567</v>
      </c>
      <c r="B1600">
        <v>17</v>
      </c>
      <c r="C1600" s="4">
        <v>974.54</v>
      </c>
      <c r="D1600">
        <v>4</v>
      </c>
    </row>
    <row r="1601" spans="1:4" x14ac:dyDescent="0.25">
      <c r="A1601" t="s">
        <v>10568</v>
      </c>
      <c r="B1601">
        <v>12</v>
      </c>
      <c r="C1601" s="4">
        <v>241.09</v>
      </c>
      <c r="D1601">
        <v>1</v>
      </c>
    </row>
    <row r="1602" spans="1:4" x14ac:dyDescent="0.25">
      <c r="A1602" t="s">
        <v>10569</v>
      </c>
      <c r="B1602">
        <v>203</v>
      </c>
      <c r="C1602" s="4">
        <v>1867.68</v>
      </c>
      <c r="D1602">
        <v>9</v>
      </c>
    </row>
    <row r="1603" spans="1:4" x14ac:dyDescent="0.25">
      <c r="A1603" t="s">
        <v>10570</v>
      </c>
      <c r="B1603">
        <v>291</v>
      </c>
      <c r="C1603" s="4">
        <v>4332.2</v>
      </c>
      <c r="D1603">
        <v>9</v>
      </c>
    </row>
    <row r="1604" spans="1:4" x14ac:dyDescent="0.25">
      <c r="A1604" t="s">
        <v>10571</v>
      </c>
      <c r="B1604">
        <v>971</v>
      </c>
      <c r="C1604" s="4">
        <v>8507.82</v>
      </c>
      <c r="D1604">
        <v>55</v>
      </c>
    </row>
    <row r="1605" spans="1:4" x14ac:dyDescent="0.25">
      <c r="A1605" t="s">
        <v>10572</v>
      </c>
      <c r="B1605">
        <v>18</v>
      </c>
      <c r="C1605" s="4">
        <v>364.22</v>
      </c>
      <c r="D1605">
        <v>1</v>
      </c>
    </row>
    <row r="1606" spans="1:4" x14ac:dyDescent="0.25">
      <c r="A1606" t="s">
        <v>10573</v>
      </c>
      <c r="B1606">
        <v>229</v>
      </c>
      <c r="C1606" s="4">
        <v>620.04</v>
      </c>
      <c r="D1606">
        <v>3</v>
      </c>
    </row>
    <row r="1607" spans="1:4" x14ac:dyDescent="0.25">
      <c r="A1607" t="s">
        <v>10574</v>
      </c>
      <c r="B1607">
        <v>216</v>
      </c>
      <c r="C1607" s="4">
        <v>2925.91</v>
      </c>
      <c r="D1607">
        <v>6</v>
      </c>
    </row>
    <row r="1608" spans="1:4" x14ac:dyDescent="0.25">
      <c r="A1608" t="s">
        <v>10575</v>
      </c>
      <c r="B1608">
        <v>64</v>
      </c>
      <c r="C1608" s="4">
        <v>932.85</v>
      </c>
      <c r="D1608">
        <v>4</v>
      </c>
    </row>
    <row r="1609" spans="1:4" x14ac:dyDescent="0.25">
      <c r="A1609" t="s">
        <v>10576</v>
      </c>
      <c r="B1609">
        <v>62</v>
      </c>
      <c r="C1609" s="4">
        <v>1949.72</v>
      </c>
      <c r="D1609">
        <v>7</v>
      </c>
    </row>
    <row r="1610" spans="1:4" x14ac:dyDescent="0.25">
      <c r="A1610" t="s">
        <v>10577</v>
      </c>
      <c r="B1610">
        <v>518</v>
      </c>
      <c r="C1610" s="4">
        <v>4445.3999999999996</v>
      </c>
      <c r="D1610">
        <v>18</v>
      </c>
    </row>
    <row r="1611" spans="1:4" x14ac:dyDescent="0.25">
      <c r="A1611" t="s">
        <v>10578</v>
      </c>
      <c r="B1611">
        <v>330</v>
      </c>
      <c r="C1611" s="4">
        <v>2864.19</v>
      </c>
      <c r="D1611">
        <v>3</v>
      </c>
    </row>
    <row r="1612" spans="1:4" x14ac:dyDescent="0.25">
      <c r="A1612" t="s">
        <v>10579</v>
      </c>
      <c r="B1612">
        <v>19</v>
      </c>
      <c r="C1612" s="4">
        <v>171.8</v>
      </c>
      <c r="D1612">
        <v>1</v>
      </c>
    </row>
    <row r="1613" spans="1:4" x14ac:dyDescent="0.25">
      <c r="A1613" t="s">
        <v>10580</v>
      </c>
      <c r="B1613">
        <v>10</v>
      </c>
      <c r="C1613" s="4">
        <v>355.56</v>
      </c>
      <c r="D1613">
        <v>1</v>
      </c>
    </row>
    <row r="1614" spans="1:4" x14ac:dyDescent="0.25">
      <c r="A1614" t="s">
        <v>10581</v>
      </c>
      <c r="B1614">
        <v>19</v>
      </c>
      <c r="C1614" s="4">
        <v>388.25</v>
      </c>
      <c r="D1614">
        <v>2</v>
      </c>
    </row>
    <row r="1615" spans="1:4" x14ac:dyDescent="0.25">
      <c r="A1615" t="s">
        <v>10582</v>
      </c>
      <c r="B1615">
        <v>32</v>
      </c>
      <c r="C1615" s="4">
        <v>537.48</v>
      </c>
      <c r="D1615">
        <v>2</v>
      </c>
    </row>
    <row r="1616" spans="1:4" x14ac:dyDescent="0.25">
      <c r="A1616" t="s">
        <v>10583</v>
      </c>
      <c r="B1616">
        <v>76</v>
      </c>
      <c r="C1616" s="4">
        <v>996.26</v>
      </c>
      <c r="D1616">
        <v>3</v>
      </c>
    </row>
    <row r="1617" spans="1:4" x14ac:dyDescent="0.25">
      <c r="A1617" t="s">
        <v>10584</v>
      </c>
      <c r="B1617">
        <v>111</v>
      </c>
      <c r="C1617" s="4">
        <v>1461.65</v>
      </c>
      <c r="D1617">
        <v>8</v>
      </c>
    </row>
    <row r="1618" spans="1:4" x14ac:dyDescent="0.25">
      <c r="A1618" t="s">
        <v>10585</v>
      </c>
      <c r="B1618">
        <v>5</v>
      </c>
      <c r="C1618" s="4">
        <v>103.25</v>
      </c>
      <c r="D1618">
        <v>1</v>
      </c>
    </row>
    <row r="1619" spans="1:4" x14ac:dyDescent="0.25">
      <c r="A1619" t="s">
        <v>10586</v>
      </c>
      <c r="B1619">
        <v>69</v>
      </c>
      <c r="C1619" s="4">
        <v>3590.68</v>
      </c>
      <c r="D1619">
        <v>16</v>
      </c>
    </row>
    <row r="1620" spans="1:4" x14ac:dyDescent="0.25">
      <c r="A1620" t="s">
        <v>10587</v>
      </c>
      <c r="B1620">
        <v>114</v>
      </c>
      <c r="C1620" s="4">
        <v>2024.45</v>
      </c>
      <c r="D1620">
        <v>2</v>
      </c>
    </row>
    <row r="1621" spans="1:4" x14ac:dyDescent="0.25">
      <c r="A1621" t="s">
        <v>10588</v>
      </c>
      <c r="B1621">
        <v>399</v>
      </c>
      <c r="C1621" s="4">
        <v>2578.09</v>
      </c>
      <c r="D1621">
        <v>5</v>
      </c>
    </row>
    <row r="1622" spans="1:4" x14ac:dyDescent="0.25">
      <c r="A1622" t="s">
        <v>10589</v>
      </c>
      <c r="B1622">
        <v>366</v>
      </c>
      <c r="C1622" s="4">
        <v>4007.54</v>
      </c>
      <c r="D1622">
        <v>8</v>
      </c>
    </row>
    <row r="1623" spans="1:4" x14ac:dyDescent="0.25">
      <c r="A1623" t="s">
        <v>10590</v>
      </c>
      <c r="B1623">
        <v>4</v>
      </c>
      <c r="C1623" s="4">
        <v>652.79999999999995</v>
      </c>
      <c r="D1623">
        <v>2</v>
      </c>
    </row>
    <row r="1624" spans="1:4" x14ac:dyDescent="0.25">
      <c r="A1624" t="s">
        <v>10591</v>
      </c>
      <c r="B1624">
        <v>56</v>
      </c>
      <c r="C1624" s="4">
        <v>289.24</v>
      </c>
      <c r="D1624">
        <v>1</v>
      </c>
    </row>
    <row r="1625" spans="1:4" x14ac:dyDescent="0.25">
      <c r="A1625" t="s">
        <v>10592</v>
      </c>
      <c r="B1625">
        <v>48</v>
      </c>
      <c r="C1625" s="4">
        <v>765.62</v>
      </c>
      <c r="D1625">
        <v>2</v>
      </c>
    </row>
    <row r="1626" spans="1:4" x14ac:dyDescent="0.25">
      <c r="A1626" t="s">
        <v>10593</v>
      </c>
      <c r="B1626">
        <v>10</v>
      </c>
      <c r="C1626" s="4">
        <v>186.23</v>
      </c>
      <c r="D1626">
        <v>2</v>
      </c>
    </row>
    <row r="1627" spans="1:4" x14ac:dyDescent="0.25">
      <c r="A1627" t="s">
        <v>10594</v>
      </c>
      <c r="B1627">
        <v>58</v>
      </c>
      <c r="C1627" s="4">
        <v>165.07</v>
      </c>
      <c r="D1627">
        <v>1</v>
      </c>
    </row>
    <row r="1628" spans="1:4" x14ac:dyDescent="0.25">
      <c r="A1628" t="s">
        <v>10595</v>
      </c>
      <c r="B1628">
        <v>113</v>
      </c>
      <c r="C1628" s="4">
        <v>859.27</v>
      </c>
      <c r="D1628">
        <v>5</v>
      </c>
    </row>
    <row r="1629" spans="1:4" x14ac:dyDescent="0.25">
      <c r="A1629" t="s">
        <v>10596</v>
      </c>
      <c r="B1629">
        <v>216</v>
      </c>
      <c r="C1629" s="4">
        <v>2381.04</v>
      </c>
      <c r="D1629">
        <v>4</v>
      </c>
    </row>
    <row r="1630" spans="1:4" x14ac:dyDescent="0.25">
      <c r="A1630" t="s">
        <v>10597</v>
      </c>
      <c r="B1630">
        <v>21</v>
      </c>
      <c r="C1630" s="4">
        <v>324.14</v>
      </c>
      <c r="D1630">
        <v>2</v>
      </c>
    </row>
    <row r="1631" spans="1:4" x14ac:dyDescent="0.25">
      <c r="A1631" t="s">
        <v>10598</v>
      </c>
      <c r="B1631">
        <v>16</v>
      </c>
      <c r="C1631" s="4">
        <v>788.38</v>
      </c>
      <c r="D1631">
        <v>1</v>
      </c>
    </row>
    <row r="1632" spans="1:4" x14ac:dyDescent="0.25">
      <c r="A1632" t="s">
        <v>10599</v>
      </c>
      <c r="B1632">
        <v>74</v>
      </c>
      <c r="C1632" s="4">
        <v>2237.77</v>
      </c>
      <c r="D1632">
        <v>22</v>
      </c>
    </row>
    <row r="1633" spans="1:4" x14ac:dyDescent="0.25">
      <c r="A1633" t="s">
        <v>10600</v>
      </c>
      <c r="B1633">
        <v>69</v>
      </c>
      <c r="C1633" s="4">
        <v>1080.76</v>
      </c>
      <c r="D1633">
        <v>3</v>
      </c>
    </row>
    <row r="1634" spans="1:4" x14ac:dyDescent="0.25">
      <c r="A1634" t="s">
        <v>10601</v>
      </c>
      <c r="B1634">
        <v>423</v>
      </c>
      <c r="C1634" s="4">
        <v>5074.7700000000004</v>
      </c>
      <c r="D1634">
        <v>18</v>
      </c>
    </row>
    <row r="1635" spans="1:4" x14ac:dyDescent="0.25">
      <c r="A1635" t="s">
        <v>10602</v>
      </c>
      <c r="B1635">
        <v>124</v>
      </c>
      <c r="C1635" s="4">
        <v>2949.12</v>
      </c>
      <c r="D1635">
        <v>4</v>
      </c>
    </row>
    <row r="1636" spans="1:4" x14ac:dyDescent="0.25">
      <c r="A1636" t="s">
        <v>10603</v>
      </c>
      <c r="B1636">
        <v>4</v>
      </c>
      <c r="C1636" s="4">
        <v>1432</v>
      </c>
      <c r="D1636">
        <v>1</v>
      </c>
    </row>
    <row r="1637" spans="1:4" x14ac:dyDescent="0.25">
      <c r="A1637" t="s">
        <v>10604</v>
      </c>
      <c r="B1637">
        <v>33</v>
      </c>
      <c r="C1637" s="4">
        <v>1530.36</v>
      </c>
      <c r="D1637">
        <v>2</v>
      </c>
    </row>
    <row r="1638" spans="1:4" x14ac:dyDescent="0.25">
      <c r="A1638" t="s">
        <v>10605</v>
      </c>
      <c r="B1638">
        <v>12</v>
      </c>
      <c r="C1638" s="4">
        <v>227.39</v>
      </c>
      <c r="D1638">
        <v>1</v>
      </c>
    </row>
    <row r="1639" spans="1:4" x14ac:dyDescent="0.25">
      <c r="A1639" t="s">
        <v>10606</v>
      </c>
      <c r="B1639">
        <v>28</v>
      </c>
      <c r="C1639" s="4">
        <v>217.21</v>
      </c>
      <c r="D1639">
        <v>2</v>
      </c>
    </row>
    <row r="1640" spans="1:4" x14ac:dyDescent="0.25">
      <c r="A1640" t="s">
        <v>10607</v>
      </c>
      <c r="B1640">
        <v>270</v>
      </c>
      <c r="C1640" s="4">
        <v>2832.84</v>
      </c>
      <c r="D1640">
        <v>7</v>
      </c>
    </row>
    <row r="1641" spans="1:4" x14ac:dyDescent="0.25">
      <c r="A1641" t="s">
        <v>10608</v>
      </c>
      <c r="B1641">
        <v>235</v>
      </c>
      <c r="C1641" s="4">
        <v>1653.42</v>
      </c>
      <c r="D1641">
        <v>9</v>
      </c>
    </row>
    <row r="1642" spans="1:4" x14ac:dyDescent="0.25">
      <c r="A1642" t="s">
        <v>10609</v>
      </c>
      <c r="B1642">
        <v>1</v>
      </c>
      <c r="C1642" s="4">
        <v>35.4</v>
      </c>
      <c r="D1642">
        <v>1</v>
      </c>
    </row>
    <row r="1643" spans="1:4" x14ac:dyDescent="0.25">
      <c r="A1643" t="s">
        <v>10610</v>
      </c>
      <c r="B1643">
        <v>123</v>
      </c>
      <c r="C1643" s="4">
        <v>859.71</v>
      </c>
      <c r="D1643">
        <v>4</v>
      </c>
    </row>
    <row r="1644" spans="1:4" x14ac:dyDescent="0.25">
      <c r="A1644" t="s">
        <v>10611</v>
      </c>
      <c r="B1644">
        <v>24</v>
      </c>
      <c r="C1644" s="4">
        <v>168.63</v>
      </c>
      <c r="D1644">
        <v>1</v>
      </c>
    </row>
    <row r="1645" spans="1:4" x14ac:dyDescent="0.25">
      <c r="A1645" t="s">
        <v>10612</v>
      </c>
      <c r="B1645">
        <v>17</v>
      </c>
      <c r="C1645" s="4">
        <v>138.6</v>
      </c>
      <c r="D1645">
        <v>1</v>
      </c>
    </row>
    <row r="1646" spans="1:4" x14ac:dyDescent="0.25">
      <c r="A1646" t="s">
        <v>10613</v>
      </c>
      <c r="B1646">
        <v>6</v>
      </c>
      <c r="C1646" s="4">
        <v>114.11</v>
      </c>
      <c r="D1646">
        <v>1</v>
      </c>
    </row>
    <row r="1647" spans="1:4" x14ac:dyDescent="0.25">
      <c r="A1647" t="s">
        <v>10614</v>
      </c>
      <c r="B1647">
        <v>330</v>
      </c>
      <c r="C1647" s="4">
        <v>1052.55</v>
      </c>
      <c r="D1647">
        <v>5</v>
      </c>
    </row>
    <row r="1648" spans="1:4" x14ac:dyDescent="0.25">
      <c r="A1648" t="s">
        <v>10615</v>
      </c>
      <c r="B1648">
        <v>100</v>
      </c>
      <c r="C1648" s="4">
        <v>1042.26</v>
      </c>
      <c r="D1648">
        <v>4</v>
      </c>
    </row>
    <row r="1649" spans="1:4" x14ac:dyDescent="0.25">
      <c r="A1649" t="s">
        <v>10616</v>
      </c>
      <c r="B1649">
        <v>29</v>
      </c>
      <c r="C1649" s="4">
        <v>157.05000000000001</v>
      </c>
      <c r="D1649">
        <v>1</v>
      </c>
    </row>
    <row r="1650" spans="1:4" x14ac:dyDescent="0.25">
      <c r="A1650" t="s">
        <v>10617</v>
      </c>
      <c r="B1650">
        <v>19</v>
      </c>
      <c r="C1650" s="4">
        <v>237.36</v>
      </c>
      <c r="D1650">
        <v>1</v>
      </c>
    </row>
    <row r="1651" spans="1:4" x14ac:dyDescent="0.25">
      <c r="A1651" t="s">
        <v>10618</v>
      </c>
      <c r="B1651">
        <v>383</v>
      </c>
      <c r="C1651" s="4">
        <v>1601.14</v>
      </c>
      <c r="D1651">
        <v>9</v>
      </c>
    </row>
    <row r="1652" spans="1:4" x14ac:dyDescent="0.25">
      <c r="A1652" t="s">
        <v>10619</v>
      </c>
      <c r="B1652">
        <v>3</v>
      </c>
      <c r="C1652" s="4">
        <v>39.75</v>
      </c>
      <c r="D1652">
        <v>1</v>
      </c>
    </row>
    <row r="1653" spans="1:4" x14ac:dyDescent="0.25">
      <c r="A1653" t="s">
        <v>10620</v>
      </c>
      <c r="B1653">
        <v>197</v>
      </c>
      <c r="C1653" s="4">
        <v>1447.14</v>
      </c>
      <c r="D1653">
        <v>4</v>
      </c>
    </row>
    <row r="1654" spans="1:4" x14ac:dyDescent="0.25">
      <c r="A1654" t="s">
        <v>10621</v>
      </c>
      <c r="B1654">
        <v>164</v>
      </c>
      <c r="C1654" s="4">
        <v>570.46</v>
      </c>
      <c r="D1654">
        <v>3</v>
      </c>
    </row>
    <row r="1655" spans="1:4" x14ac:dyDescent="0.25">
      <c r="A1655" t="s">
        <v>10622</v>
      </c>
      <c r="B1655">
        <v>152</v>
      </c>
      <c r="C1655" s="4">
        <v>617.99</v>
      </c>
      <c r="D1655">
        <v>3</v>
      </c>
    </row>
    <row r="1656" spans="1:4" x14ac:dyDescent="0.25">
      <c r="A1656" t="s">
        <v>10623</v>
      </c>
      <c r="B1656">
        <v>53</v>
      </c>
      <c r="C1656" s="4">
        <v>379.83</v>
      </c>
      <c r="D1656">
        <v>2</v>
      </c>
    </row>
    <row r="1657" spans="1:4" x14ac:dyDescent="0.25">
      <c r="A1657" t="s">
        <v>10624</v>
      </c>
      <c r="B1657">
        <v>102</v>
      </c>
      <c r="C1657" s="4">
        <v>1740.6</v>
      </c>
      <c r="D1657">
        <v>6</v>
      </c>
    </row>
    <row r="1658" spans="1:4" x14ac:dyDescent="0.25">
      <c r="A1658" t="s">
        <v>10625</v>
      </c>
      <c r="B1658">
        <v>55</v>
      </c>
      <c r="C1658" s="4">
        <v>883.15</v>
      </c>
      <c r="D1658">
        <v>2</v>
      </c>
    </row>
    <row r="1659" spans="1:4" x14ac:dyDescent="0.25">
      <c r="A1659" t="s">
        <v>10626</v>
      </c>
      <c r="B1659">
        <v>50</v>
      </c>
      <c r="C1659" s="4">
        <v>221.97</v>
      </c>
      <c r="D1659">
        <v>1</v>
      </c>
    </row>
    <row r="1660" spans="1:4" x14ac:dyDescent="0.25">
      <c r="A1660" t="s">
        <v>10627</v>
      </c>
      <c r="B1660">
        <v>25</v>
      </c>
      <c r="C1660" s="4">
        <v>393.33</v>
      </c>
      <c r="D1660">
        <v>1</v>
      </c>
    </row>
    <row r="1661" spans="1:4" x14ac:dyDescent="0.25">
      <c r="A1661" t="s">
        <v>10628</v>
      </c>
      <c r="B1661">
        <v>7</v>
      </c>
      <c r="C1661" s="4">
        <v>213.96</v>
      </c>
      <c r="D1661">
        <v>1</v>
      </c>
    </row>
    <row r="1662" spans="1:4" x14ac:dyDescent="0.25">
      <c r="A1662" t="s">
        <v>10629</v>
      </c>
      <c r="B1662">
        <v>2</v>
      </c>
      <c r="C1662" s="4">
        <v>660</v>
      </c>
      <c r="D1662">
        <v>1</v>
      </c>
    </row>
    <row r="1663" spans="1:4" x14ac:dyDescent="0.25">
      <c r="A1663" t="s">
        <v>10630</v>
      </c>
      <c r="B1663">
        <v>2697</v>
      </c>
      <c r="C1663" s="4">
        <v>12006.65</v>
      </c>
      <c r="D1663">
        <v>90</v>
      </c>
    </row>
    <row r="1664" spans="1:4" x14ac:dyDescent="0.25">
      <c r="A1664" t="s">
        <v>10631</v>
      </c>
      <c r="B1664">
        <v>78</v>
      </c>
      <c r="C1664" s="4">
        <v>15021.5</v>
      </c>
      <c r="D1664">
        <v>12</v>
      </c>
    </row>
    <row r="1665" spans="1:4" x14ac:dyDescent="0.25">
      <c r="A1665" t="s">
        <v>10632</v>
      </c>
      <c r="B1665">
        <v>20</v>
      </c>
      <c r="C1665" s="4">
        <v>1785.15</v>
      </c>
      <c r="D1665">
        <v>4</v>
      </c>
    </row>
    <row r="1666" spans="1:4" x14ac:dyDescent="0.25">
      <c r="A1666" t="s">
        <v>10633</v>
      </c>
      <c r="B1666">
        <v>4</v>
      </c>
      <c r="C1666" s="4">
        <v>601.55999999999995</v>
      </c>
      <c r="D1666">
        <v>4</v>
      </c>
    </row>
    <row r="1667" spans="1:4" x14ac:dyDescent="0.25">
      <c r="A1667" t="s">
        <v>10634</v>
      </c>
      <c r="B1667">
        <v>3</v>
      </c>
      <c r="C1667" s="4">
        <v>406.08</v>
      </c>
      <c r="D1667">
        <v>3</v>
      </c>
    </row>
    <row r="1668" spans="1:4" x14ac:dyDescent="0.25">
      <c r="A1668" t="s">
        <v>10635</v>
      </c>
      <c r="B1668">
        <v>16</v>
      </c>
      <c r="C1668" s="4">
        <v>553.44000000000005</v>
      </c>
      <c r="D1668">
        <v>3</v>
      </c>
    </row>
    <row r="1669" spans="1:4" x14ac:dyDescent="0.25">
      <c r="A1669" t="s">
        <v>10636</v>
      </c>
      <c r="B1669">
        <v>20</v>
      </c>
      <c r="C1669" s="4">
        <v>394.44</v>
      </c>
      <c r="D1669">
        <v>1</v>
      </c>
    </row>
    <row r="1670" spans="1:4" x14ac:dyDescent="0.25">
      <c r="A1670" t="s">
        <v>10637</v>
      </c>
      <c r="B1670">
        <v>26</v>
      </c>
      <c r="C1670" s="4">
        <v>412.78</v>
      </c>
      <c r="D1670">
        <v>2</v>
      </c>
    </row>
    <row r="1671" spans="1:4" x14ac:dyDescent="0.25">
      <c r="A1671" t="s">
        <v>10638</v>
      </c>
      <c r="B1671">
        <v>92</v>
      </c>
      <c r="C1671" s="4">
        <v>1788.36</v>
      </c>
      <c r="D1671">
        <v>5</v>
      </c>
    </row>
    <row r="1672" spans="1:4" x14ac:dyDescent="0.25">
      <c r="A1672" t="s">
        <v>10639</v>
      </c>
      <c r="B1672">
        <v>21</v>
      </c>
      <c r="C1672" s="4">
        <v>320.58</v>
      </c>
      <c r="D1672">
        <v>1</v>
      </c>
    </row>
    <row r="1673" spans="1:4" x14ac:dyDescent="0.25">
      <c r="A1673" t="s">
        <v>10640</v>
      </c>
      <c r="B1673">
        <v>133</v>
      </c>
      <c r="C1673" s="4">
        <v>884.57</v>
      </c>
      <c r="D1673">
        <v>5</v>
      </c>
    </row>
    <row r="1674" spans="1:4" x14ac:dyDescent="0.25">
      <c r="A1674" t="s">
        <v>10641</v>
      </c>
      <c r="B1674">
        <v>13</v>
      </c>
      <c r="C1674" s="4">
        <v>225.85</v>
      </c>
      <c r="D1674">
        <v>2</v>
      </c>
    </row>
    <row r="1675" spans="1:4" x14ac:dyDescent="0.25">
      <c r="A1675" t="s">
        <v>10642</v>
      </c>
      <c r="B1675">
        <v>53</v>
      </c>
      <c r="C1675" s="4">
        <v>899.63</v>
      </c>
      <c r="D1675">
        <v>2</v>
      </c>
    </row>
    <row r="1676" spans="1:4" x14ac:dyDescent="0.25">
      <c r="A1676" t="s">
        <v>10643</v>
      </c>
      <c r="B1676">
        <v>122</v>
      </c>
      <c r="C1676" s="4">
        <v>2791.27</v>
      </c>
      <c r="D1676">
        <v>4</v>
      </c>
    </row>
    <row r="1677" spans="1:4" x14ac:dyDescent="0.25">
      <c r="A1677" t="s">
        <v>10644</v>
      </c>
      <c r="B1677">
        <v>24</v>
      </c>
      <c r="C1677" s="4">
        <v>671.96</v>
      </c>
      <c r="D1677">
        <v>2</v>
      </c>
    </row>
    <row r="1678" spans="1:4" x14ac:dyDescent="0.25">
      <c r="A1678" t="s">
        <v>10645</v>
      </c>
      <c r="B1678">
        <v>152</v>
      </c>
      <c r="C1678" s="4">
        <v>959.01</v>
      </c>
      <c r="D1678">
        <v>2</v>
      </c>
    </row>
    <row r="1679" spans="1:4" x14ac:dyDescent="0.25">
      <c r="A1679" t="s">
        <v>10646</v>
      </c>
      <c r="B1679">
        <v>41</v>
      </c>
      <c r="C1679" s="4">
        <v>1006.98</v>
      </c>
      <c r="D1679">
        <v>3</v>
      </c>
    </row>
    <row r="1680" spans="1:4" x14ac:dyDescent="0.25">
      <c r="A1680" t="s">
        <v>10647</v>
      </c>
      <c r="B1680">
        <v>8</v>
      </c>
      <c r="C1680" s="4">
        <v>114.56</v>
      </c>
      <c r="D1680">
        <v>1</v>
      </c>
    </row>
    <row r="1681" spans="1:4" x14ac:dyDescent="0.25">
      <c r="A1681" t="s">
        <v>10648</v>
      </c>
      <c r="B1681">
        <v>20</v>
      </c>
      <c r="C1681" s="4">
        <v>344.9</v>
      </c>
      <c r="D1681">
        <v>1</v>
      </c>
    </row>
    <row r="1682" spans="1:4" x14ac:dyDescent="0.25">
      <c r="A1682" t="s">
        <v>10649</v>
      </c>
      <c r="B1682">
        <v>28</v>
      </c>
      <c r="C1682" s="4">
        <v>609.85</v>
      </c>
      <c r="D1682">
        <v>2</v>
      </c>
    </row>
    <row r="1683" spans="1:4" x14ac:dyDescent="0.25">
      <c r="A1683" t="s">
        <v>10650</v>
      </c>
      <c r="B1683">
        <v>16</v>
      </c>
      <c r="C1683" s="4">
        <v>443.6</v>
      </c>
      <c r="D1683">
        <v>1</v>
      </c>
    </row>
    <row r="1684" spans="1:4" x14ac:dyDescent="0.25">
      <c r="A1684" t="s">
        <v>10651</v>
      </c>
      <c r="B1684">
        <v>172</v>
      </c>
      <c r="C1684" s="4">
        <v>2984.49</v>
      </c>
      <c r="D1684">
        <v>6</v>
      </c>
    </row>
    <row r="1685" spans="1:4" x14ac:dyDescent="0.25">
      <c r="A1685" t="s">
        <v>10652</v>
      </c>
      <c r="B1685">
        <v>106</v>
      </c>
      <c r="C1685" s="4">
        <v>2125.08</v>
      </c>
      <c r="D1685">
        <v>6</v>
      </c>
    </row>
    <row r="1686" spans="1:4" x14ac:dyDescent="0.25">
      <c r="A1686" t="s">
        <v>10653</v>
      </c>
      <c r="B1686">
        <v>7</v>
      </c>
      <c r="C1686" s="4">
        <v>110.46</v>
      </c>
      <c r="D1686">
        <v>1</v>
      </c>
    </row>
    <row r="1687" spans="1:4" x14ac:dyDescent="0.25">
      <c r="A1687" t="s">
        <v>10654</v>
      </c>
      <c r="B1687">
        <v>2</v>
      </c>
      <c r="C1687" s="4">
        <v>96.12</v>
      </c>
      <c r="D1687">
        <v>1</v>
      </c>
    </row>
    <row r="1688" spans="1:4" x14ac:dyDescent="0.25">
      <c r="A1688" t="s">
        <v>10655</v>
      </c>
      <c r="B1688">
        <v>31</v>
      </c>
      <c r="C1688" s="4">
        <v>693.81</v>
      </c>
      <c r="D1688">
        <v>2</v>
      </c>
    </row>
    <row r="1689" spans="1:4" x14ac:dyDescent="0.25">
      <c r="A1689" t="s">
        <v>10656</v>
      </c>
      <c r="B1689">
        <v>26</v>
      </c>
      <c r="C1689" s="4">
        <v>830.76</v>
      </c>
      <c r="D1689">
        <v>2</v>
      </c>
    </row>
    <row r="1690" spans="1:4" x14ac:dyDescent="0.25">
      <c r="A1690" t="s">
        <v>10657</v>
      </c>
      <c r="B1690">
        <v>30</v>
      </c>
      <c r="C1690" s="4">
        <v>597.09</v>
      </c>
      <c r="D1690">
        <v>2</v>
      </c>
    </row>
    <row r="1691" spans="1:4" x14ac:dyDescent="0.25">
      <c r="A1691" t="s">
        <v>10658</v>
      </c>
      <c r="B1691">
        <v>2060</v>
      </c>
      <c r="C1691" s="4">
        <v>279138.02</v>
      </c>
      <c r="D1691">
        <v>72</v>
      </c>
    </row>
    <row r="1692" spans="1:4" x14ac:dyDescent="0.25">
      <c r="A1692" t="s">
        <v>10659</v>
      </c>
      <c r="B1692">
        <v>30</v>
      </c>
      <c r="C1692" s="4">
        <v>243.22</v>
      </c>
      <c r="D1692">
        <v>1</v>
      </c>
    </row>
    <row r="1693" spans="1:4" x14ac:dyDescent="0.25">
      <c r="A1693" t="s">
        <v>10660</v>
      </c>
      <c r="B1693">
        <v>199</v>
      </c>
      <c r="C1693" s="4">
        <v>1417.29</v>
      </c>
      <c r="D1693">
        <v>4</v>
      </c>
    </row>
    <row r="1694" spans="1:4" x14ac:dyDescent="0.25">
      <c r="A1694" t="s">
        <v>10661</v>
      </c>
      <c r="B1694">
        <v>102</v>
      </c>
      <c r="C1694" s="4">
        <v>654.6</v>
      </c>
      <c r="D1694">
        <v>2</v>
      </c>
    </row>
    <row r="1695" spans="1:4" x14ac:dyDescent="0.25">
      <c r="A1695" t="s">
        <v>10662</v>
      </c>
      <c r="B1695">
        <v>29</v>
      </c>
      <c r="C1695" s="4">
        <v>114.18</v>
      </c>
      <c r="D1695">
        <v>1</v>
      </c>
    </row>
    <row r="1696" spans="1:4" x14ac:dyDescent="0.25">
      <c r="A1696" t="s">
        <v>10663</v>
      </c>
      <c r="B1696">
        <v>236</v>
      </c>
      <c r="C1696" s="4">
        <v>1937.6</v>
      </c>
      <c r="D1696">
        <v>7</v>
      </c>
    </row>
    <row r="1697" spans="1:4" x14ac:dyDescent="0.25">
      <c r="A1697" t="s">
        <v>10664</v>
      </c>
      <c r="B1697">
        <v>49</v>
      </c>
      <c r="C1697" s="4">
        <v>1932.23</v>
      </c>
      <c r="D1697">
        <v>4</v>
      </c>
    </row>
    <row r="1698" spans="1:4" x14ac:dyDescent="0.25">
      <c r="A1698" t="s">
        <v>10665</v>
      </c>
      <c r="B1698">
        <v>80</v>
      </c>
      <c r="C1698" s="4">
        <v>291.05</v>
      </c>
      <c r="D1698">
        <v>2</v>
      </c>
    </row>
    <row r="1699" spans="1:4" x14ac:dyDescent="0.25">
      <c r="A1699" t="s">
        <v>10666</v>
      </c>
      <c r="B1699">
        <v>126</v>
      </c>
      <c r="C1699" s="4">
        <v>848.22</v>
      </c>
      <c r="D1699">
        <v>4</v>
      </c>
    </row>
    <row r="1700" spans="1:4" x14ac:dyDescent="0.25">
      <c r="A1700" t="s">
        <v>10667</v>
      </c>
      <c r="B1700">
        <v>29</v>
      </c>
      <c r="C1700" s="4">
        <v>247.15</v>
      </c>
      <c r="D1700">
        <v>2</v>
      </c>
    </row>
    <row r="1701" spans="1:4" x14ac:dyDescent="0.25">
      <c r="A1701" t="s">
        <v>10668</v>
      </c>
      <c r="B1701">
        <v>253</v>
      </c>
      <c r="C1701" s="4">
        <v>2529.9299999999998</v>
      </c>
      <c r="D1701">
        <v>9</v>
      </c>
    </row>
    <row r="1702" spans="1:4" x14ac:dyDescent="0.25">
      <c r="A1702" t="s">
        <v>10669</v>
      </c>
      <c r="B1702">
        <v>30</v>
      </c>
      <c r="C1702" s="4">
        <v>285.74</v>
      </c>
      <c r="D1702">
        <v>2</v>
      </c>
    </row>
    <row r="1703" spans="1:4" x14ac:dyDescent="0.25">
      <c r="A1703" t="s">
        <v>10670</v>
      </c>
      <c r="B1703">
        <v>4</v>
      </c>
      <c r="C1703" s="4">
        <v>107.95</v>
      </c>
      <c r="D1703">
        <v>1</v>
      </c>
    </row>
    <row r="1704" spans="1:4" x14ac:dyDescent="0.25">
      <c r="A1704" t="s">
        <v>10671</v>
      </c>
      <c r="B1704">
        <v>168</v>
      </c>
      <c r="C1704" s="4">
        <v>771.17</v>
      </c>
      <c r="D1704">
        <v>4</v>
      </c>
    </row>
    <row r="1705" spans="1:4" x14ac:dyDescent="0.25">
      <c r="A1705" t="s">
        <v>10672</v>
      </c>
      <c r="B1705">
        <v>99</v>
      </c>
      <c r="C1705" s="4">
        <v>637.89</v>
      </c>
      <c r="D1705">
        <v>2</v>
      </c>
    </row>
    <row r="1706" spans="1:4" x14ac:dyDescent="0.25">
      <c r="A1706" t="s">
        <v>10673</v>
      </c>
      <c r="B1706">
        <v>90</v>
      </c>
      <c r="C1706" s="4">
        <v>1835.7</v>
      </c>
      <c r="D1706">
        <v>5</v>
      </c>
    </row>
    <row r="1707" spans="1:4" x14ac:dyDescent="0.25">
      <c r="A1707" t="s">
        <v>10674</v>
      </c>
      <c r="B1707">
        <v>13</v>
      </c>
      <c r="C1707" s="4">
        <v>179.95</v>
      </c>
      <c r="D1707">
        <v>1</v>
      </c>
    </row>
    <row r="1708" spans="1:4" x14ac:dyDescent="0.25">
      <c r="A1708" t="s">
        <v>10675</v>
      </c>
      <c r="B1708">
        <v>572</v>
      </c>
      <c r="C1708" s="4">
        <v>9236.9500000000007</v>
      </c>
      <c r="D1708">
        <v>25</v>
      </c>
    </row>
    <row r="1709" spans="1:4" x14ac:dyDescent="0.25">
      <c r="A1709" t="s">
        <v>10676</v>
      </c>
      <c r="B1709">
        <v>170</v>
      </c>
      <c r="C1709" s="4">
        <v>1269.99</v>
      </c>
      <c r="D1709">
        <v>3</v>
      </c>
    </row>
    <row r="1710" spans="1:4" x14ac:dyDescent="0.25">
      <c r="A1710" t="s">
        <v>10677</v>
      </c>
      <c r="B1710">
        <v>132</v>
      </c>
      <c r="C1710" s="4">
        <v>411.53</v>
      </c>
      <c r="D1710">
        <v>2</v>
      </c>
    </row>
    <row r="1711" spans="1:4" x14ac:dyDescent="0.25">
      <c r="A1711" t="s">
        <v>10678</v>
      </c>
      <c r="B1711">
        <v>61</v>
      </c>
      <c r="C1711" s="4">
        <v>765.55</v>
      </c>
      <c r="D1711">
        <v>2</v>
      </c>
    </row>
    <row r="1712" spans="1:4" x14ac:dyDescent="0.25">
      <c r="A1712" t="s">
        <v>10679</v>
      </c>
      <c r="B1712">
        <v>74</v>
      </c>
      <c r="C1712" s="4">
        <v>1736.4</v>
      </c>
      <c r="D1712">
        <v>5</v>
      </c>
    </row>
    <row r="1713" spans="1:4" x14ac:dyDescent="0.25">
      <c r="A1713" t="s">
        <v>10680</v>
      </c>
      <c r="B1713">
        <v>102</v>
      </c>
      <c r="C1713" s="4">
        <v>604.75</v>
      </c>
      <c r="D1713">
        <v>1</v>
      </c>
    </row>
    <row r="1714" spans="1:4" x14ac:dyDescent="0.25">
      <c r="A1714" t="s">
        <v>10681</v>
      </c>
      <c r="B1714">
        <v>42</v>
      </c>
      <c r="C1714" s="4">
        <v>2548.2399999999998</v>
      </c>
      <c r="D1714">
        <v>6</v>
      </c>
    </row>
    <row r="1715" spans="1:4" x14ac:dyDescent="0.25">
      <c r="A1715" t="s">
        <v>10682</v>
      </c>
      <c r="B1715">
        <v>258</v>
      </c>
      <c r="C1715" s="4">
        <v>28754.11</v>
      </c>
      <c r="D1715">
        <v>16</v>
      </c>
    </row>
    <row r="1716" spans="1:4" x14ac:dyDescent="0.25">
      <c r="A1716" t="s">
        <v>10683</v>
      </c>
      <c r="B1716">
        <v>7</v>
      </c>
      <c r="C1716" s="4">
        <v>498.95</v>
      </c>
      <c r="D1716">
        <v>3</v>
      </c>
    </row>
    <row r="1717" spans="1:4" x14ac:dyDescent="0.25">
      <c r="A1717" t="s">
        <v>10684</v>
      </c>
      <c r="B1717">
        <v>2</v>
      </c>
      <c r="C1717" s="4">
        <v>52</v>
      </c>
      <c r="D1717">
        <v>2</v>
      </c>
    </row>
    <row r="1718" spans="1:4" x14ac:dyDescent="0.25">
      <c r="A1718" t="s">
        <v>10685</v>
      </c>
      <c r="B1718">
        <v>421</v>
      </c>
      <c r="C1718" s="4">
        <v>1236.28</v>
      </c>
      <c r="D1718">
        <v>5</v>
      </c>
    </row>
    <row r="1719" spans="1:4" x14ac:dyDescent="0.25">
      <c r="A1719" t="s">
        <v>10686</v>
      </c>
      <c r="B1719">
        <v>15</v>
      </c>
      <c r="C1719" s="4">
        <v>628.38</v>
      </c>
      <c r="D1719">
        <v>1</v>
      </c>
    </row>
    <row r="1720" spans="1:4" x14ac:dyDescent="0.25">
      <c r="A1720" t="s">
        <v>10687</v>
      </c>
      <c r="B1720">
        <v>327</v>
      </c>
      <c r="C1720" s="4">
        <v>5630.87</v>
      </c>
      <c r="D1720">
        <v>21</v>
      </c>
    </row>
    <row r="1721" spans="1:4" x14ac:dyDescent="0.25">
      <c r="A1721" t="s">
        <v>10688</v>
      </c>
      <c r="B1721">
        <v>13</v>
      </c>
      <c r="C1721" s="4">
        <v>112.8</v>
      </c>
      <c r="D1721">
        <v>1</v>
      </c>
    </row>
    <row r="1722" spans="1:4" x14ac:dyDescent="0.25">
      <c r="A1722" t="s">
        <v>10689</v>
      </c>
      <c r="B1722">
        <v>50</v>
      </c>
      <c r="C1722" s="4">
        <v>371.7</v>
      </c>
      <c r="D1722">
        <v>2</v>
      </c>
    </row>
    <row r="1723" spans="1:4" x14ac:dyDescent="0.25">
      <c r="A1723" t="s">
        <v>10690</v>
      </c>
      <c r="B1723">
        <v>71</v>
      </c>
      <c r="C1723" s="4">
        <v>2114.33</v>
      </c>
      <c r="D1723">
        <v>5</v>
      </c>
    </row>
    <row r="1724" spans="1:4" x14ac:dyDescent="0.25">
      <c r="A1724" t="s">
        <v>10691</v>
      </c>
      <c r="B1724">
        <v>68</v>
      </c>
      <c r="C1724" s="4">
        <v>591.54999999999995</v>
      </c>
      <c r="D1724">
        <v>4</v>
      </c>
    </row>
    <row r="1725" spans="1:4" x14ac:dyDescent="0.25">
      <c r="A1725" t="s">
        <v>10692</v>
      </c>
      <c r="B1725">
        <v>8</v>
      </c>
      <c r="C1725" s="4">
        <v>172.9</v>
      </c>
      <c r="D1725">
        <v>1</v>
      </c>
    </row>
    <row r="1726" spans="1:4" x14ac:dyDescent="0.25">
      <c r="A1726" t="s">
        <v>10693</v>
      </c>
      <c r="B1726">
        <v>130</v>
      </c>
      <c r="C1726" s="4">
        <v>2078.9499999999998</v>
      </c>
      <c r="D1726">
        <v>7</v>
      </c>
    </row>
    <row r="1727" spans="1:4" x14ac:dyDescent="0.25">
      <c r="A1727" t="s">
        <v>10694</v>
      </c>
      <c r="B1727">
        <v>22</v>
      </c>
      <c r="C1727" s="4">
        <v>188.61</v>
      </c>
      <c r="D1727">
        <v>2</v>
      </c>
    </row>
    <row r="1728" spans="1:4" x14ac:dyDescent="0.25">
      <c r="A1728" t="s">
        <v>10695</v>
      </c>
      <c r="B1728">
        <v>210</v>
      </c>
      <c r="C1728" s="4">
        <v>1250.76</v>
      </c>
      <c r="D1728">
        <v>5</v>
      </c>
    </row>
    <row r="1729" spans="1:4" x14ac:dyDescent="0.25">
      <c r="A1729" t="s">
        <v>10696</v>
      </c>
      <c r="B1729">
        <v>8</v>
      </c>
      <c r="C1729" s="4">
        <v>109.13</v>
      </c>
      <c r="D1729">
        <v>1</v>
      </c>
    </row>
    <row r="1730" spans="1:4" x14ac:dyDescent="0.25">
      <c r="A1730" t="s">
        <v>10697</v>
      </c>
      <c r="B1730">
        <v>115</v>
      </c>
      <c r="C1730" s="4">
        <v>2235.3000000000002</v>
      </c>
      <c r="D1730">
        <v>3</v>
      </c>
    </row>
    <row r="1731" spans="1:4" x14ac:dyDescent="0.25">
      <c r="A1731" t="s">
        <v>10698</v>
      </c>
      <c r="B1731">
        <v>335</v>
      </c>
      <c r="C1731" s="4">
        <v>2549.37</v>
      </c>
      <c r="D1731">
        <v>9</v>
      </c>
    </row>
    <row r="1732" spans="1:4" x14ac:dyDescent="0.25">
      <c r="A1732" t="s">
        <v>10699</v>
      </c>
      <c r="B1732">
        <v>347</v>
      </c>
      <c r="C1732" s="4">
        <v>3292.14</v>
      </c>
      <c r="D1732">
        <v>17</v>
      </c>
    </row>
    <row r="1733" spans="1:4" x14ac:dyDescent="0.25">
      <c r="A1733" t="s">
        <v>10700</v>
      </c>
      <c r="B1733">
        <v>22</v>
      </c>
      <c r="C1733" s="4">
        <v>318.17</v>
      </c>
      <c r="D1733">
        <v>1</v>
      </c>
    </row>
    <row r="1734" spans="1:4" x14ac:dyDescent="0.25">
      <c r="A1734" t="s">
        <v>10701</v>
      </c>
      <c r="B1734">
        <v>412</v>
      </c>
      <c r="C1734" s="4">
        <v>1514.57</v>
      </c>
      <c r="D1734">
        <v>7</v>
      </c>
    </row>
    <row r="1735" spans="1:4" x14ac:dyDescent="0.25">
      <c r="A1735" t="s">
        <v>10702</v>
      </c>
      <c r="B1735">
        <v>1</v>
      </c>
      <c r="C1735" s="4">
        <v>179</v>
      </c>
      <c r="D1735">
        <v>1</v>
      </c>
    </row>
    <row r="1736" spans="1:4" x14ac:dyDescent="0.25">
      <c r="A1736" t="s">
        <v>10703</v>
      </c>
      <c r="B1736">
        <v>28</v>
      </c>
      <c r="C1736" s="4">
        <v>1126.3699999999999</v>
      </c>
      <c r="D1736">
        <v>3</v>
      </c>
    </row>
    <row r="1737" spans="1:4" x14ac:dyDescent="0.25">
      <c r="A1737" t="s">
        <v>10704</v>
      </c>
      <c r="B1737">
        <v>196</v>
      </c>
      <c r="C1737" s="4">
        <v>4921.04</v>
      </c>
      <c r="D1737">
        <v>13</v>
      </c>
    </row>
    <row r="1738" spans="1:4" x14ac:dyDescent="0.25">
      <c r="A1738" t="s">
        <v>10705</v>
      </c>
      <c r="B1738">
        <v>139</v>
      </c>
      <c r="C1738" s="4">
        <v>606.13</v>
      </c>
      <c r="D1738">
        <v>4</v>
      </c>
    </row>
    <row r="1739" spans="1:4" x14ac:dyDescent="0.25">
      <c r="A1739" t="s">
        <v>10706</v>
      </c>
      <c r="B1739">
        <v>357</v>
      </c>
      <c r="C1739" s="4">
        <v>2868.8</v>
      </c>
      <c r="D1739">
        <v>11</v>
      </c>
    </row>
    <row r="1740" spans="1:4" x14ac:dyDescent="0.25">
      <c r="A1740" t="s">
        <v>10707</v>
      </c>
      <c r="B1740">
        <v>25</v>
      </c>
      <c r="C1740" s="4">
        <v>917.07</v>
      </c>
      <c r="D1740">
        <v>3</v>
      </c>
    </row>
    <row r="1741" spans="1:4" x14ac:dyDescent="0.25">
      <c r="A1741" t="s">
        <v>10708</v>
      </c>
      <c r="B1741">
        <v>339</v>
      </c>
      <c r="C1741" s="4">
        <v>2666.36</v>
      </c>
      <c r="D1741">
        <v>11</v>
      </c>
    </row>
    <row r="1742" spans="1:4" x14ac:dyDescent="0.25">
      <c r="A1742" t="s">
        <v>10709</v>
      </c>
      <c r="B1742">
        <v>10</v>
      </c>
      <c r="C1742" s="4">
        <v>160.19</v>
      </c>
      <c r="D1742">
        <v>1</v>
      </c>
    </row>
    <row r="1743" spans="1:4" x14ac:dyDescent="0.25">
      <c r="A1743" t="s">
        <v>10710</v>
      </c>
      <c r="B1743">
        <v>71</v>
      </c>
      <c r="C1743" s="4">
        <v>867.38</v>
      </c>
      <c r="D1743">
        <v>4</v>
      </c>
    </row>
    <row r="1744" spans="1:4" x14ac:dyDescent="0.25">
      <c r="A1744" t="s">
        <v>10711</v>
      </c>
      <c r="B1744">
        <v>55</v>
      </c>
      <c r="C1744" s="4">
        <v>329.68</v>
      </c>
      <c r="D1744">
        <v>2</v>
      </c>
    </row>
    <row r="1745" spans="1:4" x14ac:dyDescent="0.25">
      <c r="A1745" t="s">
        <v>10712</v>
      </c>
      <c r="B1745">
        <v>237</v>
      </c>
      <c r="C1745" s="4">
        <v>1602.13</v>
      </c>
      <c r="D1745">
        <v>5</v>
      </c>
    </row>
    <row r="1746" spans="1:4" x14ac:dyDescent="0.25">
      <c r="A1746" t="s">
        <v>10713</v>
      </c>
      <c r="B1746">
        <v>37</v>
      </c>
      <c r="C1746" s="4">
        <v>663.81</v>
      </c>
      <c r="D1746">
        <v>3</v>
      </c>
    </row>
    <row r="1747" spans="1:4" x14ac:dyDescent="0.25">
      <c r="A1747" t="s">
        <v>10714</v>
      </c>
      <c r="B1747">
        <v>29</v>
      </c>
      <c r="C1747" s="4">
        <v>187.92</v>
      </c>
      <c r="D1747">
        <v>1</v>
      </c>
    </row>
    <row r="1748" spans="1:4" x14ac:dyDescent="0.25">
      <c r="A1748" t="s">
        <v>10715</v>
      </c>
      <c r="B1748">
        <v>277</v>
      </c>
      <c r="C1748" s="4">
        <v>1156.5999999999999</v>
      </c>
      <c r="D1748">
        <v>6</v>
      </c>
    </row>
    <row r="1749" spans="1:4" x14ac:dyDescent="0.25">
      <c r="A1749" t="s">
        <v>10716</v>
      </c>
      <c r="B1749">
        <v>52</v>
      </c>
      <c r="C1749" s="4">
        <v>718.08</v>
      </c>
      <c r="D1749">
        <v>1</v>
      </c>
    </row>
    <row r="1750" spans="1:4" x14ac:dyDescent="0.25">
      <c r="A1750" t="s">
        <v>10717</v>
      </c>
      <c r="B1750">
        <v>10</v>
      </c>
      <c r="C1750" s="4">
        <v>268.58</v>
      </c>
      <c r="D1750">
        <v>1</v>
      </c>
    </row>
    <row r="1751" spans="1:4" x14ac:dyDescent="0.25">
      <c r="A1751" t="s">
        <v>10718</v>
      </c>
      <c r="B1751">
        <v>71</v>
      </c>
      <c r="C1751" s="4">
        <v>313.49</v>
      </c>
      <c r="D1751">
        <v>1</v>
      </c>
    </row>
    <row r="1752" spans="1:4" x14ac:dyDescent="0.25">
      <c r="A1752" t="s">
        <v>10719</v>
      </c>
      <c r="B1752">
        <v>501</v>
      </c>
      <c r="C1752" s="4">
        <v>2005.06</v>
      </c>
      <c r="D1752">
        <v>8</v>
      </c>
    </row>
    <row r="1753" spans="1:4" x14ac:dyDescent="0.25">
      <c r="A1753" t="s">
        <v>10720</v>
      </c>
      <c r="B1753">
        <v>45</v>
      </c>
      <c r="C1753" s="4">
        <v>380.02</v>
      </c>
      <c r="D1753">
        <v>3</v>
      </c>
    </row>
    <row r="1754" spans="1:4" x14ac:dyDescent="0.25">
      <c r="A1754" t="s">
        <v>10721</v>
      </c>
      <c r="B1754">
        <v>147</v>
      </c>
      <c r="C1754" s="4">
        <v>2702.49</v>
      </c>
      <c r="D1754">
        <v>8</v>
      </c>
    </row>
    <row r="1755" spans="1:4" x14ac:dyDescent="0.25">
      <c r="A1755" t="s">
        <v>10722</v>
      </c>
      <c r="B1755">
        <v>202</v>
      </c>
      <c r="C1755" s="4">
        <v>9585.91</v>
      </c>
      <c r="D1755">
        <v>12</v>
      </c>
    </row>
    <row r="1756" spans="1:4" x14ac:dyDescent="0.25">
      <c r="A1756" t="s">
        <v>10723</v>
      </c>
      <c r="B1756">
        <v>193</v>
      </c>
      <c r="C1756" s="4">
        <v>6050.69</v>
      </c>
      <c r="D1756">
        <v>31</v>
      </c>
    </row>
    <row r="1757" spans="1:4" x14ac:dyDescent="0.25">
      <c r="A1757" t="s">
        <v>10724</v>
      </c>
      <c r="B1757">
        <v>17</v>
      </c>
      <c r="C1757" s="4">
        <v>1164.55</v>
      </c>
      <c r="D1757">
        <v>3</v>
      </c>
    </row>
    <row r="1758" spans="1:4" x14ac:dyDescent="0.25">
      <c r="A1758" t="s">
        <v>10725</v>
      </c>
      <c r="B1758">
        <v>54</v>
      </c>
      <c r="C1758" s="4">
        <v>1314.45</v>
      </c>
      <c r="D1758">
        <v>7</v>
      </c>
    </row>
    <row r="1759" spans="1:4" x14ac:dyDescent="0.25">
      <c r="A1759" t="s">
        <v>10726</v>
      </c>
      <c r="B1759">
        <v>60</v>
      </c>
      <c r="C1759" s="4">
        <v>3902.28</v>
      </c>
      <c r="D1759">
        <v>7</v>
      </c>
    </row>
    <row r="1760" spans="1:4" x14ac:dyDescent="0.25">
      <c r="A1760" t="s">
        <v>10727</v>
      </c>
      <c r="B1760">
        <v>89</v>
      </c>
      <c r="C1760" s="4">
        <v>1448.21</v>
      </c>
      <c r="D1760">
        <v>3</v>
      </c>
    </row>
    <row r="1761" spans="1:4" x14ac:dyDescent="0.25">
      <c r="A1761" t="s">
        <v>10728</v>
      </c>
      <c r="B1761">
        <v>59</v>
      </c>
      <c r="C1761" s="4">
        <v>1400.34</v>
      </c>
      <c r="D1761">
        <v>6</v>
      </c>
    </row>
    <row r="1762" spans="1:4" x14ac:dyDescent="0.25">
      <c r="A1762" t="s">
        <v>10729</v>
      </c>
      <c r="B1762">
        <v>26</v>
      </c>
      <c r="C1762" s="4">
        <v>1099.98</v>
      </c>
      <c r="D1762">
        <v>7</v>
      </c>
    </row>
    <row r="1763" spans="1:4" x14ac:dyDescent="0.25">
      <c r="A1763" t="s">
        <v>10730</v>
      </c>
      <c r="B1763">
        <v>69</v>
      </c>
      <c r="C1763" s="4">
        <v>1220.26</v>
      </c>
      <c r="D1763">
        <v>5</v>
      </c>
    </row>
    <row r="1764" spans="1:4" x14ac:dyDescent="0.25">
      <c r="A1764" t="s">
        <v>10731</v>
      </c>
      <c r="B1764">
        <v>18</v>
      </c>
      <c r="C1764" s="4">
        <v>328.2</v>
      </c>
      <c r="D1764">
        <v>1</v>
      </c>
    </row>
    <row r="1765" spans="1:4" x14ac:dyDescent="0.25">
      <c r="A1765" t="s">
        <v>10732</v>
      </c>
      <c r="B1765">
        <v>89</v>
      </c>
      <c r="C1765" s="4">
        <v>1415.75</v>
      </c>
      <c r="D1765">
        <v>5</v>
      </c>
    </row>
    <row r="1766" spans="1:4" x14ac:dyDescent="0.25">
      <c r="A1766" t="s">
        <v>10733</v>
      </c>
      <c r="B1766">
        <v>5</v>
      </c>
      <c r="C1766" s="4">
        <v>389.64</v>
      </c>
      <c r="D1766">
        <v>1</v>
      </c>
    </row>
    <row r="1767" spans="1:4" x14ac:dyDescent="0.25">
      <c r="A1767" t="s">
        <v>10734</v>
      </c>
      <c r="B1767">
        <v>30</v>
      </c>
      <c r="C1767" s="4">
        <v>563.15</v>
      </c>
      <c r="D1767">
        <v>1</v>
      </c>
    </row>
    <row r="1768" spans="1:4" x14ac:dyDescent="0.25">
      <c r="A1768" t="s">
        <v>10735</v>
      </c>
      <c r="B1768">
        <v>41</v>
      </c>
      <c r="C1768" s="4">
        <v>638.04999999999995</v>
      </c>
      <c r="D1768">
        <v>2</v>
      </c>
    </row>
    <row r="1769" spans="1:4" x14ac:dyDescent="0.25">
      <c r="A1769" t="s">
        <v>10736</v>
      </c>
      <c r="B1769">
        <v>235</v>
      </c>
      <c r="C1769" s="4">
        <v>5010.28</v>
      </c>
      <c r="D1769">
        <v>11</v>
      </c>
    </row>
    <row r="1770" spans="1:4" x14ac:dyDescent="0.25">
      <c r="A1770" t="s">
        <v>10737</v>
      </c>
      <c r="B1770">
        <v>38</v>
      </c>
      <c r="C1770" s="4">
        <v>738.96</v>
      </c>
      <c r="D1770">
        <v>1</v>
      </c>
    </row>
    <row r="1771" spans="1:4" x14ac:dyDescent="0.25">
      <c r="A1771" t="s">
        <v>10738</v>
      </c>
      <c r="B1771">
        <v>19</v>
      </c>
      <c r="C1771" s="4">
        <v>420.5</v>
      </c>
      <c r="D1771">
        <v>1</v>
      </c>
    </row>
    <row r="1772" spans="1:4" x14ac:dyDescent="0.25">
      <c r="A1772" t="s">
        <v>10739</v>
      </c>
      <c r="B1772">
        <v>71</v>
      </c>
      <c r="C1772" s="4">
        <v>1484.06</v>
      </c>
      <c r="D1772">
        <v>4</v>
      </c>
    </row>
    <row r="1773" spans="1:4" x14ac:dyDescent="0.25">
      <c r="A1773" t="s">
        <v>10740</v>
      </c>
      <c r="B1773">
        <v>102</v>
      </c>
      <c r="C1773" s="4">
        <v>1625.97</v>
      </c>
      <c r="D1773">
        <v>3</v>
      </c>
    </row>
    <row r="1774" spans="1:4" x14ac:dyDescent="0.25">
      <c r="A1774" t="s">
        <v>10741</v>
      </c>
      <c r="B1774">
        <v>5</v>
      </c>
      <c r="C1774" s="4">
        <v>89.2</v>
      </c>
      <c r="D1774">
        <v>1</v>
      </c>
    </row>
    <row r="1775" spans="1:4" x14ac:dyDescent="0.25">
      <c r="A1775" t="s">
        <v>10742</v>
      </c>
      <c r="B1775">
        <v>11</v>
      </c>
      <c r="C1775" s="4">
        <v>255.9</v>
      </c>
      <c r="D1775">
        <v>2</v>
      </c>
    </row>
    <row r="1776" spans="1:4" x14ac:dyDescent="0.25">
      <c r="A1776" t="s">
        <v>10743</v>
      </c>
      <c r="B1776">
        <v>21</v>
      </c>
      <c r="C1776" s="4">
        <v>300.52</v>
      </c>
      <c r="D1776">
        <v>1</v>
      </c>
    </row>
    <row r="1777" spans="1:4" x14ac:dyDescent="0.25">
      <c r="A1777" t="s">
        <v>10744</v>
      </c>
      <c r="B1777">
        <v>6</v>
      </c>
      <c r="C1777" s="4">
        <v>278.3</v>
      </c>
      <c r="D1777">
        <v>1</v>
      </c>
    </row>
    <row r="1778" spans="1:4" x14ac:dyDescent="0.25">
      <c r="A1778" t="s">
        <v>10745</v>
      </c>
      <c r="B1778">
        <v>39</v>
      </c>
      <c r="C1778" s="4">
        <v>254.11</v>
      </c>
      <c r="D1778">
        <v>3</v>
      </c>
    </row>
    <row r="1779" spans="1:4" x14ac:dyDescent="0.25">
      <c r="A1779" t="s">
        <v>10746</v>
      </c>
      <c r="B1779">
        <v>135</v>
      </c>
      <c r="C1779" s="4">
        <v>2473.37</v>
      </c>
      <c r="D1779">
        <v>6</v>
      </c>
    </row>
    <row r="1780" spans="1:4" x14ac:dyDescent="0.25">
      <c r="A1780" t="s">
        <v>10747</v>
      </c>
      <c r="B1780">
        <v>5</v>
      </c>
      <c r="C1780" s="4">
        <v>192.6</v>
      </c>
      <c r="D1780">
        <v>2</v>
      </c>
    </row>
    <row r="1781" spans="1:4" x14ac:dyDescent="0.25">
      <c r="A1781" t="s">
        <v>10748</v>
      </c>
      <c r="B1781">
        <v>1089</v>
      </c>
      <c r="C1781" s="4">
        <v>10673.1</v>
      </c>
      <c r="D1781">
        <v>8</v>
      </c>
    </row>
    <row r="1782" spans="1:4" x14ac:dyDescent="0.25">
      <c r="A1782" t="s">
        <v>10749</v>
      </c>
      <c r="B1782">
        <v>52</v>
      </c>
      <c r="C1782" s="4">
        <v>876.42</v>
      </c>
      <c r="D1782">
        <v>2</v>
      </c>
    </row>
    <row r="1783" spans="1:4" x14ac:dyDescent="0.25">
      <c r="A1783" t="s">
        <v>10750</v>
      </c>
      <c r="B1783">
        <v>9</v>
      </c>
      <c r="C1783" s="4">
        <v>139.26</v>
      </c>
      <c r="D1783">
        <v>1</v>
      </c>
    </row>
    <row r="1784" spans="1:4" x14ac:dyDescent="0.25">
      <c r="A1784" t="s">
        <v>10751</v>
      </c>
      <c r="B1784">
        <v>60</v>
      </c>
      <c r="C1784" s="4">
        <v>1011.9</v>
      </c>
      <c r="D1784">
        <v>3</v>
      </c>
    </row>
    <row r="1785" spans="1:4" x14ac:dyDescent="0.25">
      <c r="A1785" t="s">
        <v>10752</v>
      </c>
      <c r="B1785">
        <v>117</v>
      </c>
      <c r="C1785" s="4">
        <v>2538.3000000000002</v>
      </c>
      <c r="D1785">
        <v>11</v>
      </c>
    </row>
    <row r="1786" spans="1:4" x14ac:dyDescent="0.25">
      <c r="A1786" t="s">
        <v>10753</v>
      </c>
      <c r="B1786">
        <v>35</v>
      </c>
      <c r="C1786" s="4">
        <v>730.86</v>
      </c>
      <c r="D1786">
        <v>2</v>
      </c>
    </row>
    <row r="1787" spans="1:4" x14ac:dyDescent="0.25">
      <c r="A1787" t="s">
        <v>10754</v>
      </c>
      <c r="B1787">
        <v>41</v>
      </c>
      <c r="C1787" s="4">
        <v>386.15</v>
      </c>
      <c r="D1787">
        <v>3</v>
      </c>
    </row>
    <row r="1788" spans="1:4" x14ac:dyDescent="0.25">
      <c r="A1788" t="s">
        <v>10755</v>
      </c>
      <c r="B1788">
        <v>27</v>
      </c>
      <c r="C1788" s="4">
        <v>447.68</v>
      </c>
      <c r="D1788">
        <v>2</v>
      </c>
    </row>
    <row r="1789" spans="1:4" x14ac:dyDescent="0.25">
      <c r="A1789" t="s">
        <v>10756</v>
      </c>
      <c r="B1789">
        <v>6</v>
      </c>
      <c r="C1789" s="4">
        <v>200.1</v>
      </c>
      <c r="D1789">
        <v>1</v>
      </c>
    </row>
    <row r="1790" spans="1:4" x14ac:dyDescent="0.25">
      <c r="A1790" t="s">
        <v>10757</v>
      </c>
      <c r="B1790">
        <v>15</v>
      </c>
      <c r="C1790" s="4">
        <v>289.99</v>
      </c>
      <c r="D1790">
        <v>2</v>
      </c>
    </row>
    <row r="1791" spans="1:4" x14ac:dyDescent="0.25">
      <c r="A1791" t="s">
        <v>10758</v>
      </c>
      <c r="B1791">
        <v>3</v>
      </c>
      <c r="C1791" s="4">
        <v>77.400000000000006</v>
      </c>
      <c r="D1791">
        <v>2</v>
      </c>
    </row>
    <row r="1792" spans="1:4" x14ac:dyDescent="0.25">
      <c r="A1792" t="s">
        <v>10759</v>
      </c>
      <c r="B1792">
        <v>30</v>
      </c>
      <c r="C1792" s="4">
        <v>679.44</v>
      </c>
      <c r="D1792">
        <v>2</v>
      </c>
    </row>
    <row r="1793" spans="1:4" x14ac:dyDescent="0.25">
      <c r="A1793" t="s">
        <v>10760</v>
      </c>
      <c r="B1793">
        <v>6</v>
      </c>
      <c r="C1793" s="4">
        <v>197.64</v>
      </c>
      <c r="D1793">
        <v>1</v>
      </c>
    </row>
    <row r="1794" spans="1:4" x14ac:dyDescent="0.25">
      <c r="A1794" t="s">
        <v>10761</v>
      </c>
      <c r="B1794">
        <v>46</v>
      </c>
      <c r="C1794" s="4">
        <v>745.06</v>
      </c>
      <c r="D1794">
        <v>4</v>
      </c>
    </row>
    <row r="1795" spans="1:4" x14ac:dyDescent="0.25">
      <c r="A1795" t="s">
        <v>10762</v>
      </c>
      <c r="B1795">
        <v>2</v>
      </c>
      <c r="C1795" s="4">
        <v>6.2</v>
      </c>
      <c r="D1795">
        <v>1</v>
      </c>
    </row>
    <row r="1796" spans="1:4" x14ac:dyDescent="0.25">
      <c r="A1796" t="s">
        <v>10763</v>
      </c>
      <c r="B1796">
        <v>14</v>
      </c>
      <c r="C1796" s="4">
        <v>228.99</v>
      </c>
      <c r="D1796">
        <v>1</v>
      </c>
    </row>
    <row r="1797" spans="1:4" x14ac:dyDescent="0.25">
      <c r="A1797" t="s">
        <v>10764</v>
      </c>
      <c r="B1797">
        <v>80</v>
      </c>
      <c r="C1797" s="4">
        <v>1319.91</v>
      </c>
      <c r="D1797">
        <v>7</v>
      </c>
    </row>
    <row r="1798" spans="1:4" x14ac:dyDescent="0.25">
      <c r="A1798" t="s">
        <v>10765</v>
      </c>
      <c r="B1798">
        <v>6</v>
      </c>
      <c r="C1798" s="4">
        <v>131.44999999999999</v>
      </c>
      <c r="D1798">
        <v>1</v>
      </c>
    </row>
    <row r="1799" spans="1:4" x14ac:dyDescent="0.25">
      <c r="A1799" t="s">
        <v>10766</v>
      </c>
      <c r="B1799">
        <v>1140</v>
      </c>
      <c r="C1799" s="4">
        <v>8020.93</v>
      </c>
      <c r="D1799">
        <v>17</v>
      </c>
    </row>
    <row r="1800" spans="1:4" x14ac:dyDescent="0.25">
      <c r="A1800" t="s">
        <v>10767</v>
      </c>
      <c r="B1800">
        <v>12</v>
      </c>
      <c r="C1800" s="4">
        <v>173.74</v>
      </c>
      <c r="D1800">
        <v>3</v>
      </c>
    </row>
    <row r="1801" spans="1:4" x14ac:dyDescent="0.25">
      <c r="A1801" t="s">
        <v>10768</v>
      </c>
      <c r="B1801">
        <v>13</v>
      </c>
      <c r="C1801" s="4">
        <v>157.69999999999999</v>
      </c>
      <c r="D1801">
        <v>1</v>
      </c>
    </row>
    <row r="1802" spans="1:4" x14ac:dyDescent="0.25">
      <c r="A1802" t="s">
        <v>10769</v>
      </c>
      <c r="B1802">
        <v>385</v>
      </c>
      <c r="C1802" s="4">
        <v>4339.74</v>
      </c>
      <c r="D1802">
        <v>12</v>
      </c>
    </row>
    <row r="1803" spans="1:4" x14ac:dyDescent="0.25">
      <c r="A1803" t="s">
        <v>10770</v>
      </c>
      <c r="B1803">
        <v>59</v>
      </c>
      <c r="C1803" s="4">
        <v>193.14</v>
      </c>
      <c r="D1803">
        <v>1</v>
      </c>
    </row>
    <row r="1804" spans="1:4" x14ac:dyDescent="0.25">
      <c r="A1804" t="s">
        <v>10771</v>
      </c>
      <c r="B1804">
        <v>44</v>
      </c>
      <c r="C1804" s="4">
        <v>845.55</v>
      </c>
      <c r="D1804">
        <v>3</v>
      </c>
    </row>
    <row r="1805" spans="1:4" x14ac:dyDescent="0.25">
      <c r="A1805" t="s">
        <v>10772</v>
      </c>
      <c r="B1805">
        <v>12</v>
      </c>
      <c r="C1805" s="4">
        <v>353.27</v>
      </c>
      <c r="D1805">
        <v>1</v>
      </c>
    </row>
    <row r="1806" spans="1:4" x14ac:dyDescent="0.25">
      <c r="A1806" t="s">
        <v>10773</v>
      </c>
      <c r="B1806">
        <v>47</v>
      </c>
      <c r="C1806" s="4">
        <v>554.65</v>
      </c>
      <c r="D1806">
        <v>4</v>
      </c>
    </row>
    <row r="1807" spans="1:4" x14ac:dyDescent="0.25">
      <c r="A1807" t="s">
        <v>10774</v>
      </c>
      <c r="B1807">
        <v>11</v>
      </c>
      <c r="C1807" s="4">
        <v>193.39</v>
      </c>
      <c r="D1807">
        <v>1</v>
      </c>
    </row>
    <row r="1808" spans="1:4" x14ac:dyDescent="0.25">
      <c r="A1808" t="s">
        <v>10775</v>
      </c>
      <c r="B1808">
        <v>235</v>
      </c>
      <c r="C1808" s="4">
        <v>2741.17</v>
      </c>
      <c r="D1808">
        <v>8</v>
      </c>
    </row>
    <row r="1809" spans="1:4" x14ac:dyDescent="0.25">
      <c r="A1809" t="s">
        <v>10776</v>
      </c>
      <c r="B1809">
        <v>255</v>
      </c>
      <c r="C1809" s="4">
        <v>2087.88</v>
      </c>
      <c r="D1809">
        <v>11</v>
      </c>
    </row>
    <row r="1810" spans="1:4" x14ac:dyDescent="0.25">
      <c r="A1810" t="s">
        <v>10777</v>
      </c>
      <c r="B1810">
        <v>30</v>
      </c>
      <c r="C1810" s="4">
        <v>155.43</v>
      </c>
      <c r="D1810">
        <v>2</v>
      </c>
    </row>
    <row r="1811" spans="1:4" x14ac:dyDescent="0.25">
      <c r="A1811" t="s">
        <v>10778</v>
      </c>
      <c r="B1811">
        <v>53</v>
      </c>
      <c r="C1811" s="4">
        <v>778.5</v>
      </c>
      <c r="D1811">
        <v>2</v>
      </c>
    </row>
    <row r="1812" spans="1:4" x14ac:dyDescent="0.25">
      <c r="A1812" t="s">
        <v>10779</v>
      </c>
      <c r="B1812">
        <v>4</v>
      </c>
      <c r="C1812" s="4">
        <v>271.85000000000002</v>
      </c>
      <c r="D1812">
        <v>1</v>
      </c>
    </row>
    <row r="1813" spans="1:4" x14ac:dyDescent="0.25">
      <c r="A1813" t="s">
        <v>10780</v>
      </c>
      <c r="B1813">
        <v>61</v>
      </c>
      <c r="C1813" s="4">
        <v>1010.34</v>
      </c>
      <c r="D1813">
        <v>2</v>
      </c>
    </row>
    <row r="1814" spans="1:4" x14ac:dyDescent="0.25">
      <c r="A1814" t="s">
        <v>10781</v>
      </c>
      <c r="B1814">
        <v>48</v>
      </c>
      <c r="C1814" s="4">
        <v>657.8</v>
      </c>
      <c r="D1814">
        <v>3</v>
      </c>
    </row>
    <row r="1815" spans="1:4" x14ac:dyDescent="0.25">
      <c r="A1815" t="s">
        <v>10782</v>
      </c>
      <c r="B1815">
        <v>13</v>
      </c>
      <c r="C1815" s="4">
        <v>272.07</v>
      </c>
      <c r="D1815">
        <v>2</v>
      </c>
    </row>
    <row r="1816" spans="1:4" x14ac:dyDescent="0.25">
      <c r="A1816" t="s">
        <v>10783</v>
      </c>
      <c r="B1816">
        <v>29</v>
      </c>
      <c r="C1816" s="4">
        <v>507.29</v>
      </c>
      <c r="D1816">
        <v>4</v>
      </c>
    </row>
    <row r="1817" spans="1:4" x14ac:dyDescent="0.25">
      <c r="A1817" t="s">
        <v>10784</v>
      </c>
      <c r="B1817">
        <v>2</v>
      </c>
      <c r="C1817" s="4">
        <v>48.8</v>
      </c>
      <c r="D1817">
        <v>1</v>
      </c>
    </row>
    <row r="1818" spans="1:4" x14ac:dyDescent="0.25">
      <c r="A1818" t="s">
        <v>10785</v>
      </c>
      <c r="B1818">
        <v>70</v>
      </c>
      <c r="C1818" s="4">
        <v>321.43</v>
      </c>
      <c r="D1818">
        <v>3</v>
      </c>
    </row>
    <row r="1819" spans="1:4" x14ac:dyDescent="0.25">
      <c r="A1819" t="s">
        <v>10786</v>
      </c>
      <c r="B1819">
        <v>29</v>
      </c>
      <c r="C1819" s="4">
        <v>1127.71</v>
      </c>
      <c r="D1819">
        <v>4</v>
      </c>
    </row>
    <row r="1820" spans="1:4" x14ac:dyDescent="0.25">
      <c r="A1820" t="s">
        <v>10787</v>
      </c>
      <c r="B1820">
        <v>121</v>
      </c>
      <c r="C1820" s="4">
        <v>2226.91</v>
      </c>
      <c r="D1820">
        <v>12</v>
      </c>
    </row>
    <row r="1821" spans="1:4" x14ac:dyDescent="0.25">
      <c r="A1821" t="s">
        <v>10788</v>
      </c>
      <c r="B1821">
        <v>17</v>
      </c>
      <c r="C1821" s="4">
        <v>2139.7600000000002</v>
      </c>
      <c r="D1821">
        <v>3</v>
      </c>
    </row>
    <row r="1822" spans="1:4" x14ac:dyDescent="0.25">
      <c r="A1822" t="s">
        <v>10789</v>
      </c>
      <c r="B1822">
        <v>42</v>
      </c>
      <c r="C1822" s="4">
        <v>697.55</v>
      </c>
      <c r="D1822">
        <v>4</v>
      </c>
    </row>
    <row r="1823" spans="1:4" x14ac:dyDescent="0.25">
      <c r="A1823" t="s">
        <v>10790</v>
      </c>
      <c r="B1823">
        <v>39</v>
      </c>
      <c r="C1823" s="4">
        <v>196.28</v>
      </c>
      <c r="D1823">
        <v>1</v>
      </c>
    </row>
    <row r="1824" spans="1:4" x14ac:dyDescent="0.25">
      <c r="A1824" t="s">
        <v>10791</v>
      </c>
      <c r="B1824">
        <v>67</v>
      </c>
      <c r="C1824" s="4">
        <v>1720.3</v>
      </c>
      <c r="D1824">
        <v>6</v>
      </c>
    </row>
    <row r="1825" spans="1:4" x14ac:dyDescent="0.25">
      <c r="A1825" t="s">
        <v>10792</v>
      </c>
      <c r="B1825">
        <v>6</v>
      </c>
      <c r="C1825" s="4">
        <v>102.45</v>
      </c>
      <c r="D1825">
        <v>3</v>
      </c>
    </row>
    <row r="1826" spans="1:4" x14ac:dyDescent="0.25">
      <c r="A1826" t="s">
        <v>10793</v>
      </c>
      <c r="B1826">
        <v>108</v>
      </c>
      <c r="C1826" s="4">
        <v>1649.5</v>
      </c>
      <c r="D1826">
        <v>4</v>
      </c>
    </row>
    <row r="1827" spans="1:4" x14ac:dyDescent="0.25">
      <c r="A1827" t="s">
        <v>10794</v>
      </c>
      <c r="B1827">
        <v>4</v>
      </c>
      <c r="C1827" s="4">
        <v>62.85</v>
      </c>
      <c r="D1827">
        <v>1</v>
      </c>
    </row>
    <row r="1828" spans="1:4" x14ac:dyDescent="0.25">
      <c r="A1828" t="s">
        <v>10795</v>
      </c>
      <c r="B1828">
        <v>138</v>
      </c>
      <c r="C1828" s="4">
        <v>3295.76</v>
      </c>
      <c r="D1828">
        <v>6</v>
      </c>
    </row>
    <row r="1829" spans="1:4" x14ac:dyDescent="0.25">
      <c r="A1829" t="s">
        <v>10796</v>
      </c>
      <c r="B1829">
        <v>145</v>
      </c>
      <c r="C1829" s="4">
        <v>2824.69</v>
      </c>
      <c r="D1829">
        <v>4</v>
      </c>
    </row>
    <row r="1830" spans="1:4" x14ac:dyDescent="0.25">
      <c r="A1830" t="s">
        <v>10797</v>
      </c>
      <c r="B1830">
        <v>130</v>
      </c>
      <c r="C1830" s="4">
        <v>3189.81</v>
      </c>
      <c r="D1830">
        <v>4</v>
      </c>
    </row>
    <row r="1831" spans="1:4" x14ac:dyDescent="0.25">
      <c r="A1831" t="s">
        <v>10798</v>
      </c>
      <c r="B1831">
        <v>13</v>
      </c>
      <c r="C1831" s="4">
        <v>309.39999999999998</v>
      </c>
      <c r="D1831">
        <v>1</v>
      </c>
    </row>
    <row r="1832" spans="1:4" x14ac:dyDescent="0.25">
      <c r="A1832" t="s">
        <v>10799</v>
      </c>
      <c r="B1832">
        <v>388</v>
      </c>
      <c r="C1832" s="4">
        <v>7930.54</v>
      </c>
      <c r="D1832">
        <v>25</v>
      </c>
    </row>
    <row r="1833" spans="1:4" x14ac:dyDescent="0.25">
      <c r="A1833" t="s">
        <v>10800</v>
      </c>
      <c r="B1833">
        <v>21</v>
      </c>
      <c r="C1833" s="4">
        <v>325.75</v>
      </c>
      <c r="D1833">
        <v>1</v>
      </c>
    </row>
    <row r="1834" spans="1:4" x14ac:dyDescent="0.25">
      <c r="A1834" t="s">
        <v>10801</v>
      </c>
      <c r="B1834">
        <v>28</v>
      </c>
      <c r="C1834" s="4">
        <v>511.35</v>
      </c>
      <c r="D1834">
        <v>2</v>
      </c>
    </row>
    <row r="1835" spans="1:4" x14ac:dyDescent="0.25">
      <c r="A1835" t="s">
        <v>10802</v>
      </c>
      <c r="B1835">
        <v>143</v>
      </c>
      <c r="C1835" s="4">
        <v>2836.69</v>
      </c>
      <c r="D1835">
        <v>6</v>
      </c>
    </row>
    <row r="1836" spans="1:4" x14ac:dyDescent="0.25">
      <c r="A1836" t="s">
        <v>10803</v>
      </c>
      <c r="B1836">
        <v>9</v>
      </c>
      <c r="C1836" s="4">
        <v>475.8</v>
      </c>
      <c r="D1836">
        <v>2</v>
      </c>
    </row>
    <row r="1837" spans="1:4" x14ac:dyDescent="0.25">
      <c r="A1837" t="s">
        <v>10804</v>
      </c>
      <c r="B1837">
        <v>127</v>
      </c>
      <c r="C1837" s="4">
        <v>2759.83</v>
      </c>
      <c r="D1837">
        <v>7</v>
      </c>
    </row>
    <row r="1838" spans="1:4" x14ac:dyDescent="0.25">
      <c r="A1838" t="s">
        <v>10805</v>
      </c>
      <c r="B1838">
        <v>20</v>
      </c>
      <c r="C1838" s="4">
        <v>645.65</v>
      </c>
      <c r="D1838">
        <v>2</v>
      </c>
    </row>
    <row r="1839" spans="1:4" x14ac:dyDescent="0.25">
      <c r="A1839" t="s">
        <v>10806</v>
      </c>
      <c r="B1839">
        <v>66</v>
      </c>
      <c r="C1839" s="4">
        <v>1311.38</v>
      </c>
      <c r="D1839">
        <v>3</v>
      </c>
    </row>
    <row r="1840" spans="1:4" x14ac:dyDescent="0.25">
      <c r="A1840" t="s">
        <v>10807</v>
      </c>
      <c r="B1840">
        <v>60</v>
      </c>
      <c r="C1840" s="4">
        <v>1173.1199999999999</v>
      </c>
      <c r="D1840">
        <v>2</v>
      </c>
    </row>
    <row r="1841" spans="1:4" x14ac:dyDescent="0.25">
      <c r="A1841" t="s">
        <v>10808</v>
      </c>
      <c r="B1841">
        <v>58</v>
      </c>
      <c r="C1841" s="4">
        <v>1353.74</v>
      </c>
      <c r="D1841">
        <v>4</v>
      </c>
    </row>
    <row r="1842" spans="1:4" x14ac:dyDescent="0.25">
      <c r="A1842" t="s">
        <v>10809</v>
      </c>
      <c r="B1842">
        <v>11</v>
      </c>
      <c r="C1842" s="4">
        <v>170.32</v>
      </c>
      <c r="D1842">
        <v>1</v>
      </c>
    </row>
    <row r="1843" spans="1:4" x14ac:dyDescent="0.25">
      <c r="A1843" t="s">
        <v>10810</v>
      </c>
      <c r="B1843">
        <v>6</v>
      </c>
      <c r="C1843" s="4">
        <v>125.79</v>
      </c>
      <c r="D1843">
        <v>1</v>
      </c>
    </row>
    <row r="1844" spans="1:4" x14ac:dyDescent="0.25">
      <c r="A1844" t="s">
        <v>10811</v>
      </c>
      <c r="B1844">
        <v>48</v>
      </c>
      <c r="C1844" s="4">
        <v>841.2</v>
      </c>
      <c r="D1844">
        <v>2</v>
      </c>
    </row>
    <row r="1845" spans="1:4" x14ac:dyDescent="0.25">
      <c r="A1845" t="s">
        <v>10812</v>
      </c>
      <c r="B1845">
        <v>11</v>
      </c>
      <c r="C1845" s="4">
        <v>266.76</v>
      </c>
      <c r="D1845">
        <v>1</v>
      </c>
    </row>
    <row r="1846" spans="1:4" x14ac:dyDescent="0.25">
      <c r="A1846" t="s">
        <v>10813</v>
      </c>
      <c r="B1846">
        <v>4</v>
      </c>
      <c r="C1846" s="4">
        <v>52.2</v>
      </c>
      <c r="D1846">
        <v>2</v>
      </c>
    </row>
    <row r="1847" spans="1:4" x14ac:dyDescent="0.25">
      <c r="A1847" t="s">
        <v>10814</v>
      </c>
      <c r="B1847">
        <v>98</v>
      </c>
      <c r="C1847" s="4">
        <v>14353.4</v>
      </c>
      <c r="D1847">
        <v>11</v>
      </c>
    </row>
    <row r="1848" spans="1:4" x14ac:dyDescent="0.25">
      <c r="A1848" t="s">
        <v>10815</v>
      </c>
      <c r="B1848">
        <v>36</v>
      </c>
      <c r="C1848" s="4">
        <v>710.28</v>
      </c>
      <c r="D1848">
        <v>3</v>
      </c>
    </row>
    <row r="1849" spans="1:4" x14ac:dyDescent="0.25">
      <c r="A1849" t="s">
        <v>10816</v>
      </c>
      <c r="B1849">
        <v>144</v>
      </c>
      <c r="C1849" s="4">
        <v>2953.59</v>
      </c>
      <c r="D1849">
        <v>8</v>
      </c>
    </row>
    <row r="1850" spans="1:4" x14ac:dyDescent="0.25">
      <c r="A1850" t="s">
        <v>10817</v>
      </c>
      <c r="B1850">
        <v>71</v>
      </c>
      <c r="C1850" s="4">
        <v>725.7</v>
      </c>
      <c r="D1850">
        <v>2</v>
      </c>
    </row>
    <row r="1851" spans="1:4" x14ac:dyDescent="0.25">
      <c r="A1851" t="s">
        <v>10818</v>
      </c>
      <c r="B1851">
        <v>13</v>
      </c>
      <c r="C1851" s="4">
        <v>327.25</v>
      </c>
      <c r="D1851">
        <v>1</v>
      </c>
    </row>
    <row r="1852" spans="1:4" x14ac:dyDescent="0.25">
      <c r="A1852" t="s">
        <v>10819</v>
      </c>
      <c r="B1852">
        <v>98</v>
      </c>
      <c r="C1852" s="4">
        <v>522.38</v>
      </c>
      <c r="D1852">
        <v>4</v>
      </c>
    </row>
    <row r="1853" spans="1:4" x14ac:dyDescent="0.25">
      <c r="A1853" t="s">
        <v>10820</v>
      </c>
      <c r="B1853">
        <v>28</v>
      </c>
      <c r="C1853" s="4">
        <v>519.67999999999995</v>
      </c>
      <c r="D1853">
        <v>1</v>
      </c>
    </row>
    <row r="1854" spans="1:4" x14ac:dyDescent="0.25">
      <c r="A1854" t="s">
        <v>10821</v>
      </c>
      <c r="B1854">
        <v>47</v>
      </c>
      <c r="C1854" s="4">
        <v>1465.32</v>
      </c>
      <c r="D1854">
        <v>2</v>
      </c>
    </row>
    <row r="1855" spans="1:4" x14ac:dyDescent="0.25">
      <c r="A1855" t="s">
        <v>10822</v>
      </c>
      <c r="B1855">
        <v>124</v>
      </c>
      <c r="C1855" s="4">
        <v>1485.54</v>
      </c>
      <c r="D1855">
        <v>9</v>
      </c>
    </row>
    <row r="1856" spans="1:4" x14ac:dyDescent="0.25">
      <c r="A1856" t="s">
        <v>10823</v>
      </c>
      <c r="B1856">
        <v>47</v>
      </c>
      <c r="C1856" s="4">
        <v>706.19</v>
      </c>
      <c r="D1856">
        <v>3</v>
      </c>
    </row>
    <row r="1857" spans="1:4" x14ac:dyDescent="0.25">
      <c r="A1857" t="s">
        <v>10824</v>
      </c>
      <c r="B1857">
        <v>17</v>
      </c>
      <c r="C1857" s="4">
        <v>255.4</v>
      </c>
      <c r="D1857">
        <v>1</v>
      </c>
    </row>
    <row r="1858" spans="1:4" x14ac:dyDescent="0.25">
      <c r="A1858" t="s">
        <v>10825</v>
      </c>
      <c r="B1858">
        <v>11</v>
      </c>
      <c r="C1858" s="4">
        <v>589.70000000000005</v>
      </c>
      <c r="D1858">
        <v>2</v>
      </c>
    </row>
    <row r="1859" spans="1:4" x14ac:dyDescent="0.25">
      <c r="A1859" t="s">
        <v>10826</v>
      </c>
      <c r="B1859">
        <v>53</v>
      </c>
      <c r="C1859" s="4">
        <v>761.59</v>
      </c>
      <c r="D1859">
        <v>6</v>
      </c>
    </row>
    <row r="1860" spans="1:4" x14ac:dyDescent="0.25">
      <c r="A1860" t="s">
        <v>10827</v>
      </c>
      <c r="B1860">
        <v>15</v>
      </c>
      <c r="C1860" s="4">
        <v>765.32</v>
      </c>
      <c r="D1860">
        <v>1</v>
      </c>
    </row>
    <row r="1861" spans="1:4" x14ac:dyDescent="0.25">
      <c r="A1861" t="s">
        <v>10828</v>
      </c>
      <c r="B1861">
        <v>18</v>
      </c>
      <c r="C1861" s="4">
        <v>364.8</v>
      </c>
      <c r="D1861">
        <v>1</v>
      </c>
    </row>
    <row r="1862" spans="1:4" x14ac:dyDescent="0.25">
      <c r="A1862" t="s">
        <v>10829</v>
      </c>
      <c r="B1862">
        <v>6</v>
      </c>
      <c r="C1862" s="4">
        <v>1862</v>
      </c>
      <c r="D1862">
        <v>1</v>
      </c>
    </row>
    <row r="1863" spans="1:4" x14ac:dyDescent="0.25">
      <c r="A1863" t="s">
        <v>10830</v>
      </c>
      <c r="B1863">
        <v>20</v>
      </c>
      <c r="C1863" s="4">
        <v>369.2</v>
      </c>
      <c r="D1863">
        <v>1</v>
      </c>
    </row>
    <row r="1864" spans="1:4" x14ac:dyDescent="0.25">
      <c r="A1864" t="s">
        <v>10831</v>
      </c>
      <c r="B1864">
        <v>10</v>
      </c>
      <c r="C1864" s="4">
        <v>135.9</v>
      </c>
      <c r="D1864">
        <v>1</v>
      </c>
    </row>
    <row r="1865" spans="1:4" x14ac:dyDescent="0.25">
      <c r="A1865" t="s">
        <v>10832</v>
      </c>
      <c r="B1865">
        <v>7</v>
      </c>
      <c r="C1865" s="4">
        <v>125.65</v>
      </c>
      <c r="D1865">
        <v>1</v>
      </c>
    </row>
    <row r="1866" spans="1:4" x14ac:dyDescent="0.25">
      <c r="A1866" t="s">
        <v>10833</v>
      </c>
      <c r="B1866">
        <v>33</v>
      </c>
      <c r="C1866" s="4">
        <v>554.38</v>
      </c>
      <c r="D1866">
        <v>2</v>
      </c>
    </row>
    <row r="1867" spans="1:4" x14ac:dyDescent="0.25">
      <c r="A1867" t="s">
        <v>10834</v>
      </c>
      <c r="B1867">
        <v>73</v>
      </c>
      <c r="C1867" s="4">
        <v>1237.8499999999999</v>
      </c>
      <c r="D1867">
        <v>2</v>
      </c>
    </row>
    <row r="1868" spans="1:4" x14ac:dyDescent="0.25">
      <c r="A1868" t="s">
        <v>10835</v>
      </c>
      <c r="B1868">
        <v>23</v>
      </c>
      <c r="C1868" s="4">
        <v>655.75</v>
      </c>
      <c r="D1868">
        <v>1</v>
      </c>
    </row>
    <row r="1869" spans="1:4" x14ac:dyDescent="0.25">
      <c r="A1869" t="s">
        <v>10836</v>
      </c>
      <c r="B1869">
        <v>498</v>
      </c>
      <c r="C1869" s="4">
        <v>11138.71</v>
      </c>
      <c r="D1869">
        <v>20</v>
      </c>
    </row>
    <row r="1870" spans="1:4" x14ac:dyDescent="0.25">
      <c r="A1870" t="s">
        <v>10837</v>
      </c>
      <c r="B1870">
        <v>43</v>
      </c>
      <c r="C1870" s="4">
        <v>468.77</v>
      </c>
      <c r="D1870">
        <v>2</v>
      </c>
    </row>
    <row r="1871" spans="1:4" x14ac:dyDescent="0.25">
      <c r="A1871" t="s">
        <v>10838</v>
      </c>
      <c r="B1871">
        <v>55</v>
      </c>
      <c r="C1871" s="4">
        <v>1366.38</v>
      </c>
      <c r="D1871">
        <v>4</v>
      </c>
    </row>
    <row r="1872" spans="1:4" x14ac:dyDescent="0.25">
      <c r="A1872" t="s">
        <v>10839</v>
      </c>
      <c r="B1872">
        <v>116</v>
      </c>
      <c r="C1872" s="4">
        <v>1303.52</v>
      </c>
      <c r="D1872">
        <v>6</v>
      </c>
    </row>
    <row r="1873" spans="1:4" x14ac:dyDescent="0.25">
      <c r="A1873" t="s">
        <v>10840</v>
      </c>
      <c r="B1873">
        <v>96</v>
      </c>
      <c r="C1873" s="4">
        <v>1421.29</v>
      </c>
      <c r="D1873">
        <v>9</v>
      </c>
    </row>
    <row r="1874" spans="1:4" x14ac:dyDescent="0.25">
      <c r="A1874" t="s">
        <v>10841</v>
      </c>
      <c r="B1874">
        <v>20</v>
      </c>
      <c r="C1874" s="4">
        <v>332.66</v>
      </c>
      <c r="D1874">
        <v>1</v>
      </c>
    </row>
    <row r="1875" spans="1:4" x14ac:dyDescent="0.25">
      <c r="A1875" t="s">
        <v>10842</v>
      </c>
      <c r="B1875">
        <v>355</v>
      </c>
      <c r="C1875" s="4">
        <v>2810.63</v>
      </c>
      <c r="D1875">
        <v>5</v>
      </c>
    </row>
    <row r="1876" spans="1:4" x14ac:dyDescent="0.25">
      <c r="A1876" t="s">
        <v>10843</v>
      </c>
      <c r="B1876">
        <v>69</v>
      </c>
      <c r="C1876" s="4">
        <v>1025.44</v>
      </c>
      <c r="D1876">
        <v>2</v>
      </c>
    </row>
    <row r="1877" spans="1:4" x14ac:dyDescent="0.25">
      <c r="A1877" t="s">
        <v>10844</v>
      </c>
      <c r="B1877">
        <v>17</v>
      </c>
      <c r="C1877" s="4">
        <v>616.15</v>
      </c>
      <c r="D1877">
        <v>2</v>
      </c>
    </row>
    <row r="1878" spans="1:4" x14ac:dyDescent="0.25">
      <c r="A1878" t="s">
        <v>10845</v>
      </c>
      <c r="B1878">
        <v>165</v>
      </c>
      <c r="C1878" s="4">
        <v>3501.1</v>
      </c>
      <c r="D1878">
        <v>7</v>
      </c>
    </row>
    <row r="1879" spans="1:4" x14ac:dyDescent="0.25">
      <c r="A1879" t="s">
        <v>10846</v>
      </c>
      <c r="B1879">
        <v>9</v>
      </c>
      <c r="C1879" s="4">
        <v>277.8</v>
      </c>
      <c r="D1879">
        <v>1</v>
      </c>
    </row>
    <row r="1880" spans="1:4" x14ac:dyDescent="0.25">
      <c r="A1880" t="s">
        <v>10847</v>
      </c>
      <c r="B1880">
        <v>30</v>
      </c>
      <c r="C1880" s="4">
        <v>434.35</v>
      </c>
      <c r="D1880">
        <v>4</v>
      </c>
    </row>
    <row r="1881" spans="1:4" x14ac:dyDescent="0.25">
      <c r="A1881" t="s">
        <v>10848</v>
      </c>
      <c r="B1881">
        <v>5589</v>
      </c>
      <c r="C1881" s="4">
        <v>136275.72</v>
      </c>
      <c r="D1881">
        <v>198</v>
      </c>
    </row>
    <row r="1882" spans="1:4" x14ac:dyDescent="0.25">
      <c r="A1882" t="s">
        <v>10849</v>
      </c>
      <c r="B1882">
        <v>27</v>
      </c>
      <c r="C1882" s="4">
        <v>867.85</v>
      </c>
      <c r="D1882">
        <v>2</v>
      </c>
    </row>
    <row r="1883" spans="1:4" x14ac:dyDescent="0.25">
      <c r="A1883" t="s">
        <v>10850</v>
      </c>
      <c r="B1883">
        <v>87</v>
      </c>
      <c r="C1883" s="4">
        <v>1227.43</v>
      </c>
      <c r="D1883">
        <v>4</v>
      </c>
    </row>
    <row r="1884" spans="1:4" x14ac:dyDescent="0.25">
      <c r="A1884" t="s">
        <v>10851</v>
      </c>
      <c r="B1884">
        <v>12</v>
      </c>
      <c r="C1884" s="4">
        <v>307.48</v>
      </c>
      <c r="D1884">
        <v>2</v>
      </c>
    </row>
    <row r="1885" spans="1:4" x14ac:dyDescent="0.25">
      <c r="A1885" t="s">
        <v>10852</v>
      </c>
      <c r="B1885">
        <v>77</v>
      </c>
      <c r="C1885" s="4">
        <v>1268.98</v>
      </c>
      <c r="D1885">
        <v>4</v>
      </c>
    </row>
    <row r="1886" spans="1:4" x14ac:dyDescent="0.25">
      <c r="A1886" t="s">
        <v>10853</v>
      </c>
      <c r="B1886">
        <v>45</v>
      </c>
      <c r="C1886" s="4">
        <v>1610.15</v>
      </c>
      <c r="D1886">
        <v>2</v>
      </c>
    </row>
    <row r="1887" spans="1:4" x14ac:dyDescent="0.25">
      <c r="A1887" t="s">
        <v>10854</v>
      </c>
      <c r="B1887">
        <v>57</v>
      </c>
      <c r="C1887" s="4">
        <v>977.77</v>
      </c>
      <c r="D1887">
        <v>2</v>
      </c>
    </row>
    <row r="1888" spans="1:4" x14ac:dyDescent="0.25">
      <c r="A1888" t="s">
        <v>10855</v>
      </c>
      <c r="B1888">
        <v>78</v>
      </c>
      <c r="C1888" s="4">
        <v>1316.07</v>
      </c>
      <c r="D1888">
        <v>2</v>
      </c>
    </row>
    <row r="1889" spans="1:4" x14ac:dyDescent="0.25">
      <c r="A1889" t="s">
        <v>10856</v>
      </c>
      <c r="B1889">
        <v>44</v>
      </c>
      <c r="C1889" s="4">
        <v>749.1</v>
      </c>
      <c r="D1889">
        <v>1</v>
      </c>
    </row>
    <row r="1890" spans="1:4" x14ac:dyDescent="0.25">
      <c r="A1890" t="s">
        <v>10857</v>
      </c>
      <c r="B1890">
        <v>10</v>
      </c>
      <c r="C1890" s="4">
        <v>310.05</v>
      </c>
      <c r="D1890">
        <v>1</v>
      </c>
    </row>
    <row r="1891" spans="1:4" x14ac:dyDescent="0.25">
      <c r="A1891" t="s">
        <v>10858</v>
      </c>
      <c r="B1891">
        <v>11</v>
      </c>
      <c r="C1891" s="4">
        <v>223.88</v>
      </c>
      <c r="D1891">
        <v>1</v>
      </c>
    </row>
    <row r="1892" spans="1:4" x14ac:dyDescent="0.25">
      <c r="A1892" t="s">
        <v>10859</v>
      </c>
      <c r="B1892">
        <v>128</v>
      </c>
      <c r="C1892" s="4">
        <v>2372.86</v>
      </c>
      <c r="D1892">
        <v>3</v>
      </c>
    </row>
    <row r="1893" spans="1:4" x14ac:dyDescent="0.25">
      <c r="A1893" t="s">
        <v>10860</v>
      </c>
      <c r="B1893">
        <v>38</v>
      </c>
      <c r="C1893" s="4">
        <v>864.68</v>
      </c>
      <c r="D1893">
        <v>4</v>
      </c>
    </row>
    <row r="1894" spans="1:4" x14ac:dyDescent="0.25">
      <c r="A1894" t="s">
        <v>10861</v>
      </c>
      <c r="B1894">
        <v>16</v>
      </c>
      <c r="C1894" s="4">
        <v>313.52999999999997</v>
      </c>
      <c r="D1894">
        <v>1</v>
      </c>
    </row>
    <row r="1895" spans="1:4" x14ac:dyDescent="0.25">
      <c r="A1895" t="s">
        <v>10862</v>
      </c>
      <c r="B1895">
        <v>87</v>
      </c>
      <c r="C1895" s="4">
        <v>1890.94</v>
      </c>
      <c r="D1895">
        <v>2</v>
      </c>
    </row>
    <row r="1896" spans="1:4" x14ac:dyDescent="0.25">
      <c r="A1896" t="s">
        <v>10863</v>
      </c>
      <c r="B1896">
        <v>10</v>
      </c>
      <c r="C1896" s="4">
        <v>1784.71</v>
      </c>
      <c r="D1896">
        <v>1</v>
      </c>
    </row>
    <row r="1897" spans="1:4" x14ac:dyDescent="0.25">
      <c r="A1897" t="s">
        <v>10864</v>
      </c>
      <c r="B1897">
        <v>364</v>
      </c>
      <c r="C1897" s="4">
        <v>8137.02</v>
      </c>
      <c r="D1897">
        <v>8</v>
      </c>
    </row>
    <row r="1898" spans="1:4" x14ac:dyDescent="0.25">
      <c r="A1898" t="s">
        <v>10865</v>
      </c>
      <c r="B1898">
        <v>34</v>
      </c>
      <c r="C1898" s="4">
        <v>1621.88</v>
      </c>
      <c r="D1898">
        <v>3</v>
      </c>
    </row>
    <row r="1899" spans="1:4" x14ac:dyDescent="0.25">
      <c r="A1899" t="s">
        <v>10866</v>
      </c>
      <c r="B1899">
        <v>170</v>
      </c>
      <c r="C1899" s="4">
        <v>5900.25</v>
      </c>
      <c r="D1899">
        <v>12</v>
      </c>
    </row>
    <row r="1900" spans="1:4" x14ac:dyDescent="0.25">
      <c r="A1900" t="s">
        <v>10867</v>
      </c>
      <c r="B1900">
        <v>3</v>
      </c>
      <c r="C1900" s="4">
        <v>100.9</v>
      </c>
      <c r="D1900">
        <v>1</v>
      </c>
    </row>
    <row r="1901" spans="1:4" x14ac:dyDescent="0.25">
      <c r="A1901" t="s">
        <v>10868</v>
      </c>
      <c r="B1901">
        <v>14</v>
      </c>
      <c r="C1901" s="4">
        <v>290.82</v>
      </c>
      <c r="D1901">
        <v>2</v>
      </c>
    </row>
    <row r="1902" spans="1:4" x14ac:dyDescent="0.25">
      <c r="A1902" t="s">
        <v>10869</v>
      </c>
      <c r="B1902">
        <v>63</v>
      </c>
      <c r="C1902" s="4">
        <v>1101.97</v>
      </c>
      <c r="D1902">
        <v>6</v>
      </c>
    </row>
    <row r="1903" spans="1:4" x14ac:dyDescent="0.25">
      <c r="A1903" t="s">
        <v>10870</v>
      </c>
      <c r="B1903">
        <v>19</v>
      </c>
      <c r="C1903" s="4">
        <v>371.2</v>
      </c>
      <c r="D1903">
        <v>1</v>
      </c>
    </row>
    <row r="1904" spans="1:4" x14ac:dyDescent="0.25">
      <c r="A1904" t="s">
        <v>10871</v>
      </c>
      <c r="B1904">
        <v>20</v>
      </c>
      <c r="C1904" s="4">
        <v>311.69</v>
      </c>
      <c r="D1904">
        <v>1</v>
      </c>
    </row>
    <row r="1905" spans="1:4" x14ac:dyDescent="0.25">
      <c r="A1905" t="s">
        <v>10872</v>
      </c>
      <c r="B1905">
        <v>138</v>
      </c>
      <c r="C1905" s="4">
        <v>8099.49</v>
      </c>
      <c r="D1905">
        <v>11</v>
      </c>
    </row>
    <row r="1906" spans="1:4" x14ac:dyDescent="0.25">
      <c r="A1906" t="s">
        <v>10873</v>
      </c>
      <c r="B1906">
        <v>55</v>
      </c>
      <c r="C1906" s="4">
        <v>289.82</v>
      </c>
      <c r="D1906">
        <v>1</v>
      </c>
    </row>
    <row r="1907" spans="1:4" x14ac:dyDescent="0.25">
      <c r="A1907" t="s">
        <v>10874</v>
      </c>
      <c r="B1907">
        <v>85</v>
      </c>
      <c r="C1907" s="4">
        <v>336.17</v>
      </c>
      <c r="D1907">
        <v>1</v>
      </c>
    </row>
    <row r="1908" spans="1:4" x14ac:dyDescent="0.25">
      <c r="A1908" t="s">
        <v>10875</v>
      </c>
      <c r="B1908">
        <v>12</v>
      </c>
      <c r="C1908" s="4">
        <v>58.49</v>
      </c>
      <c r="D1908">
        <v>1</v>
      </c>
    </row>
    <row r="1909" spans="1:4" x14ac:dyDescent="0.25">
      <c r="A1909" t="s">
        <v>10876</v>
      </c>
      <c r="B1909">
        <v>42</v>
      </c>
      <c r="C1909" s="4">
        <v>499.68</v>
      </c>
      <c r="D1909">
        <v>3</v>
      </c>
    </row>
    <row r="1910" spans="1:4" x14ac:dyDescent="0.25">
      <c r="A1910" t="s">
        <v>10877</v>
      </c>
      <c r="B1910">
        <v>59</v>
      </c>
      <c r="C1910" s="4">
        <v>695.42</v>
      </c>
      <c r="D1910">
        <v>4</v>
      </c>
    </row>
    <row r="1911" spans="1:4" x14ac:dyDescent="0.25">
      <c r="A1911" t="s">
        <v>10878</v>
      </c>
      <c r="B1911">
        <v>27</v>
      </c>
      <c r="C1911" s="4">
        <v>221.27</v>
      </c>
      <c r="D1911">
        <v>2</v>
      </c>
    </row>
    <row r="1912" spans="1:4" x14ac:dyDescent="0.25">
      <c r="A1912" t="s">
        <v>10879</v>
      </c>
      <c r="B1912">
        <v>312</v>
      </c>
      <c r="C1912" s="4">
        <v>7044.68</v>
      </c>
      <c r="D1912">
        <v>9</v>
      </c>
    </row>
    <row r="1913" spans="1:4" x14ac:dyDescent="0.25">
      <c r="A1913" t="s">
        <v>10880</v>
      </c>
      <c r="B1913">
        <v>5</v>
      </c>
      <c r="C1913" s="4">
        <v>126.7</v>
      </c>
      <c r="D1913">
        <v>1</v>
      </c>
    </row>
    <row r="1914" spans="1:4" x14ac:dyDescent="0.25">
      <c r="A1914" t="s">
        <v>10881</v>
      </c>
      <c r="B1914">
        <v>198</v>
      </c>
      <c r="C1914" s="4">
        <v>1487.8</v>
      </c>
      <c r="D1914">
        <v>5</v>
      </c>
    </row>
    <row r="1915" spans="1:4" x14ac:dyDescent="0.25">
      <c r="A1915" t="s">
        <v>10882</v>
      </c>
      <c r="B1915">
        <v>13</v>
      </c>
      <c r="C1915" s="4">
        <v>206.21</v>
      </c>
      <c r="D1915">
        <v>1</v>
      </c>
    </row>
    <row r="1916" spans="1:4" x14ac:dyDescent="0.25">
      <c r="A1916" t="s">
        <v>10883</v>
      </c>
      <c r="B1916">
        <v>83</v>
      </c>
      <c r="C1916" s="4">
        <v>599</v>
      </c>
      <c r="D1916">
        <v>2</v>
      </c>
    </row>
    <row r="1917" spans="1:4" x14ac:dyDescent="0.25">
      <c r="A1917" t="s">
        <v>10884</v>
      </c>
      <c r="B1917">
        <v>38</v>
      </c>
      <c r="C1917" s="4">
        <v>191.32</v>
      </c>
      <c r="D1917">
        <v>1</v>
      </c>
    </row>
    <row r="1918" spans="1:4" x14ac:dyDescent="0.25">
      <c r="A1918" t="s">
        <v>10885</v>
      </c>
      <c r="B1918">
        <v>6</v>
      </c>
      <c r="C1918" s="4">
        <v>463.8</v>
      </c>
      <c r="D1918">
        <v>1</v>
      </c>
    </row>
    <row r="1919" spans="1:4" x14ac:dyDescent="0.25">
      <c r="A1919" t="s">
        <v>10886</v>
      </c>
      <c r="B1919">
        <v>37</v>
      </c>
      <c r="C1919" s="4">
        <v>147.59</v>
      </c>
      <c r="D1919">
        <v>1</v>
      </c>
    </row>
    <row r="1920" spans="1:4" x14ac:dyDescent="0.25">
      <c r="A1920" t="s">
        <v>10887</v>
      </c>
      <c r="B1920">
        <v>34</v>
      </c>
      <c r="C1920" s="4">
        <v>1592.06</v>
      </c>
      <c r="D1920">
        <v>4</v>
      </c>
    </row>
    <row r="1921" spans="1:4" x14ac:dyDescent="0.25">
      <c r="A1921" t="s">
        <v>10888</v>
      </c>
      <c r="B1921">
        <v>160</v>
      </c>
      <c r="C1921" s="4">
        <v>1116.57</v>
      </c>
      <c r="D1921">
        <v>3</v>
      </c>
    </row>
    <row r="1922" spans="1:4" x14ac:dyDescent="0.25">
      <c r="A1922" t="s">
        <v>10889</v>
      </c>
      <c r="B1922">
        <v>18</v>
      </c>
      <c r="C1922" s="4">
        <v>114.77</v>
      </c>
      <c r="D1922">
        <v>1</v>
      </c>
    </row>
    <row r="1923" spans="1:4" x14ac:dyDescent="0.25">
      <c r="A1923" t="s">
        <v>10890</v>
      </c>
      <c r="B1923">
        <v>32</v>
      </c>
      <c r="C1923" s="4">
        <v>1314.45</v>
      </c>
      <c r="D1923">
        <v>3</v>
      </c>
    </row>
    <row r="1924" spans="1:4" x14ac:dyDescent="0.25">
      <c r="A1924" t="s">
        <v>10891</v>
      </c>
      <c r="B1924">
        <v>21</v>
      </c>
      <c r="C1924" s="4">
        <v>114.39</v>
      </c>
      <c r="D1924">
        <v>1</v>
      </c>
    </row>
    <row r="1925" spans="1:4" x14ac:dyDescent="0.25">
      <c r="A1925" t="s">
        <v>10892</v>
      </c>
      <c r="B1925">
        <v>11</v>
      </c>
      <c r="C1925" s="4">
        <v>279.94</v>
      </c>
      <c r="D1925">
        <v>1</v>
      </c>
    </row>
    <row r="1926" spans="1:4" x14ac:dyDescent="0.25">
      <c r="A1926" t="s">
        <v>10893</v>
      </c>
      <c r="B1926">
        <v>70</v>
      </c>
      <c r="C1926" s="4">
        <v>774.86</v>
      </c>
      <c r="D1926">
        <v>6</v>
      </c>
    </row>
    <row r="1927" spans="1:4" x14ac:dyDescent="0.25">
      <c r="A1927" t="s">
        <v>10894</v>
      </c>
      <c r="B1927">
        <v>216</v>
      </c>
      <c r="C1927" s="4">
        <v>1931.42</v>
      </c>
      <c r="D1927">
        <v>5</v>
      </c>
    </row>
    <row r="1928" spans="1:4" x14ac:dyDescent="0.25">
      <c r="A1928" t="s">
        <v>10895</v>
      </c>
      <c r="B1928">
        <v>8</v>
      </c>
      <c r="C1928" s="4">
        <v>102.12</v>
      </c>
      <c r="D1928">
        <v>1</v>
      </c>
    </row>
    <row r="1929" spans="1:4" x14ac:dyDescent="0.25">
      <c r="A1929" t="s">
        <v>10896</v>
      </c>
      <c r="B1929">
        <v>41</v>
      </c>
      <c r="C1929" s="4">
        <v>213.27</v>
      </c>
      <c r="D1929">
        <v>2</v>
      </c>
    </row>
    <row r="1930" spans="1:4" x14ac:dyDescent="0.25">
      <c r="A1930" t="s">
        <v>10897</v>
      </c>
      <c r="B1930">
        <v>87</v>
      </c>
      <c r="C1930" s="4">
        <v>296.75</v>
      </c>
      <c r="D1930">
        <v>2</v>
      </c>
    </row>
    <row r="1931" spans="1:4" x14ac:dyDescent="0.25">
      <c r="A1931" t="s">
        <v>10898</v>
      </c>
      <c r="B1931">
        <v>4</v>
      </c>
      <c r="C1931" s="4">
        <v>326.39999999999998</v>
      </c>
      <c r="D1931">
        <v>2</v>
      </c>
    </row>
    <row r="1932" spans="1:4" x14ac:dyDescent="0.25">
      <c r="A1932" t="s">
        <v>10899</v>
      </c>
      <c r="B1932">
        <v>40</v>
      </c>
      <c r="C1932" s="4">
        <v>334.54</v>
      </c>
      <c r="D1932">
        <v>1</v>
      </c>
    </row>
    <row r="1933" spans="1:4" x14ac:dyDescent="0.25">
      <c r="A1933" t="s">
        <v>10900</v>
      </c>
      <c r="B1933">
        <v>61</v>
      </c>
      <c r="C1933" s="4">
        <v>233.23</v>
      </c>
      <c r="D1933">
        <v>2</v>
      </c>
    </row>
    <row r="1934" spans="1:4" x14ac:dyDescent="0.25">
      <c r="A1934" t="s">
        <v>10901</v>
      </c>
      <c r="B1934">
        <v>26</v>
      </c>
      <c r="C1934" s="4">
        <v>546.20000000000005</v>
      </c>
      <c r="D1934">
        <v>3</v>
      </c>
    </row>
    <row r="1935" spans="1:4" x14ac:dyDescent="0.25">
      <c r="A1935" t="s">
        <v>10902</v>
      </c>
      <c r="B1935">
        <v>75</v>
      </c>
      <c r="C1935" s="4">
        <v>429.87</v>
      </c>
      <c r="D1935">
        <v>2</v>
      </c>
    </row>
    <row r="1936" spans="1:4" x14ac:dyDescent="0.25">
      <c r="A1936" t="s">
        <v>10903</v>
      </c>
      <c r="B1936">
        <v>77</v>
      </c>
      <c r="C1936" s="4">
        <v>490.52</v>
      </c>
      <c r="D1936">
        <v>1</v>
      </c>
    </row>
    <row r="1937" spans="1:4" x14ac:dyDescent="0.25">
      <c r="A1937" t="s">
        <v>10904</v>
      </c>
      <c r="B1937">
        <v>115</v>
      </c>
      <c r="C1937" s="4">
        <v>1641.76</v>
      </c>
      <c r="D1937">
        <v>4</v>
      </c>
    </row>
    <row r="1938" spans="1:4" x14ac:dyDescent="0.25">
      <c r="A1938" t="s">
        <v>10905</v>
      </c>
      <c r="B1938">
        <v>157</v>
      </c>
      <c r="C1938" s="4">
        <v>1245.93</v>
      </c>
      <c r="D1938">
        <v>1</v>
      </c>
    </row>
    <row r="1939" spans="1:4" x14ac:dyDescent="0.25">
      <c r="A1939" t="s">
        <v>10906</v>
      </c>
      <c r="B1939">
        <v>1118</v>
      </c>
      <c r="C1939" s="4">
        <v>6314.87</v>
      </c>
      <c r="D1939">
        <v>28</v>
      </c>
    </row>
    <row r="1940" spans="1:4" x14ac:dyDescent="0.25">
      <c r="A1940" t="s">
        <v>10907</v>
      </c>
      <c r="B1940">
        <v>143</v>
      </c>
      <c r="C1940" s="4">
        <v>497.14</v>
      </c>
      <c r="D1940">
        <v>1</v>
      </c>
    </row>
    <row r="1941" spans="1:4" x14ac:dyDescent="0.25">
      <c r="A1941" t="s">
        <v>10908</v>
      </c>
      <c r="B1941">
        <v>12</v>
      </c>
      <c r="C1941" s="4">
        <v>156.91</v>
      </c>
      <c r="D1941">
        <v>1</v>
      </c>
    </row>
    <row r="1942" spans="1:4" x14ac:dyDescent="0.25">
      <c r="A1942" t="s">
        <v>10909</v>
      </c>
      <c r="B1942">
        <v>182</v>
      </c>
      <c r="C1942" s="4">
        <v>1261.78</v>
      </c>
      <c r="D1942">
        <v>3</v>
      </c>
    </row>
    <row r="1943" spans="1:4" x14ac:dyDescent="0.25">
      <c r="A1943" t="s">
        <v>10910</v>
      </c>
      <c r="B1943">
        <v>20</v>
      </c>
      <c r="C1943" s="4">
        <v>308.94</v>
      </c>
      <c r="D1943">
        <v>1</v>
      </c>
    </row>
    <row r="1944" spans="1:4" x14ac:dyDescent="0.25">
      <c r="A1944" t="s">
        <v>10911</v>
      </c>
      <c r="B1944">
        <v>128</v>
      </c>
      <c r="C1944" s="4">
        <v>423.04</v>
      </c>
      <c r="D1944">
        <v>2</v>
      </c>
    </row>
    <row r="1945" spans="1:4" x14ac:dyDescent="0.25">
      <c r="A1945" t="s">
        <v>10912</v>
      </c>
      <c r="B1945">
        <v>35</v>
      </c>
      <c r="C1945" s="4">
        <v>260.17</v>
      </c>
      <c r="D1945">
        <v>2</v>
      </c>
    </row>
    <row r="1946" spans="1:4" x14ac:dyDescent="0.25">
      <c r="A1946" t="s">
        <v>10913</v>
      </c>
      <c r="B1946">
        <v>20</v>
      </c>
      <c r="C1946" s="4">
        <v>170.04</v>
      </c>
      <c r="D1946">
        <v>1</v>
      </c>
    </row>
    <row r="1947" spans="1:4" x14ac:dyDescent="0.25">
      <c r="A1947" t="s">
        <v>10914</v>
      </c>
      <c r="B1947">
        <v>20</v>
      </c>
      <c r="C1947" s="4">
        <v>125.58</v>
      </c>
      <c r="D1947">
        <v>1</v>
      </c>
    </row>
    <row r="1948" spans="1:4" x14ac:dyDescent="0.25">
      <c r="A1948" t="s">
        <v>10915</v>
      </c>
      <c r="B1948">
        <v>31</v>
      </c>
      <c r="C1948" s="4">
        <v>496.21</v>
      </c>
      <c r="D1948">
        <v>3</v>
      </c>
    </row>
    <row r="1949" spans="1:4" x14ac:dyDescent="0.25">
      <c r="A1949" t="s">
        <v>10916</v>
      </c>
      <c r="B1949">
        <v>70</v>
      </c>
      <c r="C1949" s="4">
        <v>266</v>
      </c>
      <c r="D1949">
        <v>1</v>
      </c>
    </row>
    <row r="1950" spans="1:4" x14ac:dyDescent="0.25">
      <c r="A1950" t="s">
        <v>10917</v>
      </c>
      <c r="B1950">
        <v>472</v>
      </c>
      <c r="C1950" s="4">
        <v>1914.82</v>
      </c>
      <c r="D1950">
        <v>9</v>
      </c>
    </row>
    <row r="1951" spans="1:4" x14ac:dyDescent="0.25">
      <c r="A1951" t="s">
        <v>10918</v>
      </c>
      <c r="B1951">
        <v>135</v>
      </c>
      <c r="C1951" s="4">
        <v>905.04</v>
      </c>
      <c r="D1951">
        <v>4</v>
      </c>
    </row>
    <row r="1952" spans="1:4" x14ac:dyDescent="0.25">
      <c r="A1952" t="s">
        <v>10919</v>
      </c>
      <c r="B1952">
        <v>560</v>
      </c>
      <c r="C1952" s="4">
        <v>6783.86</v>
      </c>
      <c r="D1952">
        <v>11</v>
      </c>
    </row>
    <row r="1953" spans="1:4" x14ac:dyDescent="0.25">
      <c r="A1953" t="s">
        <v>10920</v>
      </c>
      <c r="B1953">
        <v>155</v>
      </c>
      <c r="C1953" s="4">
        <v>1661.33</v>
      </c>
      <c r="D1953">
        <v>10</v>
      </c>
    </row>
    <row r="1954" spans="1:4" x14ac:dyDescent="0.25">
      <c r="A1954" t="s">
        <v>10921</v>
      </c>
      <c r="B1954">
        <v>72</v>
      </c>
      <c r="C1954" s="4">
        <v>377.01</v>
      </c>
      <c r="D1954">
        <v>1</v>
      </c>
    </row>
    <row r="1955" spans="1:4" x14ac:dyDescent="0.25">
      <c r="A1955" t="s">
        <v>10922</v>
      </c>
      <c r="B1955">
        <v>60</v>
      </c>
      <c r="C1955" s="4">
        <v>464.2</v>
      </c>
      <c r="D1955">
        <v>3</v>
      </c>
    </row>
    <row r="1956" spans="1:4" x14ac:dyDescent="0.25">
      <c r="A1956" t="s">
        <v>10923</v>
      </c>
      <c r="B1956">
        <v>35</v>
      </c>
      <c r="C1956" s="4">
        <v>1066.1500000000001</v>
      </c>
      <c r="D1956">
        <v>4</v>
      </c>
    </row>
    <row r="1957" spans="1:4" x14ac:dyDescent="0.25">
      <c r="A1957" t="s">
        <v>10924</v>
      </c>
      <c r="B1957">
        <v>48</v>
      </c>
      <c r="C1957" s="4">
        <v>627.13</v>
      </c>
      <c r="D1957">
        <v>4</v>
      </c>
    </row>
    <row r="1958" spans="1:4" x14ac:dyDescent="0.25">
      <c r="A1958" t="s">
        <v>3485</v>
      </c>
      <c r="B1958">
        <v>7</v>
      </c>
      <c r="C1958" s="4">
        <v>518.28</v>
      </c>
      <c r="D1958">
        <v>2</v>
      </c>
    </row>
    <row r="1959" spans="1:4" x14ac:dyDescent="0.25">
      <c r="A1959" t="s">
        <v>10925</v>
      </c>
      <c r="B1959">
        <v>111</v>
      </c>
      <c r="C1959" s="4">
        <v>668.14</v>
      </c>
      <c r="D1959">
        <v>4</v>
      </c>
    </row>
    <row r="1960" spans="1:4" x14ac:dyDescent="0.25">
      <c r="A1960" t="s">
        <v>10926</v>
      </c>
      <c r="B1960">
        <v>52</v>
      </c>
      <c r="C1960" s="4">
        <v>4959.1000000000004</v>
      </c>
      <c r="D1960">
        <v>3</v>
      </c>
    </row>
    <row r="1961" spans="1:4" x14ac:dyDescent="0.25">
      <c r="A1961" t="s">
        <v>10927</v>
      </c>
      <c r="B1961">
        <v>509</v>
      </c>
      <c r="C1961" s="4">
        <v>2583.37</v>
      </c>
      <c r="D1961">
        <v>10</v>
      </c>
    </row>
    <row r="1962" spans="1:4" x14ac:dyDescent="0.25">
      <c r="A1962" t="s">
        <v>1902</v>
      </c>
      <c r="B1962">
        <v>394</v>
      </c>
      <c r="C1962" s="4">
        <v>4308.6099999999997</v>
      </c>
      <c r="D1962">
        <v>8</v>
      </c>
    </row>
    <row r="1963" spans="1:4" x14ac:dyDescent="0.25">
      <c r="A1963" t="s">
        <v>10928</v>
      </c>
      <c r="B1963">
        <v>27</v>
      </c>
      <c r="C1963" s="4">
        <v>252.73</v>
      </c>
      <c r="D1963">
        <v>1</v>
      </c>
    </row>
    <row r="1964" spans="1:4" x14ac:dyDescent="0.25">
      <c r="A1964" t="s">
        <v>226</v>
      </c>
      <c r="B1964">
        <v>127</v>
      </c>
      <c r="C1964" s="4">
        <v>465.55</v>
      </c>
      <c r="D1964">
        <v>3</v>
      </c>
    </row>
    <row r="1965" spans="1:4" x14ac:dyDescent="0.25">
      <c r="A1965" t="s">
        <v>10929</v>
      </c>
      <c r="B1965">
        <v>130</v>
      </c>
      <c r="C1965" s="4">
        <v>705.49</v>
      </c>
      <c r="D1965">
        <v>6</v>
      </c>
    </row>
    <row r="1966" spans="1:4" x14ac:dyDescent="0.25">
      <c r="A1966" t="s">
        <v>1208</v>
      </c>
      <c r="B1966">
        <v>1502</v>
      </c>
      <c r="C1966" s="4">
        <v>19914.439999999999</v>
      </c>
      <c r="D1966">
        <v>47</v>
      </c>
    </row>
    <row r="1967" spans="1:4" x14ac:dyDescent="0.25">
      <c r="A1967" t="s">
        <v>10930</v>
      </c>
      <c r="B1967">
        <v>67</v>
      </c>
      <c r="C1967" s="4">
        <v>180.35</v>
      </c>
      <c r="D1967">
        <v>1</v>
      </c>
    </row>
    <row r="1968" spans="1:4" x14ac:dyDescent="0.25">
      <c r="A1968" t="s">
        <v>10931</v>
      </c>
      <c r="B1968">
        <v>5</v>
      </c>
      <c r="C1968" s="4">
        <v>135.93</v>
      </c>
      <c r="D1968">
        <v>1</v>
      </c>
    </row>
    <row r="1969" spans="1:4" x14ac:dyDescent="0.25">
      <c r="A1969" t="s">
        <v>10932</v>
      </c>
      <c r="B1969">
        <v>3</v>
      </c>
      <c r="C1969" s="4">
        <v>537</v>
      </c>
      <c r="D1969">
        <v>1</v>
      </c>
    </row>
    <row r="1970" spans="1:4" x14ac:dyDescent="0.25">
      <c r="A1970" t="s">
        <v>10933</v>
      </c>
      <c r="B1970">
        <v>453</v>
      </c>
      <c r="C1970" s="4">
        <v>7700.23</v>
      </c>
      <c r="D1970">
        <v>17</v>
      </c>
    </row>
    <row r="1971" spans="1:4" x14ac:dyDescent="0.25">
      <c r="A1971" t="s">
        <v>10934</v>
      </c>
      <c r="B1971">
        <v>12</v>
      </c>
      <c r="C1971" s="4">
        <v>735.66</v>
      </c>
      <c r="D1971">
        <v>2</v>
      </c>
    </row>
    <row r="1972" spans="1:4" x14ac:dyDescent="0.25">
      <c r="A1972" t="s">
        <v>10935</v>
      </c>
      <c r="B1972">
        <v>205</v>
      </c>
      <c r="C1972" s="4">
        <v>5194.82</v>
      </c>
      <c r="D1972">
        <v>15</v>
      </c>
    </row>
    <row r="1973" spans="1:4" x14ac:dyDescent="0.25">
      <c r="A1973" t="s">
        <v>10936</v>
      </c>
      <c r="B1973">
        <v>22</v>
      </c>
      <c r="C1973" s="4">
        <v>343.62</v>
      </c>
      <c r="D1973">
        <v>1</v>
      </c>
    </row>
    <row r="1974" spans="1:4" x14ac:dyDescent="0.25">
      <c r="A1974" t="s">
        <v>10937</v>
      </c>
      <c r="B1974">
        <v>97</v>
      </c>
      <c r="C1974" s="4">
        <v>384.05</v>
      </c>
      <c r="D1974">
        <v>4</v>
      </c>
    </row>
    <row r="1975" spans="1:4" x14ac:dyDescent="0.25">
      <c r="A1975" t="s">
        <v>10938</v>
      </c>
      <c r="B1975">
        <v>3</v>
      </c>
      <c r="C1975" s="4">
        <v>121.17</v>
      </c>
      <c r="D1975">
        <v>1</v>
      </c>
    </row>
    <row r="1976" spans="1:4" x14ac:dyDescent="0.25">
      <c r="A1976" t="s">
        <v>10939</v>
      </c>
      <c r="B1976">
        <v>78</v>
      </c>
      <c r="C1976" s="4">
        <v>1782.09</v>
      </c>
      <c r="D1976">
        <v>3</v>
      </c>
    </row>
    <row r="1977" spans="1:4" x14ac:dyDescent="0.25">
      <c r="A1977" t="s">
        <v>10940</v>
      </c>
      <c r="B1977">
        <v>143</v>
      </c>
      <c r="C1977" s="4">
        <v>1391.61</v>
      </c>
      <c r="D1977">
        <v>3</v>
      </c>
    </row>
    <row r="1978" spans="1:4" x14ac:dyDescent="0.25">
      <c r="A1978" t="s">
        <v>10941</v>
      </c>
      <c r="B1978">
        <v>30</v>
      </c>
      <c r="C1978" s="4">
        <v>215.78</v>
      </c>
      <c r="D1978">
        <v>1</v>
      </c>
    </row>
    <row r="1979" spans="1:4" x14ac:dyDescent="0.25">
      <c r="A1979" t="s">
        <v>10942</v>
      </c>
      <c r="B1979">
        <v>71</v>
      </c>
      <c r="C1979" s="4">
        <v>697.79</v>
      </c>
      <c r="D1979">
        <v>3</v>
      </c>
    </row>
    <row r="1980" spans="1:4" x14ac:dyDescent="0.25">
      <c r="A1980" t="s">
        <v>10943</v>
      </c>
      <c r="B1980">
        <v>114</v>
      </c>
      <c r="C1980" s="4">
        <v>302.10000000000002</v>
      </c>
      <c r="D1980">
        <v>2</v>
      </c>
    </row>
    <row r="1981" spans="1:4" x14ac:dyDescent="0.25">
      <c r="A1981" t="s">
        <v>10944</v>
      </c>
      <c r="B1981">
        <v>25</v>
      </c>
      <c r="C1981" s="4">
        <v>1489.5</v>
      </c>
      <c r="D1981">
        <v>2</v>
      </c>
    </row>
    <row r="1982" spans="1:4" x14ac:dyDescent="0.25">
      <c r="A1982" t="s">
        <v>10945</v>
      </c>
      <c r="B1982">
        <v>276</v>
      </c>
      <c r="C1982" s="4">
        <v>2124.9899999999998</v>
      </c>
      <c r="D1982">
        <v>11</v>
      </c>
    </row>
    <row r="1983" spans="1:4" x14ac:dyDescent="0.25">
      <c r="A1983" t="s">
        <v>10946</v>
      </c>
      <c r="B1983">
        <v>237</v>
      </c>
      <c r="C1983" s="4">
        <v>1337.72</v>
      </c>
      <c r="D1983">
        <v>9</v>
      </c>
    </row>
    <row r="1984" spans="1:4" x14ac:dyDescent="0.25">
      <c r="A1984" t="s">
        <v>10947</v>
      </c>
      <c r="B1984">
        <v>120</v>
      </c>
      <c r="C1984" s="4">
        <v>301.83999999999997</v>
      </c>
      <c r="D1984">
        <v>4</v>
      </c>
    </row>
    <row r="1985" spans="1:4" x14ac:dyDescent="0.25">
      <c r="A1985" t="s">
        <v>10948</v>
      </c>
      <c r="B1985">
        <v>403</v>
      </c>
      <c r="C1985" s="4">
        <v>54534.14</v>
      </c>
      <c r="D1985">
        <v>48</v>
      </c>
    </row>
    <row r="1986" spans="1:4" x14ac:dyDescent="0.25">
      <c r="A1986" t="s">
        <v>10949</v>
      </c>
      <c r="B1986">
        <v>57</v>
      </c>
      <c r="C1986" s="4">
        <v>987.86</v>
      </c>
      <c r="D1986">
        <v>4</v>
      </c>
    </row>
    <row r="1987" spans="1:4" x14ac:dyDescent="0.25">
      <c r="A1987" t="s">
        <v>10950</v>
      </c>
      <c r="B1987">
        <v>5</v>
      </c>
      <c r="C1987" s="4">
        <v>370.8</v>
      </c>
      <c r="D1987">
        <v>1</v>
      </c>
    </row>
    <row r="1988" spans="1:4" x14ac:dyDescent="0.25">
      <c r="A1988" t="s">
        <v>10951</v>
      </c>
      <c r="B1988">
        <v>155</v>
      </c>
      <c r="C1988" s="4">
        <v>3158.13</v>
      </c>
      <c r="D1988">
        <v>4</v>
      </c>
    </row>
    <row r="1989" spans="1:4" x14ac:dyDescent="0.25">
      <c r="A1989" t="s">
        <v>10952</v>
      </c>
      <c r="B1989">
        <v>42</v>
      </c>
      <c r="C1989" s="4">
        <v>893.59</v>
      </c>
      <c r="D1989">
        <v>1</v>
      </c>
    </row>
    <row r="1990" spans="1:4" x14ac:dyDescent="0.25">
      <c r="A1990" t="s">
        <v>10953</v>
      </c>
      <c r="B1990">
        <v>82</v>
      </c>
      <c r="C1990" s="4">
        <v>1744.76</v>
      </c>
      <c r="D1990">
        <v>3</v>
      </c>
    </row>
    <row r="1991" spans="1:4" x14ac:dyDescent="0.25">
      <c r="A1991" t="s">
        <v>10954</v>
      </c>
      <c r="B1991">
        <v>104</v>
      </c>
      <c r="C1991" s="4">
        <v>553.36</v>
      </c>
      <c r="D1991">
        <v>2</v>
      </c>
    </row>
    <row r="1992" spans="1:4" x14ac:dyDescent="0.25">
      <c r="A1992" t="s">
        <v>10955</v>
      </c>
      <c r="B1992">
        <v>70</v>
      </c>
      <c r="C1992" s="4">
        <v>1109.53</v>
      </c>
      <c r="D1992">
        <v>1</v>
      </c>
    </row>
    <row r="1993" spans="1:4" x14ac:dyDescent="0.25">
      <c r="A1993" t="s">
        <v>10956</v>
      </c>
      <c r="B1993">
        <v>1</v>
      </c>
      <c r="C1993" s="4">
        <v>106.2</v>
      </c>
      <c r="D1993">
        <v>1</v>
      </c>
    </row>
    <row r="1994" spans="1:4" x14ac:dyDescent="0.25">
      <c r="A1994" t="s">
        <v>10957</v>
      </c>
      <c r="B1994">
        <v>26</v>
      </c>
      <c r="C1994" s="4">
        <v>982.07</v>
      </c>
      <c r="D1994">
        <v>2</v>
      </c>
    </row>
    <row r="1995" spans="1:4" x14ac:dyDescent="0.25">
      <c r="A1995" t="s">
        <v>10958</v>
      </c>
      <c r="B1995">
        <v>54</v>
      </c>
      <c r="C1995" s="4">
        <v>1043.4100000000001</v>
      </c>
      <c r="D1995">
        <v>3</v>
      </c>
    </row>
    <row r="1996" spans="1:4" x14ac:dyDescent="0.25">
      <c r="A1996" t="s">
        <v>10959</v>
      </c>
      <c r="B1996">
        <v>42</v>
      </c>
      <c r="C1996" s="4">
        <v>748.87</v>
      </c>
      <c r="D1996">
        <v>1</v>
      </c>
    </row>
    <row r="1997" spans="1:4" x14ac:dyDescent="0.25">
      <c r="A1997" t="s">
        <v>10960</v>
      </c>
      <c r="B1997">
        <v>27</v>
      </c>
      <c r="C1997" s="4">
        <v>773.03</v>
      </c>
      <c r="D1997">
        <v>1</v>
      </c>
    </row>
    <row r="1998" spans="1:4" x14ac:dyDescent="0.25">
      <c r="A1998" t="s">
        <v>10961</v>
      </c>
      <c r="B1998">
        <v>49</v>
      </c>
      <c r="C1998" s="4">
        <v>880.85</v>
      </c>
      <c r="D1998">
        <v>1</v>
      </c>
    </row>
    <row r="1999" spans="1:4" x14ac:dyDescent="0.25">
      <c r="A1999" t="s">
        <v>10962</v>
      </c>
      <c r="B1999">
        <v>440</v>
      </c>
      <c r="C1999" s="4">
        <v>9743.11</v>
      </c>
      <c r="D1999">
        <v>32</v>
      </c>
    </row>
    <row r="2000" spans="1:4" x14ac:dyDescent="0.25">
      <c r="A2000" t="s">
        <v>10963</v>
      </c>
      <c r="B2000">
        <v>47</v>
      </c>
      <c r="C2000" s="4">
        <v>895.61</v>
      </c>
      <c r="D2000">
        <v>4</v>
      </c>
    </row>
    <row r="2001" spans="1:4" x14ac:dyDescent="0.25">
      <c r="A2001" t="s">
        <v>10964</v>
      </c>
      <c r="B2001">
        <v>33</v>
      </c>
      <c r="C2001" s="4">
        <v>504.8</v>
      </c>
      <c r="D2001">
        <v>5</v>
      </c>
    </row>
    <row r="2002" spans="1:4" x14ac:dyDescent="0.25">
      <c r="A2002" t="s">
        <v>10965</v>
      </c>
      <c r="B2002">
        <v>5</v>
      </c>
      <c r="C2002" s="4">
        <v>88.2</v>
      </c>
      <c r="D2002">
        <v>1</v>
      </c>
    </row>
    <row r="2003" spans="1:4" x14ac:dyDescent="0.25">
      <c r="A2003" t="s">
        <v>10966</v>
      </c>
      <c r="B2003">
        <v>15</v>
      </c>
      <c r="C2003" s="4">
        <v>306.94</v>
      </c>
      <c r="D2003">
        <v>1</v>
      </c>
    </row>
    <row r="2004" spans="1:4" x14ac:dyDescent="0.25">
      <c r="A2004" t="s">
        <v>10967</v>
      </c>
      <c r="B2004">
        <v>57</v>
      </c>
      <c r="C2004" s="4">
        <v>1160.07</v>
      </c>
      <c r="D2004">
        <v>2</v>
      </c>
    </row>
    <row r="2005" spans="1:4" x14ac:dyDescent="0.25">
      <c r="A2005" t="s">
        <v>10968</v>
      </c>
      <c r="B2005">
        <v>145</v>
      </c>
      <c r="C2005" s="4">
        <v>2420.84</v>
      </c>
      <c r="D2005">
        <v>6</v>
      </c>
    </row>
    <row r="2006" spans="1:4" x14ac:dyDescent="0.25">
      <c r="A2006" t="s">
        <v>10969</v>
      </c>
      <c r="B2006">
        <v>23</v>
      </c>
      <c r="C2006" s="4">
        <v>381.32</v>
      </c>
      <c r="D2006">
        <v>1</v>
      </c>
    </row>
    <row r="2007" spans="1:4" x14ac:dyDescent="0.25">
      <c r="A2007" t="s">
        <v>10970</v>
      </c>
      <c r="B2007">
        <v>30</v>
      </c>
      <c r="C2007" s="4">
        <v>480.71</v>
      </c>
      <c r="D2007">
        <v>1</v>
      </c>
    </row>
    <row r="2008" spans="1:4" x14ac:dyDescent="0.25">
      <c r="A2008" t="s">
        <v>10971</v>
      </c>
      <c r="B2008">
        <v>26</v>
      </c>
      <c r="C2008" s="4">
        <v>457.81</v>
      </c>
      <c r="D2008">
        <v>2</v>
      </c>
    </row>
    <row r="2009" spans="1:4" x14ac:dyDescent="0.25">
      <c r="A2009" t="s">
        <v>10972</v>
      </c>
      <c r="B2009">
        <v>108</v>
      </c>
      <c r="C2009" s="4">
        <v>4597.0200000000004</v>
      </c>
      <c r="D2009">
        <v>6</v>
      </c>
    </row>
    <row r="2010" spans="1:4" x14ac:dyDescent="0.25">
      <c r="A2010" t="s">
        <v>10973</v>
      </c>
      <c r="B2010">
        <v>47</v>
      </c>
      <c r="C2010" s="4">
        <v>1370.6</v>
      </c>
      <c r="D2010">
        <v>4</v>
      </c>
    </row>
    <row r="2011" spans="1:4" x14ac:dyDescent="0.25">
      <c r="A2011" t="s">
        <v>10974</v>
      </c>
      <c r="B2011">
        <v>11</v>
      </c>
      <c r="C2011" s="4">
        <v>219.39</v>
      </c>
      <c r="D2011">
        <v>1</v>
      </c>
    </row>
    <row r="2012" spans="1:4" x14ac:dyDescent="0.25">
      <c r="A2012" t="s">
        <v>10975</v>
      </c>
      <c r="B2012">
        <v>25</v>
      </c>
      <c r="C2012" s="4">
        <v>248.08</v>
      </c>
      <c r="D2012">
        <v>1</v>
      </c>
    </row>
    <row r="2013" spans="1:4" x14ac:dyDescent="0.25">
      <c r="A2013" t="s">
        <v>10976</v>
      </c>
      <c r="B2013">
        <v>3</v>
      </c>
      <c r="C2013" s="4">
        <v>39916.5</v>
      </c>
      <c r="D2013">
        <v>3</v>
      </c>
    </row>
    <row r="2014" spans="1:4" x14ac:dyDescent="0.25">
      <c r="A2014" t="s">
        <v>10977</v>
      </c>
      <c r="B2014">
        <v>23</v>
      </c>
      <c r="C2014" s="4">
        <v>410.48</v>
      </c>
      <c r="D2014">
        <v>1</v>
      </c>
    </row>
    <row r="2015" spans="1:4" x14ac:dyDescent="0.25">
      <c r="A2015" t="s">
        <v>10978</v>
      </c>
      <c r="B2015">
        <v>3</v>
      </c>
      <c r="C2015" s="4">
        <v>876</v>
      </c>
      <c r="D2015">
        <v>3</v>
      </c>
    </row>
    <row r="2016" spans="1:4" x14ac:dyDescent="0.25">
      <c r="A2016" t="s">
        <v>10979</v>
      </c>
      <c r="B2016">
        <v>8</v>
      </c>
      <c r="C2016" s="4">
        <v>317.52999999999997</v>
      </c>
      <c r="D2016">
        <v>2</v>
      </c>
    </row>
    <row r="2017" spans="1:4" x14ac:dyDescent="0.25">
      <c r="A2017" t="s">
        <v>10980</v>
      </c>
      <c r="B2017">
        <v>35</v>
      </c>
      <c r="C2017" s="4">
        <v>703.36</v>
      </c>
      <c r="D2017">
        <v>2</v>
      </c>
    </row>
    <row r="2018" spans="1:4" x14ac:dyDescent="0.25">
      <c r="A2018" t="s">
        <v>10981</v>
      </c>
      <c r="B2018">
        <v>69</v>
      </c>
      <c r="C2018" s="4">
        <v>1027.44</v>
      </c>
      <c r="D2018">
        <v>2</v>
      </c>
    </row>
    <row r="2019" spans="1:4" x14ac:dyDescent="0.25">
      <c r="A2019" t="s">
        <v>10982</v>
      </c>
      <c r="B2019">
        <v>101</v>
      </c>
      <c r="C2019" s="4">
        <v>2298.9299999999998</v>
      </c>
      <c r="D2019">
        <v>7</v>
      </c>
    </row>
    <row r="2020" spans="1:4" x14ac:dyDescent="0.25">
      <c r="A2020" t="s">
        <v>10983</v>
      </c>
      <c r="B2020">
        <v>100</v>
      </c>
      <c r="C2020" s="4">
        <v>1422.52</v>
      </c>
      <c r="D2020">
        <v>5</v>
      </c>
    </row>
    <row r="2021" spans="1:4" x14ac:dyDescent="0.25">
      <c r="A2021" t="s">
        <v>10984</v>
      </c>
      <c r="B2021">
        <v>16</v>
      </c>
      <c r="C2021" s="4">
        <v>319.5</v>
      </c>
      <c r="D2021">
        <v>6</v>
      </c>
    </row>
    <row r="2022" spans="1:4" x14ac:dyDescent="0.25">
      <c r="A2022" t="s">
        <v>10985</v>
      </c>
      <c r="B2022">
        <v>57</v>
      </c>
      <c r="C2022" s="4">
        <v>1159.25</v>
      </c>
      <c r="D2022">
        <v>3</v>
      </c>
    </row>
    <row r="2023" spans="1:4" x14ac:dyDescent="0.25">
      <c r="A2023" t="s">
        <v>10986</v>
      </c>
      <c r="B2023">
        <v>28</v>
      </c>
      <c r="C2023" s="4">
        <v>484.95</v>
      </c>
      <c r="D2023">
        <v>1</v>
      </c>
    </row>
    <row r="2024" spans="1:4" x14ac:dyDescent="0.25">
      <c r="A2024" t="s">
        <v>10987</v>
      </c>
      <c r="B2024">
        <v>35</v>
      </c>
      <c r="C2024" s="4">
        <v>996.1</v>
      </c>
      <c r="D2024">
        <v>4</v>
      </c>
    </row>
    <row r="2025" spans="1:4" x14ac:dyDescent="0.25">
      <c r="A2025" t="s">
        <v>10988</v>
      </c>
      <c r="B2025">
        <v>84</v>
      </c>
      <c r="C2025" s="4">
        <v>1567.48</v>
      </c>
      <c r="D2025">
        <v>3</v>
      </c>
    </row>
    <row r="2026" spans="1:4" x14ac:dyDescent="0.25">
      <c r="A2026" t="s">
        <v>10989</v>
      </c>
      <c r="B2026">
        <v>99</v>
      </c>
      <c r="C2026" s="4">
        <v>3608.94</v>
      </c>
      <c r="D2026">
        <v>3</v>
      </c>
    </row>
    <row r="2027" spans="1:4" x14ac:dyDescent="0.25">
      <c r="A2027" t="s">
        <v>10990</v>
      </c>
      <c r="B2027">
        <v>197</v>
      </c>
      <c r="C2027" s="4">
        <v>2760.56</v>
      </c>
      <c r="D2027">
        <v>10</v>
      </c>
    </row>
    <row r="2028" spans="1:4" x14ac:dyDescent="0.25">
      <c r="A2028" t="s">
        <v>10991</v>
      </c>
      <c r="B2028">
        <v>21</v>
      </c>
      <c r="C2028" s="4">
        <v>340.11</v>
      </c>
      <c r="D2028">
        <v>1</v>
      </c>
    </row>
    <row r="2029" spans="1:4" x14ac:dyDescent="0.25">
      <c r="A2029" t="s">
        <v>10992</v>
      </c>
      <c r="B2029">
        <v>45</v>
      </c>
      <c r="C2029" s="4">
        <v>1352.75</v>
      </c>
      <c r="D2029">
        <v>4</v>
      </c>
    </row>
    <row r="2030" spans="1:4" x14ac:dyDescent="0.25">
      <c r="A2030" t="s">
        <v>10993</v>
      </c>
      <c r="B2030">
        <v>79</v>
      </c>
      <c r="C2030" s="4">
        <v>1551.78</v>
      </c>
      <c r="D2030">
        <v>5</v>
      </c>
    </row>
    <row r="2031" spans="1:4" x14ac:dyDescent="0.25">
      <c r="A2031" t="s">
        <v>10994</v>
      </c>
      <c r="B2031">
        <v>1</v>
      </c>
      <c r="C2031" s="4">
        <v>244.8</v>
      </c>
      <c r="D2031">
        <v>1</v>
      </c>
    </row>
    <row r="2032" spans="1:4" x14ac:dyDescent="0.25">
      <c r="A2032" t="s">
        <v>10995</v>
      </c>
      <c r="B2032">
        <v>14</v>
      </c>
      <c r="C2032" s="4">
        <v>266.39999999999998</v>
      </c>
      <c r="D2032">
        <v>1</v>
      </c>
    </row>
    <row r="2033" spans="1:4" x14ac:dyDescent="0.25">
      <c r="A2033" t="s">
        <v>10996</v>
      </c>
      <c r="B2033">
        <v>21</v>
      </c>
      <c r="C2033" s="4">
        <v>358.82</v>
      </c>
      <c r="D2033">
        <v>1</v>
      </c>
    </row>
    <row r="2034" spans="1:4" x14ac:dyDescent="0.25">
      <c r="A2034" t="s">
        <v>10997</v>
      </c>
      <c r="B2034">
        <v>28</v>
      </c>
      <c r="C2034" s="4">
        <v>457.72</v>
      </c>
      <c r="D2034">
        <v>2</v>
      </c>
    </row>
    <row r="2035" spans="1:4" x14ac:dyDescent="0.25">
      <c r="A2035" t="s">
        <v>10998</v>
      </c>
      <c r="B2035">
        <v>82</v>
      </c>
      <c r="C2035" s="4">
        <v>1633.78</v>
      </c>
      <c r="D2035">
        <v>3</v>
      </c>
    </row>
    <row r="2036" spans="1:4" x14ac:dyDescent="0.25">
      <c r="A2036" t="s">
        <v>10999</v>
      </c>
      <c r="B2036">
        <v>106</v>
      </c>
      <c r="C2036" s="4">
        <v>2199.31</v>
      </c>
      <c r="D2036">
        <v>2</v>
      </c>
    </row>
    <row r="2037" spans="1:4" x14ac:dyDescent="0.25">
      <c r="A2037" t="s">
        <v>11000</v>
      </c>
      <c r="B2037">
        <v>15</v>
      </c>
      <c r="C2037" s="4">
        <v>184.19</v>
      </c>
      <c r="D2037">
        <v>2</v>
      </c>
    </row>
    <row r="2038" spans="1:4" x14ac:dyDescent="0.25">
      <c r="A2038" t="s">
        <v>11001</v>
      </c>
      <c r="B2038">
        <v>127</v>
      </c>
      <c r="C2038" s="4">
        <v>11528.48</v>
      </c>
      <c r="D2038">
        <v>15</v>
      </c>
    </row>
    <row r="2039" spans="1:4" x14ac:dyDescent="0.25">
      <c r="A2039" t="s">
        <v>11002</v>
      </c>
      <c r="B2039">
        <v>16</v>
      </c>
      <c r="C2039" s="4">
        <v>406.53</v>
      </c>
      <c r="D2039">
        <v>1</v>
      </c>
    </row>
    <row r="2040" spans="1:4" x14ac:dyDescent="0.25">
      <c r="A2040" t="s">
        <v>11003</v>
      </c>
      <c r="B2040">
        <v>102</v>
      </c>
      <c r="C2040" s="4">
        <v>1471</v>
      </c>
      <c r="D2040">
        <v>4</v>
      </c>
    </row>
    <row r="2041" spans="1:4" x14ac:dyDescent="0.25">
      <c r="A2041" t="s">
        <v>11004</v>
      </c>
      <c r="B2041">
        <v>84</v>
      </c>
      <c r="C2041" s="4">
        <v>3447.4</v>
      </c>
      <c r="D2041">
        <v>11</v>
      </c>
    </row>
    <row r="2042" spans="1:4" x14ac:dyDescent="0.25">
      <c r="A2042" t="s">
        <v>11005</v>
      </c>
      <c r="B2042">
        <v>22</v>
      </c>
      <c r="C2042" s="4">
        <v>330.11</v>
      </c>
      <c r="D2042">
        <v>1</v>
      </c>
    </row>
    <row r="2043" spans="1:4" x14ac:dyDescent="0.25">
      <c r="A2043" t="s">
        <v>11006</v>
      </c>
      <c r="B2043">
        <v>52</v>
      </c>
      <c r="C2043" s="4">
        <v>977.93</v>
      </c>
      <c r="D2043">
        <v>5</v>
      </c>
    </row>
    <row r="2044" spans="1:4" x14ac:dyDescent="0.25">
      <c r="A2044" t="s">
        <v>11007</v>
      </c>
      <c r="B2044">
        <v>29</v>
      </c>
      <c r="C2044" s="4">
        <v>982.42</v>
      </c>
      <c r="D2044">
        <v>3</v>
      </c>
    </row>
    <row r="2045" spans="1:4" x14ac:dyDescent="0.25">
      <c r="A2045" t="s">
        <v>11008</v>
      </c>
      <c r="B2045">
        <v>73</v>
      </c>
      <c r="C2045" s="4">
        <v>1387.99</v>
      </c>
      <c r="D2045">
        <v>8</v>
      </c>
    </row>
    <row r="2046" spans="1:4" x14ac:dyDescent="0.25">
      <c r="A2046" t="s">
        <v>11009</v>
      </c>
      <c r="B2046">
        <v>9</v>
      </c>
      <c r="C2046" s="4">
        <v>139.05000000000001</v>
      </c>
      <c r="D2046">
        <v>1</v>
      </c>
    </row>
    <row r="2047" spans="1:4" x14ac:dyDescent="0.25">
      <c r="A2047" t="s">
        <v>11010</v>
      </c>
      <c r="B2047">
        <v>68</v>
      </c>
      <c r="C2047" s="4">
        <v>1286.7</v>
      </c>
      <c r="D2047">
        <v>4</v>
      </c>
    </row>
    <row r="2048" spans="1:4" x14ac:dyDescent="0.25">
      <c r="A2048" t="s">
        <v>11011</v>
      </c>
      <c r="B2048">
        <v>13</v>
      </c>
      <c r="C2048" s="4">
        <v>178.96</v>
      </c>
      <c r="D2048">
        <v>2</v>
      </c>
    </row>
    <row r="2049" spans="1:4" x14ac:dyDescent="0.25">
      <c r="A2049" t="s">
        <v>11012</v>
      </c>
      <c r="B2049">
        <v>80</v>
      </c>
      <c r="C2049" s="4">
        <v>2354.25</v>
      </c>
      <c r="D2049">
        <v>7</v>
      </c>
    </row>
    <row r="2050" spans="1:4" x14ac:dyDescent="0.25">
      <c r="A2050" t="s">
        <v>11013</v>
      </c>
      <c r="B2050">
        <v>26</v>
      </c>
      <c r="C2050" s="4">
        <v>498.74</v>
      </c>
      <c r="D2050">
        <v>1</v>
      </c>
    </row>
    <row r="2051" spans="1:4" x14ac:dyDescent="0.25">
      <c r="A2051" t="s">
        <v>11014</v>
      </c>
      <c r="B2051">
        <v>14</v>
      </c>
      <c r="C2051" s="4">
        <v>259.45</v>
      </c>
      <c r="D2051">
        <v>1</v>
      </c>
    </row>
    <row r="2052" spans="1:4" x14ac:dyDescent="0.25">
      <c r="A2052" t="s">
        <v>11015</v>
      </c>
      <c r="B2052">
        <v>217</v>
      </c>
      <c r="C2052" s="4">
        <v>6580.44</v>
      </c>
      <c r="D2052">
        <v>17</v>
      </c>
    </row>
    <row r="2053" spans="1:4" x14ac:dyDescent="0.25">
      <c r="A2053" t="s">
        <v>11016</v>
      </c>
      <c r="B2053">
        <v>67</v>
      </c>
      <c r="C2053" s="4">
        <v>1194.73</v>
      </c>
      <c r="D2053">
        <v>4</v>
      </c>
    </row>
    <row r="2054" spans="1:4" x14ac:dyDescent="0.25">
      <c r="A2054" t="s">
        <v>11017</v>
      </c>
      <c r="B2054">
        <v>91</v>
      </c>
      <c r="C2054" s="4">
        <v>1327.16</v>
      </c>
      <c r="D2054">
        <v>2</v>
      </c>
    </row>
    <row r="2055" spans="1:4" x14ac:dyDescent="0.25">
      <c r="A2055" t="s">
        <v>11018</v>
      </c>
      <c r="B2055">
        <v>28</v>
      </c>
      <c r="C2055" s="4">
        <v>623.5</v>
      </c>
      <c r="D2055">
        <v>1</v>
      </c>
    </row>
    <row r="2056" spans="1:4" x14ac:dyDescent="0.25">
      <c r="A2056" t="s">
        <v>11019</v>
      </c>
      <c r="B2056">
        <v>20</v>
      </c>
      <c r="C2056" s="4">
        <v>301.29000000000002</v>
      </c>
      <c r="D2056">
        <v>1</v>
      </c>
    </row>
    <row r="2057" spans="1:4" x14ac:dyDescent="0.25">
      <c r="A2057" t="s">
        <v>11020</v>
      </c>
      <c r="B2057">
        <v>23</v>
      </c>
      <c r="C2057" s="4">
        <v>520.79999999999995</v>
      </c>
      <c r="D2057">
        <v>1</v>
      </c>
    </row>
    <row r="2058" spans="1:4" x14ac:dyDescent="0.25">
      <c r="A2058" t="s">
        <v>11021</v>
      </c>
      <c r="B2058">
        <v>343</v>
      </c>
      <c r="C2058" s="4">
        <v>5314.47</v>
      </c>
      <c r="D2058">
        <v>10</v>
      </c>
    </row>
    <row r="2059" spans="1:4" x14ac:dyDescent="0.25">
      <c r="A2059" t="s">
        <v>11022</v>
      </c>
      <c r="B2059">
        <v>271</v>
      </c>
      <c r="C2059" s="4">
        <v>4745.6899999999996</v>
      </c>
      <c r="D2059">
        <v>13</v>
      </c>
    </row>
    <row r="2060" spans="1:4" x14ac:dyDescent="0.25">
      <c r="A2060" t="s">
        <v>11023</v>
      </c>
      <c r="B2060">
        <v>22</v>
      </c>
      <c r="C2060" s="4">
        <v>329.25</v>
      </c>
      <c r="D2060">
        <v>1</v>
      </c>
    </row>
    <row r="2061" spans="1:4" x14ac:dyDescent="0.25">
      <c r="A2061" t="s">
        <v>11024</v>
      </c>
      <c r="B2061">
        <v>85</v>
      </c>
      <c r="C2061" s="4">
        <v>296.42</v>
      </c>
      <c r="D2061">
        <v>1</v>
      </c>
    </row>
    <row r="2062" spans="1:4" x14ac:dyDescent="0.25">
      <c r="A2062" t="s">
        <v>11025</v>
      </c>
      <c r="B2062">
        <v>55</v>
      </c>
      <c r="C2062" s="4">
        <v>961.49</v>
      </c>
      <c r="D2062">
        <v>3</v>
      </c>
    </row>
    <row r="2063" spans="1:4" x14ac:dyDescent="0.25">
      <c r="A2063" t="s">
        <v>11026</v>
      </c>
      <c r="B2063">
        <v>125</v>
      </c>
      <c r="C2063" s="4">
        <v>1936.07</v>
      </c>
      <c r="D2063">
        <v>3</v>
      </c>
    </row>
    <row r="2064" spans="1:4" x14ac:dyDescent="0.25">
      <c r="A2064" t="s">
        <v>11027</v>
      </c>
      <c r="B2064">
        <v>7</v>
      </c>
      <c r="C2064" s="4">
        <v>401.4</v>
      </c>
      <c r="D2064">
        <v>1</v>
      </c>
    </row>
    <row r="2065" spans="1:4" x14ac:dyDescent="0.25">
      <c r="A2065" t="s">
        <v>11028</v>
      </c>
      <c r="B2065">
        <v>710</v>
      </c>
      <c r="C2065" s="4">
        <v>18641.009999999998</v>
      </c>
      <c r="D2065">
        <v>30</v>
      </c>
    </row>
    <row r="2066" spans="1:4" x14ac:dyDescent="0.25">
      <c r="A2066" t="s">
        <v>11029</v>
      </c>
      <c r="B2066">
        <v>4</v>
      </c>
      <c r="C2066" s="4">
        <v>158.16</v>
      </c>
      <c r="D2066">
        <v>1</v>
      </c>
    </row>
    <row r="2067" spans="1:4" x14ac:dyDescent="0.25">
      <c r="A2067" t="s">
        <v>11030</v>
      </c>
      <c r="B2067">
        <v>29</v>
      </c>
      <c r="C2067" s="4">
        <v>304.47000000000003</v>
      </c>
      <c r="D2067">
        <v>2</v>
      </c>
    </row>
    <row r="2068" spans="1:4" x14ac:dyDescent="0.25">
      <c r="A2068" t="s">
        <v>11031</v>
      </c>
      <c r="B2068">
        <v>103</v>
      </c>
      <c r="C2068" s="4">
        <v>843.05</v>
      </c>
      <c r="D2068">
        <v>3</v>
      </c>
    </row>
    <row r="2069" spans="1:4" x14ac:dyDescent="0.25">
      <c r="A2069" t="s">
        <v>11032</v>
      </c>
      <c r="B2069">
        <v>27</v>
      </c>
      <c r="C2069" s="4">
        <v>487.75</v>
      </c>
      <c r="D2069">
        <v>1</v>
      </c>
    </row>
    <row r="2070" spans="1:4" x14ac:dyDescent="0.25">
      <c r="A2070" t="s">
        <v>11033</v>
      </c>
      <c r="B2070">
        <v>41</v>
      </c>
      <c r="C2070" s="4">
        <v>163</v>
      </c>
      <c r="D2070">
        <v>1</v>
      </c>
    </row>
    <row r="2071" spans="1:4" x14ac:dyDescent="0.25">
      <c r="A2071" t="s">
        <v>11034</v>
      </c>
      <c r="B2071">
        <v>5</v>
      </c>
      <c r="C2071" s="4">
        <v>106.56</v>
      </c>
      <c r="D2071">
        <v>1</v>
      </c>
    </row>
    <row r="2072" spans="1:4" x14ac:dyDescent="0.25">
      <c r="A2072" t="s">
        <v>11035</v>
      </c>
      <c r="B2072">
        <v>5</v>
      </c>
      <c r="C2072" s="4">
        <v>1289.5</v>
      </c>
      <c r="D2072">
        <v>1</v>
      </c>
    </row>
    <row r="2073" spans="1:4" x14ac:dyDescent="0.25">
      <c r="A2073" t="s">
        <v>11036</v>
      </c>
      <c r="B2073">
        <v>110</v>
      </c>
      <c r="C2073" s="4">
        <v>1624.05</v>
      </c>
      <c r="D2073">
        <v>5</v>
      </c>
    </row>
    <row r="2074" spans="1:4" x14ac:dyDescent="0.25">
      <c r="A2074" t="s">
        <v>11037</v>
      </c>
      <c r="B2074">
        <v>11</v>
      </c>
      <c r="C2074" s="4">
        <v>135.75</v>
      </c>
      <c r="D2074">
        <v>1</v>
      </c>
    </row>
    <row r="2075" spans="1:4" x14ac:dyDescent="0.25">
      <c r="A2075" t="s">
        <v>11038</v>
      </c>
      <c r="B2075">
        <v>23</v>
      </c>
      <c r="C2075" s="4">
        <v>224.14</v>
      </c>
      <c r="D2075">
        <v>1</v>
      </c>
    </row>
    <row r="2076" spans="1:4" x14ac:dyDescent="0.25">
      <c r="A2076" t="s">
        <v>11039</v>
      </c>
      <c r="B2076">
        <v>3</v>
      </c>
      <c r="C2076" s="4">
        <v>40.5</v>
      </c>
      <c r="D2076">
        <v>1</v>
      </c>
    </row>
    <row r="2077" spans="1:4" x14ac:dyDescent="0.25">
      <c r="A2077" t="s">
        <v>11040</v>
      </c>
      <c r="B2077">
        <v>93</v>
      </c>
      <c r="C2077" s="4">
        <v>2206.9499999999998</v>
      </c>
      <c r="D2077">
        <v>5</v>
      </c>
    </row>
    <row r="2078" spans="1:4" x14ac:dyDescent="0.25">
      <c r="A2078" t="s">
        <v>11041</v>
      </c>
      <c r="B2078">
        <v>6</v>
      </c>
      <c r="C2078" s="4">
        <v>87.5</v>
      </c>
      <c r="D2078">
        <v>1</v>
      </c>
    </row>
    <row r="2079" spans="1:4" x14ac:dyDescent="0.25">
      <c r="A2079" t="s">
        <v>11042</v>
      </c>
      <c r="B2079">
        <v>16</v>
      </c>
      <c r="C2079" s="4">
        <v>689.48</v>
      </c>
      <c r="D2079">
        <v>3</v>
      </c>
    </row>
    <row r="2080" spans="1:4" x14ac:dyDescent="0.25">
      <c r="A2080" t="s">
        <v>11043</v>
      </c>
      <c r="B2080">
        <v>29</v>
      </c>
      <c r="C2080" s="4">
        <v>622.85</v>
      </c>
      <c r="D2080">
        <v>2</v>
      </c>
    </row>
    <row r="2081" spans="1:4" x14ac:dyDescent="0.25">
      <c r="A2081" t="s">
        <v>11044</v>
      </c>
      <c r="B2081">
        <v>63</v>
      </c>
      <c r="C2081" s="4">
        <v>406.76</v>
      </c>
      <c r="D2081">
        <v>2</v>
      </c>
    </row>
    <row r="2082" spans="1:4" x14ac:dyDescent="0.25">
      <c r="A2082" t="s">
        <v>11045</v>
      </c>
      <c r="B2082">
        <v>21</v>
      </c>
      <c r="C2082" s="4">
        <v>310.62</v>
      </c>
      <c r="D2082">
        <v>1</v>
      </c>
    </row>
    <row r="2083" spans="1:4" x14ac:dyDescent="0.25">
      <c r="A2083" t="s">
        <v>11046</v>
      </c>
      <c r="B2083">
        <v>19</v>
      </c>
      <c r="C2083" s="4">
        <v>411.41</v>
      </c>
      <c r="D2083">
        <v>2</v>
      </c>
    </row>
    <row r="2084" spans="1:4" x14ac:dyDescent="0.25">
      <c r="A2084" t="s">
        <v>11047</v>
      </c>
      <c r="B2084">
        <v>90</v>
      </c>
      <c r="C2084" s="4">
        <v>4762.18</v>
      </c>
      <c r="D2084">
        <v>15</v>
      </c>
    </row>
    <row r="2085" spans="1:4" x14ac:dyDescent="0.25">
      <c r="A2085" t="s">
        <v>11048</v>
      </c>
      <c r="B2085">
        <v>212</v>
      </c>
      <c r="C2085" s="4">
        <v>16225.39</v>
      </c>
      <c r="D2085">
        <v>41</v>
      </c>
    </row>
    <row r="2086" spans="1:4" x14ac:dyDescent="0.25">
      <c r="A2086" t="s">
        <v>11049</v>
      </c>
      <c r="B2086">
        <v>51</v>
      </c>
      <c r="C2086" s="4">
        <v>1044.32</v>
      </c>
      <c r="D2086">
        <v>3</v>
      </c>
    </row>
    <row r="2087" spans="1:4" x14ac:dyDescent="0.25">
      <c r="A2087" t="s">
        <v>11050</v>
      </c>
      <c r="B2087">
        <v>19</v>
      </c>
      <c r="C2087" s="4">
        <v>499.32</v>
      </c>
      <c r="D2087">
        <v>1</v>
      </c>
    </row>
    <row r="2088" spans="1:4" x14ac:dyDescent="0.25">
      <c r="A2088" t="s">
        <v>11051</v>
      </c>
      <c r="B2088">
        <v>310</v>
      </c>
      <c r="C2088" s="4">
        <v>7616.53</v>
      </c>
      <c r="D2088">
        <v>15</v>
      </c>
    </row>
    <row r="2089" spans="1:4" x14ac:dyDescent="0.25">
      <c r="A2089" t="s">
        <v>11052</v>
      </c>
      <c r="B2089">
        <v>1</v>
      </c>
      <c r="C2089" s="4">
        <v>3861</v>
      </c>
      <c r="D2089">
        <v>1</v>
      </c>
    </row>
    <row r="2090" spans="1:4" x14ac:dyDescent="0.25">
      <c r="A2090" t="s">
        <v>11053</v>
      </c>
      <c r="B2090">
        <v>32</v>
      </c>
      <c r="C2090" s="4">
        <v>1079.6099999999999</v>
      </c>
      <c r="D2090">
        <v>3</v>
      </c>
    </row>
    <row r="2091" spans="1:4" x14ac:dyDescent="0.25">
      <c r="A2091" t="s">
        <v>11054</v>
      </c>
      <c r="B2091">
        <v>10</v>
      </c>
      <c r="C2091" s="4">
        <v>193.64</v>
      </c>
      <c r="D2091">
        <v>2</v>
      </c>
    </row>
    <row r="2092" spans="1:4" x14ac:dyDescent="0.25">
      <c r="A2092" t="s">
        <v>11055</v>
      </c>
      <c r="B2092">
        <v>13</v>
      </c>
      <c r="C2092" s="4">
        <v>1268.7</v>
      </c>
      <c r="D2092">
        <v>4</v>
      </c>
    </row>
    <row r="2093" spans="1:4" x14ac:dyDescent="0.25">
      <c r="A2093" t="s">
        <v>11056</v>
      </c>
      <c r="B2093">
        <v>69</v>
      </c>
      <c r="C2093" s="4">
        <v>1236.54</v>
      </c>
      <c r="D2093">
        <v>5</v>
      </c>
    </row>
    <row r="2094" spans="1:4" x14ac:dyDescent="0.25">
      <c r="A2094" t="s">
        <v>11057</v>
      </c>
      <c r="B2094">
        <v>142</v>
      </c>
      <c r="C2094" s="4">
        <v>1827.8</v>
      </c>
      <c r="D2094">
        <v>6</v>
      </c>
    </row>
    <row r="2095" spans="1:4" x14ac:dyDescent="0.25">
      <c r="A2095" t="s">
        <v>11058</v>
      </c>
      <c r="B2095">
        <v>9</v>
      </c>
      <c r="C2095" s="4">
        <v>316.58</v>
      </c>
      <c r="D2095">
        <v>1</v>
      </c>
    </row>
    <row r="2096" spans="1:4" x14ac:dyDescent="0.25">
      <c r="A2096" t="s">
        <v>11059</v>
      </c>
      <c r="B2096">
        <v>37</v>
      </c>
      <c r="C2096" s="4">
        <v>653.24</v>
      </c>
      <c r="D2096">
        <v>2</v>
      </c>
    </row>
    <row r="2097" spans="1:4" x14ac:dyDescent="0.25">
      <c r="A2097" t="s">
        <v>11060</v>
      </c>
      <c r="B2097">
        <v>9</v>
      </c>
      <c r="C2097" s="4">
        <v>420.3</v>
      </c>
      <c r="D2097">
        <v>4</v>
      </c>
    </row>
    <row r="2098" spans="1:4" x14ac:dyDescent="0.25">
      <c r="A2098" t="s">
        <v>11061</v>
      </c>
      <c r="B2098">
        <v>42</v>
      </c>
      <c r="C2098" s="4">
        <v>870.12</v>
      </c>
      <c r="D2098">
        <v>5</v>
      </c>
    </row>
    <row r="2099" spans="1:4" x14ac:dyDescent="0.25">
      <c r="A2099" t="s">
        <v>11062</v>
      </c>
      <c r="B2099">
        <v>20</v>
      </c>
      <c r="C2099" s="4">
        <v>331.18</v>
      </c>
      <c r="D2099">
        <v>1</v>
      </c>
    </row>
    <row r="2100" spans="1:4" x14ac:dyDescent="0.25">
      <c r="A2100" t="s">
        <v>11063</v>
      </c>
      <c r="B2100">
        <v>52</v>
      </c>
      <c r="C2100" s="4">
        <v>894.41</v>
      </c>
      <c r="D2100">
        <v>2</v>
      </c>
    </row>
    <row r="2101" spans="1:4" x14ac:dyDescent="0.25">
      <c r="A2101" t="s">
        <v>11064</v>
      </c>
      <c r="B2101">
        <v>5</v>
      </c>
      <c r="C2101" s="4">
        <v>101.8</v>
      </c>
      <c r="D2101">
        <v>1</v>
      </c>
    </row>
    <row r="2102" spans="1:4" x14ac:dyDescent="0.25">
      <c r="A2102" t="s">
        <v>11065</v>
      </c>
      <c r="B2102">
        <v>24</v>
      </c>
      <c r="C2102" s="4">
        <v>328.35</v>
      </c>
      <c r="D2102">
        <v>2</v>
      </c>
    </row>
    <row r="2103" spans="1:4" x14ac:dyDescent="0.25">
      <c r="A2103" t="s">
        <v>11066</v>
      </c>
      <c r="B2103">
        <v>110</v>
      </c>
      <c r="C2103" s="4">
        <v>1661.44</v>
      </c>
      <c r="D2103">
        <v>8</v>
      </c>
    </row>
    <row r="2104" spans="1:4" x14ac:dyDescent="0.25">
      <c r="A2104" t="s">
        <v>11067</v>
      </c>
      <c r="B2104">
        <v>35</v>
      </c>
      <c r="C2104" s="4">
        <v>734.94</v>
      </c>
      <c r="D2104">
        <v>3</v>
      </c>
    </row>
    <row r="2105" spans="1:4" x14ac:dyDescent="0.25">
      <c r="A2105" t="s">
        <v>11068</v>
      </c>
      <c r="B2105">
        <v>2</v>
      </c>
      <c r="C2105" s="4">
        <v>96.6</v>
      </c>
      <c r="D2105">
        <v>1</v>
      </c>
    </row>
    <row r="2106" spans="1:4" x14ac:dyDescent="0.25">
      <c r="A2106" t="s">
        <v>11069</v>
      </c>
      <c r="B2106">
        <v>166</v>
      </c>
      <c r="C2106" s="4">
        <v>5756.89</v>
      </c>
      <c r="D2106">
        <v>11</v>
      </c>
    </row>
    <row r="2107" spans="1:4" x14ac:dyDescent="0.25">
      <c r="A2107" t="s">
        <v>11070</v>
      </c>
      <c r="B2107">
        <v>9</v>
      </c>
      <c r="C2107" s="4">
        <v>305.75</v>
      </c>
      <c r="D2107">
        <v>1</v>
      </c>
    </row>
    <row r="2108" spans="1:4" x14ac:dyDescent="0.25">
      <c r="A2108" t="s">
        <v>11071</v>
      </c>
      <c r="B2108">
        <v>117</v>
      </c>
      <c r="C2108" s="4">
        <v>1778.96</v>
      </c>
      <c r="D2108">
        <v>6</v>
      </c>
    </row>
    <row r="2109" spans="1:4" x14ac:dyDescent="0.25">
      <c r="A2109" t="s">
        <v>11072</v>
      </c>
      <c r="B2109">
        <v>5</v>
      </c>
      <c r="C2109" s="4">
        <v>403.25</v>
      </c>
      <c r="D2109">
        <v>1</v>
      </c>
    </row>
    <row r="2110" spans="1:4" x14ac:dyDescent="0.25">
      <c r="A2110" t="s">
        <v>11073</v>
      </c>
      <c r="B2110">
        <v>5</v>
      </c>
      <c r="C2110" s="4">
        <v>585</v>
      </c>
      <c r="D2110">
        <v>1</v>
      </c>
    </row>
    <row r="2111" spans="1:4" x14ac:dyDescent="0.25">
      <c r="A2111" t="s">
        <v>11074</v>
      </c>
      <c r="B2111">
        <v>20</v>
      </c>
      <c r="C2111" s="4">
        <v>755.75</v>
      </c>
      <c r="D2111">
        <v>2</v>
      </c>
    </row>
    <row r="2112" spans="1:4" x14ac:dyDescent="0.25">
      <c r="A2112" t="s">
        <v>11075</v>
      </c>
      <c r="B2112">
        <v>14</v>
      </c>
      <c r="C2112" s="4">
        <v>322.08</v>
      </c>
      <c r="D2112">
        <v>2</v>
      </c>
    </row>
    <row r="2113" spans="1:4" x14ac:dyDescent="0.25">
      <c r="A2113" t="s">
        <v>11076</v>
      </c>
      <c r="B2113">
        <v>23</v>
      </c>
      <c r="C2113" s="4">
        <v>409.4</v>
      </c>
      <c r="D2113">
        <v>1</v>
      </c>
    </row>
    <row r="2114" spans="1:4" x14ac:dyDescent="0.25">
      <c r="A2114" t="s">
        <v>11077</v>
      </c>
      <c r="B2114">
        <v>8</v>
      </c>
      <c r="C2114" s="4">
        <v>154.41</v>
      </c>
      <c r="D2114">
        <v>1</v>
      </c>
    </row>
    <row r="2115" spans="1:4" x14ac:dyDescent="0.25">
      <c r="A2115" t="s">
        <v>11078</v>
      </c>
      <c r="B2115">
        <v>58</v>
      </c>
      <c r="C2115" s="4">
        <v>1219.4000000000001</v>
      </c>
      <c r="D2115">
        <v>5</v>
      </c>
    </row>
    <row r="2116" spans="1:4" x14ac:dyDescent="0.25">
      <c r="A2116" t="s">
        <v>11079</v>
      </c>
      <c r="B2116">
        <v>125</v>
      </c>
      <c r="C2116" s="4">
        <v>3386.71</v>
      </c>
      <c r="D2116">
        <v>4</v>
      </c>
    </row>
    <row r="2117" spans="1:4" x14ac:dyDescent="0.25">
      <c r="A2117" t="s">
        <v>11080</v>
      </c>
      <c r="B2117">
        <v>23</v>
      </c>
      <c r="C2117" s="4">
        <v>429.6</v>
      </c>
      <c r="D2117">
        <v>2</v>
      </c>
    </row>
    <row r="2118" spans="1:4" x14ac:dyDescent="0.25">
      <c r="A2118" t="s">
        <v>11081</v>
      </c>
      <c r="B2118">
        <v>31</v>
      </c>
      <c r="C2118" s="4">
        <v>612.05999999999995</v>
      </c>
      <c r="D2118">
        <v>2</v>
      </c>
    </row>
    <row r="2119" spans="1:4" x14ac:dyDescent="0.25">
      <c r="A2119" t="s">
        <v>11082</v>
      </c>
      <c r="B2119">
        <v>14</v>
      </c>
      <c r="C2119" s="4">
        <v>197</v>
      </c>
      <c r="D2119">
        <v>1</v>
      </c>
    </row>
    <row r="2120" spans="1:4" x14ac:dyDescent="0.25">
      <c r="A2120" t="s">
        <v>11083</v>
      </c>
      <c r="B2120">
        <v>143</v>
      </c>
      <c r="C2120" s="4">
        <v>2247.5100000000002</v>
      </c>
      <c r="D2120">
        <v>12</v>
      </c>
    </row>
    <row r="2121" spans="1:4" x14ac:dyDescent="0.25">
      <c r="A2121" t="s">
        <v>11084</v>
      </c>
      <c r="B2121">
        <v>15</v>
      </c>
      <c r="C2121" s="4">
        <v>321.05</v>
      </c>
      <c r="D2121">
        <v>1</v>
      </c>
    </row>
    <row r="2122" spans="1:4" x14ac:dyDescent="0.25">
      <c r="A2122" t="s">
        <v>11085</v>
      </c>
      <c r="B2122">
        <v>99</v>
      </c>
      <c r="C2122" s="4">
        <v>1412.32</v>
      </c>
      <c r="D2122">
        <v>4</v>
      </c>
    </row>
    <row r="2123" spans="1:4" x14ac:dyDescent="0.25">
      <c r="A2123" t="s">
        <v>11086</v>
      </c>
      <c r="B2123">
        <v>50</v>
      </c>
      <c r="C2123" s="4">
        <v>1071.99</v>
      </c>
      <c r="D2123">
        <v>3</v>
      </c>
    </row>
    <row r="2124" spans="1:4" x14ac:dyDescent="0.25">
      <c r="A2124" t="s">
        <v>11087</v>
      </c>
      <c r="B2124">
        <v>49</v>
      </c>
      <c r="C2124" s="4">
        <v>780.59</v>
      </c>
      <c r="D2124">
        <v>2</v>
      </c>
    </row>
    <row r="2125" spans="1:4" x14ac:dyDescent="0.25">
      <c r="A2125" t="s">
        <v>11088</v>
      </c>
      <c r="B2125">
        <v>78</v>
      </c>
      <c r="C2125" s="4">
        <v>1706.57</v>
      </c>
      <c r="D2125">
        <v>5</v>
      </c>
    </row>
    <row r="2126" spans="1:4" x14ac:dyDescent="0.25">
      <c r="A2126" t="s">
        <v>11089</v>
      </c>
      <c r="B2126">
        <v>110</v>
      </c>
      <c r="C2126" s="4">
        <v>1756.44</v>
      </c>
      <c r="D2126">
        <v>8</v>
      </c>
    </row>
    <row r="2127" spans="1:4" x14ac:dyDescent="0.25">
      <c r="A2127" t="s">
        <v>11090</v>
      </c>
      <c r="B2127">
        <v>22</v>
      </c>
      <c r="C2127" s="4">
        <v>316.68</v>
      </c>
      <c r="D2127">
        <v>1</v>
      </c>
    </row>
    <row r="2128" spans="1:4" x14ac:dyDescent="0.25">
      <c r="A2128" t="s">
        <v>11091</v>
      </c>
      <c r="B2128">
        <v>34</v>
      </c>
      <c r="C2128" s="4">
        <v>631.57000000000005</v>
      </c>
      <c r="D2128">
        <v>2</v>
      </c>
    </row>
    <row r="2129" spans="1:4" x14ac:dyDescent="0.25">
      <c r="A2129" t="s">
        <v>11092</v>
      </c>
      <c r="B2129">
        <v>89</v>
      </c>
      <c r="C2129" s="4">
        <v>2515.84</v>
      </c>
      <c r="D2129">
        <v>3</v>
      </c>
    </row>
    <row r="2130" spans="1:4" x14ac:dyDescent="0.25">
      <c r="A2130" t="s">
        <v>11093</v>
      </c>
      <c r="B2130">
        <v>33</v>
      </c>
      <c r="C2130" s="4">
        <v>514.15</v>
      </c>
      <c r="D2130">
        <v>2</v>
      </c>
    </row>
    <row r="2131" spans="1:4" x14ac:dyDescent="0.25">
      <c r="A2131" t="s">
        <v>11094</v>
      </c>
      <c r="B2131">
        <v>6</v>
      </c>
      <c r="C2131" s="4">
        <v>356</v>
      </c>
      <c r="D2131">
        <v>1</v>
      </c>
    </row>
    <row r="2132" spans="1:4" x14ac:dyDescent="0.25">
      <c r="A2132" t="s">
        <v>11095</v>
      </c>
      <c r="B2132">
        <v>350</v>
      </c>
      <c r="C2132" s="4">
        <v>6688.46</v>
      </c>
      <c r="D2132">
        <v>13</v>
      </c>
    </row>
    <row r="2133" spans="1:4" x14ac:dyDescent="0.25">
      <c r="A2133" t="s">
        <v>11096</v>
      </c>
      <c r="B2133">
        <v>111</v>
      </c>
      <c r="C2133" s="4">
        <v>10484.99</v>
      </c>
      <c r="D2133">
        <v>11</v>
      </c>
    </row>
    <row r="2134" spans="1:4" x14ac:dyDescent="0.25">
      <c r="A2134" t="s">
        <v>11097</v>
      </c>
      <c r="B2134">
        <v>44</v>
      </c>
      <c r="C2134" s="4">
        <v>740.78</v>
      </c>
      <c r="D2134">
        <v>2</v>
      </c>
    </row>
    <row r="2135" spans="1:4" x14ac:dyDescent="0.25">
      <c r="A2135" t="s">
        <v>11098</v>
      </c>
      <c r="B2135">
        <v>53</v>
      </c>
      <c r="C2135" s="4">
        <v>918.2</v>
      </c>
      <c r="D2135">
        <v>5</v>
      </c>
    </row>
    <row r="2136" spans="1:4" x14ac:dyDescent="0.25">
      <c r="A2136" t="s">
        <v>11099</v>
      </c>
      <c r="B2136">
        <v>18</v>
      </c>
      <c r="C2136" s="4">
        <v>300.36</v>
      </c>
      <c r="D2136">
        <v>1</v>
      </c>
    </row>
    <row r="2137" spans="1:4" x14ac:dyDescent="0.25">
      <c r="A2137" t="s">
        <v>11100</v>
      </c>
      <c r="B2137">
        <v>47</v>
      </c>
      <c r="C2137" s="4">
        <v>890.85</v>
      </c>
      <c r="D2137">
        <v>1</v>
      </c>
    </row>
    <row r="2138" spans="1:4" x14ac:dyDescent="0.25">
      <c r="A2138" t="s">
        <v>11101</v>
      </c>
      <c r="B2138">
        <v>6</v>
      </c>
      <c r="C2138" s="4">
        <v>98.45</v>
      </c>
      <c r="D2138">
        <v>1</v>
      </c>
    </row>
    <row r="2139" spans="1:4" x14ac:dyDescent="0.25">
      <c r="A2139" t="s">
        <v>11102</v>
      </c>
      <c r="B2139">
        <v>7</v>
      </c>
      <c r="C2139" s="4">
        <v>317.14999999999998</v>
      </c>
      <c r="D2139">
        <v>1</v>
      </c>
    </row>
    <row r="2140" spans="1:4" x14ac:dyDescent="0.25">
      <c r="A2140" t="s">
        <v>11103</v>
      </c>
      <c r="B2140">
        <v>34</v>
      </c>
      <c r="C2140" s="4">
        <v>623.16</v>
      </c>
      <c r="D2140">
        <v>2</v>
      </c>
    </row>
    <row r="2141" spans="1:4" x14ac:dyDescent="0.25">
      <c r="A2141" t="s">
        <v>11104</v>
      </c>
      <c r="B2141">
        <v>77</v>
      </c>
      <c r="C2141" s="4">
        <v>1810.77</v>
      </c>
      <c r="D2141">
        <v>7</v>
      </c>
    </row>
    <row r="2142" spans="1:4" x14ac:dyDescent="0.25">
      <c r="A2142" t="s">
        <v>11105</v>
      </c>
      <c r="B2142">
        <v>19</v>
      </c>
      <c r="C2142" s="4">
        <v>254.82</v>
      </c>
      <c r="D2142">
        <v>1</v>
      </c>
    </row>
    <row r="2143" spans="1:4" x14ac:dyDescent="0.25">
      <c r="A2143" t="s">
        <v>11106</v>
      </c>
      <c r="B2143">
        <v>10</v>
      </c>
      <c r="C2143" s="4">
        <v>178.95</v>
      </c>
      <c r="D2143">
        <v>1</v>
      </c>
    </row>
    <row r="2144" spans="1:4" x14ac:dyDescent="0.25">
      <c r="A2144" t="s">
        <v>11107</v>
      </c>
      <c r="B2144">
        <v>12</v>
      </c>
      <c r="C2144" s="4">
        <v>156.51</v>
      </c>
      <c r="D2144">
        <v>1</v>
      </c>
    </row>
    <row r="2145" spans="1:4" x14ac:dyDescent="0.25">
      <c r="A2145" t="s">
        <v>11108</v>
      </c>
      <c r="B2145">
        <v>23</v>
      </c>
      <c r="C2145" s="4">
        <v>393.74</v>
      </c>
      <c r="D2145">
        <v>1</v>
      </c>
    </row>
    <row r="2146" spans="1:4" x14ac:dyDescent="0.25">
      <c r="A2146" t="s">
        <v>11109</v>
      </c>
      <c r="B2146">
        <v>82</v>
      </c>
      <c r="C2146" s="4">
        <v>1506.12</v>
      </c>
      <c r="D2146">
        <v>2</v>
      </c>
    </row>
    <row r="2147" spans="1:4" x14ac:dyDescent="0.25">
      <c r="A2147" t="s">
        <v>11110</v>
      </c>
      <c r="B2147">
        <v>6</v>
      </c>
      <c r="C2147" s="4">
        <v>119.3</v>
      </c>
      <c r="D2147">
        <v>1</v>
      </c>
    </row>
    <row r="2148" spans="1:4" x14ac:dyDescent="0.25">
      <c r="A2148" t="s">
        <v>11111</v>
      </c>
      <c r="B2148">
        <v>11</v>
      </c>
      <c r="C2148" s="4">
        <v>1717.36</v>
      </c>
      <c r="D2148">
        <v>5</v>
      </c>
    </row>
    <row r="2149" spans="1:4" x14ac:dyDescent="0.25">
      <c r="A2149" t="s">
        <v>11112</v>
      </c>
      <c r="B2149">
        <v>2</v>
      </c>
      <c r="C2149" s="4">
        <v>408.8</v>
      </c>
      <c r="D2149">
        <v>1</v>
      </c>
    </row>
    <row r="2150" spans="1:4" x14ac:dyDescent="0.25">
      <c r="A2150" t="s">
        <v>11113</v>
      </c>
      <c r="B2150">
        <v>41</v>
      </c>
      <c r="C2150" s="4">
        <v>2379.4899999999998</v>
      </c>
      <c r="D2150">
        <v>7</v>
      </c>
    </row>
    <row r="2151" spans="1:4" x14ac:dyDescent="0.25">
      <c r="A2151" t="s">
        <v>11114</v>
      </c>
      <c r="B2151">
        <v>274</v>
      </c>
      <c r="C2151" s="4">
        <v>2507.0700000000002</v>
      </c>
      <c r="D2151">
        <v>15</v>
      </c>
    </row>
    <row r="2152" spans="1:4" x14ac:dyDescent="0.25">
      <c r="A2152" t="s">
        <v>11115</v>
      </c>
      <c r="B2152">
        <v>63</v>
      </c>
      <c r="C2152" s="4">
        <v>721.94</v>
      </c>
      <c r="D2152">
        <v>2</v>
      </c>
    </row>
    <row r="2153" spans="1:4" x14ac:dyDescent="0.25">
      <c r="A2153" t="s">
        <v>11116</v>
      </c>
      <c r="B2153">
        <v>47</v>
      </c>
      <c r="C2153" s="4">
        <v>716.57</v>
      </c>
      <c r="D2153">
        <v>2</v>
      </c>
    </row>
    <row r="2154" spans="1:4" x14ac:dyDescent="0.25">
      <c r="A2154" t="s">
        <v>11117</v>
      </c>
      <c r="B2154">
        <v>41</v>
      </c>
      <c r="C2154" s="4">
        <v>615.14</v>
      </c>
      <c r="D2154">
        <v>1</v>
      </c>
    </row>
    <row r="2155" spans="1:4" x14ac:dyDescent="0.25">
      <c r="A2155" t="s">
        <v>11118</v>
      </c>
      <c r="B2155">
        <v>52</v>
      </c>
      <c r="C2155" s="4">
        <v>135.31</v>
      </c>
      <c r="D2155">
        <v>1</v>
      </c>
    </row>
    <row r="2156" spans="1:4" x14ac:dyDescent="0.25">
      <c r="A2156" t="s">
        <v>11119</v>
      </c>
      <c r="B2156">
        <v>12</v>
      </c>
      <c r="C2156" s="4">
        <v>255.9</v>
      </c>
      <c r="D2156">
        <v>1</v>
      </c>
    </row>
    <row r="2157" spans="1:4" x14ac:dyDescent="0.25">
      <c r="A2157" t="s">
        <v>11120</v>
      </c>
      <c r="B2157">
        <v>19</v>
      </c>
      <c r="C2157" s="4">
        <v>290.51</v>
      </c>
      <c r="D2157">
        <v>1</v>
      </c>
    </row>
    <row r="2158" spans="1:4" x14ac:dyDescent="0.25">
      <c r="A2158" t="s">
        <v>11121</v>
      </c>
      <c r="B2158">
        <v>16</v>
      </c>
      <c r="C2158" s="4">
        <v>113.12</v>
      </c>
      <c r="D2158">
        <v>1</v>
      </c>
    </row>
    <row r="2159" spans="1:4" x14ac:dyDescent="0.25">
      <c r="A2159" t="s">
        <v>11122</v>
      </c>
      <c r="B2159">
        <v>139</v>
      </c>
      <c r="C2159" s="4">
        <v>2332.15</v>
      </c>
      <c r="D2159">
        <v>9</v>
      </c>
    </row>
    <row r="2160" spans="1:4" x14ac:dyDescent="0.25">
      <c r="A2160" t="s">
        <v>11123</v>
      </c>
      <c r="B2160">
        <v>3</v>
      </c>
      <c r="C2160" s="4">
        <v>240.55</v>
      </c>
      <c r="D2160">
        <v>1</v>
      </c>
    </row>
    <row r="2161" spans="1:4" x14ac:dyDescent="0.25">
      <c r="A2161" t="s">
        <v>11124</v>
      </c>
      <c r="B2161">
        <v>20</v>
      </c>
      <c r="C2161" s="4">
        <v>486.69</v>
      </c>
      <c r="D2161">
        <v>2</v>
      </c>
    </row>
    <row r="2162" spans="1:4" x14ac:dyDescent="0.25">
      <c r="A2162" t="s">
        <v>11125</v>
      </c>
      <c r="B2162">
        <v>88</v>
      </c>
      <c r="C2162" s="4">
        <v>2306.52</v>
      </c>
      <c r="D2162">
        <v>5</v>
      </c>
    </row>
    <row r="2163" spans="1:4" x14ac:dyDescent="0.25">
      <c r="A2163" t="s">
        <v>11126</v>
      </c>
      <c r="B2163">
        <v>58</v>
      </c>
      <c r="C2163" s="4">
        <v>939.78</v>
      </c>
      <c r="D2163">
        <v>3</v>
      </c>
    </row>
    <row r="2164" spans="1:4" x14ac:dyDescent="0.25">
      <c r="A2164" t="s">
        <v>11127</v>
      </c>
      <c r="B2164">
        <v>204</v>
      </c>
      <c r="C2164" s="4">
        <v>7943.22</v>
      </c>
      <c r="D2164">
        <v>18</v>
      </c>
    </row>
    <row r="2165" spans="1:4" x14ac:dyDescent="0.25">
      <c r="A2165" t="s">
        <v>11128</v>
      </c>
      <c r="B2165">
        <v>102</v>
      </c>
      <c r="C2165" s="4">
        <v>4623.3</v>
      </c>
      <c r="D2165">
        <v>14</v>
      </c>
    </row>
    <row r="2166" spans="1:4" x14ac:dyDescent="0.25">
      <c r="A2166" t="s">
        <v>11129</v>
      </c>
      <c r="B2166">
        <v>25</v>
      </c>
      <c r="C2166" s="4">
        <v>180.94</v>
      </c>
      <c r="D2166">
        <v>1</v>
      </c>
    </row>
    <row r="2167" spans="1:4" x14ac:dyDescent="0.25">
      <c r="A2167" t="s">
        <v>11130</v>
      </c>
      <c r="B2167">
        <v>194</v>
      </c>
      <c r="C2167" s="4">
        <v>3672.86</v>
      </c>
      <c r="D2167">
        <v>6</v>
      </c>
    </row>
    <row r="2168" spans="1:4" x14ac:dyDescent="0.25">
      <c r="A2168" t="s">
        <v>11131</v>
      </c>
      <c r="B2168">
        <v>39</v>
      </c>
      <c r="C2168" s="4">
        <v>641.94000000000005</v>
      </c>
      <c r="D2168">
        <v>3</v>
      </c>
    </row>
    <row r="2169" spans="1:4" x14ac:dyDescent="0.25">
      <c r="A2169" t="s">
        <v>11132</v>
      </c>
      <c r="B2169">
        <v>192</v>
      </c>
      <c r="C2169" s="4">
        <v>4799.8999999999996</v>
      </c>
      <c r="D2169">
        <v>12</v>
      </c>
    </row>
    <row r="2170" spans="1:4" x14ac:dyDescent="0.25">
      <c r="A2170" t="s">
        <v>11133</v>
      </c>
      <c r="B2170">
        <v>6</v>
      </c>
      <c r="C2170" s="4">
        <v>3907.01</v>
      </c>
      <c r="D2170">
        <v>6</v>
      </c>
    </row>
    <row r="2171" spans="1:4" x14ac:dyDescent="0.25">
      <c r="A2171" t="s">
        <v>11134</v>
      </c>
      <c r="B2171">
        <v>28</v>
      </c>
      <c r="C2171" s="4">
        <v>496.44</v>
      </c>
      <c r="D2171">
        <v>1</v>
      </c>
    </row>
    <row r="2172" spans="1:4" x14ac:dyDescent="0.25">
      <c r="A2172" t="s">
        <v>11135</v>
      </c>
      <c r="B2172">
        <v>243</v>
      </c>
      <c r="C2172" s="4">
        <v>5070.3500000000004</v>
      </c>
      <c r="D2172">
        <v>12</v>
      </c>
    </row>
    <row r="2173" spans="1:4" x14ac:dyDescent="0.25">
      <c r="A2173" t="s">
        <v>11136</v>
      </c>
      <c r="B2173">
        <v>31</v>
      </c>
      <c r="C2173" s="4">
        <v>574.02</v>
      </c>
      <c r="D2173">
        <v>1</v>
      </c>
    </row>
    <row r="2174" spans="1:4" x14ac:dyDescent="0.25">
      <c r="A2174" t="s">
        <v>11137</v>
      </c>
      <c r="B2174">
        <v>23</v>
      </c>
      <c r="C2174" s="4">
        <v>694.4</v>
      </c>
      <c r="D2174">
        <v>8</v>
      </c>
    </row>
    <row r="2175" spans="1:4" x14ac:dyDescent="0.25">
      <c r="A2175" t="s">
        <v>11138</v>
      </c>
      <c r="B2175">
        <v>58</v>
      </c>
      <c r="C2175" s="4">
        <v>1174.3499999999999</v>
      </c>
      <c r="D2175">
        <v>3</v>
      </c>
    </row>
    <row r="2176" spans="1:4" x14ac:dyDescent="0.25">
      <c r="A2176" t="s">
        <v>11139</v>
      </c>
      <c r="B2176">
        <v>12</v>
      </c>
      <c r="C2176" s="4">
        <v>205.3</v>
      </c>
      <c r="D2176">
        <v>1</v>
      </c>
    </row>
    <row r="2177" spans="1:4" x14ac:dyDescent="0.25">
      <c r="A2177" t="s">
        <v>11140</v>
      </c>
      <c r="B2177">
        <v>19</v>
      </c>
      <c r="C2177" s="4">
        <v>310.47000000000003</v>
      </c>
      <c r="D2177">
        <v>1</v>
      </c>
    </row>
    <row r="2178" spans="1:4" x14ac:dyDescent="0.25">
      <c r="A2178" t="s">
        <v>11141</v>
      </c>
      <c r="B2178">
        <v>2379</v>
      </c>
      <c r="C2178" s="4">
        <v>60767.9</v>
      </c>
      <c r="D2178">
        <v>91</v>
      </c>
    </row>
    <row r="2179" spans="1:4" x14ac:dyDescent="0.25">
      <c r="A2179" t="s">
        <v>11142</v>
      </c>
      <c r="B2179">
        <v>47</v>
      </c>
      <c r="C2179" s="4">
        <v>924.85</v>
      </c>
      <c r="D2179">
        <v>4</v>
      </c>
    </row>
    <row r="2180" spans="1:4" x14ac:dyDescent="0.25">
      <c r="A2180" t="s">
        <v>11143</v>
      </c>
      <c r="B2180">
        <v>1</v>
      </c>
      <c r="C2180" s="4">
        <v>52</v>
      </c>
      <c r="D2180">
        <v>1</v>
      </c>
    </row>
    <row r="2181" spans="1:4" x14ac:dyDescent="0.25">
      <c r="A2181" t="s">
        <v>11144</v>
      </c>
      <c r="B2181">
        <v>24</v>
      </c>
      <c r="C2181" s="4">
        <v>327.97</v>
      </c>
      <c r="D2181">
        <v>1</v>
      </c>
    </row>
    <row r="2182" spans="1:4" x14ac:dyDescent="0.25">
      <c r="A2182" t="s">
        <v>11145</v>
      </c>
      <c r="B2182">
        <v>37</v>
      </c>
      <c r="C2182" s="4">
        <v>570.5</v>
      </c>
      <c r="D2182">
        <v>2</v>
      </c>
    </row>
    <row r="2183" spans="1:4" x14ac:dyDescent="0.25">
      <c r="A2183" t="s">
        <v>11146</v>
      </c>
      <c r="B2183">
        <v>1</v>
      </c>
      <c r="C2183" s="4">
        <v>165</v>
      </c>
      <c r="D2183">
        <v>1</v>
      </c>
    </row>
    <row r="2184" spans="1:4" x14ac:dyDescent="0.25">
      <c r="A2184" t="s">
        <v>11147</v>
      </c>
      <c r="B2184">
        <v>33</v>
      </c>
      <c r="C2184" s="4">
        <v>312.62</v>
      </c>
      <c r="D2184">
        <v>1</v>
      </c>
    </row>
    <row r="2185" spans="1:4" x14ac:dyDescent="0.25">
      <c r="A2185" t="s">
        <v>11148</v>
      </c>
      <c r="B2185">
        <v>16</v>
      </c>
      <c r="C2185" s="4">
        <v>204.5</v>
      </c>
      <c r="D2185">
        <v>1</v>
      </c>
    </row>
    <row r="2186" spans="1:4" x14ac:dyDescent="0.25">
      <c r="A2186" t="s">
        <v>11149</v>
      </c>
      <c r="B2186">
        <v>36</v>
      </c>
      <c r="C2186" s="4">
        <v>267.13</v>
      </c>
      <c r="D2186">
        <v>1</v>
      </c>
    </row>
    <row r="2187" spans="1:4" x14ac:dyDescent="0.25">
      <c r="A2187" t="s">
        <v>11150</v>
      </c>
      <c r="B2187">
        <v>95</v>
      </c>
      <c r="C2187" s="4">
        <v>2748.31</v>
      </c>
      <c r="D2187">
        <v>3</v>
      </c>
    </row>
    <row r="2188" spans="1:4" x14ac:dyDescent="0.25">
      <c r="A2188" t="s">
        <v>11151</v>
      </c>
      <c r="B2188">
        <v>42</v>
      </c>
      <c r="C2188" s="4">
        <v>679.68</v>
      </c>
      <c r="D2188">
        <v>1</v>
      </c>
    </row>
    <row r="2189" spans="1:4" x14ac:dyDescent="0.25">
      <c r="A2189" t="s">
        <v>11152</v>
      </c>
      <c r="B2189">
        <v>49</v>
      </c>
      <c r="C2189" s="4">
        <v>162.29</v>
      </c>
      <c r="D2189">
        <v>1</v>
      </c>
    </row>
    <row r="2190" spans="1:4" x14ac:dyDescent="0.25">
      <c r="A2190" t="s">
        <v>11153</v>
      </c>
      <c r="B2190">
        <v>29</v>
      </c>
      <c r="C2190" s="4">
        <v>311.70999999999998</v>
      </c>
      <c r="D2190">
        <v>1</v>
      </c>
    </row>
    <row r="2191" spans="1:4" x14ac:dyDescent="0.25">
      <c r="A2191" t="s">
        <v>11154</v>
      </c>
      <c r="B2191">
        <v>10</v>
      </c>
      <c r="C2191" s="4">
        <v>208.75</v>
      </c>
      <c r="D2191">
        <v>1</v>
      </c>
    </row>
    <row r="2192" spans="1:4" x14ac:dyDescent="0.25">
      <c r="A2192" t="s">
        <v>11155</v>
      </c>
      <c r="B2192">
        <v>57</v>
      </c>
      <c r="C2192" s="4">
        <v>1049.7</v>
      </c>
      <c r="D2192">
        <v>3</v>
      </c>
    </row>
    <row r="2193" spans="1:4" x14ac:dyDescent="0.25">
      <c r="A2193" t="s">
        <v>11156</v>
      </c>
      <c r="B2193">
        <v>13</v>
      </c>
      <c r="C2193" s="4">
        <v>714.96</v>
      </c>
      <c r="D2193">
        <v>2</v>
      </c>
    </row>
    <row r="2194" spans="1:4" x14ac:dyDescent="0.25">
      <c r="A2194" t="s">
        <v>11157</v>
      </c>
      <c r="B2194">
        <v>35</v>
      </c>
      <c r="C2194" s="4">
        <v>1661.06</v>
      </c>
      <c r="D2194">
        <v>4</v>
      </c>
    </row>
    <row r="2195" spans="1:4" x14ac:dyDescent="0.25">
      <c r="A2195" t="s">
        <v>11158</v>
      </c>
      <c r="B2195">
        <v>16</v>
      </c>
      <c r="C2195" s="4">
        <v>1028.56</v>
      </c>
      <c r="D2195">
        <v>1</v>
      </c>
    </row>
    <row r="2196" spans="1:4" x14ac:dyDescent="0.25">
      <c r="A2196" t="s">
        <v>11159</v>
      </c>
      <c r="B2196">
        <v>98</v>
      </c>
      <c r="C2196" s="4">
        <v>348.72</v>
      </c>
      <c r="D2196">
        <v>3</v>
      </c>
    </row>
    <row r="2197" spans="1:4" x14ac:dyDescent="0.25">
      <c r="A2197" t="s">
        <v>11160</v>
      </c>
      <c r="B2197">
        <v>36</v>
      </c>
      <c r="C2197" s="4">
        <v>173.97</v>
      </c>
      <c r="D2197">
        <v>1</v>
      </c>
    </row>
    <row r="2198" spans="1:4" x14ac:dyDescent="0.25">
      <c r="A2198" t="s">
        <v>11161</v>
      </c>
      <c r="B2198">
        <v>86</v>
      </c>
      <c r="C2198" s="4">
        <v>574.07000000000005</v>
      </c>
      <c r="D2198">
        <v>2</v>
      </c>
    </row>
    <row r="2199" spans="1:4" x14ac:dyDescent="0.25">
      <c r="A2199" t="s">
        <v>11162</v>
      </c>
      <c r="B2199">
        <v>17</v>
      </c>
      <c r="C2199" s="4">
        <v>2020.52</v>
      </c>
      <c r="D2199">
        <v>1</v>
      </c>
    </row>
    <row r="2200" spans="1:4" x14ac:dyDescent="0.25">
      <c r="A2200" t="s">
        <v>11163</v>
      </c>
      <c r="B2200">
        <v>24</v>
      </c>
      <c r="C2200" s="4">
        <v>406.09</v>
      </c>
      <c r="D2200">
        <v>1</v>
      </c>
    </row>
    <row r="2201" spans="1:4" x14ac:dyDescent="0.25">
      <c r="A2201" t="s">
        <v>11164</v>
      </c>
      <c r="B2201">
        <v>21</v>
      </c>
      <c r="C2201" s="4">
        <v>364.5</v>
      </c>
      <c r="D2201">
        <v>1</v>
      </c>
    </row>
    <row r="2202" spans="1:4" x14ac:dyDescent="0.25">
      <c r="A2202" t="s">
        <v>11165</v>
      </c>
      <c r="B2202">
        <v>26</v>
      </c>
      <c r="C2202" s="4">
        <v>563.94000000000005</v>
      </c>
      <c r="D2202">
        <v>3</v>
      </c>
    </row>
    <row r="2203" spans="1:4" x14ac:dyDescent="0.25">
      <c r="A2203" t="s">
        <v>11166</v>
      </c>
      <c r="B2203">
        <v>20</v>
      </c>
      <c r="C2203" s="4">
        <v>393.54</v>
      </c>
      <c r="D2203">
        <v>1</v>
      </c>
    </row>
    <row r="2204" spans="1:4" x14ac:dyDescent="0.25">
      <c r="A2204" t="s">
        <v>11167</v>
      </c>
      <c r="B2204">
        <v>17</v>
      </c>
      <c r="C2204" s="4">
        <v>252.42</v>
      </c>
      <c r="D2204">
        <v>1</v>
      </c>
    </row>
    <row r="2205" spans="1:4" x14ac:dyDescent="0.25">
      <c r="A2205" t="s">
        <v>11168</v>
      </c>
      <c r="B2205">
        <v>5</v>
      </c>
      <c r="C2205" s="4">
        <v>201.6</v>
      </c>
      <c r="D2205">
        <v>1</v>
      </c>
    </row>
    <row r="2206" spans="1:4" x14ac:dyDescent="0.25">
      <c r="A2206" t="s">
        <v>11169</v>
      </c>
      <c r="B2206">
        <v>9</v>
      </c>
      <c r="C2206" s="4">
        <v>158.04</v>
      </c>
      <c r="D2206">
        <v>1</v>
      </c>
    </row>
    <row r="2207" spans="1:4" x14ac:dyDescent="0.25">
      <c r="A2207" t="s">
        <v>11170</v>
      </c>
      <c r="B2207">
        <v>72</v>
      </c>
      <c r="C2207" s="4">
        <v>473.81</v>
      </c>
      <c r="D2207">
        <v>2</v>
      </c>
    </row>
    <row r="2208" spans="1:4" x14ac:dyDescent="0.25">
      <c r="A2208" t="s">
        <v>11171</v>
      </c>
      <c r="B2208">
        <v>5</v>
      </c>
      <c r="C2208" s="4">
        <v>115.65</v>
      </c>
      <c r="D2208">
        <v>1</v>
      </c>
    </row>
    <row r="2209" spans="1:4" x14ac:dyDescent="0.25">
      <c r="A2209" t="s">
        <v>11172</v>
      </c>
      <c r="B2209">
        <v>225</v>
      </c>
      <c r="C2209" s="4">
        <v>1960.11</v>
      </c>
      <c r="D2209">
        <v>7</v>
      </c>
    </row>
    <row r="2210" spans="1:4" x14ac:dyDescent="0.25">
      <c r="A2210" t="s">
        <v>11173</v>
      </c>
      <c r="B2210">
        <v>63</v>
      </c>
      <c r="C2210" s="4">
        <v>777.02</v>
      </c>
      <c r="D2210">
        <v>2</v>
      </c>
    </row>
    <row r="2211" spans="1:4" x14ac:dyDescent="0.25">
      <c r="A2211" t="s">
        <v>11174</v>
      </c>
      <c r="B2211">
        <v>14</v>
      </c>
      <c r="C2211" s="4">
        <v>277.05</v>
      </c>
      <c r="D2211">
        <v>2</v>
      </c>
    </row>
    <row r="2212" spans="1:4" x14ac:dyDescent="0.25">
      <c r="A2212" t="s">
        <v>11175</v>
      </c>
      <c r="B2212">
        <v>519</v>
      </c>
      <c r="C2212" s="4">
        <v>2766.5</v>
      </c>
      <c r="D2212">
        <v>10</v>
      </c>
    </row>
    <row r="2213" spans="1:4" x14ac:dyDescent="0.25">
      <c r="A2213" t="s">
        <v>11176</v>
      </c>
      <c r="B2213">
        <v>551</v>
      </c>
      <c r="C2213" s="4">
        <v>8347.2000000000007</v>
      </c>
      <c r="D2213">
        <v>22</v>
      </c>
    </row>
    <row r="2214" spans="1:4" x14ac:dyDescent="0.25">
      <c r="A2214" t="s">
        <v>11177</v>
      </c>
      <c r="B2214">
        <v>13</v>
      </c>
      <c r="C2214" s="4">
        <v>427.93</v>
      </c>
      <c r="D2214">
        <v>1</v>
      </c>
    </row>
    <row r="2215" spans="1:4" x14ac:dyDescent="0.25">
      <c r="A2215" t="s">
        <v>11178</v>
      </c>
      <c r="B2215">
        <v>7</v>
      </c>
      <c r="C2215" s="4">
        <v>418.92</v>
      </c>
      <c r="D2215">
        <v>1</v>
      </c>
    </row>
    <row r="2216" spans="1:4" x14ac:dyDescent="0.25">
      <c r="A2216" t="s">
        <v>11179</v>
      </c>
      <c r="B2216">
        <v>16</v>
      </c>
      <c r="C2216" s="4">
        <v>326</v>
      </c>
      <c r="D2216">
        <v>1</v>
      </c>
    </row>
    <row r="2217" spans="1:4" x14ac:dyDescent="0.25">
      <c r="A2217" t="s">
        <v>11180</v>
      </c>
      <c r="B2217">
        <v>29</v>
      </c>
      <c r="C2217" s="4">
        <v>913.19</v>
      </c>
      <c r="D2217">
        <v>2</v>
      </c>
    </row>
    <row r="2218" spans="1:4" x14ac:dyDescent="0.25">
      <c r="A2218" t="s">
        <v>11181</v>
      </c>
      <c r="B2218">
        <v>114</v>
      </c>
      <c r="C2218" s="4">
        <v>2314.3200000000002</v>
      </c>
      <c r="D2218">
        <v>7</v>
      </c>
    </row>
    <row r="2219" spans="1:4" x14ac:dyDescent="0.25">
      <c r="A2219" t="s">
        <v>11182</v>
      </c>
      <c r="B2219">
        <v>44</v>
      </c>
      <c r="C2219" s="4">
        <v>602.51</v>
      </c>
      <c r="D2219">
        <v>2</v>
      </c>
    </row>
    <row r="2220" spans="1:4" x14ac:dyDescent="0.25">
      <c r="A2220" t="s">
        <v>11183</v>
      </c>
      <c r="B2220">
        <v>95</v>
      </c>
      <c r="C2220" s="4">
        <v>1877.59</v>
      </c>
      <c r="D2220">
        <v>4</v>
      </c>
    </row>
    <row r="2221" spans="1:4" x14ac:dyDescent="0.25">
      <c r="A2221" t="s">
        <v>11184</v>
      </c>
      <c r="B2221">
        <v>4</v>
      </c>
      <c r="C2221" s="4">
        <v>446.94</v>
      </c>
      <c r="D2221">
        <v>1</v>
      </c>
    </row>
    <row r="2222" spans="1:4" x14ac:dyDescent="0.25">
      <c r="A2222" t="s">
        <v>11185</v>
      </c>
      <c r="B2222">
        <v>94</v>
      </c>
      <c r="C2222" s="4">
        <v>2386.0500000000002</v>
      </c>
      <c r="D2222">
        <v>7</v>
      </c>
    </row>
    <row r="2223" spans="1:4" x14ac:dyDescent="0.25">
      <c r="A2223" t="s">
        <v>11186</v>
      </c>
      <c r="B2223">
        <v>27</v>
      </c>
      <c r="C2223" s="4">
        <v>2007.4</v>
      </c>
      <c r="D2223">
        <v>1</v>
      </c>
    </row>
    <row r="2224" spans="1:4" x14ac:dyDescent="0.25">
      <c r="A2224" t="s">
        <v>11187</v>
      </c>
      <c r="B2224">
        <v>132</v>
      </c>
      <c r="C2224" s="4">
        <v>2415.91</v>
      </c>
      <c r="D2224">
        <v>12</v>
      </c>
    </row>
    <row r="2225" spans="1:4" x14ac:dyDescent="0.25">
      <c r="A2225" t="s">
        <v>11188</v>
      </c>
      <c r="B2225">
        <v>3</v>
      </c>
      <c r="C2225" s="4">
        <v>168</v>
      </c>
      <c r="D2225">
        <v>1</v>
      </c>
    </row>
    <row r="2226" spans="1:4" x14ac:dyDescent="0.25">
      <c r="A2226" t="s">
        <v>11189</v>
      </c>
      <c r="B2226">
        <v>117</v>
      </c>
      <c r="C2226" s="4">
        <v>1233.3599999999999</v>
      </c>
      <c r="D2226">
        <v>3</v>
      </c>
    </row>
    <row r="2227" spans="1:4" x14ac:dyDescent="0.25">
      <c r="A2227" t="s">
        <v>11190</v>
      </c>
      <c r="B2227">
        <v>194</v>
      </c>
      <c r="C2227" s="4">
        <v>3703.29</v>
      </c>
      <c r="D2227">
        <v>7</v>
      </c>
    </row>
    <row r="2228" spans="1:4" x14ac:dyDescent="0.25">
      <c r="A2228" t="s">
        <v>11191</v>
      </c>
      <c r="B2228">
        <v>36</v>
      </c>
      <c r="C2228" s="4">
        <v>1690.26</v>
      </c>
      <c r="D2228">
        <v>5</v>
      </c>
    </row>
    <row r="2229" spans="1:4" x14ac:dyDescent="0.25">
      <c r="A2229" t="s">
        <v>11192</v>
      </c>
      <c r="B2229">
        <v>8</v>
      </c>
      <c r="C2229" s="4">
        <v>596.85</v>
      </c>
      <c r="D2229">
        <v>2</v>
      </c>
    </row>
    <row r="2230" spans="1:4" x14ac:dyDescent="0.25">
      <c r="A2230" t="s">
        <v>11193</v>
      </c>
      <c r="B2230">
        <v>302</v>
      </c>
      <c r="C2230" s="4">
        <v>5955.71</v>
      </c>
      <c r="D2230">
        <v>6</v>
      </c>
    </row>
    <row r="2231" spans="1:4" x14ac:dyDescent="0.25">
      <c r="A2231" t="s">
        <v>11194</v>
      </c>
      <c r="B2231">
        <v>41</v>
      </c>
      <c r="C2231" s="4">
        <v>642.41</v>
      </c>
      <c r="D2231">
        <v>2</v>
      </c>
    </row>
    <row r="2232" spans="1:4" x14ac:dyDescent="0.25">
      <c r="A2232" t="s">
        <v>11195</v>
      </c>
      <c r="B2232">
        <v>12</v>
      </c>
      <c r="C2232" s="4">
        <v>316.88</v>
      </c>
      <c r="D2232">
        <v>1</v>
      </c>
    </row>
    <row r="2233" spans="1:4" x14ac:dyDescent="0.25">
      <c r="A2233" t="s">
        <v>11196</v>
      </c>
      <c r="B2233">
        <v>31</v>
      </c>
      <c r="C2233" s="4">
        <v>394.14</v>
      </c>
      <c r="D2233">
        <v>1</v>
      </c>
    </row>
    <row r="2234" spans="1:4" x14ac:dyDescent="0.25">
      <c r="A2234" t="s">
        <v>11197</v>
      </c>
      <c r="B2234">
        <v>10</v>
      </c>
      <c r="C2234" s="4">
        <v>140.54</v>
      </c>
      <c r="D2234">
        <v>1</v>
      </c>
    </row>
    <row r="2235" spans="1:4" x14ac:dyDescent="0.25">
      <c r="A2235" t="s">
        <v>11198</v>
      </c>
      <c r="B2235">
        <v>1</v>
      </c>
      <c r="C2235" s="4">
        <v>500</v>
      </c>
      <c r="D2235">
        <v>1</v>
      </c>
    </row>
    <row r="2236" spans="1:4" x14ac:dyDescent="0.25">
      <c r="A2236" t="s">
        <v>11199</v>
      </c>
      <c r="B2236">
        <v>84</v>
      </c>
      <c r="C2236" s="4">
        <v>1535.53</v>
      </c>
      <c r="D2236">
        <v>4</v>
      </c>
    </row>
    <row r="2237" spans="1:4" x14ac:dyDescent="0.25">
      <c r="A2237" t="s">
        <v>11200</v>
      </c>
      <c r="B2237">
        <v>12</v>
      </c>
      <c r="C2237" s="4">
        <v>231.86</v>
      </c>
      <c r="D2237">
        <v>2</v>
      </c>
    </row>
    <row r="2238" spans="1:4" x14ac:dyDescent="0.25">
      <c r="A2238" t="s">
        <v>11201</v>
      </c>
      <c r="B2238">
        <v>85</v>
      </c>
      <c r="C2238" s="4">
        <v>2183.54</v>
      </c>
      <c r="D2238">
        <v>4</v>
      </c>
    </row>
    <row r="2239" spans="1:4" x14ac:dyDescent="0.25">
      <c r="A2239" t="s">
        <v>11202</v>
      </c>
      <c r="B2239">
        <v>7</v>
      </c>
      <c r="C2239" s="4">
        <v>107.45</v>
      </c>
      <c r="D2239">
        <v>1</v>
      </c>
    </row>
    <row r="2240" spans="1:4" x14ac:dyDescent="0.25">
      <c r="A2240" t="s">
        <v>11203</v>
      </c>
      <c r="B2240">
        <v>14</v>
      </c>
      <c r="C2240" s="4">
        <v>288.18</v>
      </c>
      <c r="D2240">
        <v>1</v>
      </c>
    </row>
    <row r="2241" spans="1:4" x14ac:dyDescent="0.25">
      <c r="A2241" t="s">
        <v>11204</v>
      </c>
      <c r="B2241">
        <v>6</v>
      </c>
      <c r="C2241" s="4">
        <v>94</v>
      </c>
      <c r="D2241">
        <v>1</v>
      </c>
    </row>
    <row r="2242" spans="1:4" x14ac:dyDescent="0.25">
      <c r="A2242" t="s">
        <v>11205</v>
      </c>
      <c r="B2242">
        <v>73</v>
      </c>
      <c r="C2242" s="4">
        <v>1345.53</v>
      </c>
      <c r="D2242">
        <v>2</v>
      </c>
    </row>
    <row r="2243" spans="1:4" x14ac:dyDescent="0.25">
      <c r="A2243" t="s">
        <v>11206</v>
      </c>
      <c r="B2243">
        <v>50</v>
      </c>
      <c r="C2243" s="4">
        <v>815.77</v>
      </c>
      <c r="D2243">
        <v>3</v>
      </c>
    </row>
    <row r="2244" spans="1:4" x14ac:dyDescent="0.25">
      <c r="A2244" t="s">
        <v>11207</v>
      </c>
      <c r="B2244">
        <v>12</v>
      </c>
      <c r="C2244" s="4">
        <v>716.2</v>
      </c>
      <c r="D2244">
        <v>5</v>
      </c>
    </row>
    <row r="2245" spans="1:4" x14ac:dyDescent="0.25">
      <c r="A2245" t="s">
        <v>11208</v>
      </c>
      <c r="B2245">
        <v>41</v>
      </c>
      <c r="C2245" s="4">
        <v>626.35</v>
      </c>
      <c r="D2245">
        <v>2</v>
      </c>
    </row>
    <row r="2246" spans="1:4" x14ac:dyDescent="0.25">
      <c r="A2246" t="s">
        <v>11209</v>
      </c>
      <c r="B2246">
        <v>8</v>
      </c>
      <c r="C2246" s="4">
        <v>349.1</v>
      </c>
      <c r="D2246">
        <v>1</v>
      </c>
    </row>
    <row r="2247" spans="1:4" x14ac:dyDescent="0.25">
      <c r="A2247" t="s">
        <v>11210</v>
      </c>
      <c r="B2247">
        <v>53</v>
      </c>
      <c r="C2247" s="4">
        <v>510.71</v>
      </c>
      <c r="D2247">
        <v>2</v>
      </c>
    </row>
    <row r="2248" spans="1:4" x14ac:dyDescent="0.25">
      <c r="A2248" t="s">
        <v>11211</v>
      </c>
      <c r="B2248">
        <v>153</v>
      </c>
      <c r="C2248" s="4">
        <v>1056.44</v>
      </c>
      <c r="D2248">
        <v>4</v>
      </c>
    </row>
    <row r="2249" spans="1:4" x14ac:dyDescent="0.25">
      <c r="A2249" t="s">
        <v>11212</v>
      </c>
      <c r="B2249">
        <v>34</v>
      </c>
      <c r="C2249" s="4">
        <v>267.18</v>
      </c>
      <c r="D2249">
        <v>1</v>
      </c>
    </row>
    <row r="2250" spans="1:4" x14ac:dyDescent="0.25">
      <c r="A2250" t="s">
        <v>11213</v>
      </c>
      <c r="B2250">
        <v>122</v>
      </c>
      <c r="C2250" s="4">
        <v>3450.84</v>
      </c>
      <c r="D2250">
        <v>8</v>
      </c>
    </row>
    <row r="2251" spans="1:4" x14ac:dyDescent="0.25">
      <c r="A2251" t="s">
        <v>11214</v>
      </c>
      <c r="B2251">
        <v>99</v>
      </c>
      <c r="C2251" s="4">
        <v>1358.88</v>
      </c>
      <c r="D2251">
        <v>4</v>
      </c>
    </row>
    <row r="2252" spans="1:4" x14ac:dyDescent="0.25">
      <c r="A2252" t="s">
        <v>11215</v>
      </c>
      <c r="B2252">
        <v>10</v>
      </c>
      <c r="C2252" s="4">
        <v>190.53</v>
      </c>
      <c r="D2252">
        <v>1</v>
      </c>
    </row>
    <row r="2253" spans="1:4" x14ac:dyDescent="0.25">
      <c r="A2253" t="s">
        <v>11216</v>
      </c>
      <c r="B2253">
        <v>39</v>
      </c>
      <c r="C2253" s="4">
        <v>774.9</v>
      </c>
      <c r="D2253">
        <v>3</v>
      </c>
    </row>
    <row r="2254" spans="1:4" x14ac:dyDescent="0.25">
      <c r="A2254" t="s">
        <v>11217</v>
      </c>
      <c r="B2254">
        <v>48</v>
      </c>
      <c r="C2254" s="4">
        <v>572.80999999999995</v>
      </c>
      <c r="D2254">
        <v>1</v>
      </c>
    </row>
    <row r="2255" spans="1:4" x14ac:dyDescent="0.25">
      <c r="A2255" t="s">
        <v>11218</v>
      </c>
      <c r="B2255">
        <v>192</v>
      </c>
      <c r="C2255" s="4">
        <v>3984.32</v>
      </c>
      <c r="D2255">
        <v>4</v>
      </c>
    </row>
    <row r="2256" spans="1:4" x14ac:dyDescent="0.25">
      <c r="A2256" t="s">
        <v>11219</v>
      </c>
      <c r="B2256">
        <v>28</v>
      </c>
      <c r="C2256" s="4">
        <v>508.8</v>
      </c>
      <c r="D2256">
        <v>1</v>
      </c>
    </row>
    <row r="2257" spans="1:4" x14ac:dyDescent="0.25">
      <c r="A2257" t="s">
        <v>11220</v>
      </c>
      <c r="B2257">
        <v>8</v>
      </c>
      <c r="C2257" s="4">
        <v>135.86000000000001</v>
      </c>
      <c r="D2257">
        <v>1</v>
      </c>
    </row>
    <row r="2258" spans="1:4" x14ac:dyDescent="0.25">
      <c r="A2258" t="s">
        <v>11221</v>
      </c>
      <c r="B2258">
        <v>53</v>
      </c>
      <c r="C2258" s="4">
        <v>950.36</v>
      </c>
      <c r="D2258">
        <v>4</v>
      </c>
    </row>
    <row r="2259" spans="1:4" x14ac:dyDescent="0.25">
      <c r="A2259" t="s">
        <v>11222</v>
      </c>
      <c r="B2259">
        <v>6</v>
      </c>
      <c r="C2259" s="4">
        <v>97.7</v>
      </c>
      <c r="D2259">
        <v>2</v>
      </c>
    </row>
    <row r="2260" spans="1:4" x14ac:dyDescent="0.25">
      <c r="A2260" t="s">
        <v>11223</v>
      </c>
      <c r="B2260">
        <v>2</v>
      </c>
      <c r="C2260" s="4">
        <v>43.5</v>
      </c>
      <c r="D2260">
        <v>1</v>
      </c>
    </row>
    <row r="2261" spans="1:4" x14ac:dyDescent="0.25">
      <c r="A2261" t="s">
        <v>11224</v>
      </c>
      <c r="B2261">
        <v>17</v>
      </c>
      <c r="C2261" s="4">
        <v>383.34</v>
      </c>
      <c r="D2261">
        <v>2</v>
      </c>
    </row>
    <row r="2262" spans="1:4" x14ac:dyDescent="0.25">
      <c r="A2262" t="s">
        <v>11225</v>
      </c>
      <c r="B2262">
        <v>292</v>
      </c>
      <c r="C2262" s="4">
        <v>1447.39</v>
      </c>
      <c r="D2262">
        <v>5</v>
      </c>
    </row>
    <row r="2263" spans="1:4" x14ac:dyDescent="0.25">
      <c r="A2263" t="s">
        <v>11226</v>
      </c>
      <c r="B2263">
        <v>306</v>
      </c>
      <c r="C2263" s="4">
        <v>1483.14</v>
      </c>
      <c r="D2263">
        <v>3</v>
      </c>
    </row>
    <row r="2264" spans="1:4" x14ac:dyDescent="0.25">
      <c r="A2264" t="s">
        <v>11227</v>
      </c>
      <c r="B2264">
        <v>6</v>
      </c>
      <c r="C2264" s="4">
        <v>93.78</v>
      </c>
      <c r="D2264">
        <v>1</v>
      </c>
    </row>
    <row r="2265" spans="1:4" x14ac:dyDescent="0.25">
      <c r="A2265" t="s">
        <v>11228</v>
      </c>
      <c r="B2265">
        <v>82</v>
      </c>
      <c r="C2265" s="4">
        <v>397.35</v>
      </c>
      <c r="D2265">
        <v>2</v>
      </c>
    </row>
    <row r="2266" spans="1:4" x14ac:dyDescent="0.25">
      <c r="A2266" t="s">
        <v>11229</v>
      </c>
      <c r="B2266">
        <v>10</v>
      </c>
      <c r="C2266" s="4">
        <v>171.19</v>
      </c>
      <c r="D2266">
        <v>1</v>
      </c>
    </row>
    <row r="2267" spans="1:4" x14ac:dyDescent="0.25">
      <c r="A2267" t="s">
        <v>11230</v>
      </c>
      <c r="B2267">
        <v>41</v>
      </c>
      <c r="C2267" s="4">
        <v>533.29999999999995</v>
      </c>
      <c r="D2267">
        <v>2</v>
      </c>
    </row>
    <row r="2268" spans="1:4" x14ac:dyDescent="0.25">
      <c r="A2268" t="s">
        <v>11231</v>
      </c>
      <c r="B2268">
        <v>55</v>
      </c>
      <c r="C2268" s="4">
        <v>1041.48</v>
      </c>
      <c r="D2268">
        <v>5</v>
      </c>
    </row>
    <row r="2269" spans="1:4" x14ac:dyDescent="0.25">
      <c r="A2269" t="s">
        <v>11232</v>
      </c>
      <c r="B2269">
        <v>29</v>
      </c>
      <c r="C2269" s="4">
        <v>149.29</v>
      </c>
      <c r="D2269">
        <v>1</v>
      </c>
    </row>
    <row r="2270" spans="1:4" x14ac:dyDescent="0.25">
      <c r="A2270" t="s">
        <v>11233</v>
      </c>
      <c r="B2270">
        <v>329</v>
      </c>
      <c r="C2270" s="4">
        <v>1122.53</v>
      </c>
      <c r="D2270">
        <v>3</v>
      </c>
    </row>
    <row r="2271" spans="1:4" x14ac:dyDescent="0.25">
      <c r="A2271" t="s">
        <v>11234</v>
      </c>
      <c r="B2271">
        <v>45</v>
      </c>
      <c r="C2271" s="4">
        <v>200.16</v>
      </c>
      <c r="D2271">
        <v>1</v>
      </c>
    </row>
    <row r="2272" spans="1:4" x14ac:dyDescent="0.25">
      <c r="A2272" t="s">
        <v>11235</v>
      </c>
      <c r="B2272">
        <v>25</v>
      </c>
      <c r="C2272" s="4">
        <v>156.58000000000001</v>
      </c>
      <c r="D2272">
        <v>1</v>
      </c>
    </row>
    <row r="2273" spans="1:4" x14ac:dyDescent="0.25">
      <c r="A2273" t="s">
        <v>11236</v>
      </c>
      <c r="B2273">
        <v>62</v>
      </c>
      <c r="C2273" s="4">
        <v>383.68</v>
      </c>
      <c r="D2273">
        <v>3</v>
      </c>
    </row>
    <row r="2274" spans="1:4" x14ac:dyDescent="0.25">
      <c r="A2274" t="s">
        <v>11237</v>
      </c>
      <c r="B2274">
        <v>2</v>
      </c>
      <c r="C2274" s="4">
        <v>594</v>
      </c>
      <c r="D2274">
        <v>1</v>
      </c>
    </row>
    <row r="2275" spans="1:4" x14ac:dyDescent="0.25">
      <c r="A2275" t="s">
        <v>11238</v>
      </c>
      <c r="B2275">
        <v>382</v>
      </c>
      <c r="C2275" s="4">
        <v>3236.91</v>
      </c>
      <c r="D2275">
        <v>7</v>
      </c>
    </row>
    <row r="2276" spans="1:4" x14ac:dyDescent="0.25">
      <c r="A2276" t="s">
        <v>11239</v>
      </c>
      <c r="B2276">
        <v>219</v>
      </c>
      <c r="C2276" s="4">
        <v>1418.26</v>
      </c>
      <c r="D2276">
        <v>2</v>
      </c>
    </row>
    <row r="2277" spans="1:4" x14ac:dyDescent="0.25">
      <c r="A2277" t="s">
        <v>11240</v>
      </c>
      <c r="B2277">
        <v>5</v>
      </c>
      <c r="C2277" s="4">
        <v>113.5</v>
      </c>
      <c r="D2277">
        <v>1</v>
      </c>
    </row>
    <row r="2278" spans="1:4" x14ac:dyDescent="0.25">
      <c r="A2278" t="s">
        <v>11241</v>
      </c>
      <c r="B2278">
        <v>9</v>
      </c>
      <c r="C2278" s="4">
        <v>155.16999999999999</v>
      </c>
      <c r="D2278">
        <v>1</v>
      </c>
    </row>
    <row r="2279" spans="1:4" x14ac:dyDescent="0.25">
      <c r="A2279" t="s">
        <v>11242</v>
      </c>
      <c r="B2279">
        <v>28</v>
      </c>
      <c r="C2279" s="4">
        <v>494.64</v>
      </c>
      <c r="D2279">
        <v>1</v>
      </c>
    </row>
    <row r="2280" spans="1:4" x14ac:dyDescent="0.25">
      <c r="A2280" t="s">
        <v>11243</v>
      </c>
      <c r="B2280">
        <v>60</v>
      </c>
      <c r="C2280" s="4">
        <v>974.52</v>
      </c>
      <c r="D2280">
        <v>3</v>
      </c>
    </row>
    <row r="2281" spans="1:4" x14ac:dyDescent="0.25">
      <c r="A2281" t="s">
        <v>11244</v>
      </c>
      <c r="B2281">
        <v>30</v>
      </c>
      <c r="C2281" s="4">
        <v>429.84</v>
      </c>
      <c r="D2281">
        <v>1</v>
      </c>
    </row>
    <row r="2282" spans="1:4" x14ac:dyDescent="0.25">
      <c r="A2282" t="s">
        <v>11245</v>
      </c>
      <c r="B2282">
        <v>58</v>
      </c>
      <c r="C2282" s="4">
        <v>538.73</v>
      </c>
      <c r="D2282">
        <v>3</v>
      </c>
    </row>
    <row r="2283" spans="1:4" x14ac:dyDescent="0.25">
      <c r="A2283" t="s">
        <v>11246</v>
      </c>
      <c r="B2283">
        <v>286</v>
      </c>
      <c r="C2283" s="4">
        <v>1388.37</v>
      </c>
      <c r="D2283">
        <v>7</v>
      </c>
    </row>
    <row r="2284" spans="1:4" x14ac:dyDescent="0.25">
      <c r="A2284" t="s">
        <v>11247</v>
      </c>
      <c r="B2284">
        <v>25</v>
      </c>
      <c r="C2284" s="4">
        <v>179.1</v>
      </c>
      <c r="D2284">
        <v>1</v>
      </c>
    </row>
    <row r="2285" spans="1:4" x14ac:dyDescent="0.25">
      <c r="A2285" t="s">
        <v>11248</v>
      </c>
      <c r="B2285">
        <v>60</v>
      </c>
      <c r="C2285" s="4">
        <v>447.22</v>
      </c>
      <c r="D2285">
        <v>3</v>
      </c>
    </row>
    <row r="2286" spans="1:4" x14ac:dyDescent="0.25">
      <c r="A2286" t="s">
        <v>11249</v>
      </c>
      <c r="B2286">
        <v>58</v>
      </c>
      <c r="C2286" s="4">
        <v>237.07</v>
      </c>
      <c r="D2286">
        <v>1</v>
      </c>
    </row>
    <row r="2287" spans="1:4" x14ac:dyDescent="0.25">
      <c r="A2287" t="s">
        <v>11250</v>
      </c>
      <c r="B2287">
        <v>7</v>
      </c>
      <c r="C2287" s="4">
        <v>161.63999999999999</v>
      </c>
      <c r="D2287">
        <v>1</v>
      </c>
    </row>
    <row r="2288" spans="1:4" x14ac:dyDescent="0.25">
      <c r="A2288" t="s">
        <v>11251</v>
      </c>
      <c r="B2288">
        <v>58</v>
      </c>
      <c r="C2288" s="4">
        <v>216.76</v>
      </c>
      <c r="D2288">
        <v>1</v>
      </c>
    </row>
    <row r="2289" spans="1:4" x14ac:dyDescent="0.25">
      <c r="A2289" t="s">
        <v>11252</v>
      </c>
      <c r="B2289">
        <v>11</v>
      </c>
      <c r="C2289" s="4">
        <v>234.6</v>
      </c>
      <c r="D2289">
        <v>3</v>
      </c>
    </row>
    <row r="2290" spans="1:4" x14ac:dyDescent="0.25">
      <c r="A2290" t="s">
        <v>11253</v>
      </c>
      <c r="B2290">
        <v>7</v>
      </c>
      <c r="C2290" s="4">
        <v>126.14</v>
      </c>
      <c r="D2290">
        <v>1</v>
      </c>
    </row>
    <row r="2291" spans="1:4" x14ac:dyDescent="0.25">
      <c r="A2291" t="s">
        <v>11254</v>
      </c>
      <c r="B2291">
        <v>157</v>
      </c>
      <c r="C2291" s="4">
        <v>1048.8499999999999</v>
      </c>
      <c r="D2291">
        <v>1</v>
      </c>
    </row>
    <row r="2292" spans="1:4" x14ac:dyDescent="0.25">
      <c r="A2292" t="s">
        <v>11255</v>
      </c>
      <c r="B2292">
        <v>97</v>
      </c>
      <c r="C2292" s="4">
        <v>7354.62</v>
      </c>
      <c r="D2292">
        <v>18</v>
      </c>
    </row>
    <row r="2293" spans="1:4" x14ac:dyDescent="0.25">
      <c r="A2293" t="s">
        <v>11256</v>
      </c>
      <c r="B2293">
        <v>57</v>
      </c>
      <c r="C2293" s="4">
        <v>334.53</v>
      </c>
      <c r="D2293">
        <v>1</v>
      </c>
    </row>
    <row r="2294" spans="1:4" x14ac:dyDescent="0.25">
      <c r="A2294" t="s">
        <v>11257</v>
      </c>
      <c r="B2294">
        <v>52</v>
      </c>
      <c r="C2294" s="4">
        <v>524.88</v>
      </c>
      <c r="D2294">
        <v>3</v>
      </c>
    </row>
    <row r="2295" spans="1:4" x14ac:dyDescent="0.25">
      <c r="A2295" t="s">
        <v>11258</v>
      </c>
      <c r="B2295">
        <v>24</v>
      </c>
      <c r="C2295" s="4">
        <v>467.51</v>
      </c>
      <c r="D2295">
        <v>2</v>
      </c>
    </row>
    <row r="2296" spans="1:4" x14ac:dyDescent="0.25">
      <c r="A2296" t="s">
        <v>11259</v>
      </c>
      <c r="B2296">
        <v>24</v>
      </c>
      <c r="C2296" s="4">
        <v>538.54999999999995</v>
      </c>
      <c r="D2296">
        <v>2</v>
      </c>
    </row>
    <row r="2297" spans="1:4" x14ac:dyDescent="0.25">
      <c r="A2297" t="s">
        <v>11260</v>
      </c>
      <c r="B2297">
        <v>77</v>
      </c>
      <c r="C2297" s="4">
        <v>469.48</v>
      </c>
      <c r="D2297">
        <v>1</v>
      </c>
    </row>
    <row r="2298" spans="1:4" x14ac:dyDescent="0.25">
      <c r="A2298" t="s">
        <v>11261</v>
      </c>
      <c r="B2298">
        <v>76</v>
      </c>
      <c r="C2298" s="4">
        <v>371.56</v>
      </c>
      <c r="D2298">
        <v>1</v>
      </c>
    </row>
    <row r="2299" spans="1:4" x14ac:dyDescent="0.25">
      <c r="A2299" t="s">
        <v>11262</v>
      </c>
      <c r="B2299">
        <v>11</v>
      </c>
      <c r="C2299" s="4">
        <v>1771.2</v>
      </c>
      <c r="D2299">
        <v>7</v>
      </c>
    </row>
    <row r="2300" spans="1:4" x14ac:dyDescent="0.25">
      <c r="A2300" t="s">
        <v>11263</v>
      </c>
      <c r="B2300">
        <v>29</v>
      </c>
      <c r="C2300" s="4">
        <v>454.11</v>
      </c>
      <c r="D2300">
        <v>1</v>
      </c>
    </row>
    <row r="2301" spans="1:4" x14ac:dyDescent="0.25">
      <c r="A2301" t="s">
        <v>11264</v>
      </c>
      <c r="B2301">
        <v>46</v>
      </c>
      <c r="C2301" s="4">
        <v>1441.42</v>
      </c>
      <c r="D2301">
        <v>2</v>
      </c>
    </row>
    <row r="2302" spans="1:4" x14ac:dyDescent="0.25">
      <c r="A2302" t="s">
        <v>11265</v>
      </c>
      <c r="B2302">
        <v>45</v>
      </c>
      <c r="C2302" s="4">
        <v>905.5</v>
      </c>
      <c r="D2302">
        <v>1</v>
      </c>
    </row>
    <row r="2303" spans="1:4" x14ac:dyDescent="0.25">
      <c r="A2303" t="s">
        <v>11266</v>
      </c>
      <c r="B2303">
        <v>97</v>
      </c>
      <c r="C2303" s="4">
        <v>11014.96</v>
      </c>
      <c r="D2303">
        <v>11</v>
      </c>
    </row>
    <row r="2304" spans="1:4" x14ac:dyDescent="0.25">
      <c r="A2304" t="s">
        <v>11267</v>
      </c>
      <c r="B2304">
        <v>88</v>
      </c>
      <c r="C2304" s="4">
        <v>233.81</v>
      </c>
      <c r="D2304">
        <v>4</v>
      </c>
    </row>
    <row r="2305" spans="1:4" x14ac:dyDescent="0.25">
      <c r="A2305" t="s">
        <v>11268</v>
      </c>
      <c r="B2305">
        <v>188</v>
      </c>
      <c r="C2305" s="4">
        <v>3594.31</v>
      </c>
      <c r="D2305">
        <v>4</v>
      </c>
    </row>
    <row r="2306" spans="1:4" x14ac:dyDescent="0.25">
      <c r="A2306" t="s">
        <v>11269</v>
      </c>
      <c r="B2306">
        <v>86</v>
      </c>
      <c r="C2306" s="4">
        <v>2575</v>
      </c>
      <c r="D2306">
        <v>3</v>
      </c>
    </row>
    <row r="2307" spans="1:4" x14ac:dyDescent="0.25">
      <c r="A2307" t="s">
        <v>11270</v>
      </c>
      <c r="B2307">
        <v>2</v>
      </c>
      <c r="C2307" s="4">
        <v>91.32</v>
      </c>
      <c r="D2307">
        <v>1</v>
      </c>
    </row>
    <row r="2308" spans="1:4" x14ac:dyDescent="0.25">
      <c r="A2308" t="s">
        <v>11271</v>
      </c>
      <c r="B2308">
        <v>50</v>
      </c>
      <c r="C2308" s="4">
        <v>1134.28</v>
      </c>
      <c r="D2308">
        <v>3</v>
      </c>
    </row>
    <row r="2309" spans="1:4" x14ac:dyDescent="0.25">
      <c r="A2309" t="s">
        <v>11272</v>
      </c>
      <c r="B2309">
        <v>154</v>
      </c>
      <c r="C2309" s="4">
        <v>3100.09</v>
      </c>
      <c r="D2309">
        <v>6</v>
      </c>
    </row>
    <row r="2310" spans="1:4" x14ac:dyDescent="0.25">
      <c r="A2310" t="s">
        <v>11273</v>
      </c>
      <c r="B2310">
        <v>35</v>
      </c>
      <c r="C2310" s="4">
        <v>659.46</v>
      </c>
      <c r="D2310">
        <v>2</v>
      </c>
    </row>
    <row r="2311" spans="1:4" x14ac:dyDescent="0.25">
      <c r="A2311" t="s">
        <v>11274</v>
      </c>
      <c r="B2311">
        <v>297</v>
      </c>
      <c r="C2311" s="4">
        <v>2001.8</v>
      </c>
      <c r="D2311">
        <v>5</v>
      </c>
    </row>
    <row r="2312" spans="1:4" x14ac:dyDescent="0.25">
      <c r="A2312" t="s">
        <v>11275</v>
      </c>
      <c r="B2312">
        <v>125</v>
      </c>
      <c r="C2312" s="4">
        <v>1299.23</v>
      </c>
      <c r="D2312">
        <v>2</v>
      </c>
    </row>
    <row r="2313" spans="1:4" x14ac:dyDescent="0.25">
      <c r="A2313" t="s">
        <v>11276</v>
      </c>
      <c r="B2313">
        <v>15</v>
      </c>
      <c r="C2313" s="4">
        <v>1262.2</v>
      </c>
      <c r="D2313">
        <v>2</v>
      </c>
    </row>
    <row r="2314" spans="1:4" x14ac:dyDescent="0.25">
      <c r="A2314" t="s">
        <v>11277</v>
      </c>
      <c r="B2314">
        <v>512</v>
      </c>
      <c r="C2314" s="4">
        <v>13316.4</v>
      </c>
      <c r="D2314">
        <v>27</v>
      </c>
    </row>
    <row r="2315" spans="1:4" x14ac:dyDescent="0.25">
      <c r="A2315" t="s">
        <v>11278</v>
      </c>
      <c r="B2315">
        <v>68</v>
      </c>
      <c r="C2315" s="4">
        <v>1131.56</v>
      </c>
      <c r="D2315">
        <v>4</v>
      </c>
    </row>
    <row r="2316" spans="1:4" x14ac:dyDescent="0.25">
      <c r="A2316" t="s">
        <v>11279</v>
      </c>
      <c r="B2316">
        <v>209</v>
      </c>
      <c r="C2316" s="4">
        <v>6923.98</v>
      </c>
      <c r="D2316">
        <v>10</v>
      </c>
    </row>
    <row r="2317" spans="1:4" x14ac:dyDescent="0.25">
      <c r="A2317" t="s">
        <v>11280</v>
      </c>
      <c r="B2317">
        <v>70</v>
      </c>
      <c r="C2317" s="4">
        <v>147.09</v>
      </c>
      <c r="D2317">
        <v>1</v>
      </c>
    </row>
    <row r="2318" spans="1:4" x14ac:dyDescent="0.25">
      <c r="A2318" t="s">
        <v>11281</v>
      </c>
      <c r="B2318">
        <v>13</v>
      </c>
      <c r="C2318" s="4">
        <v>52.83</v>
      </c>
      <c r="D2318">
        <v>1</v>
      </c>
    </row>
    <row r="2319" spans="1:4" x14ac:dyDescent="0.25">
      <c r="A2319" t="s">
        <v>11282</v>
      </c>
      <c r="B2319">
        <v>97</v>
      </c>
      <c r="C2319" s="4">
        <v>3610.96</v>
      </c>
      <c r="D2319">
        <v>5</v>
      </c>
    </row>
    <row r="2320" spans="1:4" x14ac:dyDescent="0.25">
      <c r="A2320" t="s">
        <v>11283</v>
      </c>
      <c r="B2320">
        <v>164</v>
      </c>
      <c r="C2320" s="4">
        <v>979.26</v>
      </c>
      <c r="D2320">
        <v>3</v>
      </c>
    </row>
    <row r="2321" spans="1:4" x14ac:dyDescent="0.25">
      <c r="A2321" t="s">
        <v>11284</v>
      </c>
      <c r="B2321">
        <v>46</v>
      </c>
      <c r="C2321" s="4">
        <v>492.36</v>
      </c>
      <c r="D2321">
        <v>1</v>
      </c>
    </row>
    <row r="2322" spans="1:4" x14ac:dyDescent="0.25">
      <c r="A2322" t="s">
        <v>11285</v>
      </c>
      <c r="B2322">
        <v>92</v>
      </c>
      <c r="C2322" s="4">
        <v>1000.27</v>
      </c>
      <c r="D2322">
        <v>6</v>
      </c>
    </row>
    <row r="2323" spans="1:4" x14ac:dyDescent="0.25">
      <c r="A2323" t="s">
        <v>11286</v>
      </c>
      <c r="B2323">
        <v>1</v>
      </c>
      <c r="C2323" s="4">
        <v>250</v>
      </c>
      <c r="D2323">
        <v>1</v>
      </c>
    </row>
    <row r="2324" spans="1:4" x14ac:dyDescent="0.25">
      <c r="A2324" t="s">
        <v>11287</v>
      </c>
      <c r="B2324">
        <v>160</v>
      </c>
      <c r="C2324" s="4">
        <v>909.23</v>
      </c>
      <c r="D2324">
        <v>5</v>
      </c>
    </row>
    <row r="2325" spans="1:4" x14ac:dyDescent="0.25">
      <c r="A2325" t="s">
        <v>11288</v>
      </c>
      <c r="B2325">
        <v>7</v>
      </c>
      <c r="C2325" s="4">
        <v>121</v>
      </c>
      <c r="D2325">
        <v>2</v>
      </c>
    </row>
    <row r="2326" spans="1:4" x14ac:dyDescent="0.25">
      <c r="A2326" t="s">
        <v>11289</v>
      </c>
      <c r="B2326">
        <v>308</v>
      </c>
      <c r="C2326" s="4">
        <v>14758.22</v>
      </c>
      <c r="D2326">
        <v>19</v>
      </c>
    </row>
    <row r="2327" spans="1:4" x14ac:dyDescent="0.25">
      <c r="A2327" t="s">
        <v>11290</v>
      </c>
      <c r="B2327">
        <v>178</v>
      </c>
      <c r="C2327" s="4">
        <v>4139.46</v>
      </c>
      <c r="D2327">
        <v>11</v>
      </c>
    </row>
    <row r="2328" spans="1:4" x14ac:dyDescent="0.25">
      <c r="A2328" t="s">
        <v>11291</v>
      </c>
      <c r="B2328">
        <v>15</v>
      </c>
      <c r="C2328" s="4">
        <v>62.43</v>
      </c>
      <c r="D2328">
        <v>3</v>
      </c>
    </row>
    <row r="2329" spans="1:4" x14ac:dyDescent="0.25">
      <c r="A2329" t="s">
        <v>11292</v>
      </c>
      <c r="B2329">
        <v>27</v>
      </c>
      <c r="C2329" s="4">
        <v>267.02999999999997</v>
      </c>
      <c r="D2329">
        <v>1</v>
      </c>
    </row>
    <row r="2330" spans="1:4" x14ac:dyDescent="0.25">
      <c r="A2330" t="s">
        <v>11293</v>
      </c>
      <c r="B2330">
        <v>214</v>
      </c>
      <c r="C2330" s="4">
        <v>1942.45</v>
      </c>
      <c r="D2330">
        <v>8</v>
      </c>
    </row>
    <row r="2331" spans="1:4" x14ac:dyDescent="0.25">
      <c r="A2331" t="s">
        <v>11294</v>
      </c>
      <c r="B2331">
        <v>18</v>
      </c>
      <c r="C2331" s="4">
        <v>343.5</v>
      </c>
      <c r="D2331">
        <v>1</v>
      </c>
    </row>
    <row r="2332" spans="1:4" x14ac:dyDescent="0.25">
      <c r="A2332" t="s">
        <v>11295</v>
      </c>
      <c r="B2332">
        <v>185</v>
      </c>
      <c r="C2332" s="4">
        <v>3000.2</v>
      </c>
      <c r="D2332">
        <v>8</v>
      </c>
    </row>
    <row r="2333" spans="1:4" x14ac:dyDescent="0.25">
      <c r="A2333" t="s">
        <v>11296</v>
      </c>
      <c r="B2333">
        <v>57</v>
      </c>
      <c r="C2333" s="4">
        <v>398.84</v>
      </c>
      <c r="D2333">
        <v>2</v>
      </c>
    </row>
    <row r="2334" spans="1:4" x14ac:dyDescent="0.25">
      <c r="A2334" t="s">
        <v>11297</v>
      </c>
      <c r="B2334">
        <v>10</v>
      </c>
      <c r="C2334" s="4">
        <v>412.01</v>
      </c>
      <c r="D2334">
        <v>1</v>
      </c>
    </row>
    <row r="2335" spans="1:4" x14ac:dyDescent="0.25">
      <c r="A2335" t="s">
        <v>11298</v>
      </c>
      <c r="B2335">
        <v>1</v>
      </c>
      <c r="C2335" s="4">
        <v>440</v>
      </c>
      <c r="D2335">
        <v>1</v>
      </c>
    </row>
    <row r="2336" spans="1:4" x14ac:dyDescent="0.25">
      <c r="A2336" t="s">
        <v>11299</v>
      </c>
      <c r="B2336">
        <v>177</v>
      </c>
      <c r="C2336" s="4">
        <v>823.42</v>
      </c>
      <c r="D2336">
        <v>3</v>
      </c>
    </row>
    <row r="2337" spans="1:4" x14ac:dyDescent="0.25">
      <c r="A2337" t="s">
        <v>11300</v>
      </c>
      <c r="B2337">
        <v>4</v>
      </c>
      <c r="C2337" s="4">
        <v>148.44</v>
      </c>
      <c r="D2337">
        <v>2</v>
      </c>
    </row>
    <row r="2338" spans="1:4" x14ac:dyDescent="0.25">
      <c r="A2338" t="s">
        <v>11301</v>
      </c>
      <c r="B2338">
        <v>163</v>
      </c>
      <c r="C2338" s="4">
        <v>2429.7800000000002</v>
      </c>
      <c r="D2338">
        <v>8</v>
      </c>
    </row>
    <row r="2339" spans="1:4" x14ac:dyDescent="0.25">
      <c r="A2339" t="s">
        <v>11302</v>
      </c>
      <c r="B2339">
        <v>26</v>
      </c>
      <c r="C2339" s="4">
        <v>229.33</v>
      </c>
      <c r="D2339">
        <v>1</v>
      </c>
    </row>
    <row r="2340" spans="1:4" x14ac:dyDescent="0.25">
      <c r="A2340" t="s">
        <v>11303</v>
      </c>
      <c r="B2340">
        <v>671</v>
      </c>
      <c r="C2340" s="4">
        <v>3992.68</v>
      </c>
      <c r="D2340">
        <v>11</v>
      </c>
    </row>
    <row r="2341" spans="1:4" x14ac:dyDescent="0.25">
      <c r="A2341" t="s">
        <v>11304</v>
      </c>
      <c r="B2341">
        <v>108</v>
      </c>
      <c r="C2341" s="4">
        <v>1502.35</v>
      </c>
      <c r="D2341">
        <v>4</v>
      </c>
    </row>
    <row r="2342" spans="1:4" x14ac:dyDescent="0.25">
      <c r="A2342" t="s">
        <v>11305</v>
      </c>
      <c r="B2342">
        <v>228</v>
      </c>
      <c r="C2342" s="4">
        <v>2007.44</v>
      </c>
      <c r="D2342">
        <v>2</v>
      </c>
    </row>
    <row r="2343" spans="1:4" x14ac:dyDescent="0.25">
      <c r="A2343" t="s">
        <v>11306</v>
      </c>
      <c r="B2343">
        <v>255</v>
      </c>
      <c r="C2343" s="4">
        <v>1571.03</v>
      </c>
      <c r="D2343">
        <v>4</v>
      </c>
    </row>
    <row r="2344" spans="1:4" x14ac:dyDescent="0.25">
      <c r="A2344" t="s">
        <v>11307</v>
      </c>
      <c r="B2344">
        <v>83</v>
      </c>
      <c r="C2344" s="4">
        <v>807.57</v>
      </c>
      <c r="D2344">
        <v>3</v>
      </c>
    </row>
    <row r="2345" spans="1:4" x14ac:dyDescent="0.25">
      <c r="A2345" t="s">
        <v>11308</v>
      </c>
      <c r="B2345">
        <v>75</v>
      </c>
      <c r="C2345" s="4">
        <v>536.4</v>
      </c>
      <c r="D2345">
        <v>4</v>
      </c>
    </row>
    <row r="2346" spans="1:4" x14ac:dyDescent="0.25">
      <c r="A2346" t="s">
        <v>11309</v>
      </c>
      <c r="B2346">
        <v>24</v>
      </c>
      <c r="C2346" s="4">
        <v>110.92</v>
      </c>
      <c r="D2346">
        <v>1</v>
      </c>
    </row>
    <row r="2347" spans="1:4" x14ac:dyDescent="0.25">
      <c r="A2347" t="s">
        <v>11310</v>
      </c>
      <c r="B2347">
        <v>41</v>
      </c>
      <c r="C2347" s="4">
        <v>538.46</v>
      </c>
      <c r="D2347">
        <v>1</v>
      </c>
    </row>
    <row r="2348" spans="1:4" x14ac:dyDescent="0.25">
      <c r="A2348" t="s">
        <v>11311</v>
      </c>
      <c r="B2348">
        <v>15</v>
      </c>
      <c r="C2348" s="4">
        <v>213.3</v>
      </c>
      <c r="D2348">
        <v>1</v>
      </c>
    </row>
    <row r="2349" spans="1:4" x14ac:dyDescent="0.25">
      <c r="A2349" t="s">
        <v>11312</v>
      </c>
      <c r="B2349">
        <v>29</v>
      </c>
      <c r="C2349" s="4">
        <v>85.13</v>
      </c>
      <c r="D2349">
        <v>1</v>
      </c>
    </row>
    <row r="2350" spans="1:4" x14ac:dyDescent="0.25">
      <c r="A2350" t="s">
        <v>11313</v>
      </c>
      <c r="B2350">
        <v>28</v>
      </c>
      <c r="C2350" s="4">
        <v>127.86</v>
      </c>
      <c r="D2350">
        <v>1</v>
      </c>
    </row>
    <row r="2351" spans="1:4" x14ac:dyDescent="0.25">
      <c r="A2351" t="s">
        <v>11314</v>
      </c>
      <c r="B2351">
        <v>259</v>
      </c>
      <c r="C2351" s="4">
        <v>3546.71</v>
      </c>
      <c r="D2351">
        <v>9</v>
      </c>
    </row>
    <row r="2352" spans="1:4" x14ac:dyDescent="0.25">
      <c r="A2352" t="s">
        <v>11315</v>
      </c>
      <c r="B2352">
        <v>81</v>
      </c>
      <c r="C2352" s="4">
        <v>292.72000000000003</v>
      </c>
      <c r="D2352">
        <v>2</v>
      </c>
    </row>
    <row r="2353" spans="1:4" x14ac:dyDescent="0.25">
      <c r="A2353" t="s">
        <v>11316</v>
      </c>
      <c r="B2353">
        <v>702</v>
      </c>
      <c r="C2353" s="4">
        <v>4954.84</v>
      </c>
      <c r="D2353">
        <v>14</v>
      </c>
    </row>
    <row r="2354" spans="1:4" x14ac:dyDescent="0.25">
      <c r="A2354" t="s">
        <v>11317</v>
      </c>
      <c r="B2354">
        <v>114</v>
      </c>
      <c r="C2354" s="4">
        <v>1689.51</v>
      </c>
      <c r="D2354">
        <v>3</v>
      </c>
    </row>
    <row r="2355" spans="1:4" x14ac:dyDescent="0.25">
      <c r="A2355" t="s">
        <v>11318</v>
      </c>
      <c r="B2355">
        <v>61</v>
      </c>
      <c r="C2355" s="4">
        <v>575.63</v>
      </c>
      <c r="D2355">
        <v>4</v>
      </c>
    </row>
    <row r="2356" spans="1:4" x14ac:dyDescent="0.25">
      <c r="A2356" t="s">
        <v>11319</v>
      </c>
      <c r="B2356">
        <v>29</v>
      </c>
      <c r="C2356" s="4">
        <v>436.06</v>
      </c>
      <c r="D2356">
        <v>1</v>
      </c>
    </row>
    <row r="2357" spans="1:4" x14ac:dyDescent="0.25">
      <c r="A2357" t="s">
        <v>11320</v>
      </c>
      <c r="B2357">
        <v>17</v>
      </c>
      <c r="C2357" s="4">
        <v>90.12</v>
      </c>
      <c r="D2357">
        <v>1</v>
      </c>
    </row>
    <row r="2358" spans="1:4" x14ac:dyDescent="0.25">
      <c r="A2358" t="s">
        <v>11321</v>
      </c>
      <c r="B2358">
        <v>56</v>
      </c>
      <c r="C2358" s="4">
        <v>437.23</v>
      </c>
      <c r="D2358">
        <v>1</v>
      </c>
    </row>
    <row r="2359" spans="1:4" x14ac:dyDescent="0.25">
      <c r="A2359" t="s">
        <v>11322</v>
      </c>
      <c r="B2359">
        <v>14</v>
      </c>
      <c r="C2359" s="4">
        <v>217.2</v>
      </c>
      <c r="D2359">
        <v>1</v>
      </c>
    </row>
    <row r="2360" spans="1:4" x14ac:dyDescent="0.25">
      <c r="A2360" t="s">
        <v>11323</v>
      </c>
      <c r="B2360">
        <v>897</v>
      </c>
      <c r="C2360" s="4">
        <v>4802.18</v>
      </c>
      <c r="D2360">
        <v>16</v>
      </c>
    </row>
    <row r="2361" spans="1:4" x14ac:dyDescent="0.25">
      <c r="A2361" t="s">
        <v>11324</v>
      </c>
      <c r="B2361">
        <v>31</v>
      </c>
      <c r="C2361" s="4">
        <v>279.77</v>
      </c>
      <c r="D2361">
        <v>1</v>
      </c>
    </row>
    <row r="2362" spans="1:4" x14ac:dyDescent="0.25">
      <c r="A2362" t="s">
        <v>11325</v>
      </c>
      <c r="B2362">
        <v>20</v>
      </c>
      <c r="C2362" s="4">
        <v>473.65</v>
      </c>
      <c r="D2362">
        <v>1</v>
      </c>
    </row>
    <row r="2363" spans="1:4" x14ac:dyDescent="0.25">
      <c r="A2363" t="s">
        <v>11326</v>
      </c>
      <c r="B2363">
        <v>27</v>
      </c>
      <c r="C2363" s="4">
        <v>800.59</v>
      </c>
      <c r="D2363">
        <v>4</v>
      </c>
    </row>
    <row r="2364" spans="1:4" x14ac:dyDescent="0.25">
      <c r="A2364" t="s">
        <v>11327</v>
      </c>
      <c r="B2364">
        <v>1</v>
      </c>
      <c r="C2364" s="4">
        <v>134.55000000000001</v>
      </c>
      <c r="D2364">
        <v>1</v>
      </c>
    </row>
    <row r="2365" spans="1:4" x14ac:dyDescent="0.25">
      <c r="A2365" t="s">
        <v>11328</v>
      </c>
      <c r="B2365">
        <v>111</v>
      </c>
      <c r="C2365" s="4">
        <v>1361.44</v>
      </c>
      <c r="D2365">
        <v>3</v>
      </c>
    </row>
    <row r="2366" spans="1:4" x14ac:dyDescent="0.25">
      <c r="A2366" t="s">
        <v>11329</v>
      </c>
      <c r="B2366">
        <v>8</v>
      </c>
      <c r="C2366" s="4">
        <v>173.16</v>
      </c>
      <c r="D2366">
        <v>2</v>
      </c>
    </row>
    <row r="2367" spans="1:4" x14ac:dyDescent="0.25">
      <c r="A2367" t="s">
        <v>11330</v>
      </c>
      <c r="B2367">
        <v>7</v>
      </c>
      <c r="C2367" s="4">
        <v>186.01</v>
      </c>
      <c r="D2367">
        <v>1</v>
      </c>
    </row>
    <row r="2368" spans="1:4" x14ac:dyDescent="0.25">
      <c r="A2368" t="s">
        <v>11331</v>
      </c>
      <c r="B2368">
        <v>53</v>
      </c>
      <c r="C2368" s="4">
        <v>758.29</v>
      </c>
      <c r="D2368">
        <v>3</v>
      </c>
    </row>
    <row r="2369" spans="1:4" x14ac:dyDescent="0.25">
      <c r="A2369" t="s">
        <v>11332</v>
      </c>
      <c r="B2369">
        <v>31</v>
      </c>
      <c r="C2369" s="4">
        <v>1375.71</v>
      </c>
      <c r="D2369">
        <v>5</v>
      </c>
    </row>
    <row r="2370" spans="1:4" x14ac:dyDescent="0.25">
      <c r="A2370" t="s">
        <v>11333</v>
      </c>
      <c r="B2370">
        <v>323</v>
      </c>
      <c r="C2370" s="4">
        <v>4165.5200000000004</v>
      </c>
      <c r="D2370">
        <v>12</v>
      </c>
    </row>
    <row r="2371" spans="1:4" x14ac:dyDescent="0.25">
      <c r="A2371" t="s">
        <v>11334</v>
      </c>
      <c r="B2371">
        <v>57</v>
      </c>
      <c r="C2371" s="4">
        <v>650.42999999999995</v>
      </c>
      <c r="D2371">
        <v>4</v>
      </c>
    </row>
    <row r="2372" spans="1:4" x14ac:dyDescent="0.25">
      <c r="A2372" t="s">
        <v>11335</v>
      </c>
      <c r="B2372">
        <v>215</v>
      </c>
      <c r="C2372" s="4">
        <v>2552.86</v>
      </c>
      <c r="D2372">
        <v>7</v>
      </c>
    </row>
    <row r="2373" spans="1:4" x14ac:dyDescent="0.25">
      <c r="A2373" t="s">
        <v>11336</v>
      </c>
      <c r="B2373">
        <v>103</v>
      </c>
      <c r="C2373" s="4">
        <v>599.5</v>
      </c>
      <c r="D2373">
        <v>2</v>
      </c>
    </row>
    <row r="2374" spans="1:4" x14ac:dyDescent="0.25">
      <c r="A2374" t="s">
        <v>11337</v>
      </c>
      <c r="B2374">
        <v>168</v>
      </c>
      <c r="C2374" s="4">
        <v>702.25</v>
      </c>
      <c r="D2374">
        <v>4</v>
      </c>
    </row>
    <row r="2375" spans="1:4" x14ac:dyDescent="0.25">
      <c r="A2375" t="s">
        <v>11338</v>
      </c>
      <c r="B2375">
        <v>45</v>
      </c>
      <c r="C2375" s="4">
        <v>940.67</v>
      </c>
      <c r="D2375">
        <v>1</v>
      </c>
    </row>
    <row r="2376" spans="1:4" x14ac:dyDescent="0.25">
      <c r="A2376" t="s">
        <v>11339</v>
      </c>
      <c r="B2376">
        <v>39</v>
      </c>
      <c r="C2376" s="4">
        <v>258.88</v>
      </c>
      <c r="D2376">
        <v>3</v>
      </c>
    </row>
    <row r="2377" spans="1:4" x14ac:dyDescent="0.25">
      <c r="A2377" t="s">
        <v>11340</v>
      </c>
      <c r="B2377">
        <v>13</v>
      </c>
      <c r="C2377" s="4">
        <v>127.1</v>
      </c>
      <c r="D2377">
        <v>1</v>
      </c>
    </row>
    <row r="2378" spans="1:4" x14ac:dyDescent="0.25">
      <c r="A2378" t="s">
        <v>11341</v>
      </c>
      <c r="B2378">
        <v>51</v>
      </c>
      <c r="C2378" s="4">
        <v>348.6</v>
      </c>
      <c r="D2378">
        <v>2</v>
      </c>
    </row>
    <row r="2379" spans="1:4" x14ac:dyDescent="0.25">
      <c r="A2379" t="s">
        <v>11342</v>
      </c>
      <c r="B2379">
        <v>146</v>
      </c>
      <c r="C2379" s="4">
        <v>721.63</v>
      </c>
      <c r="D2379">
        <v>10</v>
      </c>
    </row>
    <row r="2380" spans="1:4" x14ac:dyDescent="0.25">
      <c r="A2380" t="s">
        <v>11343</v>
      </c>
      <c r="B2380">
        <v>44</v>
      </c>
      <c r="C2380" s="4">
        <v>682.91</v>
      </c>
      <c r="D2380">
        <v>3</v>
      </c>
    </row>
    <row r="2381" spans="1:4" x14ac:dyDescent="0.25">
      <c r="A2381" t="s">
        <v>11344</v>
      </c>
      <c r="B2381">
        <v>123</v>
      </c>
      <c r="C2381" s="4">
        <v>725.11</v>
      </c>
      <c r="D2381">
        <v>4</v>
      </c>
    </row>
    <row r="2382" spans="1:4" x14ac:dyDescent="0.25">
      <c r="A2382" t="s">
        <v>11345</v>
      </c>
      <c r="B2382">
        <v>31</v>
      </c>
      <c r="C2382" s="4">
        <v>455.3</v>
      </c>
      <c r="D2382">
        <v>1</v>
      </c>
    </row>
    <row r="2383" spans="1:4" x14ac:dyDescent="0.25">
      <c r="A2383" t="s">
        <v>11346</v>
      </c>
      <c r="B2383">
        <v>9</v>
      </c>
      <c r="C2383" s="4">
        <v>913.68</v>
      </c>
      <c r="D2383">
        <v>4</v>
      </c>
    </row>
    <row r="2384" spans="1:4" x14ac:dyDescent="0.25">
      <c r="A2384" t="s">
        <v>11347</v>
      </c>
      <c r="B2384">
        <v>29</v>
      </c>
      <c r="C2384" s="4">
        <v>478.53</v>
      </c>
      <c r="D2384">
        <v>3</v>
      </c>
    </row>
    <row r="2385" spans="1:4" x14ac:dyDescent="0.25">
      <c r="A2385" t="s">
        <v>11348</v>
      </c>
      <c r="B2385">
        <v>24</v>
      </c>
      <c r="C2385" s="4">
        <v>388.58</v>
      </c>
      <c r="D2385">
        <v>1</v>
      </c>
    </row>
    <row r="2386" spans="1:4" x14ac:dyDescent="0.25">
      <c r="A2386" t="s">
        <v>11349</v>
      </c>
      <c r="B2386">
        <v>5</v>
      </c>
      <c r="C2386" s="4">
        <v>199.8</v>
      </c>
      <c r="D2386">
        <v>1</v>
      </c>
    </row>
    <row r="2387" spans="1:4" x14ac:dyDescent="0.25">
      <c r="A2387" t="s">
        <v>11350</v>
      </c>
      <c r="B2387">
        <v>103</v>
      </c>
      <c r="C2387" s="4">
        <v>1771.78</v>
      </c>
      <c r="D2387">
        <v>5</v>
      </c>
    </row>
    <row r="2388" spans="1:4" x14ac:dyDescent="0.25">
      <c r="A2388" t="s">
        <v>11351</v>
      </c>
      <c r="B2388">
        <v>77</v>
      </c>
      <c r="C2388" s="4">
        <v>1406.59</v>
      </c>
      <c r="D2388">
        <v>5</v>
      </c>
    </row>
    <row r="2389" spans="1:4" x14ac:dyDescent="0.25">
      <c r="A2389" t="s">
        <v>11352</v>
      </c>
      <c r="B2389">
        <v>22</v>
      </c>
      <c r="C2389" s="4">
        <v>324.57</v>
      </c>
      <c r="D2389">
        <v>1</v>
      </c>
    </row>
    <row r="2390" spans="1:4" x14ac:dyDescent="0.25">
      <c r="A2390" t="s">
        <v>11353</v>
      </c>
      <c r="B2390">
        <v>14</v>
      </c>
      <c r="C2390" s="4">
        <v>240.68</v>
      </c>
      <c r="D2390">
        <v>1</v>
      </c>
    </row>
    <row r="2391" spans="1:4" x14ac:dyDescent="0.25">
      <c r="A2391" t="s">
        <v>11354</v>
      </c>
      <c r="B2391">
        <v>52</v>
      </c>
      <c r="C2391" s="4">
        <v>761.74</v>
      </c>
      <c r="D2391">
        <v>2</v>
      </c>
    </row>
    <row r="2392" spans="1:4" x14ac:dyDescent="0.25">
      <c r="A2392" t="s">
        <v>11355</v>
      </c>
      <c r="B2392">
        <v>410</v>
      </c>
      <c r="C2392" s="4">
        <v>6776.56</v>
      </c>
      <c r="D2392">
        <v>14</v>
      </c>
    </row>
    <row r="2393" spans="1:4" x14ac:dyDescent="0.25">
      <c r="A2393" t="s">
        <v>11356</v>
      </c>
      <c r="B2393">
        <v>46</v>
      </c>
      <c r="C2393" s="4">
        <v>1297.8699999999999</v>
      </c>
      <c r="D2393">
        <v>9</v>
      </c>
    </row>
    <row r="2394" spans="1:4" x14ac:dyDescent="0.25">
      <c r="A2394" t="s">
        <v>11357</v>
      </c>
      <c r="B2394">
        <v>2</v>
      </c>
      <c r="C2394" s="4">
        <v>48.48</v>
      </c>
      <c r="D2394">
        <v>1</v>
      </c>
    </row>
    <row r="2395" spans="1:4" x14ac:dyDescent="0.25">
      <c r="A2395" t="s">
        <v>11358</v>
      </c>
      <c r="B2395">
        <v>17</v>
      </c>
      <c r="C2395" s="4">
        <v>216.39</v>
      </c>
      <c r="D2395">
        <v>1</v>
      </c>
    </row>
    <row r="2396" spans="1:4" x14ac:dyDescent="0.25">
      <c r="A2396" t="s">
        <v>11359</v>
      </c>
      <c r="B2396">
        <v>67</v>
      </c>
      <c r="C2396" s="4">
        <v>1198.23</v>
      </c>
      <c r="D2396">
        <v>5</v>
      </c>
    </row>
    <row r="2397" spans="1:4" x14ac:dyDescent="0.25">
      <c r="A2397" t="s">
        <v>11360</v>
      </c>
      <c r="B2397">
        <v>77</v>
      </c>
      <c r="C2397" s="4">
        <v>2920.16</v>
      </c>
      <c r="D2397">
        <v>9</v>
      </c>
    </row>
    <row r="2398" spans="1:4" x14ac:dyDescent="0.25">
      <c r="A2398" t="s">
        <v>11361</v>
      </c>
      <c r="B2398">
        <v>13</v>
      </c>
      <c r="C2398" s="4">
        <v>104.76</v>
      </c>
      <c r="D2398">
        <v>1</v>
      </c>
    </row>
    <row r="2399" spans="1:4" x14ac:dyDescent="0.25">
      <c r="A2399" t="s">
        <v>11362</v>
      </c>
      <c r="B2399">
        <v>60</v>
      </c>
      <c r="C2399" s="4">
        <v>1093.68</v>
      </c>
      <c r="D2399">
        <v>4</v>
      </c>
    </row>
    <row r="2400" spans="1:4" x14ac:dyDescent="0.25">
      <c r="A2400" t="s">
        <v>11363</v>
      </c>
      <c r="B2400">
        <v>16</v>
      </c>
      <c r="C2400" s="4">
        <v>298.48</v>
      </c>
      <c r="D2400">
        <v>1</v>
      </c>
    </row>
    <row r="2401" spans="1:4" x14ac:dyDescent="0.25">
      <c r="A2401" t="s">
        <v>11364</v>
      </c>
      <c r="B2401">
        <v>6</v>
      </c>
      <c r="C2401" s="4">
        <v>112.46</v>
      </c>
      <c r="D2401">
        <v>1</v>
      </c>
    </row>
    <row r="2402" spans="1:4" x14ac:dyDescent="0.25">
      <c r="A2402" t="s">
        <v>11365</v>
      </c>
      <c r="B2402">
        <v>41</v>
      </c>
      <c r="C2402" s="4">
        <v>1570.45</v>
      </c>
      <c r="D2402">
        <v>11</v>
      </c>
    </row>
    <row r="2403" spans="1:4" x14ac:dyDescent="0.25">
      <c r="A2403" t="s">
        <v>11366</v>
      </c>
      <c r="B2403">
        <v>6</v>
      </c>
      <c r="C2403" s="4">
        <v>195.15</v>
      </c>
      <c r="D2403">
        <v>2</v>
      </c>
    </row>
    <row r="2404" spans="1:4" x14ac:dyDescent="0.25">
      <c r="A2404" t="s">
        <v>11367</v>
      </c>
      <c r="B2404">
        <v>423</v>
      </c>
      <c r="C2404" s="4">
        <v>10399.74</v>
      </c>
      <c r="D2404">
        <v>23</v>
      </c>
    </row>
    <row r="2405" spans="1:4" x14ac:dyDescent="0.25">
      <c r="A2405" t="s">
        <v>11368</v>
      </c>
      <c r="B2405">
        <v>45</v>
      </c>
      <c r="C2405" s="4">
        <v>776.851</v>
      </c>
      <c r="D2405">
        <v>4</v>
      </c>
    </row>
    <row r="2406" spans="1:4" x14ac:dyDescent="0.25">
      <c r="A2406" t="s">
        <v>11369</v>
      </c>
      <c r="B2406">
        <v>3</v>
      </c>
      <c r="C2406" s="4">
        <v>336.4</v>
      </c>
      <c r="D2406">
        <v>1</v>
      </c>
    </row>
    <row r="2407" spans="1:4" x14ac:dyDescent="0.25">
      <c r="A2407" t="s">
        <v>11370</v>
      </c>
      <c r="B2407">
        <v>100</v>
      </c>
      <c r="C2407" s="4">
        <v>1553.18</v>
      </c>
      <c r="D2407">
        <v>3</v>
      </c>
    </row>
    <row r="2408" spans="1:4" x14ac:dyDescent="0.25">
      <c r="A2408" t="s">
        <v>11371</v>
      </c>
      <c r="B2408">
        <v>16</v>
      </c>
      <c r="C2408" s="4">
        <v>1293.03</v>
      </c>
      <c r="D2408">
        <v>4</v>
      </c>
    </row>
    <row r="2409" spans="1:4" x14ac:dyDescent="0.25">
      <c r="A2409" t="s">
        <v>11372</v>
      </c>
      <c r="B2409">
        <v>185</v>
      </c>
      <c r="C2409" s="4">
        <v>3709.56</v>
      </c>
      <c r="D2409">
        <v>9</v>
      </c>
    </row>
    <row r="2410" spans="1:4" x14ac:dyDescent="0.25">
      <c r="A2410" t="s">
        <v>11373</v>
      </c>
      <c r="B2410">
        <v>19</v>
      </c>
      <c r="C2410" s="4">
        <v>301.02999999999997</v>
      </c>
      <c r="D2410">
        <v>1</v>
      </c>
    </row>
    <row r="2411" spans="1:4" x14ac:dyDescent="0.25">
      <c r="A2411" t="s">
        <v>11374</v>
      </c>
      <c r="B2411">
        <v>34</v>
      </c>
      <c r="C2411" s="4">
        <v>588.13</v>
      </c>
      <c r="D2411">
        <v>4</v>
      </c>
    </row>
    <row r="2412" spans="1:4" x14ac:dyDescent="0.25">
      <c r="A2412" t="s">
        <v>11375</v>
      </c>
      <c r="B2412">
        <v>64</v>
      </c>
      <c r="C2412" s="4">
        <v>1534.26</v>
      </c>
      <c r="D2412">
        <v>4</v>
      </c>
    </row>
    <row r="2413" spans="1:4" x14ac:dyDescent="0.25">
      <c r="A2413" t="s">
        <v>11376</v>
      </c>
      <c r="B2413">
        <v>49</v>
      </c>
      <c r="C2413" s="4">
        <v>675.8</v>
      </c>
      <c r="D2413">
        <v>2</v>
      </c>
    </row>
    <row r="2414" spans="1:4" x14ac:dyDescent="0.25">
      <c r="A2414" t="s">
        <v>11377</v>
      </c>
      <c r="B2414">
        <v>155</v>
      </c>
      <c r="C2414" s="4">
        <v>2870.24</v>
      </c>
      <c r="D2414">
        <v>9</v>
      </c>
    </row>
    <row r="2415" spans="1:4" x14ac:dyDescent="0.25">
      <c r="A2415" t="s">
        <v>11378</v>
      </c>
      <c r="B2415">
        <v>60</v>
      </c>
      <c r="C2415" s="4">
        <v>1186.3499999999999</v>
      </c>
      <c r="D2415">
        <v>2</v>
      </c>
    </row>
    <row r="2416" spans="1:4" x14ac:dyDescent="0.25">
      <c r="A2416" t="s">
        <v>11379</v>
      </c>
      <c r="B2416">
        <v>167</v>
      </c>
      <c r="C2416" s="4">
        <v>3285.31</v>
      </c>
      <c r="D2416">
        <v>8</v>
      </c>
    </row>
    <row r="2417" spans="1:4" x14ac:dyDescent="0.25">
      <c r="A2417" t="s">
        <v>11380</v>
      </c>
      <c r="B2417">
        <v>15</v>
      </c>
      <c r="C2417" s="4">
        <v>243.55</v>
      </c>
      <c r="D2417">
        <v>1</v>
      </c>
    </row>
    <row r="2418" spans="1:4" x14ac:dyDescent="0.25">
      <c r="A2418" t="s">
        <v>11381</v>
      </c>
      <c r="B2418">
        <v>25</v>
      </c>
      <c r="C2418" s="4">
        <v>724.76</v>
      </c>
      <c r="D2418">
        <v>2</v>
      </c>
    </row>
    <row r="2419" spans="1:4" x14ac:dyDescent="0.25">
      <c r="A2419" t="s">
        <v>11382</v>
      </c>
      <c r="B2419">
        <v>15</v>
      </c>
      <c r="C2419" s="4">
        <v>223.36</v>
      </c>
      <c r="D2419">
        <v>1</v>
      </c>
    </row>
    <row r="2420" spans="1:4" x14ac:dyDescent="0.25">
      <c r="A2420" t="s">
        <v>11383</v>
      </c>
      <c r="B2420">
        <v>25</v>
      </c>
      <c r="C2420" s="4">
        <v>425.32</v>
      </c>
      <c r="D2420">
        <v>1</v>
      </c>
    </row>
    <row r="2421" spans="1:4" x14ac:dyDescent="0.25">
      <c r="A2421" t="s">
        <v>11384</v>
      </c>
      <c r="B2421">
        <v>484</v>
      </c>
      <c r="C2421" s="4">
        <v>12515.66</v>
      </c>
      <c r="D2421">
        <v>15</v>
      </c>
    </row>
    <row r="2422" spans="1:4" x14ac:dyDescent="0.25">
      <c r="A2422" t="s">
        <v>11385</v>
      </c>
      <c r="B2422">
        <v>119</v>
      </c>
      <c r="C2422" s="4">
        <v>1887.2</v>
      </c>
      <c r="D2422">
        <v>4</v>
      </c>
    </row>
    <row r="2423" spans="1:4" x14ac:dyDescent="0.25">
      <c r="A2423" t="s">
        <v>11386</v>
      </c>
      <c r="B2423">
        <v>33</v>
      </c>
      <c r="C2423" s="4">
        <v>664</v>
      </c>
      <c r="D2423">
        <v>3</v>
      </c>
    </row>
    <row r="2424" spans="1:4" x14ac:dyDescent="0.25">
      <c r="A2424" t="s">
        <v>11387</v>
      </c>
      <c r="B2424">
        <v>238</v>
      </c>
      <c r="C2424" s="4">
        <v>813</v>
      </c>
      <c r="D2424">
        <v>4</v>
      </c>
    </row>
    <row r="2425" spans="1:4" x14ac:dyDescent="0.25">
      <c r="A2425" t="s">
        <v>11388</v>
      </c>
      <c r="B2425">
        <v>51</v>
      </c>
      <c r="C2425" s="4">
        <v>611.59</v>
      </c>
      <c r="D2425">
        <v>1</v>
      </c>
    </row>
    <row r="2426" spans="1:4" x14ac:dyDescent="0.25">
      <c r="A2426" t="s">
        <v>11389</v>
      </c>
      <c r="B2426">
        <v>35</v>
      </c>
      <c r="C2426" s="4">
        <v>447.64</v>
      </c>
      <c r="D2426">
        <v>3</v>
      </c>
    </row>
    <row r="2427" spans="1:4" x14ac:dyDescent="0.25">
      <c r="A2427" t="s">
        <v>11390</v>
      </c>
      <c r="B2427">
        <v>25</v>
      </c>
      <c r="C2427" s="4">
        <v>657.35</v>
      </c>
      <c r="D2427">
        <v>2</v>
      </c>
    </row>
    <row r="2428" spans="1:4" x14ac:dyDescent="0.25">
      <c r="A2428" t="s">
        <v>11391</v>
      </c>
      <c r="B2428">
        <v>2</v>
      </c>
      <c r="C2428" s="4">
        <v>816</v>
      </c>
      <c r="D2428">
        <v>2</v>
      </c>
    </row>
    <row r="2429" spans="1:4" x14ac:dyDescent="0.25">
      <c r="A2429" t="s">
        <v>11392</v>
      </c>
      <c r="B2429">
        <v>32</v>
      </c>
      <c r="C2429" s="4">
        <v>646.29999999999995</v>
      </c>
      <c r="D2429">
        <v>3</v>
      </c>
    </row>
    <row r="2430" spans="1:4" x14ac:dyDescent="0.25">
      <c r="A2430" t="s">
        <v>11393</v>
      </c>
      <c r="B2430">
        <v>21</v>
      </c>
      <c r="C2430" s="4">
        <v>337.74</v>
      </c>
      <c r="D2430">
        <v>1</v>
      </c>
    </row>
    <row r="2431" spans="1:4" x14ac:dyDescent="0.25">
      <c r="A2431" t="s">
        <v>11394</v>
      </c>
      <c r="B2431">
        <v>6</v>
      </c>
      <c r="C2431" s="4">
        <v>877.44</v>
      </c>
      <c r="D2431">
        <v>2</v>
      </c>
    </row>
    <row r="2432" spans="1:4" x14ac:dyDescent="0.25">
      <c r="A2432" t="s">
        <v>11395</v>
      </c>
      <c r="B2432">
        <v>21</v>
      </c>
      <c r="C2432" s="4">
        <v>922.53</v>
      </c>
      <c r="D2432">
        <v>2</v>
      </c>
    </row>
    <row r="2433" spans="1:4" x14ac:dyDescent="0.25">
      <c r="A2433" t="s">
        <v>11396</v>
      </c>
      <c r="B2433">
        <v>34</v>
      </c>
      <c r="C2433" s="4">
        <v>560.66999999999996</v>
      </c>
      <c r="D2433">
        <v>1</v>
      </c>
    </row>
    <row r="2434" spans="1:4" x14ac:dyDescent="0.25">
      <c r="A2434" t="s">
        <v>11397</v>
      </c>
      <c r="B2434">
        <v>47</v>
      </c>
      <c r="C2434" s="4">
        <v>748.5</v>
      </c>
      <c r="D2434">
        <v>4</v>
      </c>
    </row>
    <row r="2435" spans="1:4" x14ac:dyDescent="0.25">
      <c r="A2435" t="s">
        <v>11398</v>
      </c>
      <c r="B2435">
        <v>1</v>
      </c>
      <c r="C2435" s="4">
        <v>30</v>
      </c>
      <c r="D2435">
        <v>1</v>
      </c>
    </row>
    <row r="2436" spans="1:4" x14ac:dyDescent="0.25">
      <c r="A2436" t="s">
        <v>11399</v>
      </c>
      <c r="B2436">
        <v>48</v>
      </c>
      <c r="C2436" s="4">
        <v>1024.0999999999999</v>
      </c>
      <c r="D2436">
        <v>5</v>
      </c>
    </row>
    <row r="2437" spans="1:4" x14ac:dyDescent="0.25">
      <c r="A2437" t="s">
        <v>11400</v>
      </c>
      <c r="B2437">
        <v>11</v>
      </c>
      <c r="C2437" s="4">
        <v>306.45</v>
      </c>
      <c r="D2437">
        <v>1</v>
      </c>
    </row>
    <row r="2438" spans="1:4" x14ac:dyDescent="0.25">
      <c r="A2438" t="s">
        <v>11401</v>
      </c>
      <c r="B2438">
        <v>90</v>
      </c>
      <c r="C2438" s="4">
        <v>1600.86</v>
      </c>
      <c r="D2438">
        <v>9</v>
      </c>
    </row>
    <row r="2439" spans="1:4" x14ac:dyDescent="0.25">
      <c r="A2439" t="s">
        <v>11402</v>
      </c>
      <c r="B2439">
        <v>5</v>
      </c>
      <c r="C2439" s="4">
        <v>309.8</v>
      </c>
      <c r="D2439">
        <v>2</v>
      </c>
    </row>
    <row r="2440" spans="1:4" x14ac:dyDescent="0.25">
      <c r="A2440" t="s">
        <v>11403</v>
      </c>
      <c r="B2440">
        <v>9</v>
      </c>
      <c r="C2440" s="4">
        <v>138.13999999999999</v>
      </c>
      <c r="D2440">
        <v>1</v>
      </c>
    </row>
    <row r="2441" spans="1:4" x14ac:dyDescent="0.25">
      <c r="A2441" t="s">
        <v>11404</v>
      </c>
      <c r="B2441">
        <v>17</v>
      </c>
      <c r="C2441" s="4">
        <v>386.43</v>
      </c>
      <c r="D2441">
        <v>1</v>
      </c>
    </row>
    <row r="2442" spans="1:4" x14ac:dyDescent="0.25">
      <c r="A2442" t="s">
        <v>11405</v>
      </c>
      <c r="B2442">
        <v>116</v>
      </c>
      <c r="C2442" s="4">
        <v>2242.0100000000002</v>
      </c>
      <c r="D2442">
        <v>2</v>
      </c>
    </row>
    <row r="2443" spans="1:4" x14ac:dyDescent="0.25">
      <c r="A2443" t="s">
        <v>11406</v>
      </c>
      <c r="B2443">
        <v>13</v>
      </c>
      <c r="C2443" s="4">
        <v>301.32</v>
      </c>
      <c r="D2443">
        <v>1</v>
      </c>
    </row>
    <row r="2444" spans="1:4" x14ac:dyDescent="0.25">
      <c r="A2444" t="s">
        <v>11407</v>
      </c>
      <c r="B2444">
        <v>1</v>
      </c>
      <c r="C2444" s="4">
        <v>76.319999999999993</v>
      </c>
      <c r="D2444">
        <v>1</v>
      </c>
    </row>
    <row r="2445" spans="1:4" x14ac:dyDescent="0.25">
      <c r="A2445" t="s">
        <v>11408</v>
      </c>
      <c r="B2445">
        <v>33</v>
      </c>
      <c r="C2445" s="4">
        <v>684.34</v>
      </c>
      <c r="D2445">
        <v>4</v>
      </c>
    </row>
    <row r="2446" spans="1:4" x14ac:dyDescent="0.25">
      <c r="A2446" t="s">
        <v>11409</v>
      </c>
      <c r="B2446">
        <v>12</v>
      </c>
      <c r="C2446" s="4">
        <v>173.05</v>
      </c>
      <c r="D2446">
        <v>1</v>
      </c>
    </row>
    <row r="2447" spans="1:4" x14ac:dyDescent="0.25">
      <c r="A2447" t="s">
        <v>11410</v>
      </c>
      <c r="B2447">
        <v>78</v>
      </c>
      <c r="C2447" s="4">
        <v>2657.13</v>
      </c>
      <c r="D2447">
        <v>7</v>
      </c>
    </row>
    <row r="2448" spans="1:4" x14ac:dyDescent="0.25">
      <c r="A2448" t="s">
        <v>11411</v>
      </c>
      <c r="B2448">
        <v>155</v>
      </c>
      <c r="C2448" s="4">
        <v>2881.02</v>
      </c>
      <c r="D2448">
        <v>4</v>
      </c>
    </row>
    <row r="2449" spans="1:4" x14ac:dyDescent="0.25">
      <c r="A2449" t="s">
        <v>11412</v>
      </c>
      <c r="B2449">
        <v>113</v>
      </c>
      <c r="C2449" s="4">
        <v>2111.89</v>
      </c>
      <c r="D2449">
        <v>4</v>
      </c>
    </row>
    <row r="2450" spans="1:4" x14ac:dyDescent="0.25">
      <c r="A2450" t="s">
        <v>11413</v>
      </c>
      <c r="B2450">
        <v>21</v>
      </c>
      <c r="C2450" s="4">
        <v>323.69</v>
      </c>
      <c r="D2450">
        <v>3</v>
      </c>
    </row>
    <row r="2451" spans="1:4" x14ac:dyDescent="0.25">
      <c r="A2451" t="s">
        <v>11414</v>
      </c>
      <c r="B2451">
        <v>202</v>
      </c>
      <c r="C2451" s="4">
        <v>3435.76</v>
      </c>
      <c r="D2451">
        <v>3</v>
      </c>
    </row>
    <row r="2452" spans="1:4" x14ac:dyDescent="0.25">
      <c r="A2452" t="s">
        <v>11415</v>
      </c>
      <c r="B2452">
        <v>33</v>
      </c>
      <c r="C2452" s="4">
        <v>657.23</v>
      </c>
      <c r="D2452">
        <v>1</v>
      </c>
    </row>
    <row r="2453" spans="1:4" x14ac:dyDescent="0.25">
      <c r="A2453" t="s">
        <v>11416</v>
      </c>
      <c r="B2453">
        <v>12</v>
      </c>
      <c r="C2453" s="4">
        <v>352.7</v>
      </c>
      <c r="D2453">
        <v>1</v>
      </c>
    </row>
    <row r="2454" spans="1:4" x14ac:dyDescent="0.25">
      <c r="A2454" t="s">
        <v>11417</v>
      </c>
      <c r="B2454">
        <v>110</v>
      </c>
      <c r="C2454" s="4">
        <v>781.28</v>
      </c>
      <c r="D2454">
        <v>4</v>
      </c>
    </row>
    <row r="2455" spans="1:4" x14ac:dyDescent="0.25">
      <c r="A2455" t="s">
        <v>11418</v>
      </c>
      <c r="B2455">
        <v>78</v>
      </c>
      <c r="C2455" s="4">
        <v>1333.68</v>
      </c>
      <c r="D2455">
        <v>3</v>
      </c>
    </row>
    <row r="2456" spans="1:4" x14ac:dyDescent="0.25">
      <c r="A2456" t="s">
        <v>11419</v>
      </c>
      <c r="B2456">
        <v>53</v>
      </c>
      <c r="C2456" s="4">
        <v>1426.16</v>
      </c>
      <c r="D2456">
        <v>5</v>
      </c>
    </row>
    <row r="2457" spans="1:4" x14ac:dyDescent="0.25">
      <c r="A2457" t="s">
        <v>11420</v>
      </c>
      <c r="B2457">
        <v>10</v>
      </c>
      <c r="C2457" s="4">
        <v>193.75</v>
      </c>
      <c r="D2457">
        <v>1</v>
      </c>
    </row>
    <row r="2458" spans="1:4" x14ac:dyDescent="0.25">
      <c r="A2458" t="s">
        <v>11421</v>
      </c>
      <c r="B2458">
        <v>166</v>
      </c>
      <c r="C2458" s="4">
        <v>2993.1</v>
      </c>
      <c r="D2458">
        <v>9</v>
      </c>
    </row>
    <row r="2459" spans="1:4" x14ac:dyDescent="0.25">
      <c r="A2459" t="s">
        <v>11422</v>
      </c>
      <c r="B2459">
        <v>9</v>
      </c>
      <c r="C2459" s="4">
        <v>254.1</v>
      </c>
      <c r="D2459">
        <v>2</v>
      </c>
    </row>
    <row r="2460" spans="1:4" x14ac:dyDescent="0.25">
      <c r="A2460" t="s">
        <v>11423</v>
      </c>
      <c r="B2460">
        <v>19</v>
      </c>
      <c r="C2460" s="4">
        <v>239.76</v>
      </c>
      <c r="D2460">
        <v>2</v>
      </c>
    </row>
    <row r="2461" spans="1:4" x14ac:dyDescent="0.25">
      <c r="A2461" t="s">
        <v>11424</v>
      </c>
      <c r="B2461">
        <v>2</v>
      </c>
      <c r="C2461" s="4">
        <v>136.80000000000001</v>
      </c>
      <c r="D2461">
        <v>1</v>
      </c>
    </row>
    <row r="2462" spans="1:4" x14ac:dyDescent="0.25">
      <c r="A2462" t="s">
        <v>11425</v>
      </c>
      <c r="B2462">
        <v>12</v>
      </c>
      <c r="C2462" s="4">
        <v>191.04</v>
      </c>
      <c r="D2462">
        <v>1</v>
      </c>
    </row>
    <row r="2463" spans="1:4" x14ac:dyDescent="0.25">
      <c r="A2463" t="s">
        <v>11426</v>
      </c>
      <c r="B2463">
        <v>77</v>
      </c>
      <c r="C2463" s="4">
        <v>6464.4</v>
      </c>
      <c r="D2463">
        <v>13</v>
      </c>
    </row>
    <row r="2464" spans="1:4" x14ac:dyDescent="0.25">
      <c r="A2464" t="s">
        <v>11427</v>
      </c>
      <c r="B2464">
        <v>22</v>
      </c>
      <c r="C2464" s="4">
        <v>409.98</v>
      </c>
      <c r="D2464">
        <v>2</v>
      </c>
    </row>
    <row r="2465" spans="1:4" x14ac:dyDescent="0.25">
      <c r="A2465" t="s">
        <v>11428</v>
      </c>
      <c r="B2465">
        <v>171</v>
      </c>
      <c r="C2465" s="4">
        <v>2736.46</v>
      </c>
      <c r="D2465">
        <v>8</v>
      </c>
    </row>
    <row r="2466" spans="1:4" x14ac:dyDescent="0.25">
      <c r="A2466" t="s">
        <v>11429</v>
      </c>
      <c r="B2466">
        <v>18</v>
      </c>
      <c r="C2466" s="4">
        <v>309.64999999999998</v>
      </c>
      <c r="D2466">
        <v>1</v>
      </c>
    </row>
    <row r="2467" spans="1:4" x14ac:dyDescent="0.25">
      <c r="A2467" t="s">
        <v>11430</v>
      </c>
      <c r="B2467">
        <v>86</v>
      </c>
      <c r="C2467" s="4">
        <v>696.68</v>
      </c>
      <c r="D2467">
        <v>2</v>
      </c>
    </row>
    <row r="2468" spans="1:4" x14ac:dyDescent="0.25">
      <c r="A2468" t="s">
        <v>11431</v>
      </c>
      <c r="B2468">
        <v>237</v>
      </c>
      <c r="C2468" s="4">
        <v>1542.14</v>
      </c>
      <c r="D2468">
        <v>4</v>
      </c>
    </row>
    <row r="2469" spans="1:4" x14ac:dyDescent="0.25">
      <c r="A2469" t="s">
        <v>11432</v>
      </c>
      <c r="B2469">
        <v>5</v>
      </c>
      <c r="C2469" s="4">
        <v>211.5</v>
      </c>
      <c r="D2469">
        <v>1</v>
      </c>
    </row>
    <row r="2470" spans="1:4" x14ac:dyDescent="0.25">
      <c r="A2470" t="s">
        <v>11433</v>
      </c>
      <c r="B2470">
        <v>117</v>
      </c>
      <c r="C2470" s="4">
        <v>2293.62</v>
      </c>
      <c r="D2470">
        <v>4</v>
      </c>
    </row>
    <row r="2471" spans="1:4" x14ac:dyDescent="0.25">
      <c r="A2471" t="s">
        <v>11434</v>
      </c>
      <c r="B2471">
        <v>6</v>
      </c>
      <c r="C2471" s="4">
        <v>143.1</v>
      </c>
      <c r="D2471">
        <v>1</v>
      </c>
    </row>
    <row r="2472" spans="1:4" x14ac:dyDescent="0.25">
      <c r="A2472" t="s">
        <v>11435</v>
      </c>
      <c r="B2472">
        <v>55</v>
      </c>
      <c r="C2472" s="4">
        <v>1060.56</v>
      </c>
      <c r="D2472">
        <v>4</v>
      </c>
    </row>
    <row r="2473" spans="1:4" x14ac:dyDescent="0.25">
      <c r="A2473" t="s">
        <v>11436</v>
      </c>
      <c r="B2473">
        <v>214</v>
      </c>
      <c r="C2473" s="4">
        <v>945.58</v>
      </c>
      <c r="D2473">
        <v>4</v>
      </c>
    </row>
    <row r="2474" spans="1:4" x14ac:dyDescent="0.25">
      <c r="A2474" t="s">
        <v>11437</v>
      </c>
      <c r="B2474">
        <v>288</v>
      </c>
      <c r="C2474" s="4">
        <v>3364.24</v>
      </c>
      <c r="D2474">
        <v>7</v>
      </c>
    </row>
    <row r="2475" spans="1:4" x14ac:dyDescent="0.25">
      <c r="A2475" t="s">
        <v>11438</v>
      </c>
      <c r="B2475">
        <v>6</v>
      </c>
      <c r="C2475" s="4">
        <v>133.25</v>
      </c>
      <c r="D2475">
        <v>1</v>
      </c>
    </row>
    <row r="2476" spans="1:4" x14ac:dyDescent="0.25">
      <c r="A2476" t="s">
        <v>11439</v>
      </c>
      <c r="B2476">
        <v>53</v>
      </c>
      <c r="C2476" s="4">
        <v>1072.3599999999999</v>
      </c>
      <c r="D2476">
        <v>5</v>
      </c>
    </row>
    <row r="2477" spans="1:4" x14ac:dyDescent="0.25">
      <c r="A2477" t="s">
        <v>11440</v>
      </c>
      <c r="B2477">
        <v>19</v>
      </c>
      <c r="C2477" s="4">
        <v>356.7</v>
      </c>
      <c r="D2477">
        <v>2</v>
      </c>
    </row>
    <row r="2478" spans="1:4" x14ac:dyDescent="0.25">
      <c r="A2478" t="s">
        <v>11441</v>
      </c>
      <c r="B2478">
        <v>35</v>
      </c>
      <c r="C2478" s="4">
        <v>330.88</v>
      </c>
      <c r="D2478">
        <v>2</v>
      </c>
    </row>
    <row r="2479" spans="1:4" x14ac:dyDescent="0.25">
      <c r="A2479" t="s">
        <v>11442</v>
      </c>
      <c r="B2479">
        <v>118</v>
      </c>
      <c r="C2479" s="4">
        <v>1118.81</v>
      </c>
      <c r="D2479">
        <v>4</v>
      </c>
    </row>
    <row r="2480" spans="1:4" x14ac:dyDescent="0.25">
      <c r="A2480" t="s">
        <v>11443</v>
      </c>
      <c r="B2480">
        <v>7</v>
      </c>
      <c r="C2480" s="4">
        <v>150.30000000000001</v>
      </c>
      <c r="D2480">
        <v>1</v>
      </c>
    </row>
    <row r="2481" spans="1:4" x14ac:dyDescent="0.25">
      <c r="A2481" t="s">
        <v>11444</v>
      </c>
      <c r="B2481">
        <v>936</v>
      </c>
      <c r="C2481" s="4">
        <v>5043.96</v>
      </c>
      <c r="D2481">
        <v>13</v>
      </c>
    </row>
    <row r="2482" spans="1:4" x14ac:dyDescent="0.25">
      <c r="A2482" t="s">
        <v>11445</v>
      </c>
      <c r="B2482">
        <v>128</v>
      </c>
      <c r="C2482" s="4">
        <v>598.73</v>
      </c>
      <c r="D2482">
        <v>1</v>
      </c>
    </row>
    <row r="2483" spans="1:4" x14ac:dyDescent="0.25">
      <c r="A2483" t="s">
        <v>11446</v>
      </c>
      <c r="B2483">
        <v>91</v>
      </c>
      <c r="C2483" s="4">
        <v>507.08</v>
      </c>
      <c r="D2483">
        <v>1</v>
      </c>
    </row>
    <row r="2484" spans="1:4" x14ac:dyDescent="0.25">
      <c r="A2484" t="s">
        <v>11447</v>
      </c>
      <c r="B2484">
        <v>69</v>
      </c>
      <c r="C2484" s="4">
        <v>2222.56</v>
      </c>
      <c r="D2484">
        <v>5</v>
      </c>
    </row>
    <row r="2485" spans="1:4" x14ac:dyDescent="0.25">
      <c r="A2485" t="s">
        <v>11448</v>
      </c>
      <c r="B2485">
        <v>41</v>
      </c>
      <c r="C2485" s="4">
        <v>203.1</v>
      </c>
      <c r="D2485">
        <v>1</v>
      </c>
    </row>
    <row r="2486" spans="1:4" x14ac:dyDescent="0.25">
      <c r="A2486" t="s">
        <v>11449</v>
      </c>
      <c r="B2486">
        <v>11</v>
      </c>
      <c r="C2486" s="4">
        <v>218.25</v>
      </c>
      <c r="D2486">
        <v>2</v>
      </c>
    </row>
    <row r="2487" spans="1:4" x14ac:dyDescent="0.25">
      <c r="A2487" t="s">
        <v>11450</v>
      </c>
      <c r="B2487">
        <v>32</v>
      </c>
      <c r="C2487" s="4">
        <v>415.25</v>
      </c>
      <c r="D2487">
        <v>1</v>
      </c>
    </row>
    <row r="2488" spans="1:4" x14ac:dyDescent="0.25">
      <c r="A2488" t="s">
        <v>11451</v>
      </c>
      <c r="B2488">
        <v>302</v>
      </c>
      <c r="C2488" s="4">
        <v>5178.96</v>
      </c>
      <c r="D2488">
        <v>7</v>
      </c>
    </row>
    <row r="2489" spans="1:4" x14ac:dyDescent="0.25">
      <c r="A2489" t="s">
        <v>11452</v>
      </c>
      <c r="B2489">
        <v>5</v>
      </c>
      <c r="C2489" s="4">
        <v>85</v>
      </c>
      <c r="D2489">
        <v>1</v>
      </c>
    </row>
    <row r="2490" spans="1:4" x14ac:dyDescent="0.25">
      <c r="A2490" t="s">
        <v>11453</v>
      </c>
      <c r="B2490">
        <v>70</v>
      </c>
      <c r="C2490" s="4">
        <v>1120.8800000000001</v>
      </c>
      <c r="D2490">
        <v>3</v>
      </c>
    </row>
    <row r="2491" spans="1:4" x14ac:dyDescent="0.25">
      <c r="A2491" t="s">
        <v>11454</v>
      </c>
      <c r="B2491">
        <v>14</v>
      </c>
      <c r="C2491" s="4">
        <v>294.12</v>
      </c>
      <c r="D2491">
        <v>2</v>
      </c>
    </row>
    <row r="2492" spans="1:4" x14ac:dyDescent="0.25">
      <c r="A2492" t="s">
        <v>11455</v>
      </c>
      <c r="B2492">
        <v>10</v>
      </c>
      <c r="C2492" s="4">
        <v>162.30000000000001</v>
      </c>
      <c r="D2492">
        <v>1</v>
      </c>
    </row>
    <row r="2493" spans="1:4" x14ac:dyDescent="0.25">
      <c r="A2493" t="s">
        <v>11456</v>
      </c>
      <c r="B2493">
        <v>26</v>
      </c>
      <c r="C2493" s="4">
        <v>1339.45</v>
      </c>
      <c r="D2493">
        <v>2</v>
      </c>
    </row>
    <row r="2494" spans="1:4" x14ac:dyDescent="0.25">
      <c r="A2494" t="s">
        <v>11457</v>
      </c>
      <c r="B2494">
        <v>72</v>
      </c>
      <c r="C2494" s="4">
        <v>1205.1199999999999</v>
      </c>
      <c r="D2494">
        <v>8</v>
      </c>
    </row>
    <row r="2495" spans="1:4" x14ac:dyDescent="0.25">
      <c r="A2495" t="s">
        <v>11458</v>
      </c>
      <c r="B2495">
        <v>173</v>
      </c>
      <c r="C2495" s="4">
        <v>4812.42</v>
      </c>
      <c r="D2495">
        <v>16</v>
      </c>
    </row>
    <row r="2496" spans="1:4" x14ac:dyDescent="0.25">
      <c r="A2496" t="s">
        <v>11459</v>
      </c>
      <c r="B2496">
        <v>8</v>
      </c>
      <c r="C2496" s="4">
        <v>449.12</v>
      </c>
      <c r="D2496">
        <v>1</v>
      </c>
    </row>
    <row r="2497" spans="1:4" x14ac:dyDescent="0.25">
      <c r="A2497" t="s">
        <v>11460</v>
      </c>
      <c r="B2497">
        <v>9</v>
      </c>
      <c r="C2497" s="4">
        <v>154.88</v>
      </c>
      <c r="D2497">
        <v>1</v>
      </c>
    </row>
    <row r="2498" spans="1:4" x14ac:dyDescent="0.25">
      <c r="A2498" t="s">
        <v>11461</v>
      </c>
      <c r="B2498">
        <v>88</v>
      </c>
      <c r="C2498" s="4">
        <v>784.46</v>
      </c>
      <c r="D2498">
        <v>4</v>
      </c>
    </row>
    <row r="2499" spans="1:4" x14ac:dyDescent="0.25">
      <c r="A2499" t="s">
        <v>11462</v>
      </c>
      <c r="B2499">
        <v>3</v>
      </c>
      <c r="C2499" s="4">
        <v>34.799999999999997</v>
      </c>
      <c r="D2499">
        <v>1</v>
      </c>
    </row>
    <row r="2500" spans="1:4" x14ac:dyDescent="0.25">
      <c r="A2500" t="s">
        <v>11463</v>
      </c>
      <c r="B2500">
        <v>62</v>
      </c>
      <c r="C2500" s="4">
        <v>1094.5899999999999</v>
      </c>
      <c r="D2500">
        <v>4</v>
      </c>
    </row>
    <row r="2501" spans="1:4" x14ac:dyDescent="0.25">
      <c r="A2501" t="s">
        <v>11464</v>
      </c>
      <c r="B2501">
        <v>28</v>
      </c>
      <c r="C2501" s="4">
        <v>196.88</v>
      </c>
      <c r="D2501">
        <v>1</v>
      </c>
    </row>
    <row r="2502" spans="1:4" x14ac:dyDescent="0.25">
      <c r="A2502" t="s">
        <v>11465</v>
      </c>
      <c r="B2502">
        <v>93</v>
      </c>
      <c r="C2502" s="4">
        <v>974.04</v>
      </c>
      <c r="D2502">
        <v>3</v>
      </c>
    </row>
    <row r="2503" spans="1:4" x14ac:dyDescent="0.25">
      <c r="A2503" t="s">
        <v>11466</v>
      </c>
      <c r="B2503">
        <v>21</v>
      </c>
      <c r="C2503" s="4">
        <v>149.31</v>
      </c>
      <c r="D2503">
        <v>1</v>
      </c>
    </row>
    <row r="2504" spans="1:4" x14ac:dyDescent="0.25">
      <c r="A2504" t="s">
        <v>11467</v>
      </c>
      <c r="B2504">
        <v>10</v>
      </c>
      <c r="C2504" s="4">
        <v>44534.3</v>
      </c>
      <c r="D2504">
        <v>3</v>
      </c>
    </row>
    <row r="2505" spans="1:4" x14ac:dyDescent="0.25">
      <c r="A2505" t="s">
        <v>11468</v>
      </c>
      <c r="B2505">
        <v>293</v>
      </c>
      <c r="C2505" s="4">
        <v>2465.48</v>
      </c>
      <c r="D2505">
        <v>8</v>
      </c>
    </row>
    <row r="2506" spans="1:4" x14ac:dyDescent="0.25">
      <c r="A2506" t="s">
        <v>11469</v>
      </c>
      <c r="B2506">
        <v>411</v>
      </c>
      <c r="C2506" s="4">
        <v>2637.38</v>
      </c>
      <c r="D2506">
        <v>7</v>
      </c>
    </row>
    <row r="2507" spans="1:4" x14ac:dyDescent="0.25">
      <c r="A2507" t="s">
        <v>11470</v>
      </c>
      <c r="B2507">
        <v>1</v>
      </c>
      <c r="C2507" s="4">
        <v>79.2</v>
      </c>
      <c r="D2507">
        <v>1</v>
      </c>
    </row>
    <row r="2508" spans="1:4" x14ac:dyDescent="0.25">
      <c r="A2508" t="s">
        <v>11471</v>
      </c>
      <c r="B2508">
        <v>28</v>
      </c>
      <c r="C2508" s="4">
        <v>458.57</v>
      </c>
      <c r="D2508">
        <v>3</v>
      </c>
    </row>
    <row r="2509" spans="1:4" x14ac:dyDescent="0.25">
      <c r="A2509" t="s">
        <v>11472</v>
      </c>
      <c r="B2509">
        <v>141</v>
      </c>
      <c r="C2509" s="4">
        <v>2364.25</v>
      </c>
      <c r="D2509">
        <v>6</v>
      </c>
    </row>
    <row r="2510" spans="1:4" x14ac:dyDescent="0.25">
      <c r="A2510" t="s">
        <v>11473</v>
      </c>
      <c r="B2510">
        <v>192</v>
      </c>
      <c r="C2510" s="4">
        <v>532.96</v>
      </c>
      <c r="D2510">
        <v>4</v>
      </c>
    </row>
    <row r="2511" spans="1:4" x14ac:dyDescent="0.25">
      <c r="A2511" t="s">
        <v>11474</v>
      </c>
      <c r="B2511">
        <v>45</v>
      </c>
      <c r="C2511" s="4">
        <v>714.42</v>
      </c>
      <c r="D2511">
        <v>2</v>
      </c>
    </row>
    <row r="2512" spans="1:4" x14ac:dyDescent="0.25">
      <c r="A2512" t="s">
        <v>11475</v>
      </c>
      <c r="B2512">
        <v>9</v>
      </c>
      <c r="C2512" s="4">
        <v>205.25</v>
      </c>
      <c r="D2512">
        <v>1</v>
      </c>
    </row>
    <row r="2513" spans="1:4" x14ac:dyDescent="0.25">
      <c r="A2513" t="s">
        <v>11476</v>
      </c>
      <c r="B2513">
        <v>7</v>
      </c>
      <c r="C2513" s="4">
        <v>253.04</v>
      </c>
      <c r="D2513">
        <v>3</v>
      </c>
    </row>
    <row r="2514" spans="1:4" x14ac:dyDescent="0.25">
      <c r="A2514" t="s">
        <v>11477</v>
      </c>
      <c r="B2514">
        <v>37</v>
      </c>
      <c r="C2514" s="4">
        <v>583.75</v>
      </c>
      <c r="D2514">
        <v>2</v>
      </c>
    </row>
    <row r="2515" spans="1:4" x14ac:dyDescent="0.25">
      <c r="A2515" t="s">
        <v>11478</v>
      </c>
      <c r="B2515">
        <v>61</v>
      </c>
      <c r="C2515" s="4">
        <v>1086.92</v>
      </c>
      <c r="D2515">
        <v>2</v>
      </c>
    </row>
    <row r="2516" spans="1:4" x14ac:dyDescent="0.25">
      <c r="A2516" t="s">
        <v>11479</v>
      </c>
      <c r="B2516">
        <v>180</v>
      </c>
      <c r="C2516" s="4">
        <v>3279.97</v>
      </c>
      <c r="D2516">
        <v>6</v>
      </c>
    </row>
    <row r="2517" spans="1:4" x14ac:dyDescent="0.25">
      <c r="A2517" t="s">
        <v>11480</v>
      </c>
      <c r="B2517">
        <v>11</v>
      </c>
      <c r="C2517" s="4">
        <v>315.06</v>
      </c>
      <c r="D2517">
        <v>1</v>
      </c>
    </row>
    <row r="2518" spans="1:4" x14ac:dyDescent="0.25">
      <c r="A2518" t="s">
        <v>11481</v>
      </c>
      <c r="B2518">
        <v>27</v>
      </c>
      <c r="C2518" s="4">
        <v>621.83000000000004</v>
      </c>
      <c r="D2518">
        <v>3</v>
      </c>
    </row>
    <row r="2519" spans="1:4" x14ac:dyDescent="0.25">
      <c r="A2519" t="s">
        <v>11482</v>
      </c>
      <c r="B2519">
        <v>130</v>
      </c>
      <c r="C2519" s="4">
        <v>56252.72</v>
      </c>
      <c r="D2519">
        <v>26</v>
      </c>
    </row>
    <row r="2520" spans="1:4" x14ac:dyDescent="0.25">
      <c r="A2520" t="s">
        <v>11483</v>
      </c>
      <c r="B2520">
        <v>10</v>
      </c>
      <c r="C2520" s="4">
        <v>635.67999999999995</v>
      </c>
      <c r="D2520">
        <v>1</v>
      </c>
    </row>
    <row r="2521" spans="1:4" x14ac:dyDescent="0.25">
      <c r="A2521" t="s">
        <v>11484</v>
      </c>
      <c r="B2521">
        <v>25</v>
      </c>
      <c r="C2521" s="4">
        <v>270.8</v>
      </c>
      <c r="D2521">
        <v>1</v>
      </c>
    </row>
    <row r="2522" spans="1:4" x14ac:dyDescent="0.25">
      <c r="A2522" t="s">
        <v>11485</v>
      </c>
      <c r="B2522">
        <v>7</v>
      </c>
      <c r="C2522" s="4">
        <v>104.9</v>
      </c>
      <c r="D2522">
        <v>1</v>
      </c>
    </row>
    <row r="2523" spans="1:4" x14ac:dyDescent="0.25">
      <c r="A2523" t="s">
        <v>11486</v>
      </c>
      <c r="B2523">
        <v>18</v>
      </c>
      <c r="C2523" s="4">
        <v>241.62</v>
      </c>
      <c r="D2523">
        <v>1</v>
      </c>
    </row>
    <row r="2524" spans="1:4" x14ac:dyDescent="0.25">
      <c r="A2524" t="s">
        <v>11487</v>
      </c>
      <c r="B2524">
        <v>21</v>
      </c>
      <c r="C2524" s="4">
        <v>1047.1099999999999</v>
      </c>
      <c r="D2524">
        <v>4</v>
      </c>
    </row>
    <row r="2525" spans="1:4" x14ac:dyDescent="0.25">
      <c r="A2525" t="s">
        <v>11488</v>
      </c>
      <c r="B2525">
        <v>29</v>
      </c>
      <c r="C2525" s="4">
        <v>475.28</v>
      </c>
      <c r="D2525">
        <v>3</v>
      </c>
    </row>
    <row r="2526" spans="1:4" x14ac:dyDescent="0.25">
      <c r="A2526" t="s">
        <v>11489</v>
      </c>
      <c r="B2526">
        <v>20</v>
      </c>
      <c r="C2526" s="4">
        <v>345.46</v>
      </c>
      <c r="D2526">
        <v>3</v>
      </c>
    </row>
    <row r="2527" spans="1:4" x14ac:dyDescent="0.25">
      <c r="A2527" t="s">
        <v>11490</v>
      </c>
      <c r="B2527">
        <v>43</v>
      </c>
      <c r="C2527" s="4">
        <v>2614.7399999999998</v>
      </c>
      <c r="D2527">
        <v>3</v>
      </c>
    </row>
    <row r="2528" spans="1:4" x14ac:dyDescent="0.25">
      <c r="A2528" t="s">
        <v>11491</v>
      </c>
      <c r="B2528">
        <v>14</v>
      </c>
      <c r="C2528" s="4">
        <v>246.3</v>
      </c>
      <c r="D2528">
        <v>1</v>
      </c>
    </row>
    <row r="2529" spans="1:4" x14ac:dyDescent="0.25">
      <c r="A2529" t="s">
        <v>11492</v>
      </c>
      <c r="B2529">
        <v>83</v>
      </c>
      <c r="C2529" s="4">
        <v>2328.9699999999998</v>
      </c>
      <c r="D2529">
        <v>5</v>
      </c>
    </row>
    <row r="2530" spans="1:4" x14ac:dyDescent="0.25">
      <c r="A2530" t="s">
        <v>11493</v>
      </c>
      <c r="B2530">
        <v>267</v>
      </c>
      <c r="C2530" s="4">
        <v>4932.2</v>
      </c>
      <c r="D2530">
        <v>3</v>
      </c>
    </row>
    <row r="2531" spans="1:4" x14ac:dyDescent="0.25">
      <c r="A2531" t="s">
        <v>11494</v>
      </c>
      <c r="B2531">
        <v>206</v>
      </c>
      <c r="C2531" s="4">
        <v>948.05</v>
      </c>
      <c r="D2531">
        <v>3</v>
      </c>
    </row>
    <row r="2532" spans="1:4" x14ac:dyDescent="0.25">
      <c r="A2532" t="s">
        <v>11495</v>
      </c>
      <c r="B2532">
        <v>25</v>
      </c>
      <c r="C2532" s="4">
        <v>351.3</v>
      </c>
      <c r="D2532">
        <v>1</v>
      </c>
    </row>
    <row r="2533" spans="1:4" x14ac:dyDescent="0.25">
      <c r="A2533" t="s">
        <v>11496</v>
      </c>
      <c r="B2533">
        <v>35</v>
      </c>
      <c r="C2533" s="4">
        <v>220.85</v>
      </c>
      <c r="D2533">
        <v>1</v>
      </c>
    </row>
    <row r="2534" spans="1:4" x14ac:dyDescent="0.25">
      <c r="A2534" t="s">
        <v>11497</v>
      </c>
      <c r="B2534">
        <v>75</v>
      </c>
      <c r="C2534" s="4">
        <v>1612.69</v>
      </c>
      <c r="D2534">
        <v>2</v>
      </c>
    </row>
    <row r="2535" spans="1:4" x14ac:dyDescent="0.25">
      <c r="A2535" t="s">
        <v>11498</v>
      </c>
      <c r="B2535">
        <v>12</v>
      </c>
      <c r="C2535" s="4">
        <v>965.61</v>
      </c>
      <c r="D2535">
        <v>3</v>
      </c>
    </row>
    <row r="2536" spans="1:4" x14ac:dyDescent="0.25">
      <c r="A2536" t="s">
        <v>11499</v>
      </c>
      <c r="B2536">
        <v>42</v>
      </c>
      <c r="C2536" s="4">
        <v>610.01</v>
      </c>
      <c r="D2536">
        <v>1</v>
      </c>
    </row>
    <row r="2537" spans="1:4" x14ac:dyDescent="0.25">
      <c r="A2537" t="s">
        <v>11500</v>
      </c>
      <c r="B2537">
        <v>132</v>
      </c>
      <c r="C2537" s="4">
        <v>2710.56</v>
      </c>
      <c r="D2537">
        <v>8</v>
      </c>
    </row>
    <row r="2538" spans="1:4" x14ac:dyDescent="0.25">
      <c r="A2538" t="s">
        <v>11501</v>
      </c>
      <c r="B2538">
        <v>7</v>
      </c>
      <c r="C2538" s="4">
        <v>2192.4</v>
      </c>
      <c r="D2538">
        <v>3</v>
      </c>
    </row>
    <row r="2539" spans="1:4" x14ac:dyDescent="0.25">
      <c r="A2539" t="s">
        <v>11502</v>
      </c>
      <c r="B2539">
        <v>98</v>
      </c>
      <c r="C2539" s="4">
        <v>884.14</v>
      </c>
      <c r="D2539">
        <v>3</v>
      </c>
    </row>
    <row r="2540" spans="1:4" x14ac:dyDescent="0.25">
      <c r="A2540" t="s">
        <v>11503</v>
      </c>
      <c r="B2540">
        <v>119</v>
      </c>
      <c r="C2540" s="4">
        <v>699.08</v>
      </c>
      <c r="D2540">
        <v>2</v>
      </c>
    </row>
    <row r="2541" spans="1:4" x14ac:dyDescent="0.25">
      <c r="A2541" t="s">
        <v>11504</v>
      </c>
      <c r="B2541">
        <v>64</v>
      </c>
      <c r="C2541" s="4">
        <v>1063.95</v>
      </c>
      <c r="D2541">
        <v>3</v>
      </c>
    </row>
    <row r="2542" spans="1:4" x14ac:dyDescent="0.25">
      <c r="A2542" t="s">
        <v>11505</v>
      </c>
      <c r="B2542">
        <v>8</v>
      </c>
      <c r="C2542" s="4">
        <v>415.82</v>
      </c>
      <c r="D2542">
        <v>1</v>
      </c>
    </row>
    <row r="2543" spans="1:4" x14ac:dyDescent="0.25">
      <c r="A2543" t="s">
        <v>11506</v>
      </c>
      <c r="B2543">
        <v>262</v>
      </c>
      <c r="C2543" s="4">
        <v>4206.3900000000003</v>
      </c>
      <c r="D2543">
        <v>13</v>
      </c>
    </row>
    <row r="2544" spans="1:4" x14ac:dyDescent="0.25">
      <c r="A2544" t="s">
        <v>11507</v>
      </c>
      <c r="B2544">
        <v>301</v>
      </c>
      <c r="C2544" s="4">
        <v>5528.48</v>
      </c>
      <c r="D2544">
        <v>17</v>
      </c>
    </row>
    <row r="2545" spans="1:4" x14ac:dyDescent="0.25">
      <c r="A2545" t="s">
        <v>11508</v>
      </c>
      <c r="B2545">
        <v>31</v>
      </c>
      <c r="C2545" s="4">
        <v>784.58</v>
      </c>
      <c r="D2545">
        <v>3</v>
      </c>
    </row>
    <row r="2546" spans="1:4" x14ac:dyDescent="0.25">
      <c r="A2546" t="s">
        <v>11509</v>
      </c>
      <c r="B2546">
        <v>48</v>
      </c>
      <c r="C2546" s="4">
        <v>903.9</v>
      </c>
      <c r="D2546">
        <v>3</v>
      </c>
    </row>
    <row r="2547" spans="1:4" x14ac:dyDescent="0.25">
      <c r="A2547" t="s">
        <v>11510</v>
      </c>
      <c r="B2547">
        <v>208</v>
      </c>
      <c r="C2547" s="4">
        <v>3734.97</v>
      </c>
      <c r="D2547">
        <v>4</v>
      </c>
    </row>
    <row r="2548" spans="1:4" x14ac:dyDescent="0.25">
      <c r="A2548" t="s">
        <v>11511</v>
      </c>
      <c r="B2548">
        <v>35</v>
      </c>
      <c r="C2548" s="4">
        <v>515.77</v>
      </c>
      <c r="D2548">
        <v>5</v>
      </c>
    </row>
    <row r="2549" spans="1:4" x14ac:dyDescent="0.25">
      <c r="A2549" t="s">
        <v>11512</v>
      </c>
      <c r="B2549">
        <v>89</v>
      </c>
      <c r="C2549" s="4">
        <v>1391.98</v>
      </c>
      <c r="D2549">
        <v>4</v>
      </c>
    </row>
    <row r="2550" spans="1:4" x14ac:dyDescent="0.25">
      <c r="A2550" t="s">
        <v>11513</v>
      </c>
      <c r="B2550">
        <v>133</v>
      </c>
      <c r="C2550" s="4">
        <v>2218.62</v>
      </c>
      <c r="D2550">
        <v>6</v>
      </c>
    </row>
    <row r="2551" spans="1:4" x14ac:dyDescent="0.25">
      <c r="A2551" t="s">
        <v>11514</v>
      </c>
      <c r="B2551">
        <v>41</v>
      </c>
      <c r="C2551" s="4">
        <v>1801.14</v>
      </c>
      <c r="D2551">
        <v>5</v>
      </c>
    </row>
    <row r="2552" spans="1:4" x14ac:dyDescent="0.25">
      <c r="A2552" t="s">
        <v>11515</v>
      </c>
      <c r="B2552">
        <v>40</v>
      </c>
      <c r="C2552" s="4">
        <v>1303.9100000000001</v>
      </c>
      <c r="D2552">
        <v>2</v>
      </c>
    </row>
    <row r="2553" spans="1:4" x14ac:dyDescent="0.25">
      <c r="A2553" t="s">
        <v>11516</v>
      </c>
      <c r="B2553">
        <v>72</v>
      </c>
      <c r="C2553" s="4">
        <v>1945.33</v>
      </c>
      <c r="D2553">
        <v>4</v>
      </c>
    </row>
    <row r="2554" spans="1:4" x14ac:dyDescent="0.25">
      <c r="A2554" t="s">
        <v>11517</v>
      </c>
      <c r="B2554">
        <v>49</v>
      </c>
      <c r="C2554" s="4">
        <v>2100.6</v>
      </c>
      <c r="D2554">
        <v>5</v>
      </c>
    </row>
    <row r="2555" spans="1:4" x14ac:dyDescent="0.25">
      <c r="A2555" t="s">
        <v>11518</v>
      </c>
      <c r="B2555">
        <v>123</v>
      </c>
      <c r="C2555" s="4">
        <v>1905.45</v>
      </c>
      <c r="D2555">
        <v>4</v>
      </c>
    </row>
    <row r="2556" spans="1:4" x14ac:dyDescent="0.25">
      <c r="A2556" t="s">
        <v>11519</v>
      </c>
      <c r="B2556">
        <v>17</v>
      </c>
      <c r="C2556" s="4">
        <v>206.98</v>
      </c>
      <c r="D2556">
        <v>1</v>
      </c>
    </row>
    <row r="2557" spans="1:4" x14ac:dyDescent="0.25">
      <c r="A2557" t="s">
        <v>11520</v>
      </c>
      <c r="B2557">
        <v>62</v>
      </c>
      <c r="C2557" s="4">
        <v>570.96</v>
      </c>
      <c r="D2557">
        <v>2</v>
      </c>
    </row>
    <row r="2558" spans="1:4" x14ac:dyDescent="0.25">
      <c r="A2558" t="s">
        <v>11521</v>
      </c>
      <c r="B2558">
        <v>33</v>
      </c>
      <c r="C2558" s="4">
        <v>885.47</v>
      </c>
      <c r="D2558">
        <v>2</v>
      </c>
    </row>
    <row r="2559" spans="1:4" x14ac:dyDescent="0.25">
      <c r="A2559" t="s">
        <v>11522</v>
      </c>
      <c r="B2559">
        <v>20</v>
      </c>
      <c r="C2559" s="4">
        <v>532.94000000000005</v>
      </c>
      <c r="D2559">
        <v>1</v>
      </c>
    </row>
    <row r="2560" spans="1:4" x14ac:dyDescent="0.25">
      <c r="A2560" t="s">
        <v>11523</v>
      </c>
      <c r="B2560">
        <v>68</v>
      </c>
      <c r="C2560" s="4">
        <v>1654.31</v>
      </c>
      <c r="D2560">
        <v>3</v>
      </c>
    </row>
    <row r="2561" spans="1:4" x14ac:dyDescent="0.25">
      <c r="A2561" t="s">
        <v>11524</v>
      </c>
      <c r="B2561">
        <v>115</v>
      </c>
      <c r="C2561" s="4">
        <v>1836.09</v>
      </c>
      <c r="D2561">
        <v>14</v>
      </c>
    </row>
    <row r="2562" spans="1:4" x14ac:dyDescent="0.25">
      <c r="A2562" t="s">
        <v>11525</v>
      </c>
      <c r="B2562">
        <v>51</v>
      </c>
      <c r="C2562" s="4">
        <v>636.14</v>
      </c>
      <c r="D2562">
        <v>2</v>
      </c>
    </row>
    <row r="2563" spans="1:4" x14ac:dyDescent="0.25">
      <c r="A2563" t="s">
        <v>11526</v>
      </c>
      <c r="B2563">
        <v>39</v>
      </c>
      <c r="C2563" s="4">
        <v>576</v>
      </c>
      <c r="D2563">
        <v>1</v>
      </c>
    </row>
    <row r="2564" spans="1:4" x14ac:dyDescent="0.25">
      <c r="A2564" t="s">
        <v>11527</v>
      </c>
      <c r="B2564">
        <v>68</v>
      </c>
      <c r="C2564" s="4">
        <v>801.76</v>
      </c>
      <c r="D2564">
        <v>3</v>
      </c>
    </row>
    <row r="2565" spans="1:4" x14ac:dyDescent="0.25">
      <c r="A2565" t="s">
        <v>11528</v>
      </c>
      <c r="B2565">
        <v>54</v>
      </c>
      <c r="C2565" s="4">
        <v>836.79</v>
      </c>
      <c r="D2565">
        <v>1</v>
      </c>
    </row>
    <row r="2566" spans="1:4" x14ac:dyDescent="0.25">
      <c r="A2566" t="s">
        <v>11529</v>
      </c>
      <c r="B2566">
        <v>272</v>
      </c>
      <c r="C2566" s="4">
        <v>2231.25</v>
      </c>
      <c r="D2566">
        <v>4</v>
      </c>
    </row>
    <row r="2567" spans="1:4" x14ac:dyDescent="0.25">
      <c r="A2567" t="s">
        <v>11530</v>
      </c>
      <c r="B2567">
        <v>50</v>
      </c>
      <c r="C2567" s="4">
        <v>954.09</v>
      </c>
      <c r="D2567">
        <v>4</v>
      </c>
    </row>
    <row r="2568" spans="1:4" x14ac:dyDescent="0.25">
      <c r="A2568" t="s">
        <v>11531</v>
      </c>
      <c r="B2568">
        <v>10</v>
      </c>
      <c r="C2568" s="4">
        <v>137.37</v>
      </c>
      <c r="D2568">
        <v>1</v>
      </c>
    </row>
    <row r="2569" spans="1:4" x14ac:dyDescent="0.25">
      <c r="A2569" t="s">
        <v>11532</v>
      </c>
      <c r="B2569">
        <v>24</v>
      </c>
      <c r="C2569" s="4">
        <v>391.98</v>
      </c>
      <c r="D2569">
        <v>1</v>
      </c>
    </row>
    <row r="2570" spans="1:4" x14ac:dyDescent="0.25">
      <c r="A2570" t="s">
        <v>11533</v>
      </c>
      <c r="B2570">
        <v>167</v>
      </c>
      <c r="C2570" s="4">
        <v>33643.08</v>
      </c>
      <c r="D2570">
        <v>19</v>
      </c>
    </row>
    <row r="2571" spans="1:4" x14ac:dyDescent="0.25">
      <c r="A2571" t="s">
        <v>11534</v>
      </c>
      <c r="B2571">
        <v>62</v>
      </c>
      <c r="C2571" s="4">
        <v>1048.49</v>
      </c>
      <c r="D2571">
        <v>3</v>
      </c>
    </row>
    <row r="2572" spans="1:4" x14ac:dyDescent="0.25">
      <c r="A2572" t="s">
        <v>11535</v>
      </c>
      <c r="B2572">
        <v>27</v>
      </c>
      <c r="C2572" s="4">
        <v>355.56</v>
      </c>
      <c r="D2572">
        <v>2</v>
      </c>
    </row>
    <row r="2573" spans="1:4" x14ac:dyDescent="0.25">
      <c r="A2573" t="s">
        <v>11536</v>
      </c>
      <c r="B2573">
        <v>47</v>
      </c>
      <c r="C2573" s="4">
        <v>1224.06</v>
      </c>
      <c r="D2573">
        <v>4</v>
      </c>
    </row>
    <row r="2574" spans="1:4" x14ac:dyDescent="0.25">
      <c r="A2574" t="s">
        <v>11537</v>
      </c>
      <c r="B2574">
        <v>8</v>
      </c>
      <c r="C2574" s="4">
        <v>118.95</v>
      </c>
      <c r="D2574">
        <v>1</v>
      </c>
    </row>
    <row r="2575" spans="1:4" x14ac:dyDescent="0.25">
      <c r="A2575" t="s">
        <v>11538</v>
      </c>
      <c r="B2575">
        <v>11</v>
      </c>
      <c r="C2575" s="4">
        <v>130.74</v>
      </c>
      <c r="D2575">
        <v>1</v>
      </c>
    </row>
    <row r="2576" spans="1:4" x14ac:dyDescent="0.25">
      <c r="A2576" t="s">
        <v>11539</v>
      </c>
      <c r="B2576">
        <v>138</v>
      </c>
      <c r="C2576" s="4">
        <v>3711.77</v>
      </c>
      <c r="D2576">
        <v>8</v>
      </c>
    </row>
    <row r="2577" spans="1:4" x14ac:dyDescent="0.25">
      <c r="A2577" t="s">
        <v>11540</v>
      </c>
      <c r="B2577">
        <v>22</v>
      </c>
      <c r="C2577" s="4">
        <v>389.27</v>
      </c>
      <c r="D2577">
        <v>2</v>
      </c>
    </row>
    <row r="2578" spans="1:4" x14ac:dyDescent="0.25">
      <c r="A2578" t="s">
        <v>11541</v>
      </c>
      <c r="B2578">
        <v>97</v>
      </c>
      <c r="C2578" s="4">
        <v>238.85</v>
      </c>
      <c r="D2578">
        <v>2</v>
      </c>
    </row>
    <row r="2579" spans="1:4" x14ac:dyDescent="0.25">
      <c r="A2579" t="s">
        <v>11542</v>
      </c>
      <c r="B2579">
        <v>22</v>
      </c>
      <c r="C2579" s="4">
        <v>160.71</v>
      </c>
      <c r="D2579">
        <v>2</v>
      </c>
    </row>
    <row r="2580" spans="1:4" x14ac:dyDescent="0.25">
      <c r="A2580" t="s">
        <v>11543</v>
      </c>
      <c r="B2580">
        <v>30</v>
      </c>
      <c r="C2580" s="4">
        <v>110.8</v>
      </c>
      <c r="D2580">
        <v>1</v>
      </c>
    </row>
    <row r="2581" spans="1:4" x14ac:dyDescent="0.25">
      <c r="A2581" t="s">
        <v>11544</v>
      </c>
      <c r="B2581">
        <v>140</v>
      </c>
      <c r="C2581" s="4">
        <v>2974.65</v>
      </c>
      <c r="D2581">
        <v>12</v>
      </c>
    </row>
    <row r="2582" spans="1:4" x14ac:dyDescent="0.25">
      <c r="A2582" t="s">
        <v>11545</v>
      </c>
      <c r="B2582">
        <v>80</v>
      </c>
      <c r="C2582" s="4">
        <v>712.24</v>
      </c>
      <c r="D2582">
        <v>5</v>
      </c>
    </row>
    <row r="2583" spans="1:4" x14ac:dyDescent="0.25">
      <c r="A2583" t="s">
        <v>11546</v>
      </c>
      <c r="B2583">
        <v>644</v>
      </c>
      <c r="C2583" s="4">
        <v>16386.310000000001</v>
      </c>
      <c r="D2583">
        <v>27</v>
      </c>
    </row>
    <row r="2584" spans="1:4" x14ac:dyDescent="0.25">
      <c r="A2584" t="s">
        <v>11547</v>
      </c>
      <c r="B2584">
        <v>14</v>
      </c>
      <c r="C2584" s="4">
        <v>297</v>
      </c>
      <c r="D2584">
        <v>1</v>
      </c>
    </row>
    <row r="2585" spans="1:4" x14ac:dyDescent="0.25">
      <c r="A2585" t="s">
        <v>11548</v>
      </c>
      <c r="B2585">
        <v>191</v>
      </c>
      <c r="C2585" s="4">
        <v>1438.85</v>
      </c>
      <c r="D2585">
        <v>5</v>
      </c>
    </row>
    <row r="2586" spans="1:4" x14ac:dyDescent="0.25">
      <c r="A2586" t="s">
        <v>11549</v>
      </c>
      <c r="B2586">
        <v>142</v>
      </c>
      <c r="C2586" s="4">
        <v>977.21</v>
      </c>
      <c r="D2586">
        <v>8</v>
      </c>
    </row>
    <row r="2587" spans="1:4" x14ac:dyDescent="0.25">
      <c r="A2587" t="s">
        <v>11550</v>
      </c>
      <c r="B2587">
        <v>546</v>
      </c>
      <c r="C2587" s="4">
        <v>3165.36</v>
      </c>
      <c r="D2587">
        <v>8</v>
      </c>
    </row>
    <row r="2588" spans="1:4" x14ac:dyDescent="0.25">
      <c r="A2588" t="s">
        <v>11551</v>
      </c>
      <c r="B2588">
        <v>147</v>
      </c>
      <c r="C2588" s="4">
        <v>832.88</v>
      </c>
      <c r="D2588">
        <v>4</v>
      </c>
    </row>
    <row r="2589" spans="1:4" x14ac:dyDescent="0.25">
      <c r="A2589" t="s">
        <v>11552</v>
      </c>
      <c r="B2589">
        <v>18</v>
      </c>
      <c r="C2589" s="4">
        <v>68.84</v>
      </c>
      <c r="D2589">
        <v>2</v>
      </c>
    </row>
    <row r="2590" spans="1:4" x14ac:dyDescent="0.25">
      <c r="A2590" t="s">
        <v>11553</v>
      </c>
      <c r="B2590">
        <v>20</v>
      </c>
      <c r="C2590" s="4">
        <v>1936.32</v>
      </c>
      <c r="D2590">
        <v>6</v>
      </c>
    </row>
    <row r="2591" spans="1:4" x14ac:dyDescent="0.25">
      <c r="A2591" t="s">
        <v>11554</v>
      </c>
      <c r="B2591">
        <v>40</v>
      </c>
      <c r="C2591" s="4">
        <v>895.13</v>
      </c>
      <c r="D2591">
        <v>3</v>
      </c>
    </row>
    <row r="2592" spans="1:4" x14ac:dyDescent="0.25">
      <c r="A2592" t="s">
        <v>11555</v>
      </c>
      <c r="B2592">
        <v>45</v>
      </c>
      <c r="C2592" s="4">
        <v>230.53</v>
      </c>
      <c r="D2592">
        <v>1</v>
      </c>
    </row>
    <row r="2593" spans="1:4" x14ac:dyDescent="0.25">
      <c r="A2593" t="s">
        <v>11556</v>
      </c>
      <c r="B2593">
        <v>459</v>
      </c>
      <c r="C2593" s="4">
        <v>3806.1</v>
      </c>
      <c r="D2593">
        <v>15</v>
      </c>
    </row>
    <row r="2594" spans="1:4" x14ac:dyDescent="0.25">
      <c r="A2594" t="s">
        <v>11557</v>
      </c>
      <c r="B2594">
        <v>15</v>
      </c>
      <c r="C2594" s="4">
        <v>149.63999999999999</v>
      </c>
      <c r="D2594">
        <v>2</v>
      </c>
    </row>
    <row r="2595" spans="1:4" x14ac:dyDescent="0.25">
      <c r="A2595" t="s">
        <v>11558</v>
      </c>
      <c r="B2595">
        <v>76</v>
      </c>
      <c r="C2595" s="4">
        <v>354.09</v>
      </c>
      <c r="D2595">
        <v>1</v>
      </c>
    </row>
    <row r="2596" spans="1:4" x14ac:dyDescent="0.25">
      <c r="A2596" t="s">
        <v>11559</v>
      </c>
      <c r="B2596">
        <v>128</v>
      </c>
      <c r="C2596" s="4">
        <v>360.93</v>
      </c>
      <c r="D2596">
        <v>2</v>
      </c>
    </row>
    <row r="2597" spans="1:4" x14ac:dyDescent="0.25">
      <c r="A2597" t="s">
        <v>11560</v>
      </c>
      <c r="B2597">
        <v>120</v>
      </c>
      <c r="C2597" s="4">
        <v>4405.88</v>
      </c>
      <c r="D2597">
        <v>7</v>
      </c>
    </row>
    <row r="2598" spans="1:4" x14ac:dyDescent="0.25">
      <c r="A2598" t="s">
        <v>11561</v>
      </c>
      <c r="B2598">
        <v>129</v>
      </c>
      <c r="C2598" s="4">
        <v>493.28</v>
      </c>
      <c r="D2598">
        <v>2</v>
      </c>
    </row>
    <row r="2599" spans="1:4" x14ac:dyDescent="0.25">
      <c r="A2599" t="s">
        <v>11562</v>
      </c>
      <c r="B2599">
        <v>105</v>
      </c>
      <c r="C2599" s="4">
        <v>343.28</v>
      </c>
      <c r="D2599">
        <v>1</v>
      </c>
    </row>
    <row r="2600" spans="1:4" x14ac:dyDescent="0.25">
      <c r="A2600" t="s">
        <v>11563</v>
      </c>
      <c r="B2600">
        <v>29</v>
      </c>
      <c r="C2600" s="4">
        <v>501.39</v>
      </c>
      <c r="D2600">
        <v>5</v>
      </c>
    </row>
    <row r="2601" spans="1:4" x14ac:dyDescent="0.25">
      <c r="A2601" t="s">
        <v>11564</v>
      </c>
      <c r="B2601">
        <v>22</v>
      </c>
      <c r="C2601" s="4">
        <v>514.08000000000004</v>
      </c>
      <c r="D2601">
        <v>4</v>
      </c>
    </row>
    <row r="2602" spans="1:4" x14ac:dyDescent="0.25">
      <c r="A2602" t="s">
        <v>11565</v>
      </c>
      <c r="B2602">
        <v>49</v>
      </c>
      <c r="C2602" s="4">
        <v>396.48</v>
      </c>
      <c r="D2602">
        <v>2</v>
      </c>
    </row>
    <row r="2603" spans="1:4" x14ac:dyDescent="0.25">
      <c r="A2603" t="s">
        <v>11566</v>
      </c>
      <c r="B2603">
        <v>16</v>
      </c>
      <c r="C2603" s="4">
        <v>349.35</v>
      </c>
      <c r="D2603">
        <v>1</v>
      </c>
    </row>
    <row r="2604" spans="1:4" x14ac:dyDescent="0.25">
      <c r="A2604" t="s">
        <v>11567</v>
      </c>
      <c r="B2604">
        <v>12</v>
      </c>
      <c r="C2604" s="4">
        <v>181.09</v>
      </c>
      <c r="D2604">
        <v>1</v>
      </c>
    </row>
    <row r="2605" spans="1:4" x14ac:dyDescent="0.25">
      <c r="A2605" t="s">
        <v>11568</v>
      </c>
      <c r="B2605">
        <v>10</v>
      </c>
      <c r="C2605" s="4">
        <v>162.63999999999999</v>
      </c>
      <c r="D2605">
        <v>1</v>
      </c>
    </row>
    <row r="2606" spans="1:4" x14ac:dyDescent="0.25">
      <c r="A2606" t="s">
        <v>11569</v>
      </c>
      <c r="B2606">
        <v>91</v>
      </c>
      <c r="C2606" s="4">
        <v>427.57</v>
      </c>
      <c r="D2606">
        <v>2</v>
      </c>
    </row>
    <row r="2607" spans="1:4" x14ac:dyDescent="0.25">
      <c r="A2607" t="s">
        <v>11570</v>
      </c>
      <c r="B2607">
        <v>61</v>
      </c>
      <c r="C2607" s="4">
        <v>521.97</v>
      </c>
      <c r="D2607">
        <v>1</v>
      </c>
    </row>
    <row r="2608" spans="1:4" x14ac:dyDescent="0.25">
      <c r="A2608" t="s">
        <v>11571</v>
      </c>
      <c r="B2608">
        <v>40</v>
      </c>
      <c r="C2608" s="4">
        <v>262.89999999999998</v>
      </c>
      <c r="D2608">
        <v>2</v>
      </c>
    </row>
    <row r="2609" spans="1:4" x14ac:dyDescent="0.25">
      <c r="A2609" t="s">
        <v>11572</v>
      </c>
      <c r="B2609">
        <v>11</v>
      </c>
      <c r="C2609" s="4">
        <v>179.17</v>
      </c>
      <c r="D2609">
        <v>1</v>
      </c>
    </row>
    <row r="2610" spans="1:4" x14ac:dyDescent="0.25">
      <c r="A2610" t="s">
        <v>11573</v>
      </c>
      <c r="B2610">
        <v>24</v>
      </c>
      <c r="C2610" s="4">
        <v>222.05</v>
      </c>
      <c r="D2610">
        <v>2</v>
      </c>
    </row>
    <row r="2611" spans="1:4" x14ac:dyDescent="0.25">
      <c r="A2611" t="s">
        <v>11574</v>
      </c>
      <c r="B2611">
        <v>86</v>
      </c>
      <c r="C2611" s="4">
        <v>1388.88</v>
      </c>
      <c r="D2611">
        <v>5</v>
      </c>
    </row>
    <row r="2612" spans="1:4" x14ac:dyDescent="0.25">
      <c r="A2612" t="s">
        <v>11575</v>
      </c>
      <c r="B2612">
        <v>4</v>
      </c>
      <c r="C2612" s="4">
        <v>56.25</v>
      </c>
      <c r="D2612">
        <v>1</v>
      </c>
    </row>
    <row r="2613" spans="1:4" x14ac:dyDescent="0.25">
      <c r="A2613" t="s">
        <v>11576</v>
      </c>
      <c r="B2613">
        <v>51</v>
      </c>
      <c r="C2613" s="4">
        <v>351.11</v>
      </c>
      <c r="D2613">
        <v>1</v>
      </c>
    </row>
    <row r="2614" spans="1:4" x14ac:dyDescent="0.25">
      <c r="A2614" t="s">
        <v>11577</v>
      </c>
      <c r="B2614">
        <v>114</v>
      </c>
      <c r="C2614" s="4">
        <v>361.9</v>
      </c>
      <c r="D2614">
        <v>3</v>
      </c>
    </row>
    <row r="2615" spans="1:4" x14ac:dyDescent="0.25">
      <c r="A2615" t="s">
        <v>11578</v>
      </c>
      <c r="B2615">
        <v>74</v>
      </c>
      <c r="C2615" s="4">
        <v>5126.76</v>
      </c>
      <c r="D2615">
        <v>7</v>
      </c>
    </row>
    <row r="2616" spans="1:4" x14ac:dyDescent="0.25">
      <c r="A2616" t="s">
        <v>11579</v>
      </c>
      <c r="B2616">
        <v>30</v>
      </c>
      <c r="C2616" s="4">
        <v>164.68</v>
      </c>
      <c r="D2616">
        <v>1</v>
      </c>
    </row>
    <row r="2617" spans="1:4" x14ac:dyDescent="0.25">
      <c r="A2617" t="s">
        <v>11580</v>
      </c>
      <c r="B2617">
        <v>150</v>
      </c>
      <c r="C2617" s="4">
        <v>1567.69</v>
      </c>
      <c r="D2617">
        <v>7</v>
      </c>
    </row>
    <row r="2618" spans="1:4" x14ac:dyDescent="0.25">
      <c r="A2618" t="s">
        <v>11581</v>
      </c>
      <c r="B2618">
        <v>248</v>
      </c>
      <c r="C2618" s="4">
        <v>966.6</v>
      </c>
      <c r="D2618">
        <v>3</v>
      </c>
    </row>
    <row r="2619" spans="1:4" x14ac:dyDescent="0.25">
      <c r="A2619" t="s">
        <v>11582</v>
      </c>
      <c r="B2619">
        <v>7</v>
      </c>
      <c r="C2619" s="4">
        <v>191.94</v>
      </c>
      <c r="D2619">
        <v>1</v>
      </c>
    </row>
    <row r="2620" spans="1:4" x14ac:dyDescent="0.25">
      <c r="A2620" t="s">
        <v>11583</v>
      </c>
      <c r="B2620">
        <v>267</v>
      </c>
      <c r="C2620" s="4">
        <v>1232.18</v>
      </c>
      <c r="D2620">
        <v>8</v>
      </c>
    </row>
    <row r="2621" spans="1:4" x14ac:dyDescent="0.25">
      <c r="A2621" t="s">
        <v>11584</v>
      </c>
      <c r="B2621">
        <v>19</v>
      </c>
      <c r="C2621" s="4">
        <v>264.62</v>
      </c>
      <c r="D2621">
        <v>2</v>
      </c>
    </row>
    <row r="2622" spans="1:4" x14ac:dyDescent="0.25">
      <c r="A2622" t="s">
        <v>11585</v>
      </c>
      <c r="B2622">
        <v>155</v>
      </c>
      <c r="C2622" s="4">
        <v>1528.09</v>
      </c>
      <c r="D2622">
        <v>8</v>
      </c>
    </row>
    <row r="2623" spans="1:4" x14ac:dyDescent="0.25">
      <c r="A2623" t="s">
        <v>11586</v>
      </c>
      <c r="B2623">
        <v>12</v>
      </c>
      <c r="C2623" s="4">
        <v>123.1</v>
      </c>
      <c r="D2623">
        <v>1</v>
      </c>
    </row>
    <row r="2624" spans="1:4" x14ac:dyDescent="0.25">
      <c r="A2624" t="s">
        <v>11587</v>
      </c>
      <c r="B2624">
        <v>40</v>
      </c>
      <c r="C2624" s="4">
        <v>334.23</v>
      </c>
      <c r="D2624">
        <v>2</v>
      </c>
    </row>
    <row r="2625" spans="1:4" x14ac:dyDescent="0.25">
      <c r="A2625" t="s">
        <v>11588</v>
      </c>
      <c r="B2625">
        <v>143</v>
      </c>
      <c r="C2625" s="4">
        <v>639.89</v>
      </c>
      <c r="D2625">
        <v>2</v>
      </c>
    </row>
    <row r="2626" spans="1:4" x14ac:dyDescent="0.25">
      <c r="A2626" t="s">
        <v>11589</v>
      </c>
      <c r="B2626">
        <v>58</v>
      </c>
      <c r="C2626" s="4">
        <v>163.55000000000001</v>
      </c>
      <c r="D2626">
        <v>3</v>
      </c>
    </row>
    <row r="2627" spans="1:4" x14ac:dyDescent="0.25">
      <c r="A2627" t="s">
        <v>11590</v>
      </c>
      <c r="B2627">
        <v>25</v>
      </c>
      <c r="C2627" s="4">
        <v>336.03</v>
      </c>
      <c r="D2627">
        <v>1</v>
      </c>
    </row>
    <row r="2628" spans="1:4" x14ac:dyDescent="0.25">
      <c r="A2628" t="s">
        <v>11591</v>
      </c>
      <c r="B2628">
        <v>11</v>
      </c>
      <c r="C2628" s="4">
        <v>369.5</v>
      </c>
      <c r="D2628">
        <v>1</v>
      </c>
    </row>
    <row r="2629" spans="1:4" x14ac:dyDescent="0.25">
      <c r="A2629" t="s">
        <v>11592</v>
      </c>
      <c r="B2629">
        <v>21</v>
      </c>
      <c r="C2629" s="4">
        <v>127.08</v>
      </c>
      <c r="D2629">
        <v>1</v>
      </c>
    </row>
    <row r="2630" spans="1:4" x14ac:dyDescent="0.25">
      <c r="A2630" t="s">
        <v>11593</v>
      </c>
      <c r="B2630">
        <v>12</v>
      </c>
      <c r="C2630" s="4">
        <v>207.15</v>
      </c>
      <c r="D2630">
        <v>1</v>
      </c>
    </row>
    <row r="2631" spans="1:4" x14ac:dyDescent="0.25">
      <c r="A2631" t="s">
        <v>11594</v>
      </c>
      <c r="B2631">
        <v>21</v>
      </c>
      <c r="C2631" s="4">
        <v>426.63</v>
      </c>
      <c r="D2631">
        <v>1</v>
      </c>
    </row>
    <row r="2632" spans="1:4" x14ac:dyDescent="0.25">
      <c r="A2632" t="s">
        <v>11595</v>
      </c>
      <c r="B2632">
        <v>115</v>
      </c>
      <c r="C2632" s="4">
        <v>2495.87</v>
      </c>
      <c r="D2632">
        <v>8</v>
      </c>
    </row>
    <row r="2633" spans="1:4" x14ac:dyDescent="0.25">
      <c r="A2633" t="s">
        <v>11596</v>
      </c>
      <c r="B2633">
        <v>74</v>
      </c>
      <c r="C2633" s="4">
        <v>1107.46</v>
      </c>
      <c r="D2633">
        <v>3</v>
      </c>
    </row>
    <row r="2634" spans="1:4" x14ac:dyDescent="0.25">
      <c r="A2634" t="s">
        <v>11597</v>
      </c>
      <c r="B2634">
        <v>11</v>
      </c>
      <c r="C2634" s="4">
        <v>108.04</v>
      </c>
      <c r="D2634">
        <v>1</v>
      </c>
    </row>
    <row r="2635" spans="1:4" x14ac:dyDescent="0.25">
      <c r="A2635" t="s">
        <v>11598</v>
      </c>
      <c r="B2635">
        <v>7</v>
      </c>
      <c r="C2635" s="4">
        <v>145.35</v>
      </c>
      <c r="D2635">
        <v>1</v>
      </c>
    </row>
    <row r="2636" spans="1:4" x14ac:dyDescent="0.25">
      <c r="A2636" t="s">
        <v>11599</v>
      </c>
      <c r="B2636">
        <v>18</v>
      </c>
      <c r="C2636" s="4">
        <v>404.58</v>
      </c>
      <c r="D2636">
        <v>5</v>
      </c>
    </row>
    <row r="2637" spans="1:4" x14ac:dyDescent="0.25">
      <c r="A2637" t="s">
        <v>11600</v>
      </c>
      <c r="B2637">
        <v>75</v>
      </c>
      <c r="C2637" s="4">
        <v>6100.01</v>
      </c>
      <c r="D2637">
        <v>14</v>
      </c>
    </row>
    <row r="2638" spans="1:4" x14ac:dyDescent="0.25">
      <c r="A2638" t="s">
        <v>11601</v>
      </c>
      <c r="B2638">
        <v>1</v>
      </c>
      <c r="C2638" s="4">
        <v>35.799999999999997</v>
      </c>
      <c r="D2638">
        <v>1</v>
      </c>
    </row>
    <row r="2639" spans="1:4" x14ac:dyDescent="0.25">
      <c r="A2639" t="s">
        <v>11602</v>
      </c>
      <c r="B2639">
        <v>14</v>
      </c>
      <c r="C2639" s="4">
        <v>337.44</v>
      </c>
      <c r="D2639">
        <v>1</v>
      </c>
    </row>
    <row r="2640" spans="1:4" x14ac:dyDescent="0.25">
      <c r="A2640" t="s">
        <v>11603</v>
      </c>
      <c r="B2640">
        <v>6</v>
      </c>
      <c r="C2640" s="4">
        <v>325.10000000000002</v>
      </c>
      <c r="D2640">
        <v>1</v>
      </c>
    </row>
    <row r="2641" spans="1:4" x14ac:dyDescent="0.25">
      <c r="A2641" t="s">
        <v>11604</v>
      </c>
      <c r="B2641">
        <v>2</v>
      </c>
      <c r="C2641" s="4">
        <v>181</v>
      </c>
      <c r="D2641">
        <v>1</v>
      </c>
    </row>
    <row r="2642" spans="1:4" x14ac:dyDescent="0.25">
      <c r="A2642" t="s">
        <v>11605</v>
      </c>
      <c r="B2642">
        <v>29</v>
      </c>
      <c r="C2642" s="4">
        <v>1708.24</v>
      </c>
      <c r="D2642">
        <v>1</v>
      </c>
    </row>
    <row r="2643" spans="1:4" x14ac:dyDescent="0.25">
      <c r="A2643" t="s">
        <v>11606</v>
      </c>
      <c r="B2643">
        <v>60</v>
      </c>
      <c r="C2643" s="4">
        <v>955.24</v>
      </c>
      <c r="D2643">
        <v>2</v>
      </c>
    </row>
    <row r="2644" spans="1:4" x14ac:dyDescent="0.25">
      <c r="A2644" t="s">
        <v>11607</v>
      </c>
      <c r="B2644">
        <v>19</v>
      </c>
      <c r="C2644" s="4">
        <v>364.72</v>
      </c>
      <c r="D2644">
        <v>2</v>
      </c>
    </row>
    <row r="2645" spans="1:4" x14ac:dyDescent="0.25">
      <c r="A2645" t="s">
        <v>11608</v>
      </c>
      <c r="B2645">
        <v>98</v>
      </c>
      <c r="C2645" s="4">
        <v>1765.51</v>
      </c>
      <c r="D2645">
        <v>4</v>
      </c>
    </row>
    <row r="2646" spans="1:4" x14ac:dyDescent="0.25">
      <c r="A2646" t="s">
        <v>11609</v>
      </c>
      <c r="B2646">
        <v>41</v>
      </c>
      <c r="C2646" s="4">
        <v>708.22</v>
      </c>
      <c r="D2646">
        <v>2</v>
      </c>
    </row>
    <row r="2647" spans="1:4" x14ac:dyDescent="0.25">
      <c r="A2647" t="s">
        <v>11610</v>
      </c>
      <c r="B2647">
        <v>91</v>
      </c>
      <c r="C2647" s="4">
        <v>806.57</v>
      </c>
      <c r="D2647">
        <v>4</v>
      </c>
    </row>
    <row r="2648" spans="1:4" x14ac:dyDescent="0.25">
      <c r="A2648" t="s">
        <v>11611</v>
      </c>
      <c r="B2648">
        <v>98</v>
      </c>
      <c r="C2648" s="4">
        <v>1659.38</v>
      </c>
      <c r="D2648">
        <v>8</v>
      </c>
    </row>
    <row r="2649" spans="1:4" x14ac:dyDescent="0.25">
      <c r="A2649" t="s">
        <v>11612</v>
      </c>
      <c r="B2649">
        <v>183</v>
      </c>
      <c r="C2649" s="4">
        <v>4416.26</v>
      </c>
      <c r="D2649">
        <v>14</v>
      </c>
    </row>
    <row r="2650" spans="1:4" x14ac:dyDescent="0.25">
      <c r="A2650" t="s">
        <v>11613</v>
      </c>
      <c r="B2650">
        <v>42</v>
      </c>
      <c r="C2650" s="4">
        <v>428.89</v>
      </c>
      <c r="D2650">
        <v>1</v>
      </c>
    </row>
    <row r="2651" spans="1:4" x14ac:dyDescent="0.25">
      <c r="A2651" t="s">
        <v>11614</v>
      </c>
      <c r="B2651">
        <v>7</v>
      </c>
      <c r="C2651" s="4">
        <v>104.35</v>
      </c>
      <c r="D2651">
        <v>1</v>
      </c>
    </row>
    <row r="2652" spans="1:4" x14ac:dyDescent="0.25">
      <c r="A2652" t="s">
        <v>11615</v>
      </c>
      <c r="B2652">
        <v>28</v>
      </c>
      <c r="C2652" s="4">
        <v>470.76</v>
      </c>
      <c r="D2652">
        <v>2</v>
      </c>
    </row>
    <row r="2653" spans="1:4" x14ac:dyDescent="0.25">
      <c r="A2653" t="s">
        <v>11616</v>
      </c>
      <c r="B2653">
        <v>122</v>
      </c>
      <c r="C2653" s="4">
        <v>845.64</v>
      </c>
      <c r="D2653">
        <v>4</v>
      </c>
    </row>
    <row r="2654" spans="1:4" x14ac:dyDescent="0.25">
      <c r="A2654" t="s">
        <v>11617</v>
      </c>
      <c r="B2654">
        <v>84</v>
      </c>
      <c r="C2654" s="4">
        <v>418.83</v>
      </c>
      <c r="D2654">
        <v>2</v>
      </c>
    </row>
    <row r="2655" spans="1:4" x14ac:dyDescent="0.25">
      <c r="A2655" t="s">
        <v>11618</v>
      </c>
      <c r="B2655">
        <v>20</v>
      </c>
      <c r="C2655" s="4">
        <v>666.1</v>
      </c>
      <c r="D2655">
        <v>3</v>
      </c>
    </row>
    <row r="2656" spans="1:4" x14ac:dyDescent="0.25">
      <c r="A2656" t="s">
        <v>11619</v>
      </c>
      <c r="B2656">
        <v>11</v>
      </c>
      <c r="C2656" s="4">
        <v>314.10000000000002</v>
      </c>
      <c r="D2656">
        <v>1</v>
      </c>
    </row>
    <row r="2657" spans="1:4" x14ac:dyDescent="0.25">
      <c r="A2657" t="s">
        <v>11620</v>
      </c>
      <c r="B2657">
        <v>34</v>
      </c>
      <c r="C2657" s="4">
        <v>4194.8999999999996</v>
      </c>
      <c r="D2657">
        <v>12</v>
      </c>
    </row>
    <row r="2658" spans="1:4" x14ac:dyDescent="0.25">
      <c r="A2658" t="s">
        <v>11621</v>
      </c>
      <c r="B2658">
        <v>4</v>
      </c>
      <c r="C2658" s="4">
        <v>307.82</v>
      </c>
      <c r="D2658">
        <v>1</v>
      </c>
    </row>
    <row r="2659" spans="1:4" x14ac:dyDescent="0.25">
      <c r="A2659" t="s">
        <v>11622</v>
      </c>
      <c r="B2659">
        <v>176</v>
      </c>
      <c r="C2659" s="4">
        <v>3442.15</v>
      </c>
      <c r="D2659">
        <v>7</v>
      </c>
    </row>
    <row r="2660" spans="1:4" x14ac:dyDescent="0.25">
      <c r="A2660" t="s">
        <v>11623</v>
      </c>
      <c r="B2660">
        <v>24</v>
      </c>
      <c r="C2660" s="4">
        <v>371.01</v>
      </c>
      <c r="D2660">
        <v>1</v>
      </c>
    </row>
    <row r="2661" spans="1:4" x14ac:dyDescent="0.25">
      <c r="A2661" t="s">
        <v>11624</v>
      </c>
      <c r="B2661">
        <v>98</v>
      </c>
      <c r="C2661" s="4">
        <v>430.94</v>
      </c>
      <c r="D2661">
        <v>2</v>
      </c>
    </row>
    <row r="2662" spans="1:4" x14ac:dyDescent="0.25">
      <c r="A2662" t="s">
        <v>11625</v>
      </c>
      <c r="B2662">
        <v>65</v>
      </c>
      <c r="C2662" s="4">
        <v>1054.73</v>
      </c>
      <c r="D2662">
        <v>2</v>
      </c>
    </row>
    <row r="2663" spans="1:4" x14ac:dyDescent="0.25">
      <c r="A2663" t="s">
        <v>11626</v>
      </c>
      <c r="B2663">
        <v>49</v>
      </c>
      <c r="C2663" s="4">
        <v>1098.78</v>
      </c>
      <c r="D2663">
        <v>1</v>
      </c>
    </row>
    <row r="2664" spans="1:4" x14ac:dyDescent="0.25">
      <c r="A2664" t="s">
        <v>11627</v>
      </c>
      <c r="B2664">
        <v>43</v>
      </c>
      <c r="C2664" s="4">
        <v>2398.86</v>
      </c>
      <c r="D2664">
        <v>3</v>
      </c>
    </row>
    <row r="2665" spans="1:4" x14ac:dyDescent="0.25">
      <c r="A2665" t="s">
        <v>11628</v>
      </c>
      <c r="B2665">
        <v>97</v>
      </c>
      <c r="C2665" s="4">
        <v>3408.48</v>
      </c>
      <c r="D2665">
        <v>8</v>
      </c>
    </row>
    <row r="2666" spans="1:4" x14ac:dyDescent="0.25">
      <c r="A2666" t="s">
        <v>11629</v>
      </c>
      <c r="B2666">
        <v>113</v>
      </c>
      <c r="C2666" s="4">
        <v>1475.02</v>
      </c>
      <c r="D2666">
        <v>4</v>
      </c>
    </row>
    <row r="2667" spans="1:4" x14ac:dyDescent="0.25">
      <c r="A2667" t="s">
        <v>11630</v>
      </c>
      <c r="B2667">
        <v>270</v>
      </c>
      <c r="C2667" s="4">
        <v>2837.67</v>
      </c>
      <c r="D2667">
        <v>10</v>
      </c>
    </row>
    <row r="2668" spans="1:4" x14ac:dyDescent="0.25">
      <c r="A2668" t="s">
        <v>11631</v>
      </c>
      <c r="B2668">
        <v>37</v>
      </c>
      <c r="C2668" s="4">
        <v>1142.42</v>
      </c>
      <c r="D2668">
        <v>2</v>
      </c>
    </row>
    <row r="2669" spans="1:4" x14ac:dyDescent="0.25">
      <c r="A2669" t="s">
        <v>11632</v>
      </c>
      <c r="B2669">
        <v>14</v>
      </c>
      <c r="C2669" s="4">
        <v>168.12</v>
      </c>
      <c r="D2669">
        <v>1</v>
      </c>
    </row>
    <row r="2670" spans="1:4" x14ac:dyDescent="0.25">
      <c r="A2670" t="s">
        <v>11633</v>
      </c>
      <c r="B2670">
        <v>140</v>
      </c>
      <c r="C2670" s="4">
        <v>1451.28</v>
      </c>
      <c r="D2670">
        <v>7</v>
      </c>
    </row>
    <row r="2671" spans="1:4" x14ac:dyDescent="0.25">
      <c r="A2671" t="s">
        <v>11634</v>
      </c>
      <c r="B2671">
        <v>27</v>
      </c>
      <c r="C2671" s="4">
        <v>158.03</v>
      </c>
      <c r="D2671">
        <v>1</v>
      </c>
    </row>
    <row r="2672" spans="1:4" x14ac:dyDescent="0.25">
      <c r="A2672" t="s">
        <v>11635</v>
      </c>
      <c r="B2672">
        <v>52</v>
      </c>
      <c r="C2672" s="4">
        <v>792.11</v>
      </c>
      <c r="D2672">
        <v>2</v>
      </c>
    </row>
    <row r="2673" spans="1:4" x14ac:dyDescent="0.25">
      <c r="A2673" t="s">
        <v>11636</v>
      </c>
      <c r="B2673">
        <v>3</v>
      </c>
      <c r="C2673" s="4">
        <v>41.99</v>
      </c>
      <c r="D2673">
        <v>1</v>
      </c>
    </row>
    <row r="2674" spans="1:4" x14ac:dyDescent="0.25">
      <c r="A2674" t="s">
        <v>11637</v>
      </c>
      <c r="B2674">
        <v>551</v>
      </c>
      <c r="C2674" s="4">
        <v>2788.87</v>
      </c>
      <c r="D2674">
        <v>7</v>
      </c>
    </row>
    <row r="2675" spans="1:4" x14ac:dyDescent="0.25">
      <c r="A2675" t="s">
        <v>11638</v>
      </c>
      <c r="B2675">
        <v>35</v>
      </c>
      <c r="C2675" s="4">
        <v>427.07</v>
      </c>
      <c r="D2675">
        <v>1</v>
      </c>
    </row>
    <row r="2676" spans="1:4" x14ac:dyDescent="0.25">
      <c r="A2676" t="s">
        <v>11639</v>
      </c>
      <c r="B2676">
        <v>130</v>
      </c>
      <c r="C2676" s="4">
        <v>1060.68</v>
      </c>
      <c r="D2676">
        <v>6</v>
      </c>
    </row>
    <row r="2677" spans="1:4" x14ac:dyDescent="0.25">
      <c r="A2677" t="s">
        <v>11640</v>
      </c>
      <c r="B2677">
        <v>506</v>
      </c>
      <c r="C2677" s="4">
        <v>3089.97</v>
      </c>
      <c r="D2677">
        <v>5</v>
      </c>
    </row>
    <row r="2678" spans="1:4" x14ac:dyDescent="0.25">
      <c r="A2678" t="s">
        <v>11641</v>
      </c>
      <c r="B2678">
        <v>9</v>
      </c>
      <c r="C2678" s="4">
        <v>12393.7</v>
      </c>
      <c r="D2678">
        <v>3</v>
      </c>
    </row>
    <row r="2679" spans="1:4" x14ac:dyDescent="0.25">
      <c r="A2679" t="s">
        <v>11642</v>
      </c>
      <c r="B2679">
        <v>103</v>
      </c>
      <c r="C2679" s="4">
        <v>2735.37</v>
      </c>
      <c r="D2679">
        <v>5</v>
      </c>
    </row>
    <row r="2680" spans="1:4" x14ac:dyDescent="0.25">
      <c r="A2680" t="s">
        <v>11643</v>
      </c>
      <c r="B2680">
        <v>218</v>
      </c>
      <c r="C2680" s="4">
        <v>615.39</v>
      </c>
      <c r="D2680">
        <v>4</v>
      </c>
    </row>
    <row r="2681" spans="1:4" x14ac:dyDescent="0.25">
      <c r="A2681" t="s">
        <v>11644</v>
      </c>
      <c r="B2681">
        <v>8</v>
      </c>
      <c r="C2681" s="4">
        <v>101.4</v>
      </c>
      <c r="D2681">
        <v>1</v>
      </c>
    </row>
    <row r="2682" spans="1:4" x14ac:dyDescent="0.25">
      <c r="A2682" t="s">
        <v>11645</v>
      </c>
      <c r="B2682">
        <v>385</v>
      </c>
      <c r="C2682" s="4">
        <v>1701.94</v>
      </c>
      <c r="D2682">
        <v>4</v>
      </c>
    </row>
    <row r="2683" spans="1:4" x14ac:dyDescent="0.25">
      <c r="A2683" t="s">
        <v>2541</v>
      </c>
      <c r="B2683">
        <v>33</v>
      </c>
      <c r="C2683" s="4">
        <v>478.78</v>
      </c>
      <c r="D2683">
        <v>3</v>
      </c>
    </row>
    <row r="2684" spans="1:4" x14ac:dyDescent="0.25">
      <c r="A2684" t="s">
        <v>11646</v>
      </c>
      <c r="B2684">
        <v>90</v>
      </c>
      <c r="C2684" s="4">
        <v>992.71</v>
      </c>
      <c r="D2684">
        <v>4</v>
      </c>
    </row>
    <row r="2685" spans="1:4" x14ac:dyDescent="0.25">
      <c r="A2685" t="s">
        <v>3974</v>
      </c>
      <c r="B2685">
        <v>86</v>
      </c>
      <c r="C2685" s="4">
        <v>407.5</v>
      </c>
      <c r="D2685">
        <v>3</v>
      </c>
    </row>
    <row r="2686" spans="1:4" x14ac:dyDescent="0.25">
      <c r="A2686" t="s">
        <v>2527</v>
      </c>
      <c r="B2686">
        <v>212</v>
      </c>
      <c r="C2686" s="4">
        <v>3362.71</v>
      </c>
      <c r="D2686">
        <v>16</v>
      </c>
    </row>
    <row r="2687" spans="1:4" x14ac:dyDescent="0.25">
      <c r="A2687" t="s">
        <v>2725</v>
      </c>
      <c r="B2687">
        <v>94</v>
      </c>
      <c r="C2687" s="4">
        <v>1415.29</v>
      </c>
      <c r="D2687">
        <v>3</v>
      </c>
    </row>
    <row r="2688" spans="1:4" x14ac:dyDescent="0.25">
      <c r="A2688" t="s">
        <v>11647</v>
      </c>
      <c r="B2688">
        <v>139</v>
      </c>
      <c r="C2688" s="4">
        <v>37130.6</v>
      </c>
      <c r="D2688">
        <v>47</v>
      </c>
    </row>
    <row r="2689" spans="1:4" x14ac:dyDescent="0.25">
      <c r="A2689" t="s">
        <v>706</v>
      </c>
      <c r="B2689">
        <v>145</v>
      </c>
      <c r="C2689" s="4">
        <v>662.38</v>
      </c>
      <c r="D2689">
        <v>3</v>
      </c>
    </row>
    <row r="2690" spans="1:4" x14ac:dyDescent="0.25">
      <c r="A2690" t="s">
        <v>2662</v>
      </c>
      <c r="B2690">
        <v>181</v>
      </c>
      <c r="C2690" s="4">
        <v>705.1</v>
      </c>
      <c r="D2690">
        <v>3</v>
      </c>
    </row>
    <row r="2691" spans="1:4" x14ac:dyDescent="0.25">
      <c r="A2691" t="s">
        <v>1717</v>
      </c>
      <c r="B2691">
        <v>235</v>
      </c>
      <c r="C2691" s="4">
        <v>1508.76</v>
      </c>
      <c r="D2691">
        <v>8</v>
      </c>
    </row>
    <row r="2692" spans="1:4" x14ac:dyDescent="0.25">
      <c r="A2692" t="s">
        <v>11648</v>
      </c>
      <c r="B2692">
        <v>32</v>
      </c>
      <c r="C2692" s="4">
        <v>211.88</v>
      </c>
      <c r="D2692">
        <v>1</v>
      </c>
    </row>
    <row r="2693" spans="1:4" x14ac:dyDescent="0.25">
      <c r="A2693" t="s">
        <v>11649</v>
      </c>
      <c r="B2693">
        <v>28</v>
      </c>
      <c r="C2693" s="4">
        <v>408.9</v>
      </c>
      <c r="D2693">
        <v>2</v>
      </c>
    </row>
    <row r="2694" spans="1:4" x14ac:dyDescent="0.25">
      <c r="A2694" t="s">
        <v>11650</v>
      </c>
      <c r="B2694">
        <v>160</v>
      </c>
      <c r="C2694" s="4">
        <v>3786.24</v>
      </c>
      <c r="D2694">
        <v>9</v>
      </c>
    </row>
    <row r="2695" spans="1:4" x14ac:dyDescent="0.25">
      <c r="A2695" t="s">
        <v>11651</v>
      </c>
      <c r="B2695">
        <v>46</v>
      </c>
      <c r="C2695" s="4">
        <v>851.01</v>
      </c>
      <c r="D2695">
        <v>3</v>
      </c>
    </row>
    <row r="2696" spans="1:4" x14ac:dyDescent="0.25">
      <c r="A2696" t="s">
        <v>11652</v>
      </c>
      <c r="B2696">
        <v>76</v>
      </c>
      <c r="C2696" s="4">
        <v>628.28</v>
      </c>
      <c r="D2696">
        <v>1</v>
      </c>
    </row>
    <row r="2697" spans="1:4" x14ac:dyDescent="0.25">
      <c r="A2697" t="s">
        <v>11653</v>
      </c>
      <c r="B2697">
        <v>101</v>
      </c>
      <c r="C2697" s="4">
        <v>719.81</v>
      </c>
      <c r="D2697">
        <v>3</v>
      </c>
    </row>
    <row r="2698" spans="1:4" x14ac:dyDescent="0.25">
      <c r="A2698" t="s">
        <v>11654</v>
      </c>
      <c r="B2698">
        <v>62</v>
      </c>
      <c r="C2698" s="4">
        <v>245.96</v>
      </c>
      <c r="D2698">
        <v>1</v>
      </c>
    </row>
    <row r="2699" spans="1:4" x14ac:dyDescent="0.25">
      <c r="A2699" t="s">
        <v>11655</v>
      </c>
      <c r="B2699">
        <v>28</v>
      </c>
      <c r="C2699" s="4">
        <v>439.66</v>
      </c>
      <c r="D2699">
        <v>1</v>
      </c>
    </row>
    <row r="2700" spans="1:4" x14ac:dyDescent="0.25">
      <c r="A2700" t="s">
        <v>11656</v>
      </c>
      <c r="B2700">
        <v>32</v>
      </c>
      <c r="C2700" s="4">
        <v>236.09</v>
      </c>
      <c r="D2700">
        <v>1</v>
      </c>
    </row>
    <row r="2701" spans="1:4" x14ac:dyDescent="0.25">
      <c r="A2701" t="s">
        <v>11657</v>
      </c>
      <c r="B2701">
        <v>16</v>
      </c>
      <c r="C2701" s="4">
        <v>934.62</v>
      </c>
      <c r="D2701">
        <v>6</v>
      </c>
    </row>
    <row r="2702" spans="1:4" x14ac:dyDescent="0.25">
      <c r="A2702" t="s">
        <v>11658</v>
      </c>
      <c r="B2702">
        <v>241</v>
      </c>
      <c r="C2702" s="4">
        <v>72882.09</v>
      </c>
      <c r="D2702">
        <v>62</v>
      </c>
    </row>
    <row r="2703" spans="1:4" x14ac:dyDescent="0.25">
      <c r="A2703" t="s">
        <v>11659</v>
      </c>
      <c r="B2703">
        <v>29</v>
      </c>
      <c r="C2703" s="4">
        <v>331.24</v>
      </c>
      <c r="D2703">
        <v>1</v>
      </c>
    </row>
    <row r="2704" spans="1:4" x14ac:dyDescent="0.25">
      <c r="A2704" t="s">
        <v>11660</v>
      </c>
      <c r="B2704">
        <v>100</v>
      </c>
      <c r="C2704" s="4">
        <v>548.94000000000005</v>
      </c>
      <c r="D2704">
        <v>2</v>
      </c>
    </row>
    <row r="2705" spans="1:4" x14ac:dyDescent="0.25">
      <c r="A2705" t="s">
        <v>3160</v>
      </c>
      <c r="B2705">
        <v>1137</v>
      </c>
      <c r="C2705" s="4">
        <v>8816.4</v>
      </c>
      <c r="D2705">
        <v>20</v>
      </c>
    </row>
    <row r="2706" spans="1:4" x14ac:dyDescent="0.25">
      <c r="A2706" t="s">
        <v>11661</v>
      </c>
      <c r="B2706">
        <v>22</v>
      </c>
      <c r="C2706" s="4">
        <v>437.7</v>
      </c>
      <c r="D2706">
        <v>3</v>
      </c>
    </row>
    <row r="2707" spans="1:4" x14ac:dyDescent="0.25">
      <c r="A2707" t="s">
        <v>11662</v>
      </c>
      <c r="B2707">
        <v>55</v>
      </c>
      <c r="C2707" s="4">
        <v>758.92</v>
      </c>
      <c r="D2707">
        <v>2</v>
      </c>
    </row>
    <row r="2708" spans="1:4" x14ac:dyDescent="0.25">
      <c r="A2708" t="s">
        <v>11663</v>
      </c>
      <c r="B2708">
        <v>39</v>
      </c>
      <c r="C2708" s="4">
        <v>855.02</v>
      </c>
      <c r="D2708">
        <v>3</v>
      </c>
    </row>
    <row r="2709" spans="1:4" x14ac:dyDescent="0.25">
      <c r="A2709" t="s">
        <v>11664</v>
      </c>
      <c r="B2709">
        <v>26</v>
      </c>
      <c r="C2709" s="4">
        <v>471.78</v>
      </c>
      <c r="D2709">
        <v>3</v>
      </c>
    </row>
    <row r="2710" spans="1:4" x14ac:dyDescent="0.25">
      <c r="A2710" t="s">
        <v>11665</v>
      </c>
      <c r="B2710">
        <v>65</v>
      </c>
      <c r="C2710" s="4">
        <v>1313.55</v>
      </c>
      <c r="D2710">
        <v>3</v>
      </c>
    </row>
    <row r="2711" spans="1:4" x14ac:dyDescent="0.25">
      <c r="A2711" t="s">
        <v>11666</v>
      </c>
      <c r="B2711">
        <v>6</v>
      </c>
      <c r="C2711" s="4">
        <v>3166.4</v>
      </c>
      <c r="D2711">
        <v>3</v>
      </c>
    </row>
    <row r="2712" spans="1:4" x14ac:dyDescent="0.25">
      <c r="A2712" t="s">
        <v>11667</v>
      </c>
      <c r="B2712">
        <v>71</v>
      </c>
      <c r="C2712" s="4">
        <v>1197.27</v>
      </c>
      <c r="D2712">
        <v>5</v>
      </c>
    </row>
    <row r="2713" spans="1:4" x14ac:dyDescent="0.25">
      <c r="A2713" t="s">
        <v>3820</v>
      </c>
      <c r="B2713">
        <v>39</v>
      </c>
      <c r="C2713" s="4">
        <v>773.99</v>
      </c>
      <c r="D2713">
        <v>4</v>
      </c>
    </row>
    <row r="2714" spans="1:4" x14ac:dyDescent="0.25">
      <c r="A2714" t="s">
        <v>2514</v>
      </c>
      <c r="B2714">
        <v>83</v>
      </c>
      <c r="C2714" s="4">
        <v>1340.7</v>
      </c>
      <c r="D2714">
        <v>4</v>
      </c>
    </row>
    <row r="2715" spans="1:4" x14ac:dyDescent="0.25">
      <c r="A2715" t="s">
        <v>2834</v>
      </c>
      <c r="B2715">
        <v>8</v>
      </c>
      <c r="C2715" s="4">
        <v>256.44</v>
      </c>
      <c r="D2715">
        <v>2</v>
      </c>
    </row>
    <row r="2716" spans="1:4" x14ac:dyDescent="0.25">
      <c r="A2716" t="s">
        <v>3234</v>
      </c>
      <c r="B2716">
        <v>312</v>
      </c>
      <c r="C2716" s="4">
        <v>1111.79</v>
      </c>
      <c r="D2716">
        <v>3</v>
      </c>
    </row>
    <row r="2717" spans="1:4" x14ac:dyDescent="0.25">
      <c r="A2717" t="s">
        <v>11668</v>
      </c>
      <c r="B2717">
        <v>10</v>
      </c>
      <c r="C2717" s="4">
        <v>137.9</v>
      </c>
      <c r="D2717">
        <v>1</v>
      </c>
    </row>
    <row r="2718" spans="1:4" x14ac:dyDescent="0.25">
      <c r="A2718" t="s">
        <v>3110</v>
      </c>
      <c r="B2718">
        <v>34</v>
      </c>
      <c r="C2718" s="4">
        <v>362.06</v>
      </c>
      <c r="D2718">
        <v>1</v>
      </c>
    </row>
    <row r="2719" spans="1:4" x14ac:dyDescent="0.25">
      <c r="A2719" t="s">
        <v>4305</v>
      </c>
      <c r="B2719">
        <v>84</v>
      </c>
      <c r="C2719" s="4">
        <v>1511.95</v>
      </c>
      <c r="D2719">
        <v>2</v>
      </c>
    </row>
    <row r="2720" spans="1:4" x14ac:dyDescent="0.25">
      <c r="A2720" t="s">
        <v>3021</v>
      </c>
      <c r="B2720">
        <v>70</v>
      </c>
      <c r="C2720" s="4">
        <v>783.9</v>
      </c>
      <c r="D2720">
        <v>1</v>
      </c>
    </row>
    <row r="2721" spans="1:4" x14ac:dyDescent="0.25">
      <c r="A2721" t="s">
        <v>11669</v>
      </c>
      <c r="B2721">
        <v>8</v>
      </c>
      <c r="C2721" s="4">
        <v>134.80000000000001</v>
      </c>
      <c r="D2721">
        <v>1</v>
      </c>
    </row>
    <row r="2722" spans="1:4" x14ac:dyDescent="0.25">
      <c r="A2722" t="s">
        <v>11670</v>
      </c>
      <c r="B2722">
        <v>68</v>
      </c>
      <c r="C2722" s="4">
        <v>664.85</v>
      </c>
      <c r="D2722">
        <v>1</v>
      </c>
    </row>
    <row r="2723" spans="1:4" x14ac:dyDescent="0.25">
      <c r="A2723" t="s">
        <v>11671</v>
      </c>
      <c r="B2723">
        <v>121</v>
      </c>
      <c r="C2723" s="4">
        <v>2263.12</v>
      </c>
      <c r="D2723">
        <v>7</v>
      </c>
    </row>
    <row r="2724" spans="1:4" x14ac:dyDescent="0.25">
      <c r="A2724" t="s">
        <v>11672</v>
      </c>
      <c r="B2724">
        <v>180</v>
      </c>
      <c r="C2724" s="4">
        <v>1459.86</v>
      </c>
      <c r="D2724">
        <v>6</v>
      </c>
    </row>
    <row r="2725" spans="1:4" x14ac:dyDescent="0.25">
      <c r="A2725" t="s">
        <v>11673</v>
      </c>
      <c r="B2725">
        <v>64</v>
      </c>
      <c r="C2725" s="4">
        <v>1153.6199999999999</v>
      </c>
      <c r="D2725">
        <v>4</v>
      </c>
    </row>
    <row r="2726" spans="1:4" x14ac:dyDescent="0.25">
      <c r="A2726" t="s">
        <v>11674</v>
      </c>
      <c r="B2726">
        <v>23</v>
      </c>
      <c r="C2726" s="4">
        <v>335.32</v>
      </c>
      <c r="D2726">
        <v>1</v>
      </c>
    </row>
    <row r="2727" spans="1:4" x14ac:dyDescent="0.25">
      <c r="A2727" t="s">
        <v>11675</v>
      </c>
      <c r="B2727">
        <v>74</v>
      </c>
      <c r="C2727" s="4">
        <v>372.09</v>
      </c>
      <c r="D2727">
        <v>1</v>
      </c>
    </row>
    <row r="2728" spans="1:4" x14ac:dyDescent="0.25">
      <c r="A2728" t="s">
        <v>11676</v>
      </c>
      <c r="B2728">
        <v>102</v>
      </c>
      <c r="C2728" s="4">
        <v>1521.87</v>
      </c>
      <c r="D2728">
        <v>5</v>
      </c>
    </row>
    <row r="2729" spans="1:4" x14ac:dyDescent="0.25">
      <c r="A2729" t="s">
        <v>11677</v>
      </c>
      <c r="B2729">
        <v>33</v>
      </c>
      <c r="C2729" s="4">
        <v>852.15</v>
      </c>
      <c r="D2729">
        <v>2</v>
      </c>
    </row>
    <row r="2730" spans="1:4" x14ac:dyDescent="0.25">
      <c r="A2730" t="s">
        <v>11678</v>
      </c>
      <c r="B2730">
        <v>21</v>
      </c>
      <c r="C2730" s="4">
        <v>326.24</v>
      </c>
      <c r="D2730">
        <v>1</v>
      </c>
    </row>
    <row r="2731" spans="1:4" x14ac:dyDescent="0.25">
      <c r="A2731" t="s">
        <v>11679</v>
      </c>
      <c r="B2731">
        <v>23</v>
      </c>
      <c r="C2731" s="4">
        <v>584.32000000000005</v>
      </c>
      <c r="D2731">
        <v>1</v>
      </c>
    </row>
    <row r="2732" spans="1:4" x14ac:dyDescent="0.25">
      <c r="A2732" t="s">
        <v>11680</v>
      </c>
      <c r="B2732">
        <v>1</v>
      </c>
      <c r="C2732" s="4">
        <v>122.4</v>
      </c>
      <c r="D2732">
        <v>1</v>
      </c>
    </row>
    <row r="2733" spans="1:4" x14ac:dyDescent="0.25">
      <c r="A2733" t="s">
        <v>11681</v>
      </c>
      <c r="B2733">
        <v>129</v>
      </c>
      <c r="C2733" s="4">
        <v>2234.73</v>
      </c>
      <c r="D2733">
        <v>10</v>
      </c>
    </row>
    <row r="2734" spans="1:4" x14ac:dyDescent="0.25">
      <c r="A2734" t="s">
        <v>11682</v>
      </c>
      <c r="B2734">
        <v>1</v>
      </c>
      <c r="C2734" s="4">
        <v>79.2</v>
      </c>
      <c r="D2734">
        <v>1</v>
      </c>
    </row>
    <row r="2735" spans="1:4" x14ac:dyDescent="0.25">
      <c r="A2735" t="s">
        <v>11683</v>
      </c>
      <c r="B2735">
        <v>21</v>
      </c>
      <c r="C2735" s="4">
        <v>1352</v>
      </c>
      <c r="D2735">
        <v>3</v>
      </c>
    </row>
    <row r="2736" spans="1:4" x14ac:dyDescent="0.25">
      <c r="A2736" t="s">
        <v>11684</v>
      </c>
      <c r="B2736">
        <v>10</v>
      </c>
      <c r="C2736" s="4">
        <v>217.16</v>
      </c>
      <c r="D2736">
        <v>2</v>
      </c>
    </row>
    <row r="2737" spans="1:4" x14ac:dyDescent="0.25">
      <c r="A2737" t="s">
        <v>11685</v>
      </c>
      <c r="B2737">
        <v>227</v>
      </c>
      <c r="C2737" s="4">
        <v>2806.9</v>
      </c>
      <c r="D2737">
        <v>5</v>
      </c>
    </row>
    <row r="2738" spans="1:4" x14ac:dyDescent="0.25">
      <c r="A2738" t="s">
        <v>11686</v>
      </c>
      <c r="B2738">
        <v>31</v>
      </c>
      <c r="C2738" s="4">
        <v>1317.62</v>
      </c>
      <c r="D2738">
        <v>2</v>
      </c>
    </row>
    <row r="2739" spans="1:4" x14ac:dyDescent="0.25">
      <c r="A2739" t="s">
        <v>11687</v>
      </c>
      <c r="B2739">
        <v>38</v>
      </c>
      <c r="C2739" s="4">
        <v>436.18</v>
      </c>
      <c r="D2739">
        <v>1</v>
      </c>
    </row>
    <row r="2740" spans="1:4" x14ac:dyDescent="0.25">
      <c r="A2740" t="s">
        <v>11688</v>
      </c>
      <c r="B2740">
        <v>167</v>
      </c>
      <c r="C2740" s="4">
        <v>981.51</v>
      </c>
      <c r="D2740">
        <v>5</v>
      </c>
    </row>
    <row r="2741" spans="1:4" x14ac:dyDescent="0.25">
      <c r="A2741" t="s">
        <v>11689</v>
      </c>
      <c r="B2741">
        <v>39</v>
      </c>
      <c r="C2741" s="4">
        <v>1121.3900000000001</v>
      </c>
      <c r="D2741">
        <v>5</v>
      </c>
    </row>
    <row r="2742" spans="1:4" x14ac:dyDescent="0.25">
      <c r="A2742" t="s">
        <v>11690</v>
      </c>
      <c r="B2742">
        <v>18</v>
      </c>
      <c r="C2742" s="4">
        <v>315.06</v>
      </c>
      <c r="D2742">
        <v>2</v>
      </c>
    </row>
    <row r="2743" spans="1:4" x14ac:dyDescent="0.25">
      <c r="A2743" t="s">
        <v>11691</v>
      </c>
      <c r="B2743">
        <v>51</v>
      </c>
      <c r="C2743" s="4">
        <v>817.86</v>
      </c>
      <c r="D2743">
        <v>3</v>
      </c>
    </row>
    <row r="2744" spans="1:4" x14ac:dyDescent="0.25">
      <c r="A2744" t="s">
        <v>11692</v>
      </c>
      <c r="B2744">
        <v>1</v>
      </c>
      <c r="C2744" s="4">
        <v>17</v>
      </c>
      <c r="D2744">
        <v>1</v>
      </c>
    </row>
    <row r="2745" spans="1:4" x14ac:dyDescent="0.25">
      <c r="A2745" t="s">
        <v>11693</v>
      </c>
      <c r="B2745">
        <v>63</v>
      </c>
      <c r="C2745" s="4">
        <v>1078.23</v>
      </c>
      <c r="D2745">
        <v>4</v>
      </c>
    </row>
    <row r="2746" spans="1:4" x14ac:dyDescent="0.25">
      <c r="A2746" t="s">
        <v>11694</v>
      </c>
      <c r="B2746">
        <v>12</v>
      </c>
      <c r="C2746" s="4">
        <v>320.62</v>
      </c>
      <c r="D2746">
        <v>1</v>
      </c>
    </row>
    <row r="2747" spans="1:4" x14ac:dyDescent="0.25">
      <c r="A2747" t="s">
        <v>11695</v>
      </c>
      <c r="B2747">
        <v>10</v>
      </c>
      <c r="C2747" s="4">
        <v>185.05</v>
      </c>
      <c r="D2747">
        <v>1</v>
      </c>
    </row>
    <row r="2748" spans="1:4" x14ac:dyDescent="0.25">
      <c r="A2748" t="s">
        <v>11696</v>
      </c>
      <c r="B2748">
        <v>67</v>
      </c>
      <c r="C2748" s="4">
        <v>2005.63</v>
      </c>
      <c r="D2748">
        <v>7</v>
      </c>
    </row>
    <row r="2749" spans="1:4" x14ac:dyDescent="0.25">
      <c r="A2749" t="s">
        <v>11697</v>
      </c>
      <c r="B2749">
        <v>39</v>
      </c>
      <c r="C2749" s="4">
        <v>731.9</v>
      </c>
      <c r="D2749">
        <v>3</v>
      </c>
    </row>
    <row r="2750" spans="1:4" x14ac:dyDescent="0.25">
      <c r="A2750" t="s">
        <v>11698</v>
      </c>
      <c r="B2750">
        <v>76</v>
      </c>
      <c r="C2750" s="4">
        <v>1290.7</v>
      </c>
      <c r="D2750">
        <v>1</v>
      </c>
    </row>
    <row r="2751" spans="1:4" x14ac:dyDescent="0.25">
      <c r="A2751" t="s">
        <v>11699</v>
      </c>
      <c r="B2751">
        <v>57</v>
      </c>
      <c r="C2751" s="4">
        <v>1842.14</v>
      </c>
      <c r="D2751">
        <v>3</v>
      </c>
    </row>
    <row r="2752" spans="1:4" x14ac:dyDescent="0.25">
      <c r="A2752" t="s">
        <v>11700</v>
      </c>
      <c r="B2752">
        <v>48</v>
      </c>
      <c r="C2752" s="4">
        <v>1429.64</v>
      </c>
      <c r="D2752">
        <v>6</v>
      </c>
    </row>
    <row r="2753" spans="1:4" x14ac:dyDescent="0.25">
      <c r="A2753" t="s">
        <v>11701</v>
      </c>
      <c r="B2753">
        <v>29</v>
      </c>
      <c r="C2753" s="4">
        <v>302.36</v>
      </c>
      <c r="D2753">
        <v>1</v>
      </c>
    </row>
    <row r="2754" spans="1:4" x14ac:dyDescent="0.25">
      <c r="A2754" t="s">
        <v>11702</v>
      </c>
      <c r="B2754">
        <v>13</v>
      </c>
      <c r="C2754" s="4">
        <v>336.96</v>
      </c>
      <c r="D2754">
        <v>1</v>
      </c>
    </row>
    <row r="2755" spans="1:4" x14ac:dyDescent="0.25">
      <c r="A2755" t="s">
        <v>11703</v>
      </c>
      <c r="B2755">
        <v>6</v>
      </c>
      <c r="C2755" s="4">
        <v>108.38</v>
      </c>
      <c r="D2755">
        <v>1</v>
      </c>
    </row>
    <row r="2756" spans="1:4" x14ac:dyDescent="0.25">
      <c r="A2756" t="s">
        <v>11704</v>
      </c>
      <c r="B2756">
        <v>31</v>
      </c>
      <c r="C2756" s="4">
        <v>3204.16</v>
      </c>
      <c r="D2756">
        <v>7</v>
      </c>
    </row>
    <row r="2757" spans="1:4" x14ac:dyDescent="0.25">
      <c r="A2757" t="s">
        <v>11705</v>
      </c>
      <c r="B2757">
        <v>48</v>
      </c>
      <c r="C2757" s="4">
        <v>842.5</v>
      </c>
      <c r="D2757">
        <v>1</v>
      </c>
    </row>
    <row r="2758" spans="1:4" x14ac:dyDescent="0.25">
      <c r="A2758" t="s">
        <v>11706</v>
      </c>
      <c r="B2758">
        <v>18</v>
      </c>
      <c r="C2758" s="4">
        <v>611.88</v>
      </c>
      <c r="D2758">
        <v>2</v>
      </c>
    </row>
    <row r="2759" spans="1:4" x14ac:dyDescent="0.25">
      <c r="A2759" t="s">
        <v>11707</v>
      </c>
      <c r="B2759">
        <v>354</v>
      </c>
      <c r="C2759" s="4">
        <v>1337.48</v>
      </c>
      <c r="D2759">
        <v>3</v>
      </c>
    </row>
    <row r="2760" spans="1:4" x14ac:dyDescent="0.25">
      <c r="A2760" t="s">
        <v>11708</v>
      </c>
      <c r="B2760">
        <v>16</v>
      </c>
      <c r="C2760" s="4">
        <v>195.74</v>
      </c>
      <c r="D2760">
        <v>4</v>
      </c>
    </row>
    <row r="2761" spans="1:4" x14ac:dyDescent="0.25">
      <c r="A2761" t="s">
        <v>11709</v>
      </c>
      <c r="B2761">
        <v>30</v>
      </c>
      <c r="C2761" s="4">
        <v>161.38</v>
      </c>
      <c r="D2761">
        <v>1</v>
      </c>
    </row>
    <row r="2762" spans="1:4" x14ac:dyDescent="0.25">
      <c r="A2762" t="s">
        <v>11710</v>
      </c>
      <c r="B2762">
        <v>8</v>
      </c>
      <c r="C2762" s="4">
        <v>135.75</v>
      </c>
      <c r="D2762">
        <v>1</v>
      </c>
    </row>
    <row r="2763" spans="1:4" x14ac:dyDescent="0.25">
      <c r="A2763" t="s">
        <v>11711</v>
      </c>
      <c r="B2763">
        <v>284</v>
      </c>
      <c r="C2763" s="4">
        <v>1667.97</v>
      </c>
      <c r="D2763">
        <v>8</v>
      </c>
    </row>
    <row r="2764" spans="1:4" x14ac:dyDescent="0.25">
      <c r="A2764" t="s">
        <v>11712</v>
      </c>
      <c r="B2764">
        <v>34</v>
      </c>
      <c r="C2764" s="4">
        <v>612.78</v>
      </c>
      <c r="D2764">
        <v>1</v>
      </c>
    </row>
    <row r="2765" spans="1:4" x14ac:dyDescent="0.25">
      <c r="A2765" t="s">
        <v>11713</v>
      </c>
      <c r="B2765">
        <v>30</v>
      </c>
      <c r="C2765" s="4">
        <v>232.21</v>
      </c>
      <c r="D2765">
        <v>1</v>
      </c>
    </row>
    <row r="2766" spans="1:4" x14ac:dyDescent="0.25">
      <c r="A2766" t="s">
        <v>11714</v>
      </c>
      <c r="B2766">
        <v>16</v>
      </c>
      <c r="C2766" s="4">
        <v>423.36</v>
      </c>
      <c r="D2766">
        <v>2</v>
      </c>
    </row>
    <row r="2767" spans="1:4" x14ac:dyDescent="0.25">
      <c r="A2767" t="s">
        <v>11715</v>
      </c>
      <c r="B2767">
        <v>30</v>
      </c>
      <c r="C2767" s="4">
        <v>1309.1400000000001</v>
      </c>
      <c r="D2767">
        <v>4</v>
      </c>
    </row>
    <row r="2768" spans="1:4" x14ac:dyDescent="0.25">
      <c r="A2768" t="s">
        <v>11716</v>
      </c>
      <c r="B2768">
        <v>212</v>
      </c>
      <c r="C2768" s="4">
        <v>867.11</v>
      </c>
      <c r="D2768">
        <v>2</v>
      </c>
    </row>
    <row r="2769" spans="1:4" x14ac:dyDescent="0.25">
      <c r="A2769" t="s">
        <v>11717</v>
      </c>
      <c r="B2769">
        <v>38</v>
      </c>
      <c r="C2769" s="4">
        <v>684.42</v>
      </c>
      <c r="D2769">
        <v>4</v>
      </c>
    </row>
    <row r="2770" spans="1:4" x14ac:dyDescent="0.25">
      <c r="A2770" t="s">
        <v>11718</v>
      </c>
      <c r="B2770">
        <v>16</v>
      </c>
      <c r="C2770" s="4">
        <v>307.77999999999997</v>
      </c>
      <c r="D2770">
        <v>1</v>
      </c>
    </row>
    <row r="2771" spans="1:4" x14ac:dyDescent="0.25">
      <c r="A2771" t="s">
        <v>11719</v>
      </c>
      <c r="B2771">
        <v>11</v>
      </c>
      <c r="C2771" s="4">
        <v>249</v>
      </c>
      <c r="D2771">
        <v>1</v>
      </c>
    </row>
    <row r="2772" spans="1:4" x14ac:dyDescent="0.25">
      <c r="A2772" t="s">
        <v>11720</v>
      </c>
      <c r="B2772">
        <v>13</v>
      </c>
      <c r="C2772" s="4">
        <v>289.35000000000002</v>
      </c>
      <c r="D2772">
        <v>1</v>
      </c>
    </row>
    <row r="2773" spans="1:4" x14ac:dyDescent="0.25">
      <c r="A2773" t="s">
        <v>11721</v>
      </c>
      <c r="B2773">
        <v>117</v>
      </c>
      <c r="C2773" s="4">
        <v>6287.77</v>
      </c>
      <c r="D2773">
        <v>4</v>
      </c>
    </row>
    <row r="2774" spans="1:4" x14ac:dyDescent="0.25">
      <c r="A2774" t="s">
        <v>11722</v>
      </c>
      <c r="B2774">
        <v>40</v>
      </c>
      <c r="C2774" s="4">
        <v>656.25</v>
      </c>
      <c r="D2774">
        <v>1</v>
      </c>
    </row>
    <row r="2775" spans="1:4" x14ac:dyDescent="0.25">
      <c r="A2775" t="s">
        <v>11723</v>
      </c>
      <c r="B2775">
        <v>89</v>
      </c>
      <c r="C2775" s="4">
        <v>1880.22</v>
      </c>
      <c r="D2775">
        <v>5</v>
      </c>
    </row>
    <row r="2776" spans="1:4" x14ac:dyDescent="0.25">
      <c r="A2776" t="s">
        <v>11724</v>
      </c>
      <c r="B2776">
        <v>78</v>
      </c>
      <c r="C2776" s="4">
        <v>3506.54</v>
      </c>
      <c r="D2776">
        <v>6</v>
      </c>
    </row>
    <row r="2777" spans="1:4" x14ac:dyDescent="0.25">
      <c r="A2777" t="s">
        <v>11725</v>
      </c>
      <c r="B2777">
        <v>338</v>
      </c>
      <c r="C2777" s="4">
        <v>14589.04</v>
      </c>
      <c r="D2777">
        <v>33</v>
      </c>
    </row>
    <row r="2778" spans="1:4" x14ac:dyDescent="0.25">
      <c r="A2778" t="s">
        <v>11726</v>
      </c>
      <c r="B2778">
        <v>35</v>
      </c>
      <c r="C2778" s="4">
        <v>618.09</v>
      </c>
      <c r="D2778">
        <v>2</v>
      </c>
    </row>
    <row r="2779" spans="1:4" x14ac:dyDescent="0.25">
      <c r="A2779" t="s">
        <v>11727</v>
      </c>
      <c r="B2779">
        <v>21</v>
      </c>
      <c r="C2779" s="4">
        <v>517.54999999999995</v>
      </c>
      <c r="D2779">
        <v>1</v>
      </c>
    </row>
    <row r="2780" spans="1:4" x14ac:dyDescent="0.25">
      <c r="A2780" t="s">
        <v>11728</v>
      </c>
      <c r="B2780">
        <v>37</v>
      </c>
      <c r="C2780" s="4">
        <v>709.38</v>
      </c>
      <c r="D2780">
        <v>3</v>
      </c>
    </row>
    <row r="2781" spans="1:4" x14ac:dyDescent="0.25">
      <c r="A2781" t="s">
        <v>11729</v>
      </c>
      <c r="B2781">
        <v>31</v>
      </c>
      <c r="C2781" s="4">
        <v>635.41</v>
      </c>
      <c r="D2781">
        <v>3</v>
      </c>
    </row>
    <row r="2782" spans="1:4" x14ac:dyDescent="0.25">
      <c r="A2782" t="s">
        <v>11730</v>
      </c>
      <c r="B2782">
        <v>35</v>
      </c>
      <c r="C2782" s="4">
        <v>725.18</v>
      </c>
      <c r="D2782">
        <v>2</v>
      </c>
    </row>
    <row r="2783" spans="1:4" x14ac:dyDescent="0.25">
      <c r="A2783" t="s">
        <v>11731</v>
      </c>
      <c r="B2783">
        <v>30</v>
      </c>
      <c r="C2783" s="4">
        <v>620.4</v>
      </c>
      <c r="D2783">
        <v>1</v>
      </c>
    </row>
    <row r="2784" spans="1:4" x14ac:dyDescent="0.25">
      <c r="A2784" t="s">
        <v>11732</v>
      </c>
      <c r="B2784">
        <v>37</v>
      </c>
      <c r="C2784" s="4">
        <v>535.34</v>
      </c>
      <c r="D2784">
        <v>1</v>
      </c>
    </row>
    <row r="2785" spans="1:4" x14ac:dyDescent="0.25">
      <c r="A2785" t="s">
        <v>11733</v>
      </c>
      <c r="B2785">
        <v>117</v>
      </c>
      <c r="C2785" s="4">
        <v>2424.94</v>
      </c>
      <c r="D2785">
        <v>6</v>
      </c>
    </row>
    <row r="2786" spans="1:4" x14ac:dyDescent="0.25">
      <c r="A2786" t="s">
        <v>11734</v>
      </c>
      <c r="B2786">
        <v>1</v>
      </c>
      <c r="C2786" s="4">
        <v>175.2</v>
      </c>
      <c r="D2786">
        <v>1</v>
      </c>
    </row>
    <row r="2787" spans="1:4" x14ac:dyDescent="0.25">
      <c r="A2787" t="s">
        <v>11735</v>
      </c>
      <c r="B2787">
        <v>224</v>
      </c>
      <c r="C2787" s="4">
        <v>3799.49</v>
      </c>
      <c r="D2787">
        <v>11</v>
      </c>
    </row>
    <row r="2788" spans="1:4" x14ac:dyDescent="0.25">
      <c r="A2788" t="s">
        <v>11736</v>
      </c>
      <c r="B2788">
        <v>29</v>
      </c>
      <c r="C2788" s="4">
        <v>734.13</v>
      </c>
      <c r="D2788">
        <v>3</v>
      </c>
    </row>
    <row r="2789" spans="1:4" x14ac:dyDescent="0.25">
      <c r="A2789" t="s">
        <v>11737</v>
      </c>
      <c r="B2789">
        <v>22</v>
      </c>
      <c r="C2789" s="4">
        <v>375</v>
      </c>
      <c r="D2789">
        <v>1</v>
      </c>
    </row>
    <row r="2790" spans="1:4" x14ac:dyDescent="0.25">
      <c r="A2790" t="s">
        <v>11738</v>
      </c>
      <c r="B2790">
        <v>1</v>
      </c>
      <c r="C2790" s="4">
        <v>76.319999999999993</v>
      </c>
      <c r="D2790">
        <v>1</v>
      </c>
    </row>
    <row r="2791" spans="1:4" x14ac:dyDescent="0.25">
      <c r="A2791" t="s">
        <v>11739</v>
      </c>
      <c r="B2791">
        <v>18</v>
      </c>
      <c r="C2791" s="4">
        <v>280.52</v>
      </c>
      <c r="D2791">
        <v>2</v>
      </c>
    </row>
    <row r="2792" spans="1:4" x14ac:dyDescent="0.25">
      <c r="A2792" t="s">
        <v>11740</v>
      </c>
      <c r="B2792">
        <v>117</v>
      </c>
      <c r="C2792" s="4">
        <v>2053.02</v>
      </c>
      <c r="D2792">
        <v>5</v>
      </c>
    </row>
    <row r="2793" spans="1:4" x14ac:dyDescent="0.25">
      <c r="A2793" t="s">
        <v>11741</v>
      </c>
      <c r="B2793">
        <v>29</v>
      </c>
      <c r="C2793" s="4">
        <v>1829.04</v>
      </c>
      <c r="D2793">
        <v>1</v>
      </c>
    </row>
    <row r="2794" spans="1:4" x14ac:dyDescent="0.25">
      <c r="A2794" t="s">
        <v>11742</v>
      </c>
      <c r="B2794">
        <v>89</v>
      </c>
      <c r="C2794" s="4">
        <v>1824.23</v>
      </c>
      <c r="D2794">
        <v>5</v>
      </c>
    </row>
    <row r="2795" spans="1:4" x14ac:dyDescent="0.25">
      <c r="A2795" t="s">
        <v>11743</v>
      </c>
      <c r="B2795">
        <v>130</v>
      </c>
      <c r="C2795" s="4">
        <v>3122.04</v>
      </c>
      <c r="D2795">
        <v>9</v>
      </c>
    </row>
    <row r="2796" spans="1:4" x14ac:dyDescent="0.25">
      <c r="A2796" t="s">
        <v>11744</v>
      </c>
      <c r="B2796">
        <v>18</v>
      </c>
      <c r="C2796" s="4">
        <v>656.69</v>
      </c>
      <c r="D2796">
        <v>3</v>
      </c>
    </row>
    <row r="2797" spans="1:4" x14ac:dyDescent="0.25">
      <c r="A2797" t="s">
        <v>11745</v>
      </c>
      <c r="B2797">
        <v>14</v>
      </c>
      <c r="C2797" s="4">
        <v>348.2</v>
      </c>
      <c r="D2797">
        <v>1</v>
      </c>
    </row>
    <row r="2798" spans="1:4" x14ac:dyDescent="0.25">
      <c r="A2798" t="s">
        <v>11746</v>
      </c>
      <c r="B2798">
        <v>20</v>
      </c>
      <c r="C2798" s="4">
        <v>1025.44</v>
      </c>
      <c r="D2798">
        <v>2</v>
      </c>
    </row>
    <row r="2799" spans="1:4" x14ac:dyDescent="0.25">
      <c r="A2799" t="s">
        <v>11747</v>
      </c>
      <c r="B2799">
        <v>474</v>
      </c>
      <c r="C2799" s="4">
        <v>5575.56</v>
      </c>
      <c r="D2799">
        <v>19</v>
      </c>
    </row>
    <row r="2800" spans="1:4" x14ac:dyDescent="0.25">
      <c r="A2800" t="s">
        <v>11748</v>
      </c>
      <c r="B2800">
        <v>2</v>
      </c>
      <c r="C2800" s="4">
        <v>37.4</v>
      </c>
      <c r="D2800">
        <v>1</v>
      </c>
    </row>
    <row r="2801" spans="1:4" x14ac:dyDescent="0.25">
      <c r="A2801" t="s">
        <v>11749</v>
      </c>
      <c r="B2801">
        <v>6</v>
      </c>
      <c r="C2801" s="4">
        <v>856.6</v>
      </c>
      <c r="D2801">
        <v>2</v>
      </c>
    </row>
    <row r="2802" spans="1:4" x14ac:dyDescent="0.25">
      <c r="A2802" t="s">
        <v>11750</v>
      </c>
      <c r="B2802">
        <v>34</v>
      </c>
      <c r="C2802" s="4">
        <v>822.48</v>
      </c>
      <c r="D2802">
        <v>3</v>
      </c>
    </row>
    <row r="2803" spans="1:4" x14ac:dyDescent="0.25">
      <c r="A2803" t="s">
        <v>11751</v>
      </c>
      <c r="B2803">
        <v>98</v>
      </c>
      <c r="C2803" s="4">
        <v>3787.6</v>
      </c>
      <c r="D2803">
        <v>27</v>
      </c>
    </row>
    <row r="2804" spans="1:4" x14ac:dyDescent="0.25">
      <c r="A2804" t="s">
        <v>11752</v>
      </c>
      <c r="B2804">
        <v>85</v>
      </c>
      <c r="C2804" s="4">
        <v>1822.97</v>
      </c>
      <c r="D2804">
        <v>4</v>
      </c>
    </row>
    <row r="2805" spans="1:4" x14ac:dyDescent="0.25">
      <c r="A2805" t="s">
        <v>11753</v>
      </c>
      <c r="B2805">
        <v>125</v>
      </c>
      <c r="C2805" s="4">
        <v>1885.05</v>
      </c>
      <c r="D2805">
        <v>6</v>
      </c>
    </row>
    <row r="2806" spans="1:4" x14ac:dyDescent="0.25">
      <c r="A2806" t="s">
        <v>11754</v>
      </c>
      <c r="B2806">
        <v>3</v>
      </c>
      <c r="C2806" s="4">
        <v>73.2</v>
      </c>
      <c r="D2806">
        <v>1</v>
      </c>
    </row>
    <row r="2807" spans="1:4" x14ac:dyDescent="0.25">
      <c r="A2807" t="s">
        <v>11755</v>
      </c>
      <c r="B2807">
        <v>69</v>
      </c>
      <c r="C2807" s="4">
        <v>1140.21</v>
      </c>
      <c r="D2807">
        <v>5</v>
      </c>
    </row>
    <row r="2808" spans="1:4" x14ac:dyDescent="0.25">
      <c r="A2808" t="s">
        <v>11756</v>
      </c>
      <c r="B2808">
        <v>84</v>
      </c>
      <c r="C2808" s="4">
        <v>1418.32</v>
      </c>
      <c r="D2808">
        <v>6</v>
      </c>
    </row>
    <row r="2809" spans="1:4" x14ac:dyDescent="0.25">
      <c r="A2809" t="s">
        <v>11757</v>
      </c>
      <c r="B2809">
        <v>23</v>
      </c>
      <c r="C2809" s="4">
        <v>1009.55</v>
      </c>
      <c r="D2809">
        <v>3</v>
      </c>
    </row>
    <row r="2810" spans="1:4" x14ac:dyDescent="0.25">
      <c r="A2810" t="s">
        <v>11758</v>
      </c>
      <c r="B2810">
        <v>58</v>
      </c>
      <c r="C2810" s="4">
        <v>1037.5899999999999</v>
      </c>
      <c r="D2810">
        <v>4</v>
      </c>
    </row>
    <row r="2811" spans="1:4" x14ac:dyDescent="0.25">
      <c r="A2811" t="s">
        <v>11759</v>
      </c>
      <c r="B2811">
        <v>15</v>
      </c>
      <c r="C2811" s="4">
        <v>331.95</v>
      </c>
      <c r="D2811">
        <v>1</v>
      </c>
    </row>
    <row r="2812" spans="1:4" x14ac:dyDescent="0.25">
      <c r="A2812" t="s">
        <v>11760</v>
      </c>
      <c r="B2812">
        <v>8</v>
      </c>
      <c r="C2812" s="4">
        <v>197.9</v>
      </c>
      <c r="D2812">
        <v>1</v>
      </c>
    </row>
    <row r="2813" spans="1:4" x14ac:dyDescent="0.25">
      <c r="A2813" t="s">
        <v>11761</v>
      </c>
      <c r="B2813">
        <v>11</v>
      </c>
      <c r="C2813" s="4">
        <v>215.83</v>
      </c>
      <c r="D2813">
        <v>1</v>
      </c>
    </row>
    <row r="2814" spans="1:4" x14ac:dyDescent="0.25">
      <c r="A2814" t="s">
        <v>11762</v>
      </c>
      <c r="B2814">
        <v>162</v>
      </c>
      <c r="C2814" s="4">
        <v>10254.18</v>
      </c>
      <c r="D2814">
        <v>8</v>
      </c>
    </row>
    <row r="2815" spans="1:4" x14ac:dyDescent="0.25">
      <c r="A2815" t="s">
        <v>11763</v>
      </c>
      <c r="B2815">
        <v>11</v>
      </c>
      <c r="C2815" s="4">
        <v>305.54000000000002</v>
      </c>
      <c r="D2815">
        <v>1</v>
      </c>
    </row>
    <row r="2816" spans="1:4" x14ac:dyDescent="0.25">
      <c r="A2816" t="s">
        <v>11764</v>
      </c>
      <c r="B2816">
        <v>28</v>
      </c>
      <c r="C2816" s="4">
        <v>6617.65</v>
      </c>
      <c r="D2816">
        <v>4</v>
      </c>
    </row>
    <row r="2817" spans="1:4" x14ac:dyDescent="0.25">
      <c r="A2817" t="s">
        <v>11765</v>
      </c>
      <c r="B2817">
        <v>15</v>
      </c>
      <c r="C2817" s="4">
        <v>338.71</v>
      </c>
      <c r="D2817">
        <v>1</v>
      </c>
    </row>
    <row r="2818" spans="1:4" x14ac:dyDescent="0.25">
      <c r="A2818" t="s">
        <v>11766</v>
      </c>
      <c r="B2818">
        <v>45</v>
      </c>
      <c r="C2818" s="4">
        <v>1158.79</v>
      </c>
      <c r="D2818">
        <v>6</v>
      </c>
    </row>
    <row r="2819" spans="1:4" x14ac:dyDescent="0.25">
      <c r="A2819" t="s">
        <v>11767</v>
      </c>
      <c r="B2819">
        <v>31</v>
      </c>
      <c r="C2819" s="4">
        <v>529.41</v>
      </c>
      <c r="D2819">
        <v>2</v>
      </c>
    </row>
    <row r="2820" spans="1:4" x14ac:dyDescent="0.25">
      <c r="A2820" t="s">
        <v>11768</v>
      </c>
      <c r="B2820">
        <v>218</v>
      </c>
      <c r="C2820" s="4">
        <v>4006.94</v>
      </c>
      <c r="D2820">
        <v>12</v>
      </c>
    </row>
    <row r="2821" spans="1:4" x14ac:dyDescent="0.25">
      <c r="A2821" t="s">
        <v>11769</v>
      </c>
      <c r="B2821">
        <v>295</v>
      </c>
      <c r="C2821" s="4">
        <v>6911.44</v>
      </c>
      <c r="D2821">
        <v>15</v>
      </c>
    </row>
    <row r="2822" spans="1:4" x14ac:dyDescent="0.25">
      <c r="A2822" t="s">
        <v>11770</v>
      </c>
      <c r="B2822">
        <v>67</v>
      </c>
      <c r="C2822" s="4">
        <v>981.86</v>
      </c>
      <c r="D2822">
        <v>4</v>
      </c>
    </row>
    <row r="2823" spans="1:4" x14ac:dyDescent="0.25">
      <c r="A2823" t="s">
        <v>11771</v>
      </c>
      <c r="B2823">
        <v>11</v>
      </c>
      <c r="C2823" s="4">
        <v>215.48</v>
      </c>
      <c r="D2823">
        <v>2</v>
      </c>
    </row>
    <row r="2824" spans="1:4" x14ac:dyDescent="0.25">
      <c r="A2824" t="s">
        <v>11772</v>
      </c>
      <c r="B2824">
        <v>6</v>
      </c>
      <c r="C2824" s="4">
        <v>215.08</v>
      </c>
      <c r="D2824">
        <v>1</v>
      </c>
    </row>
    <row r="2825" spans="1:4" x14ac:dyDescent="0.25">
      <c r="A2825" t="s">
        <v>11773</v>
      </c>
      <c r="B2825">
        <v>134</v>
      </c>
      <c r="C2825" s="4">
        <v>5180.5200000000004</v>
      </c>
      <c r="D2825">
        <v>13</v>
      </c>
    </row>
    <row r="2826" spans="1:4" x14ac:dyDescent="0.25">
      <c r="A2826" t="s">
        <v>11774</v>
      </c>
      <c r="B2826">
        <v>19</v>
      </c>
      <c r="C2826" s="4">
        <v>314.45</v>
      </c>
      <c r="D2826">
        <v>1</v>
      </c>
    </row>
    <row r="2827" spans="1:4" x14ac:dyDescent="0.25">
      <c r="A2827" t="s">
        <v>11775</v>
      </c>
      <c r="B2827">
        <v>15</v>
      </c>
      <c r="C2827" s="4">
        <v>400.68099999999998</v>
      </c>
      <c r="D2827">
        <v>1</v>
      </c>
    </row>
    <row r="2828" spans="1:4" x14ac:dyDescent="0.25">
      <c r="A2828" t="s">
        <v>11776</v>
      </c>
      <c r="B2828">
        <v>179</v>
      </c>
      <c r="C2828" s="4">
        <v>1080.6199999999999</v>
      </c>
      <c r="D2828">
        <v>2</v>
      </c>
    </row>
    <row r="2829" spans="1:4" x14ac:dyDescent="0.25">
      <c r="A2829" t="s">
        <v>11777</v>
      </c>
      <c r="B2829">
        <v>111</v>
      </c>
      <c r="C2829" s="4">
        <v>1863.47</v>
      </c>
      <c r="D2829">
        <v>4</v>
      </c>
    </row>
    <row r="2830" spans="1:4" x14ac:dyDescent="0.25">
      <c r="A2830" t="s">
        <v>11778</v>
      </c>
      <c r="B2830">
        <v>18</v>
      </c>
      <c r="C2830" s="4">
        <v>365.27</v>
      </c>
      <c r="D2830">
        <v>1</v>
      </c>
    </row>
    <row r="2831" spans="1:4" x14ac:dyDescent="0.25">
      <c r="A2831" t="s">
        <v>11779</v>
      </c>
      <c r="B2831">
        <v>35</v>
      </c>
      <c r="C2831" s="4">
        <v>592.9</v>
      </c>
      <c r="D2831">
        <v>4</v>
      </c>
    </row>
    <row r="2832" spans="1:4" x14ac:dyDescent="0.25">
      <c r="A2832" t="s">
        <v>11780</v>
      </c>
      <c r="B2832">
        <v>57</v>
      </c>
      <c r="C2832" s="4">
        <v>405.71</v>
      </c>
      <c r="D2832">
        <v>1</v>
      </c>
    </row>
    <row r="2833" spans="1:4" x14ac:dyDescent="0.25">
      <c r="A2833" t="s">
        <v>11781</v>
      </c>
      <c r="B2833">
        <v>97</v>
      </c>
      <c r="C2833" s="4">
        <v>754.78</v>
      </c>
      <c r="D2833">
        <v>4</v>
      </c>
    </row>
    <row r="2834" spans="1:4" x14ac:dyDescent="0.25">
      <c r="A2834" t="s">
        <v>11782</v>
      </c>
      <c r="B2834">
        <v>63</v>
      </c>
      <c r="C2834" s="4">
        <v>537.05999999999995</v>
      </c>
      <c r="D2834">
        <v>4</v>
      </c>
    </row>
    <row r="2835" spans="1:4" x14ac:dyDescent="0.25">
      <c r="A2835" t="s">
        <v>11783</v>
      </c>
      <c r="B2835">
        <v>19</v>
      </c>
      <c r="C2835" s="4">
        <v>394.38</v>
      </c>
      <c r="D2835">
        <v>1</v>
      </c>
    </row>
    <row r="2836" spans="1:4" x14ac:dyDescent="0.25">
      <c r="A2836" t="s">
        <v>11784</v>
      </c>
      <c r="B2836">
        <v>66</v>
      </c>
      <c r="C2836" s="4">
        <v>664.26</v>
      </c>
      <c r="D2836">
        <v>2</v>
      </c>
    </row>
    <row r="2837" spans="1:4" x14ac:dyDescent="0.25">
      <c r="A2837" t="s">
        <v>11785</v>
      </c>
      <c r="B2837">
        <v>46</v>
      </c>
      <c r="C2837" s="4">
        <v>2262.62</v>
      </c>
      <c r="D2837">
        <v>5</v>
      </c>
    </row>
    <row r="2838" spans="1:4" x14ac:dyDescent="0.25">
      <c r="A2838" t="s">
        <v>11786</v>
      </c>
      <c r="B2838">
        <v>122</v>
      </c>
      <c r="C2838" s="4">
        <v>21076.3</v>
      </c>
      <c r="D2838">
        <v>17</v>
      </c>
    </row>
    <row r="2839" spans="1:4" x14ac:dyDescent="0.25">
      <c r="A2839" t="s">
        <v>11787</v>
      </c>
      <c r="B2839">
        <v>23</v>
      </c>
      <c r="C2839" s="4">
        <v>547.02</v>
      </c>
      <c r="D2839">
        <v>1</v>
      </c>
    </row>
    <row r="2840" spans="1:4" x14ac:dyDescent="0.25">
      <c r="A2840" t="s">
        <v>11788</v>
      </c>
      <c r="B2840">
        <v>41</v>
      </c>
      <c r="C2840" s="4">
        <v>690.34</v>
      </c>
      <c r="D2840">
        <v>2</v>
      </c>
    </row>
    <row r="2841" spans="1:4" x14ac:dyDescent="0.25">
      <c r="A2841" t="s">
        <v>11789</v>
      </c>
      <c r="B2841">
        <v>6</v>
      </c>
      <c r="C2841" s="4">
        <v>159</v>
      </c>
      <c r="D2841">
        <v>1</v>
      </c>
    </row>
    <row r="2842" spans="1:4" x14ac:dyDescent="0.25">
      <c r="A2842" t="s">
        <v>11790</v>
      </c>
      <c r="B2842">
        <v>44</v>
      </c>
      <c r="C2842" s="4">
        <v>1062.75</v>
      </c>
      <c r="D2842">
        <v>3</v>
      </c>
    </row>
    <row r="2843" spans="1:4" x14ac:dyDescent="0.25">
      <c r="A2843" t="s">
        <v>11791</v>
      </c>
      <c r="B2843">
        <v>14</v>
      </c>
      <c r="C2843" s="4">
        <v>242.35</v>
      </c>
      <c r="D2843">
        <v>1</v>
      </c>
    </row>
    <row r="2844" spans="1:4" x14ac:dyDescent="0.25">
      <c r="A2844" t="s">
        <v>2775</v>
      </c>
      <c r="B2844">
        <v>37</v>
      </c>
      <c r="C2844" s="4">
        <v>914.93</v>
      </c>
      <c r="D2844">
        <v>1</v>
      </c>
    </row>
    <row r="2845" spans="1:4" x14ac:dyDescent="0.25">
      <c r="A2845" t="s">
        <v>11792</v>
      </c>
      <c r="B2845">
        <v>15</v>
      </c>
      <c r="C2845" s="4">
        <v>304.25</v>
      </c>
      <c r="D2845">
        <v>2</v>
      </c>
    </row>
    <row r="2846" spans="1:4" x14ac:dyDescent="0.25">
      <c r="A2846" t="s">
        <v>2672</v>
      </c>
      <c r="B2846">
        <v>84</v>
      </c>
      <c r="C2846" s="4">
        <v>3084.68</v>
      </c>
      <c r="D2846">
        <v>7</v>
      </c>
    </row>
    <row r="2847" spans="1:4" x14ac:dyDescent="0.25">
      <c r="A2847" t="s">
        <v>11793</v>
      </c>
      <c r="B2847">
        <v>97</v>
      </c>
      <c r="C2847" s="4">
        <v>864.86</v>
      </c>
      <c r="D2847">
        <v>3</v>
      </c>
    </row>
    <row r="2848" spans="1:4" x14ac:dyDescent="0.25">
      <c r="A2848" t="s">
        <v>11794</v>
      </c>
      <c r="B2848">
        <v>137</v>
      </c>
      <c r="C2848" s="4">
        <v>846.72</v>
      </c>
      <c r="D2848">
        <v>1</v>
      </c>
    </row>
    <row r="2849" spans="1:4" x14ac:dyDescent="0.25">
      <c r="A2849" t="s">
        <v>11795</v>
      </c>
      <c r="B2849">
        <v>96</v>
      </c>
      <c r="C2849" s="4">
        <v>1295.3</v>
      </c>
      <c r="D2849">
        <v>4</v>
      </c>
    </row>
    <row r="2850" spans="1:4" x14ac:dyDescent="0.25">
      <c r="A2850" t="s">
        <v>2073</v>
      </c>
      <c r="B2850">
        <v>134</v>
      </c>
      <c r="C2850" s="4">
        <v>1096.32</v>
      </c>
      <c r="D2850">
        <v>5</v>
      </c>
    </row>
    <row r="2851" spans="1:4" x14ac:dyDescent="0.25">
      <c r="A2851" t="s">
        <v>11796</v>
      </c>
      <c r="B2851">
        <v>8</v>
      </c>
      <c r="C2851" s="4">
        <v>255.12</v>
      </c>
      <c r="D2851">
        <v>3</v>
      </c>
    </row>
    <row r="2852" spans="1:4" x14ac:dyDescent="0.25">
      <c r="A2852" t="s">
        <v>11797</v>
      </c>
      <c r="B2852">
        <v>6</v>
      </c>
      <c r="C2852" s="4">
        <v>314.22000000000003</v>
      </c>
      <c r="D2852">
        <v>1</v>
      </c>
    </row>
    <row r="2853" spans="1:4" x14ac:dyDescent="0.25">
      <c r="A2853" t="s">
        <v>11798</v>
      </c>
      <c r="B2853">
        <v>47</v>
      </c>
      <c r="C2853" s="4">
        <v>1010.6</v>
      </c>
      <c r="D2853">
        <v>2</v>
      </c>
    </row>
    <row r="2854" spans="1:4" x14ac:dyDescent="0.25">
      <c r="A2854" t="s">
        <v>11799</v>
      </c>
      <c r="B2854">
        <v>35</v>
      </c>
      <c r="C2854" s="4">
        <v>542.03</v>
      </c>
      <c r="D2854">
        <v>2</v>
      </c>
    </row>
    <row r="2855" spans="1:4" x14ac:dyDescent="0.25">
      <c r="A2855" t="s">
        <v>11800</v>
      </c>
      <c r="B2855">
        <v>37</v>
      </c>
      <c r="C2855" s="4">
        <v>990.88</v>
      </c>
      <c r="D2855">
        <v>4</v>
      </c>
    </row>
    <row r="2856" spans="1:4" x14ac:dyDescent="0.25">
      <c r="A2856" t="s">
        <v>11801</v>
      </c>
      <c r="B2856">
        <v>22</v>
      </c>
      <c r="C2856" s="4">
        <v>536.67999999999995</v>
      </c>
      <c r="D2856">
        <v>3</v>
      </c>
    </row>
    <row r="2857" spans="1:4" x14ac:dyDescent="0.25">
      <c r="A2857" t="s">
        <v>2059</v>
      </c>
      <c r="B2857">
        <v>45</v>
      </c>
      <c r="C2857" s="4">
        <v>857.31</v>
      </c>
      <c r="D2857">
        <v>4</v>
      </c>
    </row>
    <row r="2858" spans="1:4" x14ac:dyDescent="0.25">
      <c r="A2858" t="s">
        <v>2609</v>
      </c>
      <c r="B2858">
        <v>20</v>
      </c>
      <c r="C2858" s="4">
        <v>432.2</v>
      </c>
      <c r="D2858">
        <v>1</v>
      </c>
    </row>
    <row r="2859" spans="1:4" x14ac:dyDescent="0.25">
      <c r="A2859" t="s">
        <v>11802</v>
      </c>
      <c r="B2859">
        <v>19</v>
      </c>
      <c r="C2859" s="4">
        <v>414.2</v>
      </c>
      <c r="D2859">
        <v>2</v>
      </c>
    </row>
    <row r="2860" spans="1:4" x14ac:dyDescent="0.25">
      <c r="A2860" t="s">
        <v>11803</v>
      </c>
      <c r="B2860">
        <v>135</v>
      </c>
      <c r="C2860" s="4">
        <v>3718.8</v>
      </c>
      <c r="D2860">
        <v>2</v>
      </c>
    </row>
    <row r="2861" spans="1:4" x14ac:dyDescent="0.25">
      <c r="A2861" t="s">
        <v>11804</v>
      </c>
      <c r="B2861">
        <v>662</v>
      </c>
      <c r="C2861" s="4">
        <v>2607.87</v>
      </c>
      <c r="D2861">
        <v>13</v>
      </c>
    </row>
    <row r="2862" spans="1:4" x14ac:dyDescent="0.25">
      <c r="A2862" t="s">
        <v>11805</v>
      </c>
      <c r="B2862">
        <v>294</v>
      </c>
      <c r="C2862" s="4">
        <v>3603.21</v>
      </c>
      <c r="D2862">
        <v>7</v>
      </c>
    </row>
    <row r="2863" spans="1:4" x14ac:dyDescent="0.25">
      <c r="A2863" t="s">
        <v>11806</v>
      </c>
      <c r="B2863">
        <v>51</v>
      </c>
      <c r="C2863" s="4">
        <v>409.1</v>
      </c>
      <c r="D2863">
        <v>2</v>
      </c>
    </row>
    <row r="2864" spans="1:4" x14ac:dyDescent="0.25">
      <c r="A2864" t="s">
        <v>11807</v>
      </c>
      <c r="B2864">
        <v>91</v>
      </c>
      <c r="C2864" s="4">
        <v>1522.75</v>
      </c>
      <c r="D2864">
        <v>2</v>
      </c>
    </row>
    <row r="2865" spans="1:4" x14ac:dyDescent="0.25">
      <c r="A2865" t="s">
        <v>11808</v>
      </c>
      <c r="B2865">
        <v>90</v>
      </c>
      <c r="C2865" s="4">
        <v>1413.66</v>
      </c>
      <c r="D2865">
        <v>3</v>
      </c>
    </row>
    <row r="2866" spans="1:4" x14ac:dyDescent="0.25">
      <c r="A2866" t="s">
        <v>11809</v>
      </c>
      <c r="B2866">
        <v>16</v>
      </c>
      <c r="C2866" s="4">
        <v>114.56</v>
      </c>
      <c r="D2866">
        <v>1</v>
      </c>
    </row>
    <row r="2867" spans="1:4" x14ac:dyDescent="0.25">
      <c r="A2867" t="s">
        <v>11810</v>
      </c>
      <c r="B2867">
        <v>7</v>
      </c>
      <c r="C2867" s="4">
        <v>152.94</v>
      </c>
      <c r="D2867">
        <v>1</v>
      </c>
    </row>
    <row r="2868" spans="1:4" x14ac:dyDescent="0.25">
      <c r="A2868" t="s">
        <v>11811</v>
      </c>
      <c r="B2868">
        <v>69</v>
      </c>
      <c r="C2868" s="4">
        <v>1800.07</v>
      </c>
      <c r="D2868">
        <v>5</v>
      </c>
    </row>
    <row r="2869" spans="1:4" x14ac:dyDescent="0.25">
      <c r="A2869" t="s">
        <v>11812</v>
      </c>
      <c r="B2869">
        <v>24</v>
      </c>
      <c r="C2869" s="4">
        <v>389.44</v>
      </c>
      <c r="D2869">
        <v>2</v>
      </c>
    </row>
    <row r="2870" spans="1:4" x14ac:dyDescent="0.25">
      <c r="A2870" t="s">
        <v>11813</v>
      </c>
      <c r="B2870">
        <v>123</v>
      </c>
      <c r="C2870" s="4">
        <v>3683.86</v>
      </c>
      <c r="D2870">
        <v>2</v>
      </c>
    </row>
    <row r="2871" spans="1:4" x14ac:dyDescent="0.25">
      <c r="A2871" t="s">
        <v>11814</v>
      </c>
      <c r="B2871">
        <v>270</v>
      </c>
      <c r="C2871" s="4">
        <v>2619.91</v>
      </c>
      <c r="D2871">
        <v>8</v>
      </c>
    </row>
    <row r="2872" spans="1:4" x14ac:dyDescent="0.25">
      <c r="A2872" t="s">
        <v>11815</v>
      </c>
      <c r="B2872">
        <v>13</v>
      </c>
      <c r="C2872" s="4">
        <v>752.43</v>
      </c>
      <c r="D2872">
        <v>1</v>
      </c>
    </row>
    <row r="2873" spans="1:4" x14ac:dyDescent="0.25">
      <c r="A2873" t="s">
        <v>11816</v>
      </c>
      <c r="B2873">
        <v>1</v>
      </c>
      <c r="C2873" s="4">
        <v>21.95</v>
      </c>
      <c r="D2873">
        <v>1</v>
      </c>
    </row>
    <row r="2874" spans="1:4" x14ac:dyDescent="0.25">
      <c r="A2874" t="s">
        <v>11817</v>
      </c>
      <c r="B2874">
        <v>135</v>
      </c>
      <c r="C2874" s="4">
        <v>5203.51</v>
      </c>
      <c r="D2874">
        <v>5</v>
      </c>
    </row>
    <row r="2875" spans="1:4" x14ac:dyDescent="0.25">
      <c r="A2875" t="s">
        <v>11818</v>
      </c>
      <c r="B2875">
        <v>18</v>
      </c>
      <c r="C2875" s="4">
        <v>1035.45</v>
      </c>
      <c r="D2875">
        <v>1</v>
      </c>
    </row>
    <row r="2876" spans="1:4" x14ac:dyDescent="0.25">
      <c r="A2876" t="s">
        <v>11819</v>
      </c>
      <c r="B2876">
        <v>124</v>
      </c>
      <c r="C2876" s="4">
        <v>746.83</v>
      </c>
      <c r="D2876">
        <v>4</v>
      </c>
    </row>
    <row r="2877" spans="1:4" x14ac:dyDescent="0.25">
      <c r="A2877" t="s">
        <v>11820</v>
      </c>
      <c r="B2877">
        <v>256</v>
      </c>
      <c r="C2877" s="4">
        <v>5347</v>
      </c>
      <c r="D2877">
        <v>9</v>
      </c>
    </row>
    <row r="2878" spans="1:4" x14ac:dyDescent="0.25">
      <c r="A2878" t="s">
        <v>11821</v>
      </c>
      <c r="B2878">
        <v>61</v>
      </c>
      <c r="C2878" s="4">
        <v>861.89</v>
      </c>
      <c r="D2878">
        <v>7</v>
      </c>
    </row>
    <row r="2879" spans="1:4" x14ac:dyDescent="0.25">
      <c r="A2879" t="s">
        <v>11822</v>
      </c>
      <c r="B2879">
        <v>44</v>
      </c>
      <c r="C2879" s="4">
        <v>617.65</v>
      </c>
      <c r="D2879">
        <v>2</v>
      </c>
    </row>
    <row r="2880" spans="1:4" x14ac:dyDescent="0.25">
      <c r="A2880" t="s">
        <v>11823</v>
      </c>
      <c r="B2880">
        <v>54</v>
      </c>
      <c r="C2880" s="4">
        <v>1141.24</v>
      </c>
      <c r="D2880">
        <v>1</v>
      </c>
    </row>
    <row r="2881" spans="1:4" x14ac:dyDescent="0.25">
      <c r="A2881" t="s">
        <v>11824</v>
      </c>
      <c r="B2881">
        <v>132</v>
      </c>
      <c r="C2881" s="4">
        <v>1414.24</v>
      </c>
      <c r="D2881">
        <v>4</v>
      </c>
    </row>
    <row r="2882" spans="1:4" x14ac:dyDescent="0.25">
      <c r="A2882" t="s">
        <v>11825</v>
      </c>
      <c r="B2882">
        <v>25</v>
      </c>
      <c r="C2882" s="4">
        <v>411.7</v>
      </c>
      <c r="D2882">
        <v>1</v>
      </c>
    </row>
    <row r="2883" spans="1:4" x14ac:dyDescent="0.25">
      <c r="A2883" t="s">
        <v>11826</v>
      </c>
      <c r="B2883">
        <v>65</v>
      </c>
      <c r="C2883" s="4">
        <v>337.75</v>
      </c>
      <c r="D2883">
        <v>1</v>
      </c>
    </row>
    <row r="2884" spans="1:4" x14ac:dyDescent="0.25">
      <c r="A2884" t="s">
        <v>11827</v>
      </c>
      <c r="B2884">
        <v>33</v>
      </c>
      <c r="C2884" s="4">
        <v>559.87</v>
      </c>
      <c r="D2884">
        <v>1</v>
      </c>
    </row>
    <row r="2885" spans="1:4" x14ac:dyDescent="0.25">
      <c r="A2885" t="s">
        <v>11828</v>
      </c>
      <c r="B2885">
        <v>6</v>
      </c>
      <c r="C2885" s="4">
        <v>810.6</v>
      </c>
      <c r="D2885">
        <v>1</v>
      </c>
    </row>
    <row r="2886" spans="1:4" x14ac:dyDescent="0.25">
      <c r="A2886" t="s">
        <v>11829</v>
      </c>
      <c r="B2886">
        <v>23</v>
      </c>
      <c r="C2886" s="4">
        <v>566.38</v>
      </c>
      <c r="D2886">
        <v>1</v>
      </c>
    </row>
    <row r="2887" spans="1:4" x14ac:dyDescent="0.25">
      <c r="A2887" t="s">
        <v>11830</v>
      </c>
      <c r="B2887">
        <v>107</v>
      </c>
      <c r="C2887" s="4">
        <v>1509.58</v>
      </c>
      <c r="D2887">
        <v>3</v>
      </c>
    </row>
    <row r="2888" spans="1:4" x14ac:dyDescent="0.25">
      <c r="A2888" t="s">
        <v>11831</v>
      </c>
      <c r="B2888">
        <v>17</v>
      </c>
      <c r="C2888" s="4">
        <v>2062.06</v>
      </c>
      <c r="D2888">
        <v>1</v>
      </c>
    </row>
    <row r="2889" spans="1:4" x14ac:dyDescent="0.25">
      <c r="A2889" t="s">
        <v>11832</v>
      </c>
      <c r="B2889">
        <v>11</v>
      </c>
      <c r="C2889" s="4">
        <v>168.3</v>
      </c>
      <c r="D2889">
        <v>1</v>
      </c>
    </row>
    <row r="2890" spans="1:4" x14ac:dyDescent="0.25">
      <c r="A2890" t="s">
        <v>11833</v>
      </c>
      <c r="B2890">
        <v>165</v>
      </c>
      <c r="C2890" s="4">
        <v>1569.11</v>
      </c>
      <c r="D2890">
        <v>5</v>
      </c>
    </row>
    <row r="2891" spans="1:4" x14ac:dyDescent="0.25">
      <c r="A2891" t="s">
        <v>11834</v>
      </c>
      <c r="B2891">
        <v>109</v>
      </c>
      <c r="C2891" s="4">
        <v>823.97</v>
      </c>
      <c r="D2891">
        <v>2</v>
      </c>
    </row>
    <row r="2892" spans="1:4" x14ac:dyDescent="0.25">
      <c r="A2892" t="s">
        <v>11835</v>
      </c>
      <c r="B2892">
        <v>8</v>
      </c>
      <c r="C2892" s="4">
        <v>142.5</v>
      </c>
      <c r="D2892">
        <v>1</v>
      </c>
    </row>
    <row r="2893" spans="1:4" x14ac:dyDescent="0.25">
      <c r="A2893" t="s">
        <v>11836</v>
      </c>
      <c r="B2893">
        <v>17</v>
      </c>
      <c r="C2893" s="4">
        <v>302.25</v>
      </c>
      <c r="D2893">
        <v>1</v>
      </c>
    </row>
    <row r="2894" spans="1:4" x14ac:dyDescent="0.25">
      <c r="A2894" t="s">
        <v>11837</v>
      </c>
      <c r="B2894">
        <v>118</v>
      </c>
      <c r="C2894" s="4">
        <v>2248.9899999999998</v>
      </c>
      <c r="D2894">
        <v>10</v>
      </c>
    </row>
    <row r="2895" spans="1:4" x14ac:dyDescent="0.25">
      <c r="A2895" t="s">
        <v>11838</v>
      </c>
      <c r="B2895">
        <v>79</v>
      </c>
      <c r="C2895" s="4">
        <v>1328.55</v>
      </c>
      <c r="D2895">
        <v>4</v>
      </c>
    </row>
    <row r="2896" spans="1:4" x14ac:dyDescent="0.25">
      <c r="A2896" t="s">
        <v>11839</v>
      </c>
      <c r="B2896">
        <v>20</v>
      </c>
      <c r="C2896" s="4">
        <v>301.89999999999998</v>
      </c>
      <c r="D2896">
        <v>1</v>
      </c>
    </row>
    <row r="2897" spans="1:4" x14ac:dyDescent="0.25">
      <c r="A2897" t="s">
        <v>11840</v>
      </c>
      <c r="B2897">
        <v>27</v>
      </c>
      <c r="C2897" s="4">
        <v>598.20000000000005</v>
      </c>
      <c r="D2897">
        <v>3</v>
      </c>
    </row>
    <row r="2898" spans="1:4" x14ac:dyDescent="0.25">
      <c r="A2898" t="s">
        <v>11841</v>
      </c>
      <c r="B2898">
        <v>11</v>
      </c>
      <c r="C2898" s="4">
        <v>233.22</v>
      </c>
      <c r="D2898">
        <v>1</v>
      </c>
    </row>
    <row r="2899" spans="1:4" x14ac:dyDescent="0.25">
      <c r="A2899" t="s">
        <v>11842</v>
      </c>
      <c r="B2899">
        <v>162</v>
      </c>
      <c r="C2899" s="4">
        <v>5360.63</v>
      </c>
      <c r="D2899">
        <v>3</v>
      </c>
    </row>
    <row r="2900" spans="1:4" x14ac:dyDescent="0.25">
      <c r="A2900" t="s">
        <v>11843</v>
      </c>
      <c r="B2900">
        <v>22</v>
      </c>
      <c r="C2900" s="4">
        <v>361.22</v>
      </c>
      <c r="D2900">
        <v>1</v>
      </c>
    </row>
    <row r="2901" spans="1:4" x14ac:dyDescent="0.25">
      <c r="A2901" t="s">
        <v>11844</v>
      </c>
      <c r="B2901">
        <v>41</v>
      </c>
      <c r="C2901" s="4">
        <v>632.27</v>
      </c>
      <c r="D2901">
        <v>6</v>
      </c>
    </row>
    <row r="2902" spans="1:4" x14ac:dyDescent="0.25">
      <c r="A2902" t="s">
        <v>11845</v>
      </c>
      <c r="B2902">
        <v>4</v>
      </c>
      <c r="C2902" s="4">
        <v>2560</v>
      </c>
      <c r="D2902">
        <v>4</v>
      </c>
    </row>
    <row r="2903" spans="1:4" x14ac:dyDescent="0.25">
      <c r="A2903" t="s">
        <v>11846</v>
      </c>
      <c r="B2903">
        <v>42</v>
      </c>
      <c r="C2903" s="4">
        <v>706.57</v>
      </c>
      <c r="D2903">
        <v>2</v>
      </c>
    </row>
    <row r="2904" spans="1:4" x14ac:dyDescent="0.25">
      <c r="A2904" t="s">
        <v>11847</v>
      </c>
      <c r="B2904">
        <v>37</v>
      </c>
      <c r="C2904" s="4">
        <v>616.26</v>
      </c>
      <c r="D2904">
        <v>2</v>
      </c>
    </row>
    <row r="2905" spans="1:4" x14ac:dyDescent="0.25">
      <c r="A2905" t="s">
        <v>11848</v>
      </c>
      <c r="B2905">
        <v>16</v>
      </c>
      <c r="C2905" s="4">
        <v>274.14999999999998</v>
      </c>
      <c r="D2905">
        <v>2</v>
      </c>
    </row>
    <row r="2906" spans="1:4" x14ac:dyDescent="0.25">
      <c r="A2906" t="s">
        <v>11849</v>
      </c>
      <c r="B2906">
        <v>14</v>
      </c>
      <c r="C2906" s="4">
        <v>226.37</v>
      </c>
      <c r="D2906">
        <v>1</v>
      </c>
    </row>
    <row r="2907" spans="1:4" x14ac:dyDescent="0.25">
      <c r="A2907" t="s">
        <v>11850</v>
      </c>
      <c r="B2907">
        <v>151</v>
      </c>
      <c r="C2907" s="4">
        <v>2938.91</v>
      </c>
      <c r="D2907">
        <v>8</v>
      </c>
    </row>
    <row r="2908" spans="1:4" x14ac:dyDescent="0.25">
      <c r="A2908" t="s">
        <v>11851</v>
      </c>
      <c r="B2908">
        <v>69</v>
      </c>
      <c r="C2908" s="4">
        <v>1341.65</v>
      </c>
      <c r="D2908">
        <v>3</v>
      </c>
    </row>
    <row r="2909" spans="1:4" x14ac:dyDescent="0.25">
      <c r="A2909" t="s">
        <v>11852</v>
      </c>
      <c r="B2909">
        <v>19</v>
      </c>
      <c r="C2909" s="4">
        <v>328.15</v>
      </c>
      <c r="D2909">
        <v>1</v>
      </c>
    </row>
    <row r="2910" spans="1:4" x14ac:dyDescent="0.25">
      <c r="A2910" t="s">
        <v>11853</v>
      </c>
      <c r="B2910">
        <v>3</v>
      </c>
      <c r="C2910" s="4">
        <v>404.4</v>
      </c>
      <c r="D2910">
        <v>1</v>
      </c>
    </row>
    <row r="2911" spans="1:4" x14ac:dyDescent="0.25">
      <c r="A2911" t="s">
        <v>11854</v>
      </c>
      <c r="B2911">
        <v>56</v>
      </c>
      <c r="C2911" s="4">
        <v>1038.46</v>
      </c>
      <c r="D2911">
        <v>2</v>
      </c>
    </row>
    <row r="2912" spans="1:4" x14ac:dyDescent="0.25">
      <c r="A2912" t="s">
        <v>11855</v>
      </c>
      <c r="B2912">
        <v>12</v>
      </c>
      <c r="C2912" s="4">
        <v>373.65</v>
      </c>
      <c r="D2912">
        <v>5</v>
      </c>
    </row>
    <row r="2913" spans="1:4" x14ac:dyDescent="0.25">
      <c r="A2913" t="s">
        <v>11856</v>
      </c>
      <c r="B2913">
        <v>37</v>
      </c>
      <c r="C2913" s="4">
        <v>326.75</v>
      </c>
      <c r="D2913">
        <v>2</v>
      </c>
    </row>
    <row r="2914" spans="1:4" x14ac:dyDescent="0.25">
      <c r="A2914" t="s">
        <v>11857</v>
      </c>
      <c r="B2914">
        <v>1</v>
      </c>
      <c r="C2914" s="4">
        <v>207.5</v>
      </c>
      <c r="D2914">
        <v>1</v>
      </c>
    </row>
    <row r="2915" spans="1:4" x14ac:dyDescent="0.25">
      <c r="A2915" t="s">
        <v>11858</v>
      </c>
      <c r="B2915">
        <v>118</v>
      </c>
      <c r="C2915" s="4">
        <v>428.68</v>
      </c>
      <c r="D2915">
        <v>3</v>
      </c>
    </row>
    <row r="2916" spans="1:4" x14ac:dyDescent="0.25">
      <c r="A2916" t="s">
        <v>11859</v>
      </c>
      <c r="B2916">
        <v>18</v>
      </c>
      <c r="C2916" s="4">
        <v>594.24</v>
      </c>
      <c r="D2916">
        <v>3</v>
      </c>
    </row>
    <row r="2917" spans="1:4" x14ac:dyDescent="0.25">
      <c r="A2917" t="s">
        <v>11860</v>
      </c>
      <c r="B2917">
        <v>319</v>
      </c>
      <c r="C2917" s="4">
        <v>3110.96</v>
      </c>
      <c r="D2917">
        <v>14</v>
      </c>
    </row>
    <row r="2918" spans="1:4" x14ac:dyDescent="0.25">
      <c r="A2918" t="s">
        <v>11861</v>
      </c>
      <c r="B2918">
        <v>318</v>
      </c>
      <c r="C2918" s="4">
        <v>3813.62</v>
      </c>
      <c r="D2918">
        <v>6</v>
      </c>
    </row>
    <row r="2919" spans="1:4" x14ac:dyDescent="0.25">
      <c r="A2919" t="s">
        <v>11862</v>
      </c>
      <c r="B2919">
        <v>39</v>
      </c>
      <c r="C2919" s="4">
        <v>251.91</v>
      </c>
      <c r="D2919">
        <v>3</v>
      </c>
    </row>
    <row r="2920" spans="1:4" x14ac:dyDescent="0.25">
      <c r="A2920" t="s">
        <v>11863</v>
      </c>
      <c r="B2920">
        <v>153</v>
      </c>
      <c r="C2920" s="4">
        <v>1593.2</v>
      </c>
      <c r="D2920">
        <v>7</v>
      </c>
    </row>
    <row r="2921" spans="1:4" x14ac:dyDescent="0.25">
      <c r="A2921" t="s">
        <v>11864</v>
      </c>
      <c r="B2921">
        <v>45</v>
      </c>
      <c r="C2921" s="4">
        <v>26626.799999999999</v>
      </c>
      <c r="D2921">
        <v>22</v>
      </c>
    </row>
    <row r="2922" spans="1:4" x14ac:dyDescent="0.25">
      <c r="A2922" t="s">
        <v>11865</v>
      </c>
      <c r="B2922">
        <v>10</v>
      </c>
      <c r="C2922" s="4">
        <v>151.05000000000001</v>
      </c>
      <c r="D2922">
        <v>1</v>
      </c>
    </row>
    <row r="2923" spans="1:4" x14ac:dyDescent="0.25">
      <c r="A2923" t="s">
        <v>11866</v>
      </c>
      <c r="B2923">
        <v>11</v>
      </c>
      <c r="C2923" s="4">
        <v>214.8</v>
      </c>
      <c r="D2923">
        <v>1</v>
      </c>
    </row>
    <row r="2924" spans="1:4" x14ac:dyDescent="0.25">
      <c r="A2924" t="s">
        <v>11867</v>
      </c>
      <c r="B2924">
        <v>20</v>
      </c>
      <c r="C2924" s="4">
        <v>109.95</v>
      </c>
      <c r="D2924">
        <v>1</v>
      </c>
    </row>
    <row r="2925" spans="1:4" x14ac:dyDescent="0.25">
      <c r="A2925" t="s">
        <v>11868</v>
      </c>
      <c r="B2925">
        <v>153</v>
      </c>
      <c r="C2925" s="4">
        <v>549.07000000000005</v>
      </c>
      <c r="D2925">
        <v>1</v>
      </c>
    </row>
    <row r="2926" spans="1:4" x14ac:dyDescent="0.25">
      <c r="A2926" t="s">
        <v>11869</v>
      </c>
      <c r="B2926">
        <v>77</v>
      </c>
      <c r="C2926" s="4">
        <v>1971.87</v>
      </c>
      <c r="D2926">
        <v>4</v>
      </c>
    </row>
    <row r="2927" spans="1:4" x14ac:dyDescent="0.25">
      <c r="A2927" t="s">
        <v>11870</v>
      </c>
      <c r="B2927">
        <v>15</v>
      </c>
      <c r="C2927" s="4">
        <v>322.41000000000003</v>
      </c>
      <c r="D2927">
        <v>4</v>
      </c>
    </row>
    <row r="2928" spans="1:4" x14ac:dyDescent="0.25">
      <c r="A2928" t="s">
        <v>11871</v>
      </c>
      <c r="B2928">
        <v>47</v>
      </c>
      <c r="C2928" s="4">
        <v>370.48</v>
      </c>
      <c r="D2928">
        <v>2</v>
      </c>
    </row>
    <row r="2929" spans="1:4" x14ac:dyDescent="0.25">
      <c r="A2929" t="s">
        <v>11872</v>
      </c>
      <c r="B2929">
        <v>2</v>
      </c>
      <c r="C2929" s="4">
        <v>101.1</v>
      </c>
      <c r="D2929">
        <v>1</v>
      </c>
    </row>
    <row r="2930" spans="1:4" x14ac:dyDescent="0.25">
      <c r="A2930" t="s">
        <v>11873</v>
      </c>
      <c r="B2930">
        <v>38</v>
      </c>
      <c r="C2930" s="4">
        <v>575.41</v>
      </c>
      <c r="D2930">
        <v>1</v>
      </c>
    </row>
    <row r="2931" spans="1:4" x14ac:dyDescent="0.25">
      <c r="A2931" t="s">
        <v>11874</v>
      </c>
      <c r="B2931">
        <v>92</v>
      </c>
      <c r="C2931" s="4">
        <v>887.65</v>
      </c>
      <c r="D2931">
        <v>2</v>
      </c>
    </row>
    <row r="2932" spans="1:4" x14ac:dyDescent="0.25">
      <c r="A2932" t="s">
        <v>11875</v>
      </c>
      <c r="B2932">
        <v>234</v>
      </c>
      <c r="C2932" s="4">
        <v>1467.11</v>
      </c>
      <c r="D2932">
        <v>7</v>
      </c>
    </row>
    <row r="2933" spans="1:4" x14ac:dyDescent="0.25">
      <c r="A2933" t="s">
        <v>11876</v>
      </c>
      <c r="B2933">
        <v>9</v>
      </c>
      <c r="C2933" s="4">
        <v>53.5</v>
      </c>
      <c r="D2933">
        <v>1</v>
      </c>
    </row>
    <row r="2934" spans="1:4" x14ac:dyDescent="0.25">
      <c r="A2934" t="s">
        <v>11877</v>
      </c>
      <c r="B2934">
        <v>57</v>
      </c>
      <c r="C2934" s="4">
        <v>1116.47</v>
      </c>
      <c r="D2934">
        <v>4</v>
      </c>
    </row>
    <row r="2935" spans="1:4" x14ac:dyDescent="0.25">
      <c r="A2935" t="s">
        <v>11878</v>
      </c>
      <c r="B2935">
        <v>8</v>
      </c>
      <c r="C2935" s="4">
        <v>153.9</v>
      </c>
      <c r="D2935">
        <v>1</v>
      </c>
    </row>
    <row r="2936" spans="1:4" x14ac:dyDescent="0.25">
      <c r="A2936" t="s">
        <v>11879</v>
      </c>
      <c r="B2936">
        <v>28</v>
      </c>
      <c r="C2936" s="4">
        <v>494.44</v>
      </c>
      <c r="D2936">
        <v>2</v>
      </c>
    </row>
    <row r="2937" spans="1:4" x14ac:dyDescent="0.25">
      <c r="A2937" t="s">
        <v>11880</v>
      </c>
      <c r="B2937">
        <v>94</v>
      </c>
      <c r="C2937" s="4">
        <v>6675.71</v>
      </c>
      <c r="D2937">
        <v>23</v>
      </c>
    </row>
    <row r="2938" spans="1:4" x14ac:dyDescent="0.25">
      <c r="A2938" t="s">
        <v>11881</v>
      </c>
      <c r="B2938">
        <v>39</v>
      </c>
      <c r="C2938" s="4">
        <v>395.8</v>
      </c>
      <c r="D2938">
        <v>2</v>
      </c>
    </row>
    <row r="2939" spans="1:4" x14ac:dyDescent="0.25">
      <c r="A2939" t="s">
        <v>11882</v>
      </c>
      <c r="B2939">
        <v>31</v>
      </c>
      <c r="C2939" s="4">
        <v>211.77</v>
      </c>
      <c r="D2939">
        <v>3</v>
      </c>
    </row>
    <row r="2940" spans="1:4" x14ac:dyDescent="0.25">
      <c r="A2940" t="s">
        <v>11883</v>
      </c>
      <c r="B2940">
        <v>34</v>
      </c>
      <c r="C2940" s="4">
        <v>658.88</v>
      </c>
      <c r="D2940">
        <v>3</v>
      </c>
    </row>
    <row r="2941" spans="1:4" x14ac:dyDescent="0.25">
      <c r="A2941" t="s">
        <v>11884</v>
      </c>
      <c r="B2941">
        <v>109</v>
      </c>
      <c r="C2941" s="4">
        <v>2027.5</v>
      </c>
      <c r="D2941">
        <v>4</v>
      </c>
    </row>
    <row r="2942" spans="1:4" x14ac:dyDescent="0.25">
      <c r="A2942" t="s">
        <v>11885</v>
      </c>
      <c r="B2942">
        <v>66</v>
      </c>
      <c r="C2942" s="4">
        <v>1750.92</v>
      </c>
      <c r="D2942">
        <v>9</v>
      </c>
    </row>
    <row r="2943" spans="1:4" x14ac:dyDescent="0.25">
      <c r="A2943" t="s">
        <v>11886</v>
      </c>
      <c r="B2943">
        <v>662</v>
      </c>
      <c r="C2943" s="4">
        <v>3512.53</v>
      </c>
      <c r="D2943">
        <v>6</v>
      </c>
    </row>
    <row r="2944" spans="1:4" x14ac:dyDescent="0.25">
      <c r="A2944" t="s">
        <v>11887</v>
      </c>
      <c r="B2944">
        <v>106</v>
      </c>
      <c r="C2944" s="4">
        <v>896.66</v>
      </c>
      <c r="D2944">
        <v>4</v>
      </c>
    </row>
    <row r="2945" spans="1:4" x14ac:dyDescent="0.25">
      <c r="A2945" t="s">
        <v>11888</v>
      </c>
      <c r="B2945">
        <v>81</v>
      </c>
      <c r="C2945" s="4">
        <v>734.77</v>
      </c>
      <c r="D2945">
        <v>5</v>
      </c>
    </row>
    <row r="2946" spans="1:4" x14ac:dyDescent="0.25">
      <c r="A2946" t="s">
        <v>11889</v>
      </c>
      <c r="B2946">
        <v>5</v>
      </c>
      <c r="C2946" s="4">
        <v>109.36</v>
      </c>
      <c r="D2946">
        <v>1</v>
      </c>
    </row>
    <row r="2947" spans="1:4" x14ac:dyDescent="0.25">
      <c r="A2947" t="s">
        <v>11890</v>
      </c>
      <c r="B2947">
        <v>53</v>
      </c>
      <c r="C2947" s="4">
        <v>707.04</v>
      </c>
      <c r="D2947">
        <v>2</v>
      </c>
    </row>
    <row r="2948" spans="1:4" x14ac:dyDescent="0.25">
      <c r="A2948" t="s">
        <v>11891</v>
      </c>
      <c r="B2948">
        <v>51</v>
      </c>
      <c r="C2948" s="4">
        <v>1540.42</v>
      </c>
      <c r="D2948">
        <v>9</v>
      </c>
    </row>
    <row r="2949" spans="1:4" x14ac:dyDescent="0.25">
      <c r="A2949" t="s">
        <v>11892</v>
      </c>
      <c r="B2949">
        <v>18</v>
      </c>
      <c r="C2949" s="4">
        <v>327.3</v>
      </c>
      <c r="D2949">
        <v>1</v>
      </c>
    </row>
    <row r="2950" spans="1:4" x14ac:dyDescent="0.25">
      <c r="A2950" t="s">
        <v>11893</v>
      </c>
      <c r="B2950">
        <v>130</v>
      </c>
      <c r="C2950" s="4">
        <v>804.49</v>
      </c>
      <c r="D2950">
        <v>2</v>
      </c>
    </row>
    <row r="2951" spans="1:4" x14ac:dyDescent="0.25">
      <c r="A2951" t="s">
        <v>11894</v>
      </c>
      <c r="B2951">
        <v>76</v>
      </c>
      <c r="C2951" s="4">
        <v>497.43</v>
      </c>
      <c r="D2951">
        <v>2</v>
      </c>
    </row>
    <row r="2952" spans="1:4" x14ac:dyDescent="0.25">
      <c r="A2952" t="s">
        <v>11895</v>
      </c>
      <c r="B2952">
        <v>116</v>
      </c>
      <c r="C2952" s="4">
        <v>1551.58</v>
      </c>
      <c r="D2952">
        <v>3</v>
      </c>
    </row>
    <row r="2953" spans="1:4" x14ac:dyDescent="0.25">
      <c r="A2953" t="s">
        <v>11896</v>
      </c>
      <c r="B2953">
        <v>228</v>
      </c>
      <c r="C2953" s="4">
        <v>1320.56</v>
      </c>
      <c r="D2953">
        <v>4</v>
      </c>
    </row>
    <row r="2954" spans="1:4" x14ac:dyDescent="0.25">
      <c r="A2954" t="s">
        <v>11897</v>
      </c>
      <c r="B2954">
        <v>97</v>
      </c>
      <c r="C2954" s="4">
        <v>367.93</v>
      </c>
      <c r="D2954">
        <v>2</v>
      </c>
    </row>
    <row r="2955" spans="1:4" x14ac:dyDescent="0.25">
      <c r="A2955" t="s">
        <v>11898</v>
      </c>
      <c r="B2955">
        <v>110</v>
      </c>
      <c r="C2955" s="4">
        <v>465.08</v>
      </c>
      <c r="D2955">
        <v>2</v>
      </c>
    </row>
    <row r="2956" spans="1:4" x14ac:dyDescent="0.25">
      <c r="A2956" t="s">
        <v>11899</v>
      </c>
      <c r="B2956">
        <v>125</v>
      </c>
      <c r="C2956" s="4">
        <v>987.01</v>
      </c>
      <c r="D2956">
        <v>2</v>
      </c>
    </row>
    <row r="2957" spans="1:4" x14ac:dyDescent="0.25">
      <c r="A2957" t="s">
        <v>11900</v>
      </c>
      <c r="B2957">
        <v>5</v>
      </c>
      <c r="C2957" s="4">
        <v>676.2</v>
      </c>
      <c r="D2957">
        <v>1</v>
      </c>
    </row>
    <row r="2958" spans="1:4" x14ac:dyDescent="0.25">
      <c r="A2958" t="s">
        <v>11901</v>
      </c>
      <c r="B2958">
        <v>23</v>
      </c>
      <c r="C2958" s="4">
        <v>362.95</v>
      </c>
      <c r="D2958">
        <v>3</v>
      </c>
    </row>
    <row r="2959" spans="1:4" x14ac:dyDescent="0.25">
      <c r="A2959" t="s">
        <v>11902</v>
      </c>
      <c r="B2959">
        <v>108</v>
      </c>
      <c r="C2959" s="4">
        <v>2157.4</v>
      </c>
      <c r="D2959">
        <v>4</v>
      </c>
    </row>
    <row r="2960" spans="1:4" x14ac:dyDescent="0.25">
      <c r="A2960" t="s">
        <v>11903</v>
      </c>
      <c r="B2960">
        <v>32</v>
      </c>
      <c r="C2960" s="4">
        <v>1780.59</v>
      </c>
      <c r="D2960">
        <v>1</v>
      </c>
    </row>
    <row r="2961" spans="1:4" x14ac:dyDescent="0.25">
      <c r="A2961" t="s">
        <v>11904</v>
      </c>
      <c r="B2961">
        <v>102</v>
      </c>
      <c r="C2961" s="4">
        <v>668.36</v>
      </c>
      <c r="D2961">
        <v>2</v>
      </c>
    </row>
    <row r="2962" spans="1:4" x14ac:dyDescent="0.25">
      <c r="A2962" t="s">
        <v>11905</v>
      </c>
      <c r="B2962">
        <v>33</v>
      </c>
      <c r="C2962" s="4">
        <v>584.5</v>
      </c>
      <c r="D2962">
        <v>2</v>
      </c>
    </row>
    <row r="2963" spans="1:4" x14ac:dyDescent="0.25">
      <c r="A2963" t="s">
        <v>11906</v>
      </c>
      <c r="B2963">
        <v>59</v>
      </c>
      <c r="C2963" s="4">
        <v>555.89</v>
      </c>
      <c r="D2963">
        <v>3</v>
      </c>
    </row>
    <row r="2964" spans="1:4" x14ac:dyDescent="0.25">
      <c r="A2964" t="s">
        <v>11907</v>
      </c>
      <c r="B2964">
        <v>88</v>
      </c>
      <c r="C2964" s="4">
        <v>317.2</v>
      </c>
      <c r="D2964">
        <v>2</v>
      </c>
    </row>
    <row r="2965" spans="1:4" x14ac:dyDescent="0.25">
      <c r="A2965" t="s">
        <v>11908</v>
      </c>
      <c r="B2965">
        <v>4</v>
      </c>
      <c r="C2965" s="4">
        <v>94.36</v>
      </c>
      <c r="D2965">
        <v>1</v>
      </c>
    </row>
    <row r="2966" spans="1:4" x14ac:dyDescent="0.25">
      <c r="A2966" t="s">
        <v>11909</v>
      </c>
      <c r="B2966">
        <v>34</v>
      </c>
      <c r="C2966" s="4">
        <v>1382.07</v>
      </c>
      <c r="D2966">
        <v>4</v>
      </c>
    </row>
    <row r="2967" spans="1:4" x14ac:dyDescent="0.25">
      <c r="A2967" t="s">
        <v>11910</v>
      </c>
      <c r="B2967">
        <v>45</v>
      </c>
      <c r="C2967" s="4">
        <v>221.19</v>
      </c>
      <c r="D2967">
        <v>1</v>
      </c>
    </row>
    <row r="2968" spans="1:4" x14ac:dyDescent="0.25">
      <c r="A2968" t="s">
        <v>11911</v>
      </c>
      <c r="B2968">
        <v>330</v>
      </c>
      <c r="C2968" s="4">
        <v>3046.21</v>
      </c>
      <c r="D2968">
        <v>13</v>
      </c>
    </row>
    <row r="2969" spans="1:4" x14ac:dyDescent="0.25">
      <c r="A2969" t="s">
        <v>11912</v>
      </c>
      <c r="B2969">
        <v>83</v>
      </c>
      <c r="C2969" s="4">
        <v>1555.34</v>
      </c>
      <c r="D2969">
        <v>5</v>
      </c>
    </row>
    <row r="2970" spans="1:4" x14ac:dyDescent="0.25">
      <c r="A2970" t="s">
        <v>11913</v>
      </c>
      <c r="B2970">
        <v>210</v>
      </c>
      <c r="C2970" s="4">
        <v>1486.9</v>
      </c>
      <c r="D2970">
        <v>5</v>
      </c>
    </row>
    <row r="2971" spans="1:4" x14ac:dyDescent="0.25">
      <c r="A2971" t="s">
        <v>11914</v>
      </c>
      <c r="B2971">
        <v>82</v>
      </c>
      <c r="C2971" s="4">
        <v>1705.8</v>
      </c>
      <c r="D2971">
        <v>2</v>
      </c>
    </row>
    <row r="2972" spans="1:4" x14ac:dyDescent="0.25">
      <c r="A2972" t="s">
        <v>11915</v>
      </c>
      <c r="B2972">
        <v>72</v>
      </c>
      <c r="C2972" s="4">
        <v>406.77</v>
      </c>
      <c r="D2972">
        <v>2</v>
      </c>
    </row>
    <row r="2973" spans="1:4" x14ac:dyDescent="0.25">
      <c r="A2973" t="s">
        <v>11916</v>
      </c>
      <c r="B2973">
        <v>29</v>
      </c>
      <c r="C2973" s="4">
        <v>303.93</v>
      </c>
      <c r="D2973">
        <v>1</v>
      </c>
    </row>
    <row r="2974" spans="1:4" x14ac:dyDescent="0.25">
      <c r="A2974" t="s">
        <v>11917</v>
      </c>
      <c r="B2974">
        <v>186</v>
      </c>
      <c r="C2974" s="4">
        <v>4098.32</v>
      </c>
      <c r="D2974">
        <v>12</v>
      </c>
    </row>
    <row r="2975" spans="1:4" x14ac:dyDescent="0.25">
      <c r="A2975" t="s">
        <v>11918</v>
      </c>
      <c r="B2975">
        <v>60</v>
      </c>
      <c r="C2975" s="4">
        <v>299.60000000000002</v>
      </c>
      <c r="D2975">
        <v>2</v>
      </c>
    </row>
    <row r="2976" spans="1:4" x14ac:dyDescent="0.25">
      <c r="A2976" t="s">
        <v>11919</v>
      </c>
      <c r="B2976">
        <v>10</v>
      </c>
      <c r="C2976" s="4">
        <v>177.5</v>
      </c>
      <c r="D2976">
        <v>1</v>
      </c>
    </row>
    <row r="2977" spans="1:4" x14ac:dyDescent="0.25">
      <c r="A2977" t="s">
        <v>11920</v>
      </c>
      <c r="B2977">
        <v>23</v>
      </c>
      <c r="C2977" s="4">
        <v>443.05</v>
      </c>
      <c r="D2977">
        <v>1</v>
      </c>
    </row>
    <row r="2978" spans="1:4" x14ac:dyDescent="0.25">
      <c r="A2978" t="s">
        <v>11921</v>
      </c>
      <c r="B2978">
        <v>5</v>
      </c>
      <c r="C2978" s="4">
        <v>167.25</v>
      </c>
      <c r="D2978">
        <v>2</v>
      </c>
    </row>
    <row r="2979" spans="1:4" x14ac:dyDescent="0.25">
      <c r="A2979" t="s">
        <v>11922</v>
      </c>
      <c r="B2979">
        <v>62</v>
      </c>
      <c r="C2979" s="4">
        <v>163.07</v>
      </c>
      <c r="D2979">
        <v>1</v>
      </c>
    </row>
    <row r="2980" spans="1:4" x14ac:dyDescent="0.25">
      <c r="A2980" t="s">
        <v>11923</v>
      </c>
      <c r="B2980">
        <v>172</v>
      </c>
      <c r="C2980" s="4">
        <v>2126.9299999999998</v>
      </c>
      <c r="D2980">
        <v>10</v>
      </c>
    </row>
    <row r="2981" spans="1:4" x14ac:dyDescent="0.25">
      <c r="A2981" t="s">
        <v>11924</v>
      </c>
      <c r="B2981">
        <v>232</v>
      </c>
      <c r="C2981" s="4">
        <v>2028.88</v>
      </c>
      <c r="D2981">
        <v>5</v>
      </c>
    </row>
    <row r="2982" spans="1:4" x14ac:dyDescent="0.25">
      <c r="A2982" t="s">
        <v>11925</v>
      </c>
      <c r="B2982">
        <v>45</v>
      </c>
      <c r="C2982" s="4">
        <v>214.65</v>
      </c>
      <c r="D2982">
        <v>2</v>
      </c>
    </row>
    <row r="2983" spans="1:4" x14ac:dyDescent="0.25">
      <c r="A2983" t="s">
        <v>11926</v>
      </c>
      <c r="B2983">
        <v>35</v>
      </c>
      <c r="C2983" s="4">
        <v>151.83000000000001</v>
      </c>
      <c r="D2983">
        <v>1</v>
      </c>
    </row>
    <row r="2984" spans="1:4" x14ac:dyDescent="0.25">
      <c r="A2984" t="s">
        <v>11927</v>
      </c>
      <c r="B2984">
        <v>31</v>
      </c>
      <c r="C2984" s="4">
        <v>262.2</v>
      </c>
      <c r="D2984">
        <v>1</v>
      </c>
    </row>
    <row r="2985" spans="1:4" x14ac:dyDescent="0.25">
      <c r="A2985" t="s">
        <v>11928</v>
      </c>
      <c r="B2985">
        <v>7</v>
      </c>
      <c r="C2985" s="4">
        <v>126.25</v>
      </c>
      <c r="D2985">
        <v>2</v>
      </c>
    </row>
    <row r="2986" spans="1:4" x14ac:dyDescent="0.25">
      <c r="A2986" t="s">
        <v>11929</v>
      </c>
      <c r="B2986">
        <v>54</v>
      </c>
      <c r="C2986" s="4">
        <v>210.35</v>
      </c>
      <c r="D2986">
        <v>1</v>
      </c>
    </row>
    <row r="2987" spans="1:4" x14ac:dyDescent="0.25">
      <c r="A2987" t="s">
        <v>11930</v>
      </c>
      <c r="B2987">
        <v>71</v>
      </c>
      <c r="C2987" s="4">
        <v>1051.4000000000001</v>
      </c>
      <c r="D2987">
        <v>3</v>
      </c>
    </row>
    <row r="2988" spans="1:4" x14ac:dyDescent="0.25">
      <c r="A2988" t="s">
        <v>11931</v>
      </c>
      <c r="B2988">
        <v>102</v>
      </c>
      <c r="C2988" s="4">
        <v>675.27</v>
      </c>
      <c r="D2988">
        <v>3</v>
      </c>
    </row>
    <row r="2989" spans="1:4" x14ac:dyDescent="0.25">
      <c r="A2989" t="s">
        <v>11932</v>
      </c>
      <c r="B2989">
        <v>51</v>
      </c>
      <c r="C2989" s="4">
        <v>972.23</v>
      </c>
      <c r="D2989">
        <v>6</v>
      </c>
    </row>
    <row r="2990" spans="1:4" x14ac:dyDescent="0.25">
      <c r="A2990" t="s">
        <v>11933</v>
      </c>
      <c r="B2990">
        <v>369</v>
      </c>
      <c r="C2990" s="4">
        <v>34684.400000000001</v>
      </c>
      <c r="D2990">
        <v>51</v>
      </c>
    </row>
    <row r="2991" spans="1:4" x14ac:dyDescent="0.25">
      <c r="A2991" t="s">
        <v>11934</v>
      </c>
      <c r="B2991">
        <v>18</v>
      </c>
      <c r="C2991" s="4">
        <v>346.12</v>
      </c>
      <c r="D2991">
        <v>1</v>
      </c>
    </row>
    <row r="2992" spans="1:4" x14ac:dyDescent="0.25">
      <c r="A2992" t="s">
        <v>11935</v>
      </c>
      <c r="B2992">
        <v>5</v>
      </c>
      <c r="C2992" s="4">
        <v>133.56</v>
      </c>
      <c r="D2992">
        <v>1</v>
      </c>
    </row>
    <row r="2993" spans="1:4" x14ac:dyDescent="0.25">
      <c r="A2993" t="s">
        <v>11936</v>
      </c>
      <c r="B2993">
        <v>21</v>
      </c>
      <c r="C2993" s="4">
        <v>302.7</v>
      </c>
      <c r="D2993">
        <v>1</v>
      </c>
    </row>
    <row r="2994" spans="1:4" x14ac:dyDescent="0.25">
      <c r="A2994" t="s">
        <v>11937</v>
      </c>
      <c r="B2994">
        <v>372</v>
      </c>
      <c r="C2994" s="4">
        <v>1908.25</v>
      </c>
      <c r="D2994">
        <v>10</v>
      </c>
    </row>
    <row r="2995" spans="1:4" x14ac:dyDescent="0.25">
      <c r="A2995" t="s">
        <v>11938</v>
      </c>
      <c r="B2995">
        <v>9</v>
      </c>
      <c r="C2995" s="4">
        <v>241.06</v>
      </c>
      <c r="D2995">
        <v>2</v>
      </c>
    </row>
    <row r="2996" spans="1:4" x14ac:dyDescent="0.25">
      <c r="A2996" t="s">
        <v>11939</v>
      </c>
      <c r="B2996">
        <v>2</v>
      </c>
      <c r="C2996" s="4">
        <v>284.55</v>
      </c>
      <c r="D2996">
        <v>1</v>
      </c>
    </row>
    <row r="2997" spans="1:4" x14ac:dyDescent="0.25">
      <c r="A2997" t="s">
        <v>11940</v>
      </c>
      <c r="B2997">
        <v>6</v>
      </c>
      <c r="C2997" s="4">
        <v>300.85000000000002</v>
      </c>
      <c r="D2997">
        <v>1</v>
      </c>
    </row>
    <row r="2998" spans="1:4" x14ac:dyDescent="0.25">
      <c r="A2998" t="s">
        <v>11941</v>
      </c>
      <c r="B2998">
        <v>83</v>
      </c>
      <c r="C2998" s="4">
        <v>642.80999999999995</v>
      </c>
      <c r="D2998">
        <v>3</v>
      </c>
    </row>
    <row r="2999" spans="1:4" x14ac:dyDescent="0.25">
      <c r="A2999" t="s">
        <v>11942</v>
      </c>
      <c r="B2999">
        <v>8</v>
      </c>
      <c r="C2999" s="4">
        <v>287.39999999999998</v>
      </c>
      <c r="D2999">
        <v>1</v>
      </c>
    </row>
    <row r="3000" spans="1:4" x14ac:dyDescent="0.25">
      <c r="A3000" t="s">
        <v>11943</v>
      </c>
      <c r="B3000">
        <v>17</v>
      </c>
      <c r="C3000" s="4">
        <v>184.26</v>
      </c>
      <c r="D3000">
        <v>1</v>
      </c>
    </row>
    <row r="3001" spans="1:4" x14ac:dyDescent="0.25">
      <c r="A3001" t="s">
        <v>11944</v>
      </c>
      <c r="B3001">
        <v>109</v>
      </c>
      <c r="C3001" s="4">
        <v>1522.25</v>
      </c>
      <c r="D3001">
        <v>7</v>
      </c>
    </row>
    <row r="3002" spans="1:4" x14ac:dyDescent="0.25">
      <c r="A3002" t="s">
        <v>11945</v>
      </c>
      <c r="B3002">
        <v>132</v>
      </c>
      <c r="C3002" s="4">
        <v>798.35</v>
      </c>
      <c r="D3002">
        <v>5</v>
      </c>
    </row>
    <row r="3003" spans="1:4" x14ac:dyDescent="0.25">
      <c r="A3003" t="s">
        <v>11946</v>
      </c>
      <c r="B3003">
        <v>282</v>
      </c>
      <c r="C3003" s="4">
        <v>3640.67</v>
      </c>
      <c r="D3003">
        <v>5</v>
      </c>
    </row>
    <row r="3004" spans="1:4" x14ac:dyDescent="0.25">
      <c r="A3004" t="s">
        <v>11947</v>
      </c>
      <c r="B3004">
        <v>24</v>
      </c>
      <c r="C3004" s="4">
        <v>381.2</v>
      </c>
      <c r="D3004">
        <v>2</v>
      </c>
    </row>
    <row r="3005" spans="1:4" x14ac:dyDescent="0.25">
      <c r="A3005" t="s">
        <v>11948</v>
      </c>
      <c r="B3005">
        <v>174</v>
      </c>
      <c r="C3005" s="4">
        <v>616.79</v>
      </c>
      <c r="D3005">
        <v>3</v>
      </c>
    </row>
    <row r="3006" spans="1:4" x14ac:dyDescent="0.25">
      <c r="A3006" t="s">
        <v>11949</v>
      </c>
      <c r="B3006">
        <v>84</v>
      </c>
      <c r="C3006" s="4">
        <v>654.66999999999996</v>
      </c>
      <c r="D3006">
        <v>4</v>
      </c>
    </row>
    <row r="3007" spans="1:4" x14ac:dyDescent="0.25">
      <c r="A3007" t="s">
        <v>11950</v>
      </c>
      <c r="B3007">
        <v>63</v>
      </c>
      <c r="C3007" s="4">
        <v>230.51</v>
      </c>
      <c r="D3007">
        <v>1</v>
      </c>
    </row>
    <row r="3008" spans="1:4" x14ac:dyDescent="0.25">
      <c r="A3008" t="s">
        <v>4244</v>
      </c>
      <c r="B3008">
        <v>3</v>
      </c>
      <c r="C3008" s="4">
        <v>168472.5</v>
      </c>
      <c r="D3008">
        <v>2</v>
      </c>
    </row>
    <row r="3009" spans="1:4" x14ac:dyDescent="0.25">
      <c r="A3009" t="s">
        <v>11951</v>
      </c>
      <c r="B3009">
        <v>36</v>
      </c>
      <c r="C3009" s="4">
        <v>259.01</v>
      </c>
      <c r="D3009">
        <v>1</v>
      </c>
    </row>
    <row r="3010" spans="1:4" x14ac:dyDescent="0.25">
      <c r="A3010" t="s">
        <v>11952</v>
      </c>
      <c r="B3010">
        <v>20</v>
      </c>
      <c r="C3010" s="4">
        <v>188.89</v>
      </c>
      <c r="D3010">
        <v>1</v>
      </c>
    </row>
    <row r="3011" spans="1:4" x14ac:dyDescent="0.25">
      <c r="A3011" t="s">
        <v>11953</v>
      </c>
      <c r="B3011">
        <v>40</v>
      </c>
      <c r="C3011" s="4">
        <v>707.69</v>
      </c>
      <c r="D3011">
        <v>2</v>
      </c>
    </row>
    <row r="3012" spans="1:4" x14ac:dyDescent="0.25">
      <c r="A3012" t="s">
        <v>11954</v>
      </c>
      <c r="B3012">
        <v>11</v>
      </c>
      <c r="C3012" s="4">
        <v>311.92</v>
      </c>
      <c r="D3012">
        <v>1</v>
      </c>
    </row>
    <row r="3013" spans="1:4" x14ac:dyDescent="0.25">
      <c r="A3013" t="s">
        <v>11955</v>
      </c>
      <c r="B3013">
        <v>14</v>
      </c>
      <c r="C3013" s="4">
        <v>266.97000000000003</v>
      </c>
      <c r="D3013">
        <v>1</v>
      </c>
    </row>
    <row r="3014" spans="1:4" x14ac:dyDescent="0.25">
      <c r="A3014" t="s">
        <v>11956</v>
      </c>
      <c r="B3014">
        <v>1</v>
      </c>
      <c r="C3014" s="4">
        <v>5.9</v>
      </c>
      <c r="D3014">
        <v>1</v>
      </c>
    </row>
    <row r="3015" spans="1:4" x14ac:dyDescent="0.25">
      <c r="A3015" t="s">
        <v>11957</v>
      </c>
      <c r="B3015">
        <v>99</v>
      </c>
      <c r="C3015" s="4">
        <v>1841.18</v>
      </c>
      <c r="D3015">
        <v>7</v>
      </c>
    </row>
    <row r="3016" spans="1:4" x14ac:dyDescent="0.25">
      <c r="A3016" t="s">
        <v>11958</v>
      </c>
      <c r="B3016">
        <v>111</v>
      </c>
      <c r="C3016" s="4">
        <v>2158.37</v>
      </c>
      <c r="D3016">
        <v>5</v>
      </c>
    </row>
    <row r="3017" spans="1:4" x14ac:dyDescent="0.25">
      <c r="A3017" t="s">
        <v>11959</v>
      </c>
      <c r="B3017">
        <v>9</v>
      </c>
      <c r="C3017" s="4">
        <v>208.36</v>
      </c>
      <c r="D3017">
        <v>1</v>
      </c>
    </row>
    <row r="3018" spans="1:4" x14ac:dyDescent="0.25">
      <c r="A3018" t="s">
        <v>11960</v>
      </c>
      <c r="B3018">
        <v>202</v>
      </c>
      <c r="C3018" s="4">
        <v>3482.74</v>
      </c>
      <c r="D3018">
        <v>18</v>
      </c>
    </row>
    <row r="3019" spans="1:4" x14ac:dyDescent="0.25">
      <c r="A3019" t="s">
        <v>11961</v>
      </c>
      <c r="B3019">
        <v>135</v>
      </c>
      <c r="C3019" s="4">
        <v>814.72</v>
      </c>
      <c r="D3019">
        <v>3</v>
      </c>
    </row>
    <row r="3020" spans="1:4" x14ac:dyDescent="0.25">
      <c r="A3020" t="s">
        <v>11962</v>
      </c>
      <c r="B3020">
        <v>33</v>
      </c>
      <c r="C3020" s="4">
        <v>151.41999999999999</v>
      </c>
      <c r="D3020">
        <v>1</v>
      </c>
    </row>
    <row r="3021" spans="1:4" x14ac:dyDescent="0.25">
      <c r="A3021" t="s">
        <v>11963</v>
      </c>
      <c r="B3021">
        <v>3</v>
      </c>
      <c r="C3021" s="4">
        <v>136</v>
      </c>
      <c r="D3021">
        <v>3</v>
      </c>
    </row>
    <row r="3022" spans="1:4" x14ac:dyDescent="0.25">
      <c r="A3022" t="s">
        <v>11964</v>
      </c>
      <c r="B3022">
        <v>82</v>
      </c>
      <c r="C3022" s="4">
        <v>1422.4</v>
      </c>
      <c r="D3022">
        <v>4</v>
      </c>
    </row>
    <row r="3023" spans="1:4" x14ac:dyDescent="0.25">
      <c r="A3023" t="s">
        <v>11965</v>
      </c>
      <c r="B3023">
        <v>236</v>
      </c>
      <c r="C3023" s="4">
        <v>1314.68</v>
      </c>
      <c r="D3023">
        <v>3</v>
      </c>
    </row>
    <row r="3024" spans="1:4" x14ac:dyDescent="0.25">
      <c r="A3024" t="s">
        <v>11966</v>
      </c>
      <c r="B3024">
        <v>148</v>
      </c>
      <c r="C3024" s="4">
        <v>1603.46</v>
      </c>
      <c r="D3024">
        <v>7</v>
      </c>
    </row>
    <row r="3025" spans="1:4" x14ac:dyDescent="0.25">
      <c r="A3025" t="s">
        <v>11967</v>
      </c>
      <c r="B3025">
        <v>2</v>
      </c>
      <c r="C3025" s="4">
        <v>74.900000000000006</v>
      </c>
      <c r="D3025">
        <v>1</v>
      </c>
    </row>
    <row r="3026" spans="1:4" x14ac:dyDescent="0.25">
      <c r="A3026" t="s">
        <v>11968</v>
      </c>
      <c r="B3026">
        <v>182</v>
      </c>
      <c r="C3026" s="4">
        <v>650.42999999999995</v>
      </c>
      <c r="D3026">
        <v>4</v>
      </c>
    </row>
    <row r="3027" spans="1:4" x14ac:dyDescent="0.25">
      <c r="A3027" t="s">
        <v>11969</v>
      </c>
      <c r="B3027">
        <v>170</v>
      </c>
      <c r="C3027" s="4">
        <v>762.39</v>
      </c>
      <c r="D3027">
        <v>4</v>
      </c>
    </row>
    <row r="3028" spans="1:4" x14ac:dyDescent="0.25">
      <c r="A3028" t="s">
        <v>11970</v>
      </c>
      <c r="B3028">
        <v>13</v>
      </c>
      <c r="C3028" s="4">
        <v>223.95</v>
      </c>
      <c r="D3028">
        <v>1</v>
      </c>
    </row>
    <row r="3029" spans="1:4" x14ac:dyDescent="0.25">
      <c r="A3029" t="s">
        <v>11971</v>
      </c>
      <c r="B3029">
        <v>18</v>
      </c>
      <c r="C3029" s="4">
        <v>316.11</v>
      </c>
      <c r="D3029">
        <v>3</v>
      </c>
    </row>
    <row r="3030" spans="1:4" x14ac:dyDescent="0.25">
      <c r="A3030" t="s">
        <v>11972</v>
      </c>
      <c r="B3030">
        <v>359</v>
      </c>
      <c r="C3030" s="4">
        <v>1871.34</v>
      </c>
      <c r="D3030">
        <v>7</v>
      </c>
    </row>
    <row r="3031" spans="1:4" x14ac:dyDescent="0.25">
      <c r="A3031" t="s">
        <v>11973</v>
      </c>
      <c r="B3031">
        <v>28</v>
      </c>
      <c r="C3031" s="4">
        <v>544.29999999999995</v>
      </c>
      <c r="D3031">
        <v>4</v>
      </c>
    </row>
    <row r="3032" spans="1:4" x14ac:dyDescent="0.25">
      <c r="A3032" t="s">
        <v>11974</v>
      </c>
      <c r="B3032">
        <v>146</v>
      </c>
      <c r="C3032" s="4">
        <v>2494.46</v>
      </c>
      <c r="D3032">
        <v>7</v>
      </c>
    </row>
    <row r="3033" spans="1:4" x14ac:dyDescent="0.25">
      <c r="A3033" t="s">
        <v>11975</v>
      </c>
      <c r="B3033">
        <v>17</v>
      </c>
      <c r="C3033" s="4">
        <v>331</v>
      </c>
      <c r="D3033">
        <v>3</v>
      </c>
    </row>
    <row r="3034" spans="1:4" x14ac:dyDescent="0.25">
      <c r="A3034" t="s">
        <v>11976</v>
      </c>
      <c r="B3034">
        <v>35</v>
      </c>
      <c r="C3034" s="4">
        <v>300.83</v>
      </c>
      <c r="D3034">
        <v>2</v>
      </c>
    </row>
    <row r="3035" spans="1:4" x14ac:dyDescent="0.25">
      <c r="A3035" t="s">
        <v>11977</v>
      </c>
      <c r="B3035">
        <v>53</v>
      </c>
      <c r="C3035" s="4">
        <v>769.29</v>
      </c>
      <c r="D3035">
        <v>1</v>
      </c>
    </row>
    <row r="3036" spans="1:4" x14ac:dyDescent="0.25">
      <c r="A3036" t="s">
        <v>11978</v>
      </c>
      <c r="B3036">
        <v>18</v>
      </c>
      <c r="C3036" s="4">
        <v>220.62</v>
      </c>
      <c r="D3036">
        <v>1</v>
      </c>
    </row>
    <row r="3037" spans="1:4" x14ac:dyDescent="0.25">
      <c r="A3037" t="s">
        <v>11979</v>
      </c>
      <c r="B3037">
        <v>19</v>
      </c>
      <c r="C3037" s="4">
        <v>139.35</v>
      </c>
      <c r="D3037">
        <v>1</v>
      </c>
    </row>
    <row r="3038" spans="1:4" x14ac:dyDescent="0.25">
      <c r="A3038" t="s">
        <v>11980</v>
      </c>
      <c r="B3038">
        <v>25</v>
      </c>
      <c r="C3038" s="4">
        <v>404.3</v>
      </c>
      <c r="D3038">
        <v>2</v>
      </c>
    </row>
    <row r="3039" spans="1:4" x14ac:dyDescent="0.25">
      <c r="A3039" t="s">
        <v>11981</v>
      </c>
      <c r="B3039">
        <v>42</v>
      </c>
      <c r="C3039" s="4">
        <v>363.65</v>
      </c>
      <c r="D3039">
        <v>1</v>
      </c>
    </row>
    <row r="3040" spans="1:4" x14ac:dyDescent="0.25">
      <c r="A3040" t="s">
        <v>11982</v>
      </c>
      <c r="B3040">
        <v>29</v>
      </c>
      <c r="C3040" s="4">
        <v>498.8</v>
      </c>
      <c r="D3040">
        <v>3</v>
      </c>
    </row>
    <row r="3041" spans="1:4" x14ac:dyDescent="0.25">
      <c r="A3041" t="s">
        <v>11983</v>
      </c>
      <c r="B3041">
        <v>39</v>
      </c>
      <c r="C3041" s="4">
        <v>731.5</v>
      </c>
      <c r="D3041">
        <v>1</v>
      </c>
    </row>
    <row r="3042" spans="1:4" x14ac:dyDescent="0.25">
      <c r="A3042" t="s">
        <v>11984</v>
      </c>
      <c r="B3042">
        <v>56</v>
      </c>
      <c r="C3042" s="4">
        <v>1351.63</v>
      </c>
      <c r="D3042">
        <v>4</v>
      </c>
    </row>
    <row r="3043" spans="1:4" x14ac:dyDescent="0.25">
      <c r="A3043" t="s">
        <v>11985</v>
      </c>
      <c r="B3043">
        <v>50</v>
      </c>
      <c r="C3043" s="4">
        <v>826.53</v>
      </c>
      <c r="D3043">
        <v>1</v>
      </c>
    </row>
    <row r="3044" spans="1:4" x14ac:dyDescent="0.25">
      <c r="A3044" t="s">
        <v>11986</v>
      </c>
      <c r="B3044">
        <v>97</v>
      </c>
      <c r="C3044" s="4">
        <v>684.41</v>
      </c>
      <c r="D3044">
        <v>3</v>
      </c>
    </row>
    <row r="3045" spans="1:4" x14ac:dyDescent="0.25">
      <c r="A3045" t="s">
        <v>11987</v>
      </c>
      <c r="B3045">
        <v>95</v>
      </c>
      <c r="C3045" s="4">
        <v>1599.52</v>
      </c>
      <c r="D3045">
        <v>3</v>
      </c>
    </row>
    <row r="3046" spans="1:4" x14ac:dyDescent="0.25">
      <c r="A3046" t="s">
        <v>11988</v>
      </c>
      <c r="B3046">
        <v>136</v>
      </c>
      <c r="C3046" s="4">
        <v>2965.69</v>
      </c>
      <c r="D3046">
        <v>6</v>
      </c>
    </row>
    <row r="3047" spans="1:4" x14ac:dyDescent="0.25">
      <c r="A3047" t="s">
        <v>11989</v>
      </c>
      <c r="B3047">
        <v>15</v>
      </c>
      <c r="C3047" s="4">
        <v>100.97</v>
      </c>
      <c r="D3047">
        <v>2</v>
      </c>
    </row>
    <row r="3048" spans="1:4" x14ac:dyDescent="0.25">
      <c r="A3048" t="s">
        <v>11990</v>
      </c>
      <c r="B3048">
        <v>19</v>
      </c>
      <c r="C3048" s="4">
        <v>365.45</v>
      </c>
      <c r="D3048">
        <v>2</v>
      </c>
    </row>
    <row r="3049" spans="1:4" x14ac:dyDescent="0.25">
      <c r="A3049" t="s">
        <v>11991</v>
      </c>
      <c r="B3049">
        <v>11</v>
      </c>
      <c r="C3049" s="4">
        <v>400.86</v>
      </c>
      <c r="D3049">
        <v>6</v>
      </c>
    </row>
    <row r="3050" spans="1:4" x14ac:dyDescent="0.25">
      <c r="A3050" t="s">
        <v>11992</v>
      </c>
      <c r="B3050">
        <v>84</v>
      </c>
      <c r="C3050" s="4">
        <v>1431.93</v>
      </c>
      <c r="D3050">
        <v>4</v>
      </c>
    </row>
    <row r="3051" spans="1:4" x14ac:dyDescent="0.25">
      <c r="A3051" t="s">
        <v>11993</v>
      </c>
      <c r="B3051">
        <v>86</v>
      </c>
      <c r="C3051" s="4">
        <v>484.38</v>
      </c>
      <c r="D3051">
        <v>1</v>
      </c>
    </row>
    <row r="3052" spans="1:4" x14ac:dyDescent="0.25">
      <c r="A3052" t="s">
        <v>11994</v>
      </c>
      <c r="B3052">
        <v>4</v>
      </c>
      <c r="C3052" s="4">
        <v>777.6</v>
      </c>
      <c r="D3052">
        <v>1</v>
      </c>
    </row>
    <row r="3053" spans="1:4" x14ac:dyDescent="0.25">
      <c r="A3053" t="s">
        <v>11995</v>
      </c>
      <c r="B3053">
        <v>3</v>
      </c>
      <c r="C3053" s="4">
        <v>90.3</v>
      </c>
      <c r="D3053">
        <v>2</v>
      </c>
    </row>
    <row r="3054" spans="1:4" x14ac:dyDescent="0.25">
      <c r="A3054" t="s">
        <v>11996</v>
      </c>
      <c r="B3054">
        <v>13</v>
      </c>
      <c r="C3054" s="4">
        <v>363.7</v>
      </c>
      <c r="D3054">
        <v>1</v>
      </c>
    </row>
    <row r="3055" spans="1:4" x14ac:dyDescent="0.25">
      <c r="A3055" t="s">
        <v>11997</v>
      </c>
      <c r="B3055">
        <v>13</v>
      </c>
      <c r="C3055" s="4">
        <v>248.1</v>
      </c>
      <c r="D3055">
        <v>1</v>
      </c>
    </row>
    <row r="3056" spans="1:4" x14ac:dyDescent="0.25">
      <c r="A3056" t="s">
        <v>11998</v>
      </c>
      <c r="B3056">
        <v>168</v>
      </c>
      <c r="C3056" s="4">
        <v>948.26</v>
      </c>
      <c r="D3056">
        <v>3</v>
      </c>
    </row>
    <row r="3057" spans="1:4" x14ac:dyDescent="0.25">
      <c r="A3057" t="s">
        <v>11999</v>
      </c>
      <c r="B3057">
        <v>35</v>
      </c>
      <c r="C3057" s="4">
        <v>874.59</v>
      </c>
      <c r="D3057">
        <v>4</v>
      </c>
    </row>
    <row r="3058" spans="1:4" x14ac:dyDescent="0.25">
      <c r="A3058" t="s">
        <v>12000</v>
      </c>
      <c r="B3058">
        <v>113</v>
      </c>
      <c r="C3058" s="4">
        <v>1627.13</v>
      </c>
      <c r="D3058">
        <v>5</v>
      </c>
    </row>
    <row r="3059" spans="1:4" x14ac:dyDescent="0.25">
      <c r="A3059" t="s">
        <v>12001</v>
      </c>
      <c r="B3059">
        <v>6</v>
      </c>
      <c r="C3059" s="4">
        <v>101.7</v>
      </c>
      <c r="D3059">
        <v>1</v>
      </c>
    </row>
    <row r="3060" spans="1:4" x14ac:dyDescent="0.25">
      <c r="A3060" t="s">
        <v>12002</v>
      </c>
      <c r="B3060">
        <v>17</v>
      </c>
      <c r="C3060" s="4">
        <v>162.69999999999999</v>
      </c>
      <c r="D3060">
        <v>1</v>
      </c>
    </row>
    <row r="3061" spans="1:4" x14ac:dyDescent="0.25">
      <c r="A3061" t="s">
        <v>12003</v>
      </c>
      <c r="B3061">
        <v>40</v>
      </c>
      <c r="C3061" s="4">
        <v>484.32</v>
      </c>
      <c r="D3061">
        <v>2</v>
      </c>
    </row>
    <row r="3062" spans="1:4" x14ac:dyDescent="0.25">
      <c r="A3062" t="s">
        <v>12004</v>
      </c>
      <c r="B3062">
        <v>12</v>
      </c>
      <c r="C3062" s="4">
        <v>212.98</v>
      </c>
      <c r="D3062">
        <v>2</v>
      </c>
    </row>
    <row r="3063" spans="1:4" x14ac:dyDescent="0.25">
      <c r="A3063" t="s">
        <v>12005</v>
      </c>
      <c r="B3063">
        <v>156</v>
      </c>
      <c r="C3063" s="4">
        <v>1046.57</v>
      </c>
      <c r="D3063">
        <v>3</v>
      </c>
    </row>
    <row r="3064" spans="1:4" x14ac:dyDescent="0.25">
      <c r="A3064" t="s">
        <v>12006</v>
      </c>
      <c r="B3064">
        <v>290</v>
      </c>
      <c r="C3064" s="4">
        <v>9418.4699999999993</v>
      </c>
      <c r="D3064">
        <v>21</v>
      </c>
    </row>
    <row r="3065" spans="1:4" x14ac:dyDescent="0.25">
      <c r="A3065" t="s">
        <v>12007</v>
      </c>
      <c r="B3065">
        <v>183</v>
      </c>
      <c r="C3065" s="4">
        <v>13027.45</v>
      </c>
      <c r="D3065">
        <v>26</v>
      </c>
    </row>
    <row r="3066" spans="1:4" x14ac:dyDescent="0.25">
      <c r="A3066" t="s">
        <v>12008</v>
      </c>
      <c r="B3066">
        <v>15</v>
      </c>
      <c r="C3066" s="4">
        <v>290.36</v>
      </c>
      <c r="D3066">
        <v>1</v>
      </c>
    </row>
    <row r="3067" spans="1:4" x14ac:dyDescent="0.25">
      <c r="A3067" t="s">
        <v>12009</v>
      </c>
      <c r="B3067">
        <v>14</v>
      </c>
      <c r="C3067" s="4">
        <v>228.06</v>
      </c>
      <c r="D3067">
        <v>1</v>
      </c>
    </row>
    <row r="3068" spans="1:4" x14ac:dyDescent="0.25">
      <c r="A3068" t="s">
        <v>12010</v>
      </c>
      <c r="B3068">
        <v>17</v>
      </c>
      <c r="C3068" s="4">
        <v>244.41</v>
      </c>
      <c r="D3068">
        <v>1</v>
      </c>
    </row>
    <row r="3069" spans="1:4" x14ac:dyDescent="0.25">
      <c r="A3069" t="s">
        <v>12011</v>
      </c>
      <c r="B3069">
        <v>30</v>
      </c>
      <c r="C3069" s="4">
        <v>455.25</v>
      </c>
      <c r="D3069">
        <v>1</v>
      </c>
    </row>
    <row r="3070" spans="1:4" x14ac:dyDescent="0.25">
      <c r="A3070" t="s">
        <v>12012</v>
      </c>
      <c r="B3070">
        <v>77</v>
      </c>
      <c r="C3070" s="4">
        <v>1244.5899999999999</v>
      </c>
      <c r="D3070">
        <v>7</v>
      </c>
    </row>
    <row r="3071" spans="1:4" x14ac:dyDescent="0.25">
      <c r="A3071" t="s">
        <v>12013</v>
      </c>
      <c r="B3071">
        <v>4</v>
      </c>
      <c r="C3071" s="4">
        <v>6748.8</v>
      </c>
      <c r="D3071">
        <v>3</v>
      </c>
    </row>
    <row r="3072" spans="1:4" x14ac:dyDescent="0.25">
      <c r="A3072" t="s">
        <v>12014</v>
      </c>
      <c r="B3072">
        <v>177</v>
      </c>
      <c r="C3072" s="4">
        <v>1095.56</v>
      </c>
      <c r="D3072">
        <v>3</v>
      </c>
    </row>
    <row r="3073" spans="1:4" x14ac:dyDescent="0.25">
      <c r="A3073" t="s">
        <v>12015</v>
      </c>
      <c r="B3073">
        <v>31</v>
      </c>
      <c r="C3073" s="4">
        <v>593.75</v>
      </c>
      <c r="D3073">
        <v>1</v>
      </c>
    </row>
    <row r="3074" spans="1:4" x14ac:dyDescent="0.25">
      <c r="A3074" t="s">
        <v>12016</v>
      </c>
      <c r="B3074">
        <v>55</v>
      </c>
      <c r="C3074" s="4">
        <v>548.97</v>
      </c>
      <c r="D3074">
        <v>1</v>
      </c>
    </row>
    <row r="3075" spans="1:4" x14ac:dyDescent="0.25">
      <c r="A3075" t="s">
        <v>12017</v>
      </c>
      <c r="B3075">
        <v>45</v>
      </c>
      <c r="C3075" s="4">
        <v>1388.81</v>
      </c>
      <c r="D3075">
        <v>4</v>
      </c>
    </row>
    <row r="3076" spans="1:4" x14ac:dyDescent="0.25">
      <c r="A3076" t="s">
        <v>12018</v>
      </c>
      <c r="B3076">
        <v>5</v>
      </c>
      <c r="C3076" s="4">
        <v>119.62</v>
      </c>
      <c r="D3076">
        <v>1</v>
      </c>
    </row>
    <row r="3077" spans="1:4" x14ac:dyDescent="0.25">
      <c r="A3077" t="s">
        <v>12019</v>
      </c>
      <c r="B3077">
        <v>3</v>
      </c>
      <c r="C3077" s="4">
        <v>339.3</v>
      </c>
      <c r="D3077">
        <v>1</v>
      </c>
    </row>
    <row r="3078" spans="1:4" x14ac:dyDescent="0.25">
      <c r="A3078" t="s">
        <v>12020</v>
      </c>
      <c r="B3078">
        <v>25</v>
      </c>
      <c r="C3078" s="4">
        <v>787.15</v>
      </c>
      <c r="D3078">
        <v>2</v>
      </c>
    </row>
    <row r="3079" spans="1:4" x14ac:dyDescent="0.25">
      <c r="A3079" t="s">
        <v>12021</v>
      </c>
      <c r="B3079">
        <v>981</v>
      </c>
      <c r="C3079" s="4">
        <v>4154.6400000000003</v>
      </c>
      <c r="D3079">
        <v>10</v>
      </c>
    </row>
    <row r="3080" spans="1:4" x14ac:dyDescent="0.25">
      <c r="A3080" t="s">
        <v>12022</v>
      </c>
      <c r="B3080">
        <v>251</v>
      </c>
      <c r="C3080" s="4">
        <v>2298.9699999999998</v>
      </c>
      <c r="D3080">
        <v>5</v>
      </c>
    </row>
    <row r="3081" spans="1:4" x14ac:dyDescent="0.25">
      <c r="A3081" t="s">
        <v>12023</v>
      </c>
      <c r="B3081">
        <v>32</v>
      </c>
      <c r="C3081" s="4">
        <v>922.12</v>
      </c>
      <c r="D3081">
        <v>3</v>
      </c>
    </row>
    <row r="3082" spans="1:4" x14ac:dyDescent="0.25">
      <c r="A3082" t="s">
        <v>12024</v>
      </c>
      <c r="B3082">
        <v>17</v>
      </c>
      <c r="C3082" s="4">
        <v>379.73</v>
      </c>
      <c r="D3082">
        <v>2</v>
      </c>
    </row>
    <row r="3083" spans="1:4" x14ac:dyDescent="0.25">
      <c r="A3083" t="s">
        <v>12025</v>
      </c>
      <c r="B3083">
        <v>84</v>
      </c>
      <c r="C3083" s="4">
        <v>5719.82</v>
      </c>
      <c r="D3083">
        <v>12</v>
      </c>
    </row>
    <row r="3084" spans="1:4" x14ac:dyDescent="0.25">
      <c r="A3084" t="s">
        <v>12026</v>
      </c>
      <c r="B3084">
        <v>52</v>
      </c>
      <c r="C3084" s="4">
        <v>837.1</v>
      </c>
      <c r="D3084">
        <v>3</v>
      </c>
    </row>
    <row r="3085" spans="1:4" x14ac:dyDescent="0.25">
      <c r="A3085" t="s">
        <v>12027</v>
      </c>
      <c r="B3085">
        <v>17</v>
      </c>
      <c r="C3085" s="4">
        <v>285.89</v>
      </c>
      <c r="D3085">
        <v>2</v>
      </c>
    </row>
    <row r="3086" spans="1:4" x14ac:dyDescent="0.25">
      <c r="A3086" t="s">
        <v>12028</v>
      </c>
      <c r="B3086">
        <v>207</v>
      </c>
      <c r="C3086" s="4">
        <v>3313.79</v>
      </c>
      <c r="D3086">
        <v>7</v>
      </c>
    </row>
    <row r="3087" spans="1:4" x14ac:dyDescent="0.25">
      <c r="A3087" t="s">
        <v>12029</v>
      </c>
      <c r="B3087">
        <v>11</v>
      </c>
      <c r="C3087" s="4">
        <v>281.85000000000002</v>
      </c>
      <c r="D3087">
        <v>2</v>
      </c>
    </row>
    <row r="3088" spans="1:4" x14ac:dyDescent="0.25">
      <c r="A3088" t="s">
        <v>12030</v>
      </c>
      <c r="B3088">
        <v>460</v>
      </c>
      <c r="C3088" s="4">
        <v>8338.49</v>
      </c>
      <c r="D3088">
        <v>20</v>
      </c>
    </row>
    <row r="3089" spans="1:4" x14ac:dyDescent="0.25">
      <c r="A3089" t="s">
        <v>12031</v>
      </c>
      <c r="B3089">
        <v>56</v>
      </c>
      <c r="C3089" s="4">
        <v>841.41</v>
      </c>
      <c r="D3089">
        <v>2</v>
      </c>
    </row>
    <row r="3090" spans="1:4" x14ac:dyDescent="0.25">
      <c r="A3090" t="s">
        <v>12032</v>
      </c>
      <c r="B3090">
        <v>31</v>
      </c>
      <c r="C3090" s="4">
        <v>511.12</v>
      </c>
      <c r="D3090">
        <v>2</v>
      </c>
    </row>
    <row r="3091" spans="1:4" x14ac:dyDescent="0.25">
      <c r="A3091" t="s">
        <v>12033</v>
      </c>
      <c r="B3091">
        <v>19</v>
      </c>
      <c r="C3091" s="4">
        <v>1077.74</v>
      </c>
      <c r="D3091">
        <v>1</v>
      </c>
    </row>
    <row r="3092" spans="1:4" x14ac:dyDescent="0.25">
      <c r="A3092" t="s">
        <v>12034</v>
      </c>
      <c r="B3092">
        <v>3</v>
      </c>
      <c r="C3092" s="4">
        <v>173.7</v>
      </c>
      <c r="D3092">
        <v>1</v>
      </c>
    </row>
    <row r="3093" spans="1:4" x14ac:dyDescent="0.25">
      <c r="A3093" t="s">
        <v>12035</v>
      </c>
      <c r="B3093">
        <v>18</v>
      </c>
      <c r="C3093" s="4">
        <v>614.66</v>
      </c>
      <c r="D3093">
        <v>5</v>
      </c>
    </row>
    <row r="3094" spans="1:4" x14ac:dyDescent="0.25">
      <c r="A3094" t="s">
        <v>12036</v>
      </c>
      <c r="B3094">
        <v>35</v>
      </c>
      <c r="C3094" s="4">
        <v>865.6</v>
      </c>
      <c r="D3094">
        <v>2</v>
      </c>
    </row>
    <row r="3095" spans="1:4" x14ac:dyDescent="0.25">
      <c r="A3095" t="s">
        <v>12037</v>
      </c>
      <c r="B3095">
        <v>5</v>
      </c>
      <c r="C3095" s="4">
        <v>124.2</v>
      </c>
      <c r="D3095">
        <v>1</v>
      </c>
    </row>
    <row r="3096" spans="1:4" x14ac:dyDescent="0.25">
      <c r="A3096" t="s">
        <v>12038</v>
      </c>
      <c r="B3096">
        <v>126</v>
      </c>
      <c r="C3096" s="4">
        <v>3738.4</v>
      </c>
      <c r="D3096">
        <v>10</v>
      </c>
    </row>
    <row r="3097" spans="1:4" x14ac:dyDescent="0.25">
      <c r="A3097" t="s">
        <v>12039</v>
      </c>
      <c r="B3097">
        <v>87</v>
      </c>
      <c r="C3097" s="4">
        <v>1421.69</v>
      </c>
      <c r="D3097">
        <v>3</v>
      </c>
    </row>
    <row r="3098" spans="1:4" x14ac:dyDescent="0.25">
      <c r="A3098" t="s">
        <v>12040</v>
      </c>
      <c r="B3098">
        <v>57</v>
      </c>
      <c r="C3098" s="4">
        <v>1009.6</v>
      </c>
      <c r="D3098">
        <v>3</v>
      </c>
    </row>
    <row r="3099" spans="1:4" x14ac:dyDescent="0.25">
      <c r="A3099" t="s">
        <v>12041</v>
      </c>
      <c r="B3099">
        <v>42</v>
      </c>
      <c r="C3099" s="4">
        <v>663.61</v>
      </c>
      <c r="D3099">
        <v>2</v>
      </c>
    </row>
    <row r="3100" spans="1:4" x14ac:dyDescent="0.25">
      <c r="A3100" t="s">
        <v>12042</v>
      </c>
      <c r="B3100">
        <v>28</v>
      </c>
      <c r="C3100" s="4">
        <v>451.44</v>
      </c>
      <c r="D3100">
        <v>1</v>
      </c>
    </row>
    <row r="3101" spans="1:4" x14ac:dyDescent="0.25">
      <c r="A3101" t="s">
        <v>12043</v>
      </c>
      <c r="B3101">
        <v>9</v>
      </c>
      <c r="C3101" s="4">
        <v>105.84</v>
      </c>
      <c r="D3101">
        <v>1</v>
      </c>
    </row>
    <row r="3102" spans="1:4" x14ac:dyDescent="0.25">
      <c r="A3102" t="s">
        <v>12044</v>
      </c>
      <c r="B3102">
        <v>6</v>
      </c>
      <c r="C3102" s="4">
        <v>313.62</v>
      </c>
      <c r="D3102">
        <v>1</v>
      </c>
    </row>
    <row r="3103" spans="1:4" x14ac:dyDescent="0.25">
      <c r="A3103" t="s">
        <v>12045</v>
      </c>
      <c r="B3103">
        <v>14</v>
      </c>
      <c r="C3103" s="4">
        <v>233.45</v>
      </c>
      <c r="D3103">
        <v>1</v>
      </c>
    </row>
    <row r="3104" spans="1:4" x14ac:dyDescent="0.25">
      <c r="A3104" t="s">
        <v>12046</v>
      </c>
      <c r="B3104">
        <v>28</v>
      </c>
      <c r="C3104" s="4">
        <v>936.08</v>
      </c>
      <c r="D3104">
        <v>2</v>
      </c>
    </row>
    <row r="3105" spans="1:4" x14ac:dyDescent="0.25">
      <c r="A3105" t="s">
        <v>12047</v>
      </c>
      <c r="B3105">
        <v>8</v>
      </c>
      <c r="C3105" s="4">
        <v>463.95</v>
      </c>
      <c r="D3105">
        <v>1</v>
      </c>
    </row>
    <row r="3106" spans="1:4" x14ac:dyDescent="0.25">
      <c r="A3106" t="s">
        <v>12048</v>
      </c>
      <c r="B3106">
        <v>13</v>
      </c>
      <c r="C3106" s="4">
        <v>225.15</v>
      </c>
      <c r="D3106">
        <v>1</v>
      </c>
    </row>
    <row r="3107" spans="1:4" x14ac:dyDescent="0.25">
      <c r="A3107" t="s">
        <v>12049</v>
      </c>
      <c r="B3107">
        <v>33</v>
      </c>
      <c r="C3107" s="4">
        <v>459.24</v>
      </c>
      <c r="D3107">
        <v>3</v>
      </c>
    </row>
    <row r="3108" spans="1:4" x14ac:dyDescent="0.25">
      <c r="A3108" t="s">
        <v>12050</v>
      </c>
      <c r="B3108">
        <v>10</v>
      </c>
      <c r="C3108" s="4">
        <v>213.5</v>
      </c>
      <c r="D3108">
        <v>1</v>
      </c>
    </row>
    <row r="3109" spans="1:4" x14ac:dyDescent="0.25">
      <c r="A3109" t="s">
        <v>12051</v>
      </c>
      <c r="B3109">
        <v>216</v>
      </c>
      <c r="C3109" s="4">
        <v>4113.68</v>
      </c>
      <c r="D3109">
        <v>16</v>
      </c>
    </row>
    <row r="3110" spans="1:4" x14ac:dyDescent="0.25">
      <c r="A3110" t="s">
        <v>12052</v>
      </c>
      <c r="B3110">
        <v>27</v>
      </c>
      <c r="C3110" s="4">
        <v>330.03</v>
      </c>
      <c r="D3110">
        <v>3</v>
      </c>
    </row>
    <row r="3111" spans="1:4" x14ac:dyDescent="0.25">
      <c r="A3111" t="s">
        <v>12053</v>
      </c>
      <c r="B3111">
        <v>53</v>
      </c>
      <c r="C3111" s="4">
        <v>181.09</v>
      </c>
      <c r="D3111">
        <v>1</v>
      </c>
    </row>
    <row r="3112" spans="1:4" x14ac:dyDescent="0.25">
      <c r="A3112" t="s">
        <v>12054</v>
      </c>
      <c r="B3112">
        <v>85</v>
      </c>
      <c r="C3112" s="4">
        <v>360.16</v>
      </c>
      <c r="D3112">
        <v>1</v>
      </c>
    </row>
    <row r="3113" spans="1:4" x14ac:dyDescent="0.25">
      <c r="A3113" t="s">
        <v>12055</v>
      </c>
      <c r="B3113">
        <v>12</v>
      </c>
      <c r="C3113" s="4">
        <v>250.15</v>
      </c>
      <c r="D3113">
        <v>2</v>
      </c>
    </row>
    <row r="3114" spans="1:4" x14ac:dyDescent="0.25">
      <c r="A3114" t="s">
        <v>12056</v>
      </c>
      <c r="B3114">
        <v>7</v>
      </c>
      <c r="C3114" s="4">
        <v>90.04</v>
      </c>
      <c r="D3114">
        <v>1</v>
      </c>
    </row>
    <row r="3115" spans="1:4" x14ac:dyDescent="0.25">
      <c r="A3115" t="s">
        <v>12057</v>
      </c>
      <c r="B3115">
        <v>10</v>
      </c>
      <c r="C3115" s="4">
        <v>145.05000000000001</v>
      </c>
      <c r="D3115">
        <v>1</v>
      </c>
    </row>
    <row r="3116" spans="1:4" x14ac:dyDescent="0.25">
      <c r="A3116" t="s">
        <v>12058</v>
      </c>
      <c r="B3116">
        <v>62</v>
      </c>
      <c r="C3116" s="4">
        <v>813.52</v>
      </c>
      <c r="D3116">
        <v>6</v>
      </c>
    </row>
    <row r="3117" spans="1:4" x14ac:dyDescent="0.25">
      <c r="A3117" t="s">
        <v>12059</v>
      </c>
      <c r="B3117">
        <v>30</v>
      </c>
      <c r="C3117" s="4">
        <v>243.63</v>
      </c>
      <c r="D3117">
        <v>1</v>
      </c>
    </row>
    <row r="3118" spans="1:4" x14ac:dyDescent="0.25">
      <c r="A3118" t="s">
        <v>12060</v>
      </c>
      <c r="B3118">
        <v>29</v>
      </c>
      <c r="C3118" s="4">
        <v>528.08000000000004</v>
      </c>
      <c r="D3118">
        <v>1</v>
      </c>
    </row>
    <row r="3119" spans="1:4" x14ac:dyDescent="0.25">
      <c r="A3119" t="s">
        <v>12061</v>
      </c>
      <c r="B3119">
        <v>34</v>
      </c>
      <c r="C3119" s="4">
        <v>482.47</v>
      </c>
      <c r="D3119">
        <v>2</v>
      </c>
    </row>
    <row r="3120" spans="1:4" x14ac:dyDescent="0.25">
      <c r="A3120" t="s">
        <v>12062</v>
      </c>
      <c r="B3120">
        <v>172</v>
      </c>
      <c r="C3120" s="4">
        <v>3347.71</v>
      </c>
      <c r="D3120">
        <v>14</v>
      </c>
    </row>
    <row r="3121" spans="1:4" x14ac:dyDescent="0.25">
      <c r="A3121" t="s">
        <v>12063</v>
      </c>
      <c r="B3121">
        <v>276</v>
      </c>
      <c r="C3121" s="4">
        <v>5493.46</v>
      </c>
      <c r="D3121">
        <v>7</v>
      </c>
    </row>
    <row r="3122" spans="1:4" x14ac:dyDescent="0.25">
      <c r="A3122" t="s">
        <v>12064</v>
      </c>
      <c r="B3122">
        <v>6</v>
      </c>
      <c r="C3122" s="4">
        <v>75.66</v>
      </c>
      <c r="D3122">
        <v>1</v>
      </c>
    </row>
    <row r="3123" spans="1:4" x14ac:dyDescent="0.25">
      <c r="A3123" t="s">
        <v>12065</v>
      </c>
      <c r="B3123">
        <v>10</v>
      </c>
      <c r="C3123" s="4">
        <v>129.49</v>
      </c>
      <c r="D3123">
        <v>1</v>
      </c>
    </row>
    <row r="3124" spans="1:4" x14ac:dyDescent="0.25">
      <c r="A3124" t="s">
        <v>12066</v>
      </c>
      <c r="B3124">
        <v>66</v>
      </c>
      <c r="C3124" s="4">
        <v>1187.6600000000001</v>
      </c>
      <c r="D3124">
        <v>4</v>
      </c>
    </row>
    <row r="3125" spans="1:4" x14ac:dyDescent="0.25">
      <c r="A3125" t="s">
        <v>12067</v>
      </c>
      <c r="B3125">
        <v>30</v>
      </c>
      <c r="C3125" s="4">
        <v>618.59</v>
      </c>
      <c r="D3125">
        <v>1</v>
      </c>
    </row>
    <row r="3126" spans="1:4" x14ac:dyDescent="0.25">
      <c r="A3126" t="s">
        <v>12068</v>
      </c>
      <c r="B3126">
        <v>26</v>
      </c>
      <c r="C3126" s="4">
        <v>506.19</v>
      </c>
      <c r="D3126">
        <v>1</v>
      </c>
    </row>
    <row r="3127" spans="1:4" x14ac:dyDescent="0.25">
      <c r="A3127" t="s">
        <v>12069</v>
      </c>
      <c r="B3127">
        <v>33</v>
      </c>
      <c r="C3127" s="4">
        <v>500.42</v>
      </c>
      <c r="D3127">
        <v>2</v>
      </c>
    </row>
    <row r="3128" spans="1:4" x14ac:dyDescent="0.25">
      <c r="A3128" t="s">
        <v>12070</v>
      </c>
      <c r="B3128">
        <v>5</v>
      </c>
      <c r="C3128" s="4">
        <v>151.85</v>
      </c>
      <c r="D3128">
        <v>1</v>
      </c>
    </row>
    <row r="3129" spans="1:4" x14ac:dyDescent="0.25">
      <c r="A3129" t="s">
        <v>12071</v>
      </c>
      <c r="B3129">
        <v>96</v>
      </c>
      <c r="C3129" s="4">
        <v>2647.59</v>
      </c>
      <c r="D3129">
        <v>5</v>
      </c>
    </row>
    <row r="3130" spans="1:4" x14ac:dyDescent="0.25">
      <c r="A3130" t="s">
        <v>12072</v>
      </c>
      <c r="B3130">
        <v>14</v>
      </c>
      <c r="C3130" s="4">
        <v>226.21</v>
      </c>
      <c r="D3130">
        <v>1</v>
      </c>
    </row>
    <row r="3131" spans="1:4" x14ac:dyDescent="0.25">
      <c r="A3131" t="s">
        <v>12073</v>
      </c>
      <c r="B3131">
        <v>9</v>
      </c>
      <c r="C3131" s="4">
        <v>178.96</v>
      </c>
      <c r="D3131">
        <v>2</v>
      </c>
    </row>
    <row r="3132" spans="1:4" x14ac:dyDescent="0.25">
      <c r="A3132" t="s">
        <v>12074</v>
      </c>
      <c r="B3132">
        <v>29</v>
      </c>
      <c r="C3132" s="4">
        <v>813.48</v>
      </c>
      <c r="D3132">
        <v>4</v>
      </c>
    </row>
    <row r="3133" spans="1:4" x14ac:dyDescent="0.25">
      <c r="A3133" t="s">
        <v>12075</v>
      </c>
      <c r="B3133">
        <v>5</v>
      </c>
      <c r="C3133" s="4">
        <v>129.44999999999999</v>
      </c>
      <c r="D3133">
        <v>1</v>
      </c>
    </row>
    <row r="3134" spans="1:4" x14ac:dyDescent="0.25">
      <c r="A3134" t="s">
        <v>12076</v>
      </c>
      <c r="B3134">
        <v>48</v>
      </c>
      <c r="C3134" s="4">
        <v>810.57</v>
      </c>
      <c r="D3134">
        <v>2</v>
      </c>
    </row>
    <row r="3135" spans="1:4" x14ac:dyDescent="0.25">
      <c r="A3135" t="s">
        <v>12077</v>
      </c>
      <c r="B3135">
        <v>23</v>
      </c>
      <c r="C3135" s="4">
        <v>333.08</v>
      </c>
      <c r="D3135">
        <v>1</v>
      </c>
    </row>
    <row r="3136" spans="1:4" x14ac:dyDescent="0.25">
      <c r="A3136" t="s">
        <v>12078</v>
      </c>
      <c r="B3136">
        <v>179</v>
      </c>
      <c r="C3136" s="4">
        <v>4413.1000000000004</v>
      </c>
      <c r="D3136">
        <v>17</v>
      </c>
    </row>
    <row r="3137" spans="1:4" x14ac:dyDescent="0.25">
      <c r="A3137" t="s">
        <v>12079</v>
      </c>
      <c r="B3137">
        <v>20</v>
      </c>
      <c r="C3137" s="4">
        <v>322.8</v>
      </c>
      <c r="D3137">
        <v>1</v>
      </c>
    </row>
    <row r="3138" spans="1:4" x14ac:dyDescent="0.25">
      <c r="A3138" t="s">
        <v>12080</v>
      </c>
      <c r="B3138">
        <v>117</v>
      </c>
      <c r="C3138" s="4">
        <v>2188.0500000000002</v>
      </c>
      <c r="D3138">
        <v>5</v>
      </c>
    </row>
    <row r="3139" spans="1:4" x14ac:dyDescent="0.25">
      <c r="A3139" t="s">
        <v>12081</v>
      </c>
      <c r="B3139">
        <v>64</v>
      </c>
      <c r="C3139" s="4">
        <v>417.73</v>
      </c>
      <c r="D3139">
        <v>2</v>
      </c>
    </row>
    <row r="3140" spans="1:4" x14ac:dyDescent="0.25">
      <c r="A3140" t="s">
        <v>12082</v>
      </c>
      <c r="B3140">
        <v>152</v>
      </c>
      <c r="C3140" s="4">
        <v>2883.1</v>
      </c>
      <c r="D3140">
        <v>6</v>
      </c>
    </row>
    <row r="3141" spans="1:4" x14ac:dyDescent="0.25">
      <c r="A3141" t="s">
        <v>12083</v>
      </c>
      <c r="B3141">
        <v>9</v>
      </c>
      <c r="C3141" s="4">
        <v>217.9</v>
      </c>
      <c r="D3141">
        <v>2</v>
      </c>
    </row>
    <row r="3142" spans="1:4" x14ac:dyDescent="0.25">
      <c r="A3142" t="s">
        <v>12084</v>
      </c>
      <c r="B3142">
        <v>69</v>
      </c>
      <c r="C3142" s="4">
        <v>1154.47</v>
      </c>
      <c r="D3142">
        <v>4</v>
      </c>
    </row>
    <row r="3143" spans="1:4" x14ac:dyDescent="0.25">
      <c r="A3143" t="s">
        <v>12085</v>
      </c>
      <c r="B3143">
        <v>94</v>
      </c>
      <c r="C3143" s="4">
        <v>1680.72</v>
      </c>
      <c r="D3143">
        <v>10</v>
      </c>
    </row>
    <row r="3144" spans="1:4" x14ac:dyDescent="0.25">
      <c r="A3144" t="s">
        <v>12086</v>
      </c>
      <c r="B3144">
        <v>50</v>
      </c>
      <c r="C3144" s="4">
        <v>1257.51</v>
      </c>
      <c r="D3144">
        <v>3</v>
      </c>
    </row>
    <row r="3145" spans="1:4" x14ac:dyDescent="0.25">
      <c r="A3145" t="s">
        <v>12087</v>
      </c>
      <c r="B3145">
        <v>12</v>
      </c>
      <c r="C3145" s="4">
        <v>231.1</v>
      </c>
      <c r="D3145">
        <v>1</v>
      </c>
    </row>
    <row r="3146" spans="1:4" x14ac:dyDescent="0.25">
      <c r="A3146" t="s">
        <v>12088</v>
      </c>
      <c r="B3146">
        <v>34</v>
      </c>
      <c r="C3146" s="4">
        <v>688.33</v>
      </c>
      <c r="D3146">
        <v>2</v>
      </c>
    </row>
    <row r="3147" spans="1:4" x14ac:dyDescent="0.25">
      <c r="A3147" t="s">
        <v>12089</v>
      </c>
      <c r="B3147">
        <v>27</v>
      </c>
      <c r="C3147" s="4">
        <v>487.51</v>
      </c>
      <c r="D3147">
        <v>1</v>
      </c>
    </row>
    <row r="3148" spans="1:4" x14ac:dyDescent="0.25">
      <c r="A3148" t="s">
        <v>12090</v>
      </c>
      <c r="B3148">
        <v>62</v>
      </c>
      <c r="C3148" s="4">
        <v>833.78</v>
      </c>
      <c r="D3148">
        <v>2</v>
      </c>
    </row>
    <row r="3149" spans="1:4" x14ac:dyDescent="0.25">
      <c r="A3149" t="s">
        <v>12091</v>
      </c>
      <c r="B3149">
        <v>14</v>
      </c>
      <c r="C3149" s="4">
        <v>214.06</v>
      </c>
      <c r="D3149">
        <v>2</v>
      </c>
    </row>
    <row r="3150" spans="1:4" x14ac:dyDescent="0.25">
      <c r="A3150" t="s">
        <v>12092</v>
      </c>
      <c r="B3150">
        <v>19</v>
      </c>
      <c r="C3150" s="4">
        <v>290.66000000000003</v>
      </c>
      <c r="D3150">
        <v>1</v>
      </c>
    </row>
    <row r="3151" spans="1:4" x14ac:dyDescent="0.25">
      <c r="A3151" t="s">
        <v>12093</v>
      </c>
      <c r="B3151">
        <v>24</v>
      </c>
      <c r="C3151" s="4">
        <v>518.41999999999996</v>
      </c>
      <c r="D3151">
        <v>1</v>
      </c>
    </row>
    <row r="3152" spans="1:4" x14ac:dyDescent="0.25">
      <c r="A3152" t="s">
        <v>12094</v>
      </c>
      <c r="B3152">
        <v>118</v>
      </c>
      <c r="C3152" s="4">
        <v>6773.97</v>
      </c>
      <c r="D3152">
        <v>7</v>
      </c>
    </row>
    <row r="3153" spans="1:4" x14ac:dyDescent="0.25">
      <c r="A3153" t="s">
        <v>12095</v>
      </c>
      <c r="B3153">
        <v>69</v>
      </c>
      <c r="C3153" s="4">
        <v>1212.6600000000001</v>
      </c>
      <c r="D3153">
        <v>2</v>
      </c>
    </row>
    <row r="3154" spans="1:4" x14ac:dyDescent="0.25">
      <c r="A3154" t="s">
        <v>12096</v>
      </c>
      <c r="B3154">
        <v>29</v>
      </c>
      <c r="C3154" s="4">
        <v>601.27</v>
      </c>
      <c r="D3154">
        <v>4</v>
      </c>
    </row>
    <row r="3155" spans="1:4" x14ac:dyDescent="0.25">
      <c r="A3155" t="s">
        <v>12097</v>
      </c>
      <c r="B3155">
        <v>261</v>
      </c>
      <c r="C3155" s="4">
        <v>3794.52</v>
      </c>
      <c r="D3155">
        <v>6</v>
      </c>
    </row>
    <row r="3156" spans="1:4" x14ac:dyDescent="0.25">
      <c r="A3156" t="s">
        <v>12098</v>
      </c>
      <c r="B3156">
        <v>73</v>
      </c>
      <c r="C3156" s="4">
        <v>8625.7999999999993</v>
      </c>
      <c r="D3156">
        <v>15</v>
      </c>
    </row>
    <row r="3157" spans="1:4" x14ac:dyDescent="0.25">
      <c r="A3157" t="s">
        <v>12099</v>
      </c>
      <c r="B3157">
        <v>208</v>
      </c>
      <c r="C3157" s="4">
        <v>933.62</v>
      </c>
      <c r="D3157">
        <v>4</v>
      </c>
    </row>
    <row r="3158" spans="1:4" x14ac:dyDescent="0.25">
      <c r="A3158" t="s">
        <v>12100</v>
      </c>
      <c r="B3158">
        <v>8</v>
      </c>
      <c r="C3158" s="4">
        <v>123.24</v>
      </c>
      <c r="D3158">
        <v>1</v>
      </c>
    </row>
    <row r="3159" spans="1:4" x14ac:dyDescent="0.25">
      <c r="A3159" t="s">
        <v>12101</v>
      </c>
      <c r="B3159">
        <v>2</v>
      </c>
      <c r="C3159" s="4">
        <v>39.119999999999997</v>
      </c>
      <c r="D3159">
        <v>1</v>
      </c>
    </row>
    <row r="3160" spans="1:4" x14ac:dyDescent="0.25">
      <c r="A3160" t="s">
        <v>12102</v>
      </c>
      <c r="B3160">
        <v>16</v>
      </c>
      <c r="C3160" s="4">
        <v>1267.6500000000001</v>
      </c>
      <c r="D3160">
        <v>4</v>
      </c>
    </row>
    <row r="3161" spans="1:4" x14ac:dyDescent="0.25">
      <c r="A3161" t="s">
        <v>12103</v>
      </c>
      <c r="B3161">
        <v>9</v>
      </c>
      <c r="C3161" s="4">
        <v>135.4</v>
      </c>
      <c r="D3161">
        <v>1</v>
      </c>
    </row>
    <row r="3162" spans="1:4" x14ac:dyDescent="0.25">
      <c r="A3162" t="s">
        <v>12104</v>
      </c>
      <c r="B3162">
        <v>32</v>
      </c>
      <c r="C3162" s="4">
        <v>118.98</v>
      </c>
      <c r="D3162">
        <v>1</v>
      </c>
    </row>
    <row r="3163" spans="1:4" x14ac:dyDescent="0.25">
      <c r="A3163" t="s">
        <v>12105</v>
      </c>
      <c r="B3163">
        <v>53</v>
      </c>
      <c r="C3163" s="4">
        <v>570.13</v>
      </c>
      <c r="D3163">
        <v>2</v>
      </c>
    </row>
    <row r="3164" spans="1:4" x14ac:dyDescent="0.25">
      <c r="A3164" t="s">
        <v>12106</v>
      </c>
      <c r="B3164">
        <v>20</v>
      </c>
      <c r="C3164" s="4">
        <v>306.72000000000003</v>
      </c>
      <c r="D3164">
        <v>6</v>
      </c>
    </row>
    <row r="3165" spans="1:4" x14ac:dyDescent="0.25">
      <c r="A3165" t="s">
        <v>12107</v>
      </c>
      <c r="B3165">
        <v>158</v>
      </c>
      <c r="C3165" s="4">
        <v>1370.47</v>
      </c>
      <c r="D3165">
        <v>2</v>
      </c>
    </row>
    <row r="3166" spans="1:4" x14ac:dyDescent="0.25">
      <c r="A3166" t="s">
        <v>12108</v>
      </c>
      <c r="B3166">
        <v>252</v>
      </c>
      <c r="C3166" s="4">
        <v>4095.9</v>
      </c>
      <c r="D3166">
        <v>11</v>
      </c>
    </row>
    <row r="3167" spans="1:4" x14ac:dyDescent="0.25">
      <c r="A3167" t="s">
        <v>12109</v>
      </c>
      <c r="B3167">
        <v>6</v>
      </c>
      <c r="C3167" s="4">
        <v>1692.27</v>
      </c>
      <c r="D3167">
        <v>3</v>
      </c>
    </row>
    <row r="3168" spans="1:4" x14ac:dyDescent="0.25">
      <c r="A3168" t="s">
        <v>12110</v>
      </c>
      <c r="B3168">
        <v>114</v>
      </c>
      <c r="C3168" s="4">
        <v>8134.94</v>
      </c>
      <c r="D3168">
        <v>20</v>
      </c>
    </row>
    <row r="3169" spans="1:4" x14ac:dyDescent="0.25">
      <c r="A3169" t="s">
        <v>12111</v>
      </c>
      <c r="B3169">
        <v>98</v>
      </c>
      <c r="C3169" s="4">
        <v>319.61</v>
      </c>
      <c r="D3169">
        <v>2</v>
      </c>
    </row>
    <row r="3170" spans="1:4" x14ac:dyDescent="0.25">
      <c r="A3170" t="s">
        <v>12112</v>
      </c>
      <c r="B3170">
        <v>89</v>
      </c>
      <c r="C3170" s="4">
        <v>1592.12</v>
      </c>
      <c r="D3170">
        <v>4</v>
      </c>
    </row>
    <row r="3171" spans="1:4" x14ac:dyDescent="0.25">
      <c r="A3171" t="s">
        <v>12113</v>
      </c>
      <c r="B3171">
        <v>163</v>
      </c>
      <c r="C3171" s="4">
        <v>3109.99</v>
      </c>
      <c r="D3171">
        <v>12</v>
      </c>
    </row>
    <row r="3172" spans="1:4" x14ac:dyDescent="0.25">
      <c r="A3172" t="s">
        <v>12114</v>
      </c>
      <c r="B3172">
        <v>3</v>
      </c>
      <c r="C3172" s="4">
        <v>129.75</v>
      </c>
      <c r="D3172">
        <v>1</v>
      </c>
    </row>
    <row r="3173" spans="1:4" x14ac:dyDescent="0.25">
      <c r="A3173" t="s">
        <v>12115</v>
      </c>
      <c r="B3173">
        <v>10</v>
      </c>
      <c r="C3173" s="4">
        <v>183.7</v>
      </c>
      <c r="D3173">
        <v>1</v>
      </c>
    </row>
    <row r="3174" spans="1:4" x14ac:dyDescent="0.25">
      <c r="A3174" t="s">
        <v>12116</v>
      </c>
      <c r="B3174">
        <v>44</v>
      </c>
      <c r="C3174" s="4">
        <v>1770.34</v>
      </c>
      <c r="D3174">
        <v>6</v>
      </c>
    </row>
    <row r="3175" spans="1:4" x14ac:dyDescent="0.25">
      <c r="A3175" t="s">
        <v>12117</v>
      </c>
      <c r="B3175">
        <v>30</v>
      </c>
      <c r="C3175" s="4">
        <v>1028</v>
      </c>
      <c r="D3175">
        <v>5</v>
      </c>
    </row>
    <row r="3176" spans="1:4" x14ac:dyDescent="0.25">
      <c r="A3176" t="s">
        <v>12118</v>
      </c>
      <c r="B3176">
        <v>277</v>
      </c>
      <c r="C3176" s="4">
        <v>66653.56</v>
      </c>
      <c r="D3176">
        <v>28</v>
      </c>
    </row>
    <row r="3177" spans="1:4" x14ac:dyDescent="0.25">
      <c r="A3177" t="s">
        <v>12119</v>
      </c>
      <c r="B3177">
        <v>62</v>
      </c>
      <c r="C3177" s="4">
        <v>324.24</v>
      </c>
      <c r="D3177">
        <v>2</v>
      </c>
    </row>
    <row r="3178" spans="1:4" x14ac:dyDescent="0.25">
      <c r="A3178" t="s">
        <v>12120</v>
      </c>
      <c r="B3178">
        <v>585</v>
      </c>
      <c r="C3178" s="4">
        <v>3062.83</v>
      </c>
      <c r="D3178">
        <v>7</v>
      </c>
    </row>
    <row r="3179" spans="1:4" x14ac:dyDescent="0.25">
      <c r="A3179" t="s">
        <v>12121</v>
      </c>
      <c r="B3179">
        <v>62</v>
      </c>
      <c r="C3179" s="4">
        <v>1260.8599999999999</v>
      </c>
      <c r="D3179">
        <v>4</v>
      </c>
    </row>
    <row r="3180" spans="1:4" x14ac:dyDescent="0.25">
      <c r="A3180" t="s">
        <v>12122</v>
      </c>
      <c r="B3180">
        <v>13</v>
      </c>
      <c r="C3180" s="4">
        <v>422.6</v>
      </c>
      <c r="D3180">
        <v>2</v>
      </c>
    </row>
    <row r="3181" spans="1:4" x14ac:dyDescent="0.25">
      <c r="A3181" t="s">
        <v>12123</v>
      </c>
      <c r="B3181">
        <v>12</v>
      </c>
      <c r="C3181" s="4">
        <v>225.58</v>
      </c>
      <c r="D3181">
        <v>2</v>
      </c>
    </row>
    <row r="3182" spans="1:4" x14ac:dyDescent="0.25">
      <c r="A3182" t="s">
        <v>12124</v>
      </c>
      <c r="B3182">
        <v>2</v>
      </c>
      <c r="C3182" s="4">
        <v>1126</v>
      </c>
      <c r="D3182">
        <v>2</v>
      </c>
    </row>
    <row r="3183" spans="1:4" x14ac:dyDescent="0.25">
      <c r="A3183" t="s">
        <v>12125</v>
      </c>
      <c r="B3183">
        <v>60</v>
      </c>
      <c r="C3183" s="4">
        <v>482.01</v>
      </c>
      <c r="D3183">
        <v>2</v>
      </c>
    </row>
    <row r="3184" spans="1:4" x14ac:dyDescent="0.25">
      <c r="A3184" t="s">
        <v>12126</v>
      </c>
      <c r="B3184">
        <v>10</v>
      </c>
      <c r="C3184" s="4">
        <v>657.9</v>
      </c>
      <c r="D3184">
        <v>4</v>
      </c>
    </row>
    <row r="3185" spans="1:4" x14ac:dyDescent="0.25">
      <c r="A3185" t="s">
        <v>12127</v>
      </c>
      <c r="B3185">
        <v>21</v>
      </c>
      <c r="C3185" s="4">
        <v>112.75</v>
      </c>
      <c r="D3185">
        <v>1</v>
      </c>
    </row>
    <row r="3186" spans="1:4" x14ac:dyDescent="0.25">
      <c r="A3186" t="s">
        <v>12128</v>
      </c>
      <c r="B3186">
        <v>5</v>
      </c>
      <c r="C3186" s="4">
        <v>1998</v>
      </c>
      <c r="D3186">
        <v>2</v>
      </c>
    </row>
    <row r="3187" spans="1:4" x14ac:dyDescent="0.25">
      <c r="A3187" t="s">
        <v>12129</v>
      </c>
      <c r="B3187">
        <v>308</v>
      </c>
      <c r="C3187" s="4">
        <v>5076.55</v>
      </c>
      <c r="D3187">
        <v>13</v>
      </c>
    </row>
    <row r="3188" spans="1:4" x14ac:dyDescent="0.25">
      <c r="A3188" t="s">
        <v>12130</v>
      </c>
      <c r="B3188">
        <v>144</v>
      </c>
      <c r="C3188" s="4">
        <v>5398.3</v>
      </c>
      <c r="D3188">
        <v>13</v>
      </c>
    </row>
    <row r="3189" spans="1:4" x14ac:dyDescent="0.25">
      <c r="A3189" t="s">
        <v>12131</v>
      </c>
      <c r="B3189">
        <v>270</v>
      </c>
      <c r="C3189" s="4">
        <v>14034.99</v>
      </c>
      <c r="D3189">
        <v>20</v>
      </c>
    </row>
    <row r="3190" spans="1:4" x14ac:dyDescent="0.25">
      <c r="A3190" t="s">
        <v>12132</v>
      </c>
      <c r="B3190">
        <v>123</v>
      </c>
      <c r="C3190" s="4">
        <v>531.35</v>
      </c>
      <c r="D3190">
        <v>3</v>
      </c>
    </row>
    <row r="3191" spans="1:4" x14ac:dyDescent="0.25">
      <c r="A3191" t="s">
        <v>12133</v>
      </c>
      <c r="B3191">
        <v>27</v>
      </c>
      <c r="C3191" s="4">
        <v>656.63</v>
      </c>
      <c r="D3191">
        <v>1</v>
      </c>
    </row>
    <row r="3192" spans="1:4" x14ac:dyDescent="0.25">
      <c r="A3192" t="s">
        <v>12134</v>
      </c>
      <c r="B3192">
        <v>79</v>
      </c>
      <c r="C3192" s="4">
        <v>3029.87</v>
      </c>
      <c r="D3192">
        <v>5</v>
      </c>
    </row>
    <row r="3193" spans="1:4" x14ac:dyDescent="0.25">
      <c r="A3193" t="s">
        <v>12135</v>
      </c>
      <c r="B3193">
        <v>402</v>
      </c>
      <c r="C3193" s="4">
        <v>2483.04</v>
      </c>
      <c r="D3193">
        <v>10</v>
      </c>
    </row>
    <row r="3194" spans="1:4" x14ac:dyDescent="0.25">
      <c r="A3194" t="s">
        <v>12136</v>
      </c>
      <c r="B3194">
        <v>22</v>
      </c>
      <c r="C3194" s="4">
        <v>1651.03</v>
      </c>
      <c r="D3194">
        <v>5</v>
      </c>
    </row>
    <row r="3195" spans="1:4" x14ac:dyDescent="0.25">
      <c r="A3195" t="s">
        <v>12137</v>
      </c>
      <c r="B3195">
        <v>446</v>
      </c>
      <c r="C3195" s="4">
        <v>3637.78</v>
      </c>
      <c r="D3195">
        <v>11</v>
      </c>
    </row>
    <row r="3196" spans="1:4" x14ac:dyDescent="0.25">
      <c r="A3196" t="s">
        <v>12138</v>
      </c>
      <c r="B3196">
        <v>624</v>
      </c>
      <c r="C3196" s="4">
        <v>6923.13</v>
      </c>
      <c r="D3196">
        <v>15</v>
      </c>
    </row>
    <row r="3197" spans="1:4" x14ac:dyDescent="0.25">
      <c r="A3197" t="s">
        <v>12139</v>
      </c>
      <c r="B3197">
        <v>92</v>
      </c>
      <c r="C3197" s="4">
        <v>1146.53</v>
      </c>
      <c r="D3197">
        <v>2</v>
      </c>
    </row>
    <row r="3198" spans="1:4" x14ac:dyDescent="0.25">
      <c r="A3198" t="s">
        <v>12140</v>
      </c>
      <c r="B3198">
        <v>19</v>
      </c>
      <c r="C3198" s="4">
        <v>301.72000000000003</v>
      </c>
      <c r="D3198">
        <v>1</v>
      </c>
    </row>
    <row r="3199" spans="1:4" x14ac:dyDescent="0.25">
      <c r="A3199" t="s">
        <v>12141</v>
      </c>
      <c r="B3199">
        <v>2</v>
      </c>
      <c r="C3199" s="4">
        <v>901.2</v>
      </c>
      <c r="D3199">
        <v>2</v>
      </c>
    </row>
    <row r="3200" spans="1:4" x14ac:dyDescent="0.25">
      <c r="A3200" t="s">
        <v>12142</v>
      </c>
      <c r="B3200">
        <v>199</v>
      </c>
      <c r="C3200" s="4">
        <v>3858.38</v>
      </c>
      <c r="D3200">
        <v>6</v>
      </c>
    </row>
    <row r="3201" spans="1:4" x14ac:dyDescent="0.25">
      <c r="A3201" t="s">
        <v>12143</v>
      </c>
      <c r="B3201">
        <v>45</v>
      </c>
      <c r="C3201" s="4">
        <v>623.75</v>
      </c>
      <c r="D3201">
        <v>1</v>
      </c>
    </row>
    <row r="3202" spans="1:4" x14ac:dyDescent="0.25">
      <c r="A3202" t="s">
        <v>12144</v>
      </c>
      <c r="B3202">
        <v>201</v>
      </c>
      <c r="C3202" s="4">
        <v>1790.42</v>
      </c>
      <c r="D3202">
        <v>7</v>
      </c>
    </row>
    <row r="3203" spans="1:4" x14ac:dyDescent="0.25">
      <c r="A3203" t="s">
        <v>12145</v>
      </c>
      <c r="B3203">
        <v>27</v>
      </c>
      <c r="C3203" s="4">
        <v>155.24</v>
      </c>
      <c r="D3203">
        <v>1</v>
      </c>
    </row>
    <row r="3204" spans="1:4" x14ac:dyDescent="0.25">
      <c r="A3204" t="s">
        <v>12146</v>
      </c>
      <c r="B3204">
        <v>37</v>
      </c>
      <c r="C3204" s="4">
        <v>292.47000000000003</v>
      </c>
      <c r="D3204">
        <v>1</v>
      </c>
    </row>
    <row r="3205" spans="1:4" x14ac:dyDescent="0.25">
      <c r="A3205" t="s">
        <v>12147</v>
      </c>
      <c r="B3205">
        <v>225</v>
      </c>
      <c r="C3205" s="4">
        <v>4730.8100000000004</v>
      </c>
      <c r="D3205">
        <v>13</v>
      </c>
    </row>
    <row r="3206" spans="1:4" x14ac:dyDescent="0.25">
      <c r="A3206" t="s">
        <v>12148</v>
      </c>
      <c r="B3206">
        <v>43</v>
      </c>
      <c r="C3206" s="4">
        <v>589.15</v>
      </c>
      <c r="D3206">
        <v>2</v>
      </c>
    </row>
    <row r="3207" spans="1:4" x14ac:dyDescent="0.25">
      <c r="A3207" t="s">
        <v>12149</v>
      </c>
      <c r="B3207">
        <v>150</v>
      </c>
      <c r="C3207" s="4">
        <v>779.57</v>
      </c>
      <c r="D3207">
        <v>6</v>
      </c>
    </row>
    <row r="3208" spans="1:4" x14ac:dyDescent="0.25">
      <c r="A3208" t="s">
        <v>12150</v>
      </c>
      <c r="B3208">
        <v>185</v>
      </c>
      <c r="C3208" s="4">
        <v>1382.02</v>
      </c>
      <c r="D3208">
        <v>5</v>
      </c>
    </row>
    <row r="3209" spans="1:4" x14ac:dyDescent="0.25">
      <c r="A3209" t="s">
        <v>12151</v>
      </c>
      <c r="B3209">
        <v>46</v>
      </c>
      <c r="C3209" s="4">
        <v>272.82</v>
      </c>
      <c r="D3209">
        <v>1</v>
      </c>
    </row>
    <row r="3210" spans="1:4" x14ac:dyDescent="0.25">
      <c r="A3210" t="s">
        <v>12152</v>
      </c>
      <c r="B3210">
        <v>269</v>
      </c>
      <c r="C3210" s="4">
        <v>1054.67</v>
      </c>
      <c r="D3210">
        <v>4</v>
      </c>
    </row>
    <row r="3211" spans="1:4" x14ac:dyDescent="0.25">
      <c r="A3211" t="s">
        <v>12153</v>
      </c>
      <c r="B3211">
        <v>659</v>
      </c>
      <c r="C3211" s="4">
        <v>7236.6</v>
      </c>
      <c r="D3211">
        <v>21</v>
      </c>
    </row>
    <row r="3212" spans="1:4" x14ac:dyDescent="0.25">
      <c r="A3212" t="s">
        <v>12154</v>
      </c>
      <c r="B3212">
        <v>82</v>
      </c>
      <c r="C3212" s="4">
        <v>743.11</v>
      </c>
      <c r="D3212">
        <v>3</v>
      </c>
    </row>
    <row r="3213" spans="1:4" x14ac:dyDescent="0.25">
      <c r="A3213" t="s">
        <v>12155</v>
      </c>
      <c r="B3213">
        <v>28</v>
      </c>
      <c r="C3213" s="4">
        <v>603.75</v>
      </c>
      <c r="D3213">
        <v>1</v>
      </c>
    </row>
    <row r="3214" spans="1:4" x14ac:dyDescent="0.25">
      <c r="A3214" t="s">
        <v>12156</v>
      </c>
      <c r="B3214">
        <v>53</v>
      </c>
      <c r="C3214" s="4">
        <v>650.51</v>
      </c>
      <c r="D3214">
        <v>3</v>
      </c>
    </row>
    <row r="3215" spans="1:4" x14ac:dyDescent="0.25">
      <c r="A3215" t="s">
        <v>12157</v>
      </c>
      <c r="B3215">
        <v>125</v>
      </c>
      <c r="C3215" s="4">
        <v>2300.56</v>
      </c>
      <c r="D3215">
        <v>5</v>
      </c>
    </row>
    <row r="3216" spans="1:4" x14ac:dyDescent="0.25">
      <c r="A3216" t="s">
        <v>12158</v>
      </c>
      <c r="B3216">
        <v>1</v>
      </c>
      <c r="C3216" s="4">
        <v>417.6</v>
      </c>
      <c r="D3216">
        <v>1</v>
      </c>
    </row>
    <row r="3217" spans="1:4" x14ac:dyDescent="0.25">
      <c r="A3217" t="s">
        <v>12159</v>
      </c>
      <c r="B3217">
        <v>1</v>
      </c>
      <c r="C3217" s="4">
        <v>3.75</v>
      </c>
      <c r="D3217">
        <v>1</v>
      </c>
    </row>
    <row r="3218" spans="1:4" x14ac:dyDescent="0.25">
      <c r="A3218" t="s">
        <v>12160</v>
      </c>
      <c r="B3218">
        <v>13</v>
      </c>
      <c r="C3218" s="4">
        <v>323</v>
      </c>
      <c r="D3218">
        <v>1</v>
      </c>
    </row>
    <row r="3219" spans="1:4" x14ac:dyDescent="0.25">
      <c r="A3219" t="s">
        <v>12161</v>
      </c>
      <c r="B3219">
        <v>191</v>
      </c>
      <c r="C3219" s="4">
        <v>2238.09</v>
      </c>
      <c r="D3219">
        <v>7</v>
      </c>
    </row>
    <row r="3220" spans="1:4" x14ac:dyDescent="0.25">
      <c r="A3220" t="s">
        <v>12162</v>
      </c>
      <c r="B3220">
        <v>242</v>
      </c>
      <c r="C3220" s="4">
        <v>1304.76</v>
      </c>
      <c r="D3220">
        <v>7</v>
      </c>
    </row>
    <row r="3221" spans="1:4" x14ac:dyDescent="0.25">
      <c r="A3221" t="s">
        <v>12163</v>
      </c>
      <c r="B3221">
        <v>357</v>
      </c>
      <c r="C3221" s="4">
        <v>7194.3</v>
      </c>
      <c r="D3221">
        <v>17</v>
      </c>
    </row>
    <row r="3222" spans="1:4" x14ac:dyDescent="0.25">
      <c r="A3222" t="s">
        <v>12164</v>
      </c>
      <c r="B3222">
        <v>449</v>
      </c>
      <c r="C3222" s="4">
        <v>6697.66</v>
      </c>
      <c r="D3222">
        <v>18</v>
      </c>
    </row>
    <row r="3223" spans="1:4" x14ac:dyDescent="0.25">
      <c r="A3223" t="s">
        <v>12165</v>
      </c>
      <c r="B3223">
        <v>42</v>
      </c>
      <c r="C3223" s="4">
        <v>836.06</v>
      </c>
      <c r="D3223">
        <v>2</v>
      </c>
    </row>
    <row r="3224" spans="1:4" x14ac:dyDescent="0.25">
      <c r="A3224" t="s">
        <v>12166</v>
      </c>
      <c r="B3224">
        <v>69</v>
      </c>
      <c r="C3224" s="4">
        <v>1515.9</v>
      </c>
      <c r="D3224">
        <v>5</v>
      </c>
    </row>
    <row r="3225" spans="1:4" x14ac:dyDescent="0.25">
      <c r="A3225" t="s">
        <v>12167</v>
      </c>
      <c r="B3225">
        <v>95</v>
      </c>
      <c r="C3225" s="4">
        <v>623.92999999999995</v>
      </c>
      <c r="D3225">
        <v>5</v>
      </c>
    </row>
    <row r="3226" spans="1:4" x14ac:dyDescent="0.25">
      <c r="A3226" t="s">
        <v>12168</v>
      </c>
      <c r="B3226">
        <v>25</v>
      </c>
      <c r="C3226" s="4">
        <v>1764.72</v>
      </c>
      <c r="D3226">
        <v>1</v>
      </c>
    </row>
    <row r="3227" spans="1:4" x14ac:dyDescent="0.25">
      <c r="A3227" t="s">
        <v>12169</v>
      </c>
      <c r="B3227">
        <v>9</v>
      </c>
      <c r="C3227" s="4">
        <v>207.5</v>
      </c>
      <c r="D3227">
        <v>1</v>
      </c>
    </row>
    <row r="3228" spans="1:4" x14ac:dyDescent="0.25">
      <c r="A3228" t="s">
        <v>12170</v>
      </c>
      <c r="B3228">
        <v>34</v>
      </c>
      <c r="C3228" s="4">
        <v>223.92</v>
      </c>
      <c r="D3228">
        <v>1</v>
      </c>
    </row>
    <row r="3229" spans="1:4" x14ac:dyDescent="0.25">
      <c r="A3229" t="s">
        <v>12171</v>
      </c>
      <c r="B3229">
        <v>2</v>
      </c>
      <c r="C3229" s="4">
        <v>2002.4</v>
      </c>
      <c r="D3229">
        <v>1</v>
      </c>
    </row>
    <row r="3230" spans="1:4" x14ac:dyDescent="0.25">
      <c r="A3230" t="s">
        <v>12172</v>
      </c>
      <c r="B3230">
        <v>170</v>
      </c>
      <c r="C3230" s="4">
        <v>1496.83</v>
      </c>
      <c r="D3230">
        <v>3</v>
      </c>
    </row>
    <row r="3231" spans="1:4" x14ac:dyDescent="0.25">
      <c r="A3231" t="s">
        <v>12173</v>
      </c>
      <c r="B3231">
        <v>13</v>
      </c>
      <c r="C3231" s="4">
        <v>239.4</v>
      </c>
      <c r="D3231">
        <v>1</v>
      </c>
    </row>
    <row r="3232" spans="1:4" x14ac:dyDescent="0.25">
      <c r="A3232" t="s">
        <v>12174</v>
      </c>
      <c r="B3232">
        <v>7</v>
      </c>
      <c r="C3232" s="4">
        <v>106.83</v>
      </c>
      <c r="D3232">
        <v>1</v>
      </c>
    </row>
    <row r="3233" spans="1:4" x14ac:dyDescent="0.25">
      <c r="A3233" t="s">
        <v>12175</v>
      </c>
      <c r="B3233">
        <v>22</v>
      </c>
      <c r="C3233" s="4">
        <v>369.34</v>
      </c>
      <c r="D3233">
        <v>1</v>
      </c>
    </row>
    <row r="3234" spans="1:4" x14ac:dyDescent="0.25">
      <c r="A3234" t="s">
        <v>12176</v>
      </c>
      <c r="B3234">
        <v>42</v>
      </c>
      <c r="C3234" s="4">
        <v>789.79</v>
      </c>
      <c r="D3234">
        <v>3</v>
      </c>
    </row>
    <row r="3235" spans="1:4" x14ac:dyDescent="0.25">
      <c r="A3235" t="s">
        <v>12177</v>
      </c>
      <c r="B3235">
        <v>13</v>
      </c>
      <c r="C3235" s="4">
        <v>316.62</v>
      </c>
      <c r="D3235">
        <v>1</v>
      </c>
    </row>
    <row r="3236" spans="1:4" x14ac:dyDescent="0.25">
      <c r="A3236" t="s">
        <v>12178</v>
      </c>
      <c r="B3236">
        <v>89</v>
      </c>
      <c r="C3236" s="4">
        <v>1501.38</v>
      </c>
      <c r="D3236">
        <v>3</v>
      </c>
    </row>
    <row r="3237" spans="1:4" x14ac:dyDescent="0.25">
      <c r="A3237" t="s">
        <v>12179</v>
      </c>
      <c r="B3237">
        <v>23</v>
      </c>
      <c r="C3237" s="4">
        <v>611.85</v>
      </c>
      <c r="D3237">
        <v>1</v>
      </c>
    </row>
    <row r="3238" spans="1:4" x14ac:dyDescent="0.25">
      <c r="A3238" t="s">
        <v>12180</v>
      </c>
      <c r="B3238">
        <v>706</v>
      </c>
      <c r="C3238" s="4">
        <v>2799.25</v>
      </c>
      <c r="D3238">
        <v>13</v>
      </c>
    </row>
    <row r="3239" spans="1:4" x14ac:dyDescent="0.25">
      <c r="A3239" t="s">
        <v>12181</v>
      </c>
      <c r="B3239">
        <v>1</v>
      </c>
      <c r="C3239" s="4">
        <v>34</v>
      </c>
      <c r="D3239">
        <v>1</v>
      </c>
    </row>
    <row r="3240" spans="1:4" x14ac:dyDescent="0.25">
      <c r="A3240" t="s">
        <v>12182</v>
      </c>
      <c r="B3240">
        <v>34</v>
      </c>
      <c r="C3240" s="4">
        <v>1145.5999999999999</v>
      </c>
      <c r="D3240">
        <v>2</v>
      </c>
    </row>
    <row r="3241" spans="1:4" x14ac:dyDescent="0.25">
      <c r="A3241" t="s">
        <v>12183</v>
      </c>
      <c r="B3241">
        <v>222</v>
      </c>
      <c r="C3241" s="4">
        <v>5580.6</v>
      </c>
      <c r="D3241">
        <v>11</v>
      </c>
    </row>
    <row r="3242" spans="1:4" x14ac:dyDescent="0.25">
      <c r="A3242" t="s">
        <v>12184</v>
      </c>
      <c r="B3242">
        <v>54</v>
      </c>
      <c r="C3242" s="4">
        <v>478.09</v>
      </c>
      <c r="D3242">
        <v>3</v>
      </c>
    </row>
    <row r="3243" spans="1:4" x14ac:dyDescent="0.25">
      <c r="A3243" t="s">
        <v>12185</v>
      </c>
      <c r="B3243">
        <v>40</v>
      </c>
      <c r="C3243" s="4">
        <v>380.39</v>
      </c>
      <c r="D3243">
        <v>1</v>
      </c>
    </row>
    <row r="3244" spans="1:4" x14ac:dyDescent="0.25">
      <c r="A3244" t="s">
        <v>12186</v>
      </c>
      <c r="B3244">
        <v>145</v>
      </c>
      <c r="C3244" s="4">
        <v>770.1</v>
      </c>
      <c r="D3244">
        <v>5</v>
      </c>
    </row>
    <row r="3245" spans="1:4" x14ac:dyDescent="0.25">
      <c r="A3245" t="s">
        <v>12187</v>
      </c>
      <c r="B3245">
        <v>254</v>
      </c>
      <c r="C3245" s="4">
        <v>2234.81</v>
      </c>
      <c r="D3245">
        <v>5</v>
      </c>
    </row>
    <row r="3246" spans="1:4" x14ac:dyDescent="0.25">
      <c r="A3246" t="s">
        <v>12188</v>
      </c>
      <c r="B3246">
        <v>26</v>
      </c>
      <c r="C3246" s="4">
        <v>171.59</v>
      </c>
      <c r="D3246">
        <v>1</v>
      </c>
    </row>
    <row r="3247" spans="1:4" x14ac:dyDescent="0.25">
      <c r="A3247" t="s">
        <v>12189</v>
      </c>
      <c r="B3247">
        <v>48</v>
      </c>
      <c r="C3247" s="4">
        <v>661.52</v>
      </c>
      <c r="D3247">
        <v>4</v>
      </c>
    </row>
    <row r="3248" spans="1:4" x14ac:dyDescent="0.25">
      <c r="A3248" t="s">
        <v>12190</v>
      </c>
      <c r="B3248">
        <v>158</v>
      </c>
      <c r="C3248" s="4">
        <v>1695.66</v>
      </c>
      <c r="D3248">
        <v>11</v>
      </c>
    </row>
    <row r="3249" spans="1:4" x14ac:dyDescent="0.25">
      <c r="A3249" t="s">
        <v>12191</v>
      </c>
      <c r="B3249">
        <v>76</v>
      </c>
      <c r="C3249" s="4">
        <v>388.28</v>
      </c>
      <c r="D3249">
        <v>1</v>
      </c>
    </row>
    <row r="3250" spans="1:4" x14ac:dyDescent="0.25">
      <c r="A3250" t="s">
        <v>12192</v>
      </c>
      <c r="B3250">
        <v>50</v>
      </c>
      <c r="C3250" s="4">
        <v>226.35</v>
      </c>
      <c r="D3250">
        <v>2</v>
      </c>
    </row>
    <row r="3251" spans="1:4" x14ac:dyDescent="0.25">
      <c r="A3251" t="s">
        <v>12193</v>
      </c>
      <c r="B3251">
        <v>16</v>
      </c>
      <c r="C3251" s="4">
        <v>245.94</v>
      </c>
      <c r="D3251">
        <v>2</v>
      </c>
    </row>
    <row r="3252" spans="1:4" x14ac:dyDescent="0.25">
      <c r="A3252" t="s">
        <v>12194</v>
      </c>
      <c r="B3252">
        <v>333</v>
      </c>
      <c r="C3252" s="4">
        <v>10629.72</v>
      </c>
      <c r="D3252">
        <v>22</v>
      </c>
    </row>
    <row r="3253" spans="1:4" x14ac:dyDescent="0.25">
      <c r="A3253" t="s">
        <v>12195</v>
      </c>
      <c r="B3253">
        <v>60</v>
      </c>
      <c r="C3253" s="4">
        <v>425.19</v>
      </c>
      <c r="D3253">
        <v>2</v>
      </c>
    </row>
    <row r="3254" spans="1:4" x14ac:dyDescent="0.25">
      <c r="A3254" t="s">
        <v>12196</v>
      </c>
      <c r="B3254">
        <v>17</v>
      </c>
      <c r="C3254" s="4">
        <v>311.25</v>
      </c>
      <c r="D3254">
        <v>1</v>
      </c>
    </row>
    <row r="3255" spans="1:4" x14ac:dyDescent="0.25">
      <c r="A3255" t="s">
        <v>12197</v>
      </c>
      <c r="B3255">
        <v>190</v>
      </c>
      <c r="C3255" s="4">
        <v>2279.9</v>
      </c>
      <c r="D3255">
        <v>13</v>
      </c>
    </row>
    <row r="3256" spans="1:4" x14ac:dyDescent="0.25">
      <c r="A3256" t="s">
        <v>12198</v>
      </c>
      <c r="B3256">
        <v>3</v>
      </c>
      <c r="C3256" s="4">
        <v>107.6</v>
      </c>
      <c r="D3256">
        <v>1</v>
      </c>
    </row>
    <row r="3257" spans="1:4" x14ac:dyDescent="0.25">
      <c r="A3257" t="s">
        <v>12199</v>
      </c>
      <c r="B3257">
        <v>154</v>
      </c>
      <c r="C3257" s="4">
        <v>595.83000000000004</v>
      </c>
      <c r="D3257">
        <v>2</v>
      </c>
    </row>
    <row r="3258" spans="1:4" x14ac:dyDescent="0.25">
      <c r="A3258" t="s">
        <v>12200</v>
      </c>
      <c r="B3258">
        <v>5</v>
      </c>
      <c r="C3258" s="4">
        <v>80.8</v>
      </c>
      <c r="D3258">
        <v>1</v>
      </c>
    </row>
    <row r="3259" spans="1:4" x14ac:dyDescent="0.25">
      <c r="A3259" t="s">
        <v>12201</v>
      </c>
      <c r="B3259">
        <v>93</v>
      </c>
      <c r="C3259" s="4">
        <v>1545.62</v>
      </c>
      <c r="D3259">
        <v>6</v>
      </c>
    </row>
    <row r="3260" spans="1:4" x14ac:dyDescent="0.25">
      <c r="A3260" t="s">
        <v>12202</v>
      </c>
      <c r="B3260">
        <v>319</v>
      </c>
      <c r="C3260" s="4">
        <v>1709.03</v>
      </c>
      <c r="D3260">
        <v>7</v>
      </c>
    </row>
    <row r="3261" spans="1:4" x14ac:dyDescent="0.25">
      <c r="A3261" t="s">
        <v>12203</v>
      </c>
      <c r="B3261">
        <v>12</v>
      </c>
      <c r="C3261" s="4">
        <v>110.38</v>
      </c>
      <c r="D3261">
        <v>2</v>
      </c>
    </row>
    <row r="3262" spans="1:4" x14ac:dyDescent="0.25">
      <c r="A3262" t="s">
        <v>12204</v>
      </c>
      <c r="B3262">
        <v>16</v>
      </c>
      <c r="C3262" s="4">
        <v>243.84</v>
      </c>
      <c r="D3262">
        <v>1</v>
      </c>
    </row>
    <row r="3263" spans="1:4" x14ac:dyDescent="0.25">
      <c r="A3263" t="s">
        <v>12205</v>
      </c>
      <c r="B3263">
        <v>284</v>
      </c>
      <c r="C3263" s="4">
        <v>1220.69</v>
      </c>
      <c r="D3263">
        <v>10</v>
      </c>
    </row>
    <row r="3264" spans="1:4" x14ac:dyDescent="0.25">
      <c r="A3264" t="s">
        <v>12206</v>
      </c>
      <c r="B3264">
        <v>66</v>
      </c>
      <c r="C3264" s="4">
        <v>414.88</v>
      </c>
      <c r="D3264">
        <v>1</v>
      </c>
    </row>
    <row r="3265" spans="1:4" x14ac:dyDescent="0.25">
      <c r="A3265" t="s">
        <v>12207</v>
      </c>
      <c r="B3265">
        <v>18</v>
      </c>
      <c r="C3265" s="4">
        <v>305.62</v>
      </c>
      <c r="D3265">
        <v>1</v>
      </c>
    </row>
    <row r="3266" spans="1:4" x14ac:dyDescent="0.25">
      <c r="A3266" t="s">
        <v>12208</v>
      </c>
      <c r="B3266">
        <v>164</v>
      </c>
      <c r="C3266" s="4">
        <v>1201.49</v>
      </c>
      <c r="D3266">
        <v>1</v>
      </c>
    </row>
    <row r="3267" spans="1:4" x14ac:dyDescent="0.25">
      <c r="A3267" t="s">
        <v>12209</v>
      </c>
      <c r="B3267">
        <v>76</v>
      </c>
      <c r="C3267" s="4">
        <v>1619.73</v>
      </c>
      <c r="D3267">
        <v>4</v>
      </c>
    </row>
    <row r="3268" spans="1:4" x14ac:dyDescent="0.25">
      <c r="A3268" t="s">
        <v>12210</v>
      </c>
      <c r="B3268">
        <v>24</v>
      </c>
      <c r="C3268" s="4">
        <v>332.3</v>
      </c>
      <c r="D3268">
        <v>1</v>
      </c>
    </row>
    <row r="3269" spans="1:4" x14ac:dyDescent="0.25">
      <c r="A3269" t="s">
        <v>12211</v>
      </c>
      <c r="B3269">
        <v>60</v>
      </c>
      <c r="C3269" s="4">
        <v>536.99</v>
      </c>
      <c r="D3269">
        <v>3</v>
      </c>
    </row>
    <row r="3270" spans="1:4" x14ac:dyDescent="0.25">
      <c r="A3270" t="s">
        <v>12212</v>
      </c>
      <c r="B3270">
        <v>98</v>
      </c>
      <c r="C3270" s="4">
        <v>460.59</v>
      </c>
      <c r="D3270">
        <v>2</v>
      </c>
    </row>
    <row r="3271" spans="1:4" x14ac:dyDescent="0.25">
      <c r="A3271" t="s">
        <v>12213</v>
      </c>
      <c r="B3271">
        <v>102</v>
      </c>
      <c r="C3271" s="4">
        <v>775.54</v>
      </c>
      <c r="D3271">
        <v>4</v>
      </c>
    </row>
    <row r="3272" spans="1:4" x14ac:dyDescent="0.25">
      <c r="A3272" t="s">
        <v>12214</v>
      </c>
      <c r="B3272">
        <v>67</v>
      </c>
      <c r="C3272" s="4">
        <v>1121.5899999999999</v>
      </c>
      <c r="D3272">
        <v>3</v>
      </c>
    </row>
    <row r="3273" spans="1:4" x14ac:dyDescent="0.25">
      <c r="A3273" t="s">
        <v>12215</v>
      </c>
      <c r="B3273">
        <v>23</v>
      </c>
      <c r="C3273" s="4">
        <v>288.42</v>
      </c>
      <c r="D3273">
        <v>2</v>
      </c>
    </row>
    <row r="3274" spans="1:4" x14ac:dyDescent="0.25">
      <c r="A3274" t="s">
        <v>12216</v>
      </c>
      <c r="B3274">
        <v>149</v>
      </c>
      <c r="C3274" s="4">
        <v>914.69</v>
      </c>
      <c r="D3274">
        <v>5</v>
      </c>
    </row>
    <row r="3275" spans="1:4" x14ac:dyDescent="0.25">
      <c r="A3275" t="s">
        <v>12217</v>
      </c>
      <c r="B3275">
        <v>15</v>
      </c>
      <c r="C3275" s="4">
        <v>309.54000000000002</v>
      </c>
      <c r="D3275">
        <v>1</v>
      </c>
    </row>
    <row r="3276" spans="1:4" x14ac:dyDescent="0.25">
      <c r="A3276" t="s">
        <v>12218</v>
      </c>
      <c r="B3276">
        <v>28</v>
      </c>
      <c r="C3276" s="4">
        <v>547.07000000000005</v>
      </c>
      <c r="D3276">
        <v>2</v>
      </c>
    </row>
    <row r="3277" spans="1:4" x14ac:dyDescent="0.25">
      <c r="A3277" t="s">
        <v>12219</v>
      </c>
      <c r="B3277">
        <v>15</v>
      </c>
      <c r="C3277" s="4">
        <v>479.35</v>
      </c>
      <c r="D3277">
        <v>1</v>
      </c>
    </row>
    <row r="3278" spans="1:4" x14ac:dyDescent="0.25">
      <c r="A3278" t="s">
        <v>12220</v>
      </c>
      <c r="B3278">
        <v>449</v>
      </c>
      <c r="C3278" s="4">
        <v>1692.98</v>
      </c>
      <c r="D3278">
        <v>10</v>
      </c>
    </row>
    <row r="3279" spans="1:4" x14ac:dyDescent="0.25">
      <c r="A3279" t="s">
        <v>12221</v>
      </c>
      <c r="B3279">
        <v>323</v>
      </c>
      <c r="C3279" s="4">
        <v>6499.2</v>
      </c>
      <c r="D3279">
        <v>21</v>
      </c>
    </row>
    <row r="3280" spans="1:4" x14ac:dyDescent="0.25">
      <c r="A3280" t="s">
        <v>12222</v>
      </c>
      <c r="B3280">
        <v>28</v>
      </c>
      <c r="C3280" s="4">
        <v>417.06</v>
      </c>
      <c r="D3280">
        <v>4</v>
      </c>
    </row>
    <row r="3281" spans="1:4" x14ac:dyDescent="0.25">
      <c r="A3281" t="s">
        <v>12223</v>
      </c>
      <c r="B3281">
        <v>86</v>
      </c>
      <c r="C3281" s="4">
        <v>1604.75</v>
      </c>
      <c r="D3281">
        <v>9</v>
      </c>
    </row>
    <row r="3282" spans="1:4" x14ac:dyDescent="0.25">
      <c r="A3282" t="s">
        <v>12224</v>
      </c>
      <c r="B3282">
        <v>188</v>
      </c>
      <c r="C3282" s="4">
        <v>3349.57</v>
      </c>
      <c r="D3282">
        <v>11</v>
      </c>
    </row>
    <row r="3283" spans="1:4" x14ac:dyDescent="0.25">
      <c r="A3283" t="s">
        <v>12225</v>
      </c>
      <c r="B3283">
        <v>26</v>
      </c>
      <c r="C3283" s="4">
        <v>497.61</v>
      </c>
      <c r="D3283">
        <v>1</v>
      </c>
    </row>
    <row r="3284" spans="1:4" x14ac:dyDescent="0.25">
      <c r="A3284" t="s">
        <v>12226</v>
      </c>
      <c r="B3284">
        <v>38</v>
      </c>
      <c r="C3284" s="4">
        <v>358.38</v>
      </c>
      <c r="D3284">
        <v>1</v>
      </c>
    </row>
    <row r="3285" spans="1:4" x14ac:dyDescent="0.25">
      <c r="A3285" t="s">
        <v>12227</v>
      </c>
      <c r="B3285">
        <v>26</v>
      </c>
      <c r="C3285" s="4">
        <v>460.64</v>
      </c>
      <c r="D3285">
        <v>2</v>
      </c>
    </row>
    <row r="3286" spans="1:4" x14ac:dyDescent="0.25">
      <c r="A3286" t="s">
        <v>12228</v>
      </c>
      <c r="B3286">
        <v>28</v>
      </c>
      <c r="C3286" s="4">
        <v>775.18</v>
      </c>
      <c r="D3286">
        <v>2</v>
      </c>
    </row>
    <row r="3287" spans="1:4" x14ac:dyDescent="0.25">
      <c r="A3287" t="s">
        <v>12229</v>
      </c>
      <c r="B3287">
        <v>22</v>
      </c>
      <c r="C3287" s="4">
        <v>341.7</v>
      </c>
      <c r="D3287">
        <v>1</v>
      </c>
    </row>
    <row r="3288" spans="1:4" x14ac:dyDescent="0.25">
      <c r="A3288" t="s">
        <v>12230</v>
      </c>
      <c r="B3288">
        <v>7</v>
      </c>
      <c r="C3288" s="4">
        <v>113.5</v>
      </c>
      <c r="D3288">
        <v>1</v>
      </c>
    </row>
    <row r="3289" spans="1:4" x14ac:dyDescent="0.25">
      <c r="A3289" t="s">
        <v>12231</v>
      </c>
      <c r="B3289">
        <v>11</v>
      </c>
      <c r="C3289" s="4">
        <v>197.22</v>
      </c>
      <c r="D3289">
        <v>1</v>
      </c>
    </row>
    <row r="3290" spans="1:4" x14ac:dyDescent="0.25">
      <c r="A3290" t="s">
        <v>12232</v>
      </c>
      <c r="B3290">
        <v>23</v>
      </c>
      <c r="C3290" s="4">
        <v>325.91000000000003</v>
      </c>
      <c r="D3290">
        <v>1</v>
      </c>
    </row>
    <row r="3291" spans="1:4" x14ac:dyDescent="0.25">
      <c r="A3291" t="s">
        <v>12233</v>
      </c>
      <c r="B3291">
        <v>12</v>
      </c>
      <c r="C3291" s="4">
        <v>199.15</v>
      </c>
      <c r="D3291">
        <v>3</v>
      </c>
    </row>
    <row r="3292" spans="1:4" x14ac:dyDescent="0.25">
      <c r="A3292" t="s">
        <v>12234</v>
      </c>
      <c r="B3292">
        <v>47</v>
      </c>
      <c r="C3292" s="4">
        <v>1106.53</v>
      </c>
      <c r="D3292">
        <v>4</v>
      </c>
    </row>
    <row r="3293" spans="1:4" x14ac:dyDescent="0.25">
      <c r="A3293" t="s">
        <v>12235</v>
      </c>
      <c r="B3293">
        <v>24</v>
      </c>
      <c r="C3293" s="4">
        <v>413.46</v>
      </c>
      <c r="D3293">
        <v>1</v>
      </c>
    </row>
    <row r="3294" spans="1:4" x14ac:dyDescent="0.25">
      <c r="A3294" t="s">
        <v>12236</v>
      </c>
      <c r="B3294">
        <v>10</v>
      </c>
      <c r="C3294" s="4">
        <v>180.85</v>
      </c>
      <c r="D3294">
        <v>2</v>
      </c>
    </row>
    <row r="3295" spans="1:4" x14ac:dyDescent="0.25">
      <c r="A3295" t="s">
        <v>12237</v>
      </c>
      <c r="B3295">
        <v>11</v>
      </c>
      <c r="C3295" s="4">
        <v>251.87</v>
      </c>
      <c r="D3295">
        <v>2</v>
      </c>
    </row>
    <row r="3296" spans="1:4" x14ac:dyDescent="0.25">
      <c r="A3296" t="s">
        <v>12238</v>
      </c>
      <c r="B3296">
        <v>165</v>
      </c>
      <c r="C3296" s="4">
        <v>3170.98</v>
      </c>
      <c r="D3296">
        <v>11</v>
      </c>
    </row>
    <row r="3297" spans="1:4" x14ac:dyDescent="0.25">
      <c r="A3297" t="s">
        <v>12239</v>
      </c>
      <c r="B3297">
        <v>25</v>
      </c>
      <c r="C3297" s="4">
        <v>588.85</v>
      </c>
      <c r="D3297">
        <v>2</v>
      </c>
    </row>
    <row r="3298" spans="1:4" x14ac:dyDescent="0.25">
      <c r="A3298" t="s">
        <v>12240</v>
      </c>
      <c r="B3298">
        <v>266</v>
      </c>
      <c r="C3298" s="4">
        <v>16594.349999999999</v>
      </c>
      <c r="D3298">
        <v>34</v>
      </c>
    </row>
    <row r="3299" spans="1:4" x14ac:dyDescent="0.25">
      <c r="A3299" t="s">
        <v>12241</v>
      </c>
      <c r="B3299">
        <v>116</v>
      </c>
      <c r="C3299" s="4">
        <v>1869.82</v>
      </c>
      <c r="D3299">
        <v>6</v>
      </c>
    </row>
    <row r="3300" spans="1:4" x14ac:dyDescent="0.25">
      <c r="A3300" t="s">
        <v>12242</v>
      </c>
      <c r="B3300">
        <v>63</v>
      </c>
      <c r="C3300" s="4">
        <v>1264.19</v>
      </c>
      <c r="D3300">
        <v>3</v>
      </c>
    </row>
    <row r="3301" spans="1:4" x14ac:dyDescent="0.25">
      <c r="A3301" t="s">
        <v>12243</v>
      </c>
      <c r="B3301">
        <v>378</v>
      </c>
      <c r="C3301" s="4">
        <v>10196.57</v>
      </c>
      <c r="D3301">
        <v>16</v>
      </c>
    </row>
    <row r="3302" spans="1:4" x14ac:dyDescent="0.25">
      <c r="A3302" t="s">
        <v>12244</v>
      </c>
      <c r="B3302">
        <v>11</v>
      </c>
      <c r="C3302" s="4">
        <v>214.32</v>
      </c>
      <c r="D3302">
        <v>1</v>
      </c>
    </row>
    <row r="3303" spans="1:4" x14ac:dyDescent="0.25">
      <c r="A3303" t="s">
        <v>12245</v>
      </c>
      <c r="B3303">
        <v>12</v>
      </c>
      <c r="C3303" s="4">
        <v>193.44</v>
      </c>
      <c r="D3303">
        <v>1</v>
      </c>
    </row>
    <row r="3304" spans="1:4" x14ac:dyDescent="0.25">
      <c r="A3304" t="s">
        <v>12246</v>
      </c>
      <c r="B3304">
        <v>14</v>
      </c>
      <c r="C3304" s="4">
        <v>281.42</v>
      </c>
      <c r="D3304">
        <v>1</v>
      </c>
    </row>
    <row r="3305" spans="1:4" x14ac:dyDescent="0.25">
      <c r="A3305" t="s">
        <v>12247</v>
      </c>
      <c r="B3305">
        <v>8</v>
      </c>
      <c r="C3305" s="4">
        <v>124.57</v>
      </c>
      <c r="D3305">
        <v>1</v>
      </c>
    </row>
    <row r="3306" spans="1:4" x14ac:dyDescent="0.25">
      <c r="A3306" t="s">
        <v>12248</v>
      </c>
      <c r="B3306">
        <v>19</v>
      </c>
      <c r="C3306" s="4">
        <v>332.41</v>
      </c>
      <c r="D3306">
        <v>1</v>
      </c>
    </row>
    <row r="3307" spans="1:4" x14ac:dyDescent="0.25">
      <c r="A3307" t="s">
        <v>12249</v>
      </c>
      <c r="B3307">
        <v>20</v>
      </c>
      <c r="C3307" s="4">
        <v>342.45</v>
      </c>
      <c r="D3307">
        <v>3</v>
      </c>
    </row>
    <row r="3308" spans="1:4" x14ac:dyDescent="0.25">
      <c r="A3308" t="s">
        <v>12250</v>
      </c>
      <c r="B3308">
        <v>9</v>
      </c>
      <c r="C3308" s="4">
        <v>144.91</v>
      </c>
      <c r="D3308">
        <v>2</v>
      </c>
    </row>
    <row r="3309" spans="1:4" x14ac:dyDescent="0.25">
      <c r="A3309" t="s">
        <v>12251</v>
      </c>
      <c r="B3309">
        <v>19</v>
      </c>
      <c r="C3309" s="4">
        <v>328.4</v>
      </c>
      <c r="D3309">
        <v>2</v>
      </c>
    </row>
    <row r="3310" spans="1:4" x14ac:dyDescent="0.25">
      <c r="A3310" t="s">
        <v>12252</v>
      </c>
      <c r="B3310">
        <v>2</v>
      </c>
      <c r="C3310" s="4">
        <v>35.4</v>
      </c>
      <c r="D3310">
        <v>1</v>
      </c>
    </row>
    <row r="3311" spans="1:4" x14ac:dyDescent="0.25">
      <c r="A3311" t="s">
        <v>12253</v>
      </c>
      <c r="B3311">
        <v>10</v>
      </c>
      <c r="C3311" s="4">
        <v>375.69</v>
      </c>
      <c r="D3311">
        <v>1</v>
      </c>
    </row>
    <row r="3312" spans="1:4" x14ac:dyDescent="0.25">
      <c r="A3312" t="s">
        <v>12254</v>
      </c>
      <c r="B3312">
        <v>52</v>
      </c>
      <c r="C3312" s="4">
        <v>747.81</v>
      </c>
      <c r="D3312">
        <v>2</v>
      </c>
    </row>
    <row r="3313" spans="1:4" x14ac:dyDescent="0.25">
      <c r="A3313" t="s">
        <v>12255</v>
      </c>
      <c r="B3313">
        <v>6</v>
      </c>
      <c r="C3313" s="4">
        <v>173.76</v>
      </c>
      <c r="D3313">
        <v>2</v>
      </c>
    </row>
    <row r="3314" spans="1:4" x14ac:dyDescent="0.25">
      <c r="A3314" t="s">
        <v>12256</v>
      </c>
      <c r="B3314">
        <v>26</v>
      </c>
      <c r="C3314" s="4">
        <v>502.8</v>
      </c>
      <c r="D3314">
        <v>2</v>
      </c>
    </row>
    <row r="3315" spans="1:4" x14ac:dyDescent="0.25">
      <c r="A3315" t="s">
        <v>12257</v>
      </c>
      <c r="B3315">
        <v>11</v>
      </c>
      <c r="C3315" s="4">
        <v>207.74</v>
      </c>
      <c r="D3315">
        <v>3</v>
      </c>
    </row>
    <row r="3316" spans="1:4" x14ac:dyDescent="0.25">
      <c r="A3316" t="s">
        <v>12258</v>
      </c>
      <c r="B3316">
        <v>128</v>
      </c>
      <c r="C3316" s="4">
        <v>825.42</v>
      </c>
      <c r="D3316">
        <v>4</v>
      </c>
    </row>
    <row r="3317" spans="1:4" x14ac:dyDescent="0.25">
      <c r="A3317" t="s">
        <v>12259</v>
      </c>
      <c r="B3317">
        <v>137</v>
      </c>
      <c r="C3317" s="4">
        <v>2812.34</v>
      </c>
      <c r="D3317">
        <v>6</v>
      </c>
    </row>
    <row r="3318" spans="1:4" x14ac:dyDescent="0.25">
      <c r="A3318" t="s">
        <v>12260</v>
      </c>
      <c r="B3318">
        <v>7</v>
      </c>
      <c r="C3318" s="4">
        <v>680.02</v>
      </c>
      <c r="D3318">
        <v>3</v>
      </c>
    </row>
    <row r="3319" spans="1:4" x14ac:dyDescent="0.25">
      <c r="A3319" t="s">
        <v>12261</v>
      </c>
      <c r="B3319">
        <v>279</v>
      </c>
      <c r="C3319" s="4">
        <v>7123.62</v>
      </c>
      <c r="D3319">
        <v>6</v>
      </c>
    </row>
    <row r="3320" spans="1:4" x14ac:dyDescent="0.25">
      <c r="A3320" t="s">
        <v>12262</v>
      </c>
      <c r="B3320">
        <v>112</v>
      </c>
      <c r="C3320" s="4">
        <v>2095.5300000000002</v>
      </c>
      <c r="D3320">
        <v>5</v>
      </c>
    </row>
    <row r="3321" spans="1:4" x14ac:dyDescent="0.25">
      <c r="A3321" t="s">
        <v>12263</v>
      </c>
      <c r="B3321">
        <v>159</v>
      </c>
      <c r="C3321" s="4">
        <v>853.72</v>
      </c>
      <c r="D3321">
        <v>6</v>
      </c>
    </row>
    <row r="3322" spans="1:4" x14ac:dyDescent="0.25">
      <c r="A3322" t="s">
        <v>12264</v>
      </c>
      <c r="B3322">
        <v>3</v>
      </c>
      <c r="C3322" s="4">
        <v>13.3</v>
      </c>
      <c r="D3322">
        <v>1</v>
      </c>
    </row>
    <row r="3323" spans="1:4" x14ac:dyDescent="0.25">
      <c r="A3323" t="s">
        <v>12265</v>
      </c>
      <c r="B3323">
        <v>178</v>
      </c>
      <c r="C3323" s="4">
        <v>1519.08</v>
      </c>
      <c r="D3323">
        <v>7</v>
      </c>
    </row>
    <row r="3324" spans="1:4" x14ac:dyDescent="0.25">
      <c r="A3324" t="s">
        <v>12266</v>
      </c>
      <c r="B3324">
        <v>1</v>
      </c>
      <c r="C3324" s="4">
        <v>432</v>
      </c>
      <c r="D3324">
        <v>1</v>
      </c>
    </row>
    <row r="3325" spans="1:4" x14ac:dyDescent="0.25">
      <c r="A3325" t="s">
        <v>12267</v>
      </c>
      <c r="B3325">
        <v>39</v>
      </c>
      <c r="C3325" s="4">
        <v>705.12</v>
      </c>
      <c r="D3325">
        <v>3</v>
      </c>
    </row>
    <row r="3326" spans="1:4" x14ac:dyDescent="0.25">
      <c r="A3326" t="s">
        <v>12268</v>
      </c>
      <c r="B3326">
        <v>38</v>
      </c>
      <c r="C3326" s="4">
        <v>276.73</v>
      </c>
      <c r="D3326">
        <v>2</v>
      </c>
    </row>
    <row r="3327" spans="1:4" x14ac:dyDescent="0.25">
      <c r="A3327" t="s">
        <v>12269</v>
      </c>
      <c r="B3327">
        <v>26</v>
      </c>
      <c r="C3327" s="4">
        <v>429.84</v>
      </c>
      <c r="D3327">
        <v>2</v>
      </c>
    </row>
    <row r="3328" spans="1:4" x14ac:dyDescent="0.25">
      <c r="A3328" t="s">
        <v>12270</v>
      </c>
      <c r="B3328">
        <v>101</v>
      </c>
      <c r="C3328" s="4">
        <v>471.51</v>
      </c>
      <c r="D3328">
        <v>3</v>
      </c>
    </row>
    <row r="3329" spans="1:4" x14ac:dyDescent="0.25">
      <c r="A3329" t="s">
        <v>12271</v>
      </c>
      <c r="B3329">
        <v>37</v>
      </c>
      <c r="C3329" s="4">
        <v>194.88</v>
      </c>
      <c r="D3329">
        <v>1</v>
      </c>
    </row>
    <row r="3330" spans="1:4" x14ac:dyDescent="0.25">
      <c r="A3330" t="s">
        <v>12272</v>
      </c>
      <c r="B3330">
        <v>135</v>
      </c>
      <c r="C3330" s="4">
        <v>1578.67</v>
      </c>
      <c r="D3330">
        <v>3</v>
      </c>
    </row>
    <row r="3331" spans="1:4" x14ac:dyDescent="0.25">
      <c r="A3331" t="s">
        <v>12273</v>
      </c>
      <c r="B3331">
        <v>203</v>
      </c>
      <c r="C3331" s="4">
        <v>809.7</v>
      </c>
      <c r="D3331">
        <v>5</v>
      </c>
    </row>
    <row r="3332" spans="1:4" x14ac:dyDescent="0.25">
      <c r="A3332" t="s">
        <v>12274</v>
      </c>
      <c r="B3332">
        <v>99</v>
      </c>
      <c r="C3332" s="4">
        <v>525.54</v>
      </c>
      <c r="D3332">
        <v>5</v>
      </c>
    </row>
    <row r="3333" spans="1:4" x14ac:dyDescent="0.25">
      <c r="A3333" t="s">
        <v>12275</v>
      </c>
      <c r="B3333">
        <v>45</v>
      </c>
      <c r="C3333" s="4">
        <v>145.93</v>
      </c>
      <c r="D3333">
        <v>1</v>
      </c>
    </row>
    <row r="3334" spans="1:4" x14ac:dyDescent="0.25">
      <c r="A3334" t="s">
        <v>12276</v>
      </c>
      <c r="B3334">
        <v>69</v>
      </c>
      <c r="C3334" s="4">
        <v>219.14</v>
      </c>
      <c r="D3334">
        <v>1</v>
      </c>
    </row>
    <row r="3335" spans="1:4" x14ac:dyDescent="0.25">
      <c r="A3335" t="s">
        <v>12277</v>
      </c>
      <c r="B3335">
        <v>37</v>
      </c>
      <c r="C3335" s="4">
        <v>289.77999999999997</v>
      </c>
      <c r="D3335">
        <v>2</v>
      </c>
    </row>
    <row r="3336" spans="1:4" x14ac:dyDescent="0.25">
      <c r="A3336" t="s">
        <v>12278</v>
      </c>
      <c r="B3336">
        <v>162</v>
      </c>
      <c r="C3336" s="4">
        <v>508.81</v>
      </c>
      <c r="D3336">
        <v>3</v>
      </c>
    </row>
    <row r="3337" spans="1:4" x14ac:dyDescent="0.25">
      <c r="A3337" t="s">
        <v>12279</v>
      </c>
      <c r="B3337">
        <v>125</v>
      </c>
      <c r="C3337" s="4">
        <v>1281.56</v>
      </c>
      <c r="D3337">
        <v>6</v>
      </c>
    </row>
    <row r="3338" spans="1:4" x14ac:dyDescent="0.25">
      <c r="A3338" t="s">
        <v>12280</v>
      </c>
      <c r="B3338">
        <v>78</v>
      </c>
      <c r="C3338" s="4">
        <v>882.16</v>
      </c>
      <c r="D3338">
        <v>3</v>
      </c>
    </row>
    <row r="3339" spans="1:4" x14ac:dyDescent="0.25">
      <c r="A3339" t="s">
        <v>12281</v>
      </c>
      <c r="B3339">
        <v>44</v>
      </c>
      <c r="C3339" s="4">
        <v>1706.88</v>
      </c>
      <c r="D3339">
        <v>1</v>
      </c>
    </row>
    <row r="3340" spans="1:4" x14ac:dyDescent="0.25">
      <c r="A3340" t="s">
        <v>12282</v>
      </c>
      <c r="B3340">
        <v>60</v>
      </c>
      <c r="C3340" s="4">
        <v>373.24</v>
      </c>
      <c r="D3340">
        <v>1</v>
      </c>
    </row>
    <row r="3341" spans="1:4" x14ac:dyDescent="0.25">
      <c r="A3341" t="s">
        <v>12283</v>
      </c>
      <c r="B3341">
        <v>708</v>
      </c>
      <c r="C3341" s="4">
        <v>3735.47</v>
      </c>
      <c r="D3341">
        <v>15</v>
      </c>
    </row>
    <row r="3342" spans="1:4" x14ac:dyDescent="0.25">
      <c r="A3342" t="s">
        <v>12284</v>
      </c>
      <c r="B3342">
        <v>208</v>
      </c>
      <c r="C3342" s="4">
        <v>3102.43</v>
      </c>
      <c r="D3342">
        <v>7</v>
      </c>
    </row>
    <row r="3343" spans="1:4" x14ac:dyDescent="0.25">
      <c r="A3343" t="s">
        <v>12285</v>
      </c>
      <c r="B3343">
        <v>93</v>
      </c>
      <c r="C3343" s="4">
        <v>579.77</v>
      </c>
      <c r="D3343">
        <v>4</v>
      </c>
    </row>
    <row r="3344" spans="1:4" x14ac:dyDescent="0.25">
      <c r="A3344" t="s">
        <v>12286</v>
      </c>
      <c r="B3344">
        <v>151</v>
      </c>
      <c r="C3344" s="4">
        <v>981.65</v>
      </c>
      <c r="D3344">
        <v>5</v>
      </c>
    </row>
    <row r="3345" spans="1:4" x14ac:dyDescent="0.25">
      <c r="A3345" t="s">
        <v>12287</v>
      </c>
      <c r="B3345">
        <v>18</v>
      </c>
      <c r="C3345" s="4">
        <v>379.14</v>
      </c>
      <c r="D3345">
        <v>1</v>
      </c>
    </row>
    <row r="3346" spans="1:4" x14ac:dyDescent="0.25">
      <c r="A3346" t="s">
        <v>12288</v>
      </c>
      <c r="B3346">
        <v>547</v>
      </c>
      <c r="C3346" s="4">
        <v>1510.06</v>
      </c>
      <c r="D3346">
        <v>8</v>
      </c>
    </row>
    <row r="3347" spans="1:4" x14ac:dyDescent="0.25">
      <c r="A3347" t="s">
        <v>12289</v>
      </c>
      <c r="B3347">
        <v>101</v>
      </c>
      <c r="C3347" s="4">
        <v>2575.38</v>
      </c>
      <c r="D3347">
        <v>11</v>
      </c>
    </row>
    <row r="3348" spans="1:4" x14ac:dyDescent="0.25">
      <c r="A3348" t="s">
        <v>12290</v>
      </c>
      <c r="B3348">
        <v>8</v>
      </c>
      <c r="C3348" s="4">
        <v>113.44</v>
      </c>
      <c r="D3348">
        <v>1</v>
      </c>
    </row>
    <row r="3349" spans="1:4" x14ac:dyDescent="0.25">
      <c r="A3349" t="s">
        <v>12291</v>
      </c>
      <c r="B3349">
        <v>38</v>
      </c>
      <c r="C3349" s="4">
        <v>208.46</v>
      </c>
      <c r="D3349">
        <v>1</v>
      </c>
    </row>
    <row r="3350" spans="1:4" x14ac:dyDescent="0.25">
      <c r="A3350" t="s">
        <v>12292</v>
      </c>
      <c r="B3350">
        <v>57</v>
      </c>
      <c r="C3350" s="4">
        <v>621.67999999999995</v>
      </c>
      <c r="D3350">
        <v>6</v>
      </c>
    </row>
    <row r="3351" spans="1:4" x14ac:dyDescent="0.25">
      <c r="A3351" t="s">
        <v>12293</v>
      </c>
      <c r="B3351">
        <v>143</v>
      </c>
      <c r="C3351" s="4">
        <v>576.26</v>
      </c>
      <c r="D3351">
        <v>2</v>
      </c>
    </row>
    <row r="3352" spans="1:4" x14ac:dyDescent="0.25">
      <c r="A3352" t="s">
        <v>12294</v>
      </c>
      <c r="B3352">
        <v>9</v>
      </c>
      <c r="C3352" s="4">
        <v>391.52</v>
      </c>
      <c r="D3352">
        <v>1</v>
      </c>
    </row>
    <row r="3353" spans="1:4" x14ac:dyDescent="0.25">
      <c r="A3353" t="s">
        <v>12295</v>
      </c>
      <c r="B3353">
        <v>128</v>
      </c>
      <c r="C3353" s="4">
        <v>1068.82</v>
      </c>
      <c r="D3353">
        <v>6</v>
      </c>
    </row>
    <row r="3354" spans="1:4" x14ac:dyDescent="0.25">
      <c r="A3354" t="s">
        <v>12296</v>
      </c>
      <c r="B3354">
        <v>327</v>
      </c>
      <c r="C3354" s="4">
        <v>2596.4499999999998</v>
      </c>
      <c r="D3354">
        <v>11</v>
      </c>
    </row>
    <row r="3355" spans="1:4" x14ac:dyDescent="0.25">
      <c r="A3355" t="s">
        <v>12297</v>
      </c>
      <c r="B3355">
        <v>60</v>
      </c>
      <c r="C3355" s="4">
        <v>169.79</v>
      </c>
      <c r="D3355">
        <v>1</v>
      </c>
    </row>
    <row r="3356" spans="1:4" x14ac:dyDescent="0.25">
      <c r="A3356" t="s">
        <v>12298</v>
      </c>
      <c r="B3356">
        <v>672</v>
      </c>
      <c r="C3356" s="4">
        <v>7247.61</v>
      </c>
      <c r="D3356">
        <v>19</v>
      </c>
    </row>
    <row r="3357" spans="1:4" x14ac:dyDescent="0.25">
      <c r="A3357" t="s">
        <v>12299</v>
      </c>
      <c r="B3357">
        <v>83</v>
      </c>
      <c r="C3357" s="4">
        <v>846.75</v>
      </c>
      <c r="D3357">
        <v>3</v>
      </c>
    </row>
    <row r="3358" spans="1:4" x14ac:dyDescent="0.25">
      <c r="A3358" t="s">
        <v>12300</v>
      </c>
      <c r="B3358">
        <v>14</v>
      </c>
      <c r="C3358" s="4">
        <v>230.25</v>
      </c>
      <c r="D3358">
        <v>1</v>
      </c>
    </row>
    <row r="3359" spans="1:4" x14ac:dyDescent="0.25">
      <c r="A3359" t="s">
        <v>12301</v>
      </c>
      <c r="B3359">
        <v>6</v>
      </c>
      <c r="C3359" s="4">
        <v>543.04999999999995</v>
      </c>
      <c r="D3359">
        <v>3</v>
      </c>
    </row>
    <row r="3360" spans="1:4" x14ac:dyDescent="0.25">
      <c r="A3360" t="s">
        <v>12302</v>
      </c>
      <c r="B3360">
        <v>208</v>
      </c>
      <c r="C3360" s="4">
        <v>2839.65</v>
      </c>
      <c r="D3360">
        <v>17</v>
      </c>
    </row>
    <row r="3361" spans="1:4" x14ac:dyDescent="0.25">
      <c r="A3361" t="s">
        <v>12303</v>
      </c>
      <c r="B3361">
        <v>77</v>
      </c>
      <c r="C3361" s="4">
        <v>1295.3900000000001</v>
      </c>
      <c r="D3361">
        <v>7</v>
      </c>
    </row>
    <row r="3362" spans="1:4" x14ac:dyDescent="0.25">
      <c r="A3362" t="s">
        <v>12304</v>
      </c>
      <c r="B3362">
        <v>54</v>
      </c>
      <c r="C3362" s="4">
        <v>380.55</v>
      </c>
      <c r="D3362">
        <v>3</v>
      </c>
    </row>
    <row r="3363" spans="1:4" x14ac:dyDescent="0.25">
      <c r="A3363" t="s">
        <v>12305</v>
      </c>
      <c r="B3363">
        <v>898</v>
      </c>
      <c r="C3363" s="4">
        <v>4604.22</v>
      </c>
      <c r="D3363">
        <v>21</v>
      </c>
    </row>
    <row r="3364" spans="1:4" x14ac:dyDescent="0.25">
      <c r="A3364" t="s">
        <v>12306</v>
      </c>
      <c r="B3364">
        <v>53</v>
      </c>
      <c r="C3364" s="4">
        <v>161.94</v>
      </c>
      <c r="D3364">
        <v>1</v>
      </c>
    </row>
    <row r="3365" spans="1:4" x14ac:dyDescent="0.25">
      <c r="A3365" t="s">
        <v>12307</v>
      </c>
      <c r="B3365">
        <v>44</v>
      </c>
      <c r="C3365" s="4">
        <v>563.23</v>
      </c>
      <c r="D3365">
        <v>2</v>
      </c>
    </row>
    <row r="3366" spans="1:4" x14ac:dyDescent="0.25">
      <c r="A3366" t="s">
        <v>12308</v>
      </c>
      <c r="B3366">
        <v>62</v>
      </c>
      <c r="C3366" s="4">
        <v>950.93</v>
      </c>
      <c r="D3366">
        <v>2</v>
      </c>
    </row>
    <row r="3367" spans="1:4" x14ac:dyDescent="0.25">
      <c r="A3367" t="s">
        <v>12309</v>
      </c>
      <c r="B3367">
        <v>57</v>
      </c>
      <c r="C3367" s="4">
        <v>262.68</v>
      </c>
      <c r="D3367">
        <v>1</v>
      </c>
    </row>
    <row r="3368" spans="1:4" x14ac:dyDescent="0.25">
      <c r="A3368" t="s">
        <v>12310</v>
      </c>
      <c r="B3368">
        <v>241</v>
      </c>
      <c r="C3368" s="4">
        <v>2736.38</v>
      </c>
      <c r="D3368">
        <v>4</v>
      </c>
    </row>
    <row r="3369" spans="1:4" x14ac:dyDescent="0.25">
      <c r="A3369" t="s">
        <v>12311</v>
      </c>
      <c r="B3369">
        <v>305</v>
      </c>
      <c r="C3369" s="4">
        <v>3049.88</v>
      </c>
      <c r="D3369">
        <v>3</v>
      </c>
    </row>
    <row r="3370" spans="1:4" x14ac:dyDescent="0.25">
      <c r="A3370" t="s">
        <v>12312</v>
      </c>
      <c r="B3370">
        <v>281</v>
      </c>
      <c r="C3370" s="4">
        <v>1920.59</v>
      </c>
      <c r="D3370">
        <v>9</v>
      </c>
    </row>
    <row r="3371" spans="1:4" x14ac:dyDescent="0.25">
      <c r="A3371" t="s">
        <v>12313</v>
      </c>
      <c r="B3371">
        <v>33</v>
      </c>
      <c r="C3371" s="4">
        <v>816.73</v>
      </c>
      <c r="D3371">
        <v>3</v>
      </c>
    </row>
    <row r="3372" spans="1:4" x14ac:dyDescent="0.25">
      <c r="A3372" t="s">
        <v>12314</v>
      </c>
      <c r="B3372">
        <v>249</v>
      </c>
      <c r="C3372" s="4">
        <v>4345.5</v>
      </c>
      <c r="D3372">
        <v>19</v>
      </c>
    </row>
    <row r="3373" spans="1:4" x14ac:dyDescent="0.25">
      <c r="A3373" t="s">
        <v>12315</v>
      </c>
      <c r="B3373">
        <v>21</v>
      </c>
      <c r="C3373" s="4">
        <v>406.48</v>
      </c>
      <c r="D3373">
        <v>1</v>
      </c>
    </row>
    <row r="3374" spans="1:4" x14ac:dyDescent="0.25">
      <c r="A3374" t="s">
        <v>12316</v>
      </c>
      <c r="B3374">
        <v>19</v>
      </c>
      <c r="C3374" s="4">
        <v>435.02</v>
      </c>
      <c r="D3374">
        <v>3</v>
      </c>
    </row>
    <row r="3375" spans="1:4" x14ac:dyDescent="0.25">
      <c r="A3375" t="s">
        <v>12317</v>
      </c>
      <c r="B3375">
        <v>60</v>
      </c>
      <c r="C3375" s="4">
        <v>1286.27</v>
      </c>
      <c r="D3375">
        <v>6</v>
      </c>
    </row>
    <row r="3376" spans="1:4" x14ac:dyDescent="0.25">
      <c r="A3376" t="s">
        <v>12318</v>
      </c>
      <c r="B3376">
        <v>42</v>
      </c>
      <c r="C3376" s="4">
        <v>1178.56</v>
      </c>
      <c r="D3376">
        <v>3</v>
      </c>
    </row>
    <row r="3377" spans="1:4" x14ac:dyDescent="0.25">
      <c r="A3377" t="s">
        <v>12319</v>
      </c>
      <c r="B3377">
        <v>86</v>
      </c>
      <c r="C3377" s="4">
        <v>1277.75</v>
      </c>
      <c r="D3377">
        <v>3</v>
      </c>
    </row>
    <row r="3378" spans="1:4" x14ac:dyDescent="0.25">
      <c r="A3378" t="s">
        <v>12320</v>
      </c>
      <c r="B3378">
        <v>16</v>
      </c>
      <c r="C3378" s="4">
        <v>167.61</v>
      </c>
      <c r="D3378">
        <v>2</v>
      </c>
    </row>
    <row r="3379" spans="1:4" x14ac:dyDescent="0.25">
      <c r="A3379" t="s">
        <v>12321</v>
      </c>
      <c r="B3379">
        <v>1</v>
      </c>
      <c r="C3379" s="4">
        <v>20.8</v>
      </c>
      <c r="D3379">
        <v>1</v>
      </c>
    </row>
    <row r="3380" spans="1:4" x14ac:dyDescent="0.25">
      <c r="A3380" t="s">
        <v>12322</v>
      </c>
      <c r="B3380">
        <v>54</v>
      </c>
      <c r="C3380" s="4">
        <v>2085.08</v>
      </c>
      <c r="D3380">
        <v>9</v>
      </c>
    </row>
    <row r="3381" spans="1:4" x14ac:dyDescent="0.25">
      <c r="A3381" t="s">
        <v>12323</v>
      </c>
      <c r="B3381">
        <v>25</v>
      </c>
      <c r="C3381" s="4">
        <v>518.66999999999996</v>
      </c>
      <c r="D3381">
        <v>4</v>
      </c>
    </row>
    <row r="3382" spans="1:4" x14ac:dyDescent="0.25">
      <c r="A3382" t="s">
        <v>12324</v>
      </c>
      <c r="B3382">
        <v>16</v>
      </c>
      <c r="C3382" s="4">
        <v>308.74</v>
      </c>
      <c r="D3382">
        <v>1</v>
      </c>
    </row>
    <row r="3383" spans="1:4" x14ac:dyDescent="0.25">
      <c r="A3383" t="s">
        <v>12325</v>
      </c>
      <c r="B3383">
        <v>16</v>
      </c>
      <c r="C3383" s="4">
        <v>416.64</v>
      </c>
      <c r="D3383">
        <v>2</v>
      </c>
    </row>
    <row r="3384" spans="1:4" x14ac:dyDescent="0.25">
      <c r="A3384" t="s">
        <v>12326</v>
      </c>
      <c r="B3384">
        <v>7</v>
      </c>
      <c r="C3384" s="4">
        <v>117.35</v>
      </c>
      <c r="D3384">
        <v>1</v>
      </c>
    </row>
    <row r="3385" spans="1:4" x14ac:dyDescent="0.25">
      <c r="A3385" t="s">
        <v>12327</v>
      </c>
      <c r="B3385">
        <v>100</v>
      </c>
      <c r="C3385" s="4">
        <v>505.1</v>
      </c>
      <c r="D3385">
        <v>3</v>
      </c>
    </row>
    <row r="3386" spans="1:4" x14ac:dyDescent="0.25">
      <c r="A3386" t="s">
        <v>12328</v>
      </c>
      <c r="B3386">
        <v>14</v>
      </c>
      <c r="C3386" s="4">
        <v>234.17</v>
      </c>
      <c r="D3386">
        <v>1</v>
      </c>
    </row>
    <row r="3387" spans="1:4" x14ac:dyDescent="0.25">
      <c r="A3387" t="s">
        <v>12329</v>
      </c>
      <c r="B3387">
        <v>7</v>
      </c>
      <c r="C3387" s="4">
        <v>110.55</v>
      </c>
      <c r="D3387">
        <v>1</v>
      </c>
    </row>
    <row r="3388" spans="1:4" x14ac:dyDescent="0.25">
      <c r="A3388" t="s">
        <v>12330</v>
      </c>
      <c r="B3388">
        <v>25</v>
      </c>
      <c r="C3388" s="4">
        <v>192.07</v>
      </c>
      <c r="D3388">
        <v>1</v>
      </c>
    </row>
    <row r="3389" spans="1:4" x14ac:dyDescent="0.25">
      <c r="A3389" t="s">
        <v>12331</v>
      </c>
      <c r="B3389">
        <v>28</v>
      </c>
      <c r="C3389" s="4">
        <v>2154.9699999999998</v>
      </c>
      <c r="D3389">
        <v>7</v>
      </c>
    </row>
    <row r="3390" spans="1:4" x14ac:dyDescent="0.25">
      <c r="A3390" t="s">
        <v>12332</v>
      </c>
      <c r="B3390">
        <v>21</v>
      </c>
      <c r="C3390" s="4">
        <v>319.02</v>
      </c>
      <c r="D3390">
        <v>1</v>
      </c>
    </row>
    <row r="3391" spans="1:4" x14ac:dyDescent="0.25">
      <c r="A3391" t="s">
        <v>12333</v>
      </c>
      <c r="B3391">
        <v>31</v>
      </c>
      <c r="C3391" s="4">
        <v>439.43</v>
      </c>
      <c r="D3391">
        <v>2</v>
      </c>
    </row>
    <row r="3392" spans="1:4" x14ac:dyDescent="0.25">
      <c r="A3392" t="s">
        <v>12334</v>
      </c>
      <c r="B3392">
        <v>42</v>
      </c>
      <c r="C3392" s="4">
        <v>650.41</v>
      </c>
      <c r="D3392">
        <v>3</v>
      </c>
    </row>
    <row r="3393" spans="1:4" x14ac:dyDescent="0.25">
      <c r="A3393" t="s">
        <v>12335</v>
      </c>
      <c r="B3393">
        <v>41</v>
      </c>
      <c r="C3393" s="4">
        <v>357.21</v>
      </c>
      <c r="D3393">
        <v>1</v>
      </c>
    </row>
    <row r="3394" spans="1:4" x14ac:dyDescent="0.25">
      <c r="A3394" t="s">
        <v>12336</v>
      </c>
      <c r="B3394">
        <v>2</v>
      </c>
      <c r="C3394" s="4">
        <v>251.52</v>
      </c>
      <c r="D3394">
        <v>1</v>
      </c>
    </row>
    <row r="3395" spans="1:4" x14ac:dyDescent="0.25">
      <c r="A3395" t="s">
        <v>12337</v>
      </c>
      <c r="B3395">
        <v>39</v>
      </c>
      <c r="C3395" s="4">
        <v>344.33</v>
      </c>
      <c r="D3395">
        <v>1</v>
      </c>
    </row>
    <row r="3396" spans="1:4" x14ac:dyDescent="0.25">
      <c r="A3396" t="s">
        <v>12338</v>
      </c>
      <c r="B3396">
        <v>89</v>
      </c>
      <c r="C3396" s="4">
        <v>1852</v>
      </c>
      <c r="D3396">
        <v>6</v>
      </c>
    </row>
    <row r="3397" spans="1:4" x14ac:dyDescent="0.25">
      <c r="A3397" t="s">
        <v>12339</v>
      </c>
      <c r="B3397">
        <v>87</v>
      </c>
      <c r="C3397" s="4">
        <v>1078.96</v>
      </c>
      <c r="D3397">
        <v>2</v>
      </c>
    </row>
    <row r="3398" spans="1:4" x14ac:dyDescent="0.25">
      <c r="A3398" t="s">
        <v>12340</v>
      </c>
      <c r="B3398">
        <v>22</v>
      </c>
      <c r="C3398" s="4">
        <v>384.06</v>
      </c>
      <c r="D3398">
        <v>1</v>
      </c>
    </row>
    <row r="3399" spans="1:4" x14ac:dyDescent="0.25">
      <c r="A3399" t="s">
        <v>12341</v>
      </c>
      <c r="B3399">
        <v>148</v>
      </c>
      <c r="C3399" s="4">
        <v>1931.25</v>
      </c>
      <c r="D3399">
        <v>7</v>
      </c>
    </row>
    <row r="3400" spans="1:4" x14ac:dyDescent="0.25">
      <c r="A3400" t="s">
        <v>12342</v>
      </c>
      <c r="B3400">
        <v>407</v>
      </c>
      <c r="C3400" s="4">
        <v>4481.3500000000004</v>
      </c>
      <c r="D3400">
        <v>2</v>
      </c>
    </row>
    <row r="3401" spans="1:4" x14ac:dyDescent="0.25">
      <c r="A3401" t="s">
        <v>12343</v>
      </c>
      <c r="B3401">
        <v>120</v>
      </c>
      <c r="C3401" s="4">
        <v>5464.12</v>
      </c>
      <c r="D3401">
        <v>10</v>
      </c>
    </row>
    <row r="3402" spans="1:4" x14ac:dyDescent="0.25">
      <c r="A3402" t="s">
        <v>12344</v>
      </c>
      <c r="B3402">
        <v>3</v>
      </c>
      <c r="C3402" s="4">
        <v>1873.2</v>
      </c>
      <c r="D3402">
        <v>2</v>
      </c>
    </row>
    <row r="3403" spans="1:4" x14ac:dyDescent="0.25">
      <c r="A3403" t="s">
        <v>12345</v>
      </c>
      <c r="B3403">
        <v>129</v>
      </c>
      <c r="C3403" s="4">
        <v>1625.05</v>
      </c>
      <c r="D3403">
        <v>7</v>
      </c>
    </row>
    <row r="3404" spans="1:4" x14ac:dyDescent="0.25">
      <c r="A3404" t="s">
        <v>12346</v>
      </c>
      <c r="B3404">
        <v>7</v>
      </c>
      <c r="C3404" s="4">
        <v>126.12</v>
      </c>
      <c r="D3404">
        <v>1</v>
      </c>
    </row>
    <row r="3405" spans="1:4" x14ac:dyDescent="0.25">
      <c r="A3405" t="s">
        <v>12347</v>
      </c>
      <c r="B3405">
        <v>12</v>
      </c>
      <c r="C3405" s="4">
        <v>1133.25</v>
      </c>
      <c r="D3405">
        <v>6</v>
      </c>
    </row>
    <row r="3406" spans="1:4" x14ac:dyDescent="0.25">
      <c r="A3406" t="s">
        <v>12348</v>
      </c>
      <c r="B3406">
        <v>1</v>
      </c>
      <c r="C3406" s="4">
        <v>179</v>
      </c>
      <c r="D3406">
        <v>1</v>
      </c>
    </row>
    <row r="3407" spans="1:4" x14ac:dyDescent="0.25">
      <c r="A3407" t="s">
        <v>12349</v>
      </c>
      <c r="B3407">
        <v>93</v>
      </c>
      <c r="C3407" s="4">
        <v>1614.31</v>
      </c>
      <c r="D3407">
        <v>5</v>
      </c>
    </row>
    <row r="3408" spans="1:4" x14ac:dyDescent="0.25">
      <c r="A3408" t="s">
        <v>12350</v>
      </c>
      <c r="B3408">
        <v>37</v>
      </c>
      <c r="C3408" s="4">
        <v>1456.96</v>
      </c>
      <c r="D3408">
        <v>6</v>
      </c>
    </row>
    <row r="3409" spans="1:4" x14ac:dyDescent="0.25">
      <c r="A3409" t="s">
        <v>12351</v>
      </c>
      <c r="B3409">
        <v>12</v>
      </c>
      <c r="C3409" s="4">
        <v>702</v>
      </c>
      <c r="D3409">
        <v>3</v>
      </c>
    </row>
    <row r="3410" spans="1:4" x14ac:dyDescent="0.25">
      <c r="A3410" t="s">
        <v>12352</v>
      </c>
      <c r="B3410">
        <v>4</v>
      </c>
      <c r="C3410" s="4">
        <v>295</v>
      </c>
      <c r="D3410">
        <v>4</v>
      </c>
    </row>
    <row r="3411" spans="1:4" x14ac:dyDescent="0.25">
      <c r="A3411" t="s">
        <v>12353</v>
      </c>
      <c r="B3411">
        <v>23</v>
      </c>
      <c r="C3411" s="4">
        <v>484.82</v>
      </c>
      <c r="D3411">
        <v>2</v>
      </c>
    </row>
    <row r="3412" spans="1:4" x14ac:dyDescent="0.25">
      <c r="A3412" t="s">
        <v>3685</v>
      </c>
      <c r="B3412">
        <v>169</v>
      </c>
      <c r="C3412" s="4">
        <v>3989.57</v>
      </c>
      <c r="D3412">
        <v>11</v>
      </c>
    </row>
    <row r="3413" spans="1:4" x14ac:dyDescent="0.25">
      <c r="A3413" t="s">
        <v>12354</v>
      </c>
      <c r="B3413">
        <v>49</v>
      </c>
      <c r="C3413" s="4">
        <v>1493.73</v>
      </c>
      <c r="D3413">
        <v>3</v>
      </c>
    </row>
    <row r="3414" spans="1:4" x14ac:dyDescent="0.25">
      <c r="A3414" t="s">
        <v>12355</v>
      </c>
      <c r="B3414">
        <v>44</v>
      </c>
      <c r="C3414" s="4">
        <v>1412.94</v>
      </c>
      <c r="D3414">
        <v>2</v>
      </c>
    </row>
    <row r="3415" spans="1:4" x14ac:dyDescent="0.25">
      <c r="A3415" t="s">
        <v>12356</v>
      </c>
      <c r="B3415">
        <v>44</v>
      </c>
      <c r="C3415" s="4">
        <v>781.78</v>
      </c>
      <c r="D3415">
        <v>4</v>
      </c>
    </row>
    <row r="3416" spans="1:4" x14ac:dyDescent="0.25">
      <c r="A3416" t="s">
        <v>12357</v>
      </c>
      <c r="B3416">
        <v>52</v>
      </c>
      <c r="C3416" s="4">
        <v>889.93</v>
      </c>
      <c r="D3416">
        <v>6</v>
      </c>
    </row>
    <row r="3417" spans="1:4" x14ac:dyDescent="0.25">
      <c r="A3417" t="s">
        <v>12358</v>
      </c>
      <c r="B3417">
        <v>11</v>
      </c>
      <c r="C3417" s="4">
        <v>195.36</v>
      </c>
      <c r="D3417">
        <v>1</v>
      </c>
    </row>
    <row r="3418" spans="1:4" x14ac:dyDescent="0.25">
      <c r="A3418" t="s">
        <v>12359</v>
      </c>
      <c r="B3418">
        <v>15</v>
      </c>
      <c r="C3418" s="4">
        <v>270.89999999999998</v>
      </c>
      <c r="D3418">
        <v>1</v>
      </c>
    </row>
    <row r="3419" spans="1:4" x14ac:dyDescent="0.25">
      <c r="A3419" t="s">
        <v>12360</v>
      </c>
      <c r="B3419">
        <v>74</v>
      </c>
      <c r="C3419" s="4">
        <v>586.33000000000004</v>
      </c>
      <c r="D3419">
        <v>3</v>
      </c>
    </row>
    <row r="3420" spans="1:4" x14ac:dyDescent="0.25">
      <c r="A3420" t="s">
        <v>12361</v>
      </c>
      <c r="B3420">
        <v>217</v>
      </c>
      <c r="C3420" s="4">
        <v>1842.56</v>
      </c>
      <c r="D3420">
        <v>3</v>
      </c>
    </row>
    <row r="3421" spans="1:4" x14ac:dyDescent="0.25">
      <c r="A3421" t="s">
        <v>12362</v>
      </c>
      <c r="B3421">
        <v>252</v>
      </c>
      <c r="C3421" s="4">
        <v>8694.26</v>
      </c>
      <c r="D3421">
        <v>20</v>
      </c>
    </row>
    <row r="3422" spans="1:4" x14ac:dyDescent="0.25">
      <c r="A3422" t="s">
        <v>12363</v>
      </c>
      <c r="B3422">
        <v>16</v>
      </c>
      <c r="C3422" s="4">
        <v>920.1</v>
      </c>
      <c r="D3422">
        <v>2</v>
      </c>
    </row>
    <row r="3423" spans="1:4" x14ac:dyDescent="0.25">
      <c r="A3423" t="s">
        <v>12364</v>
      </c>
      <c r="B3423">
        <v>234</v>
      </c>
      <c r="C3423" s="4">
        <v>1272.6099999999999</v>
      </c>
      <c r="D3423">
        <v>4</v>
      </c>
    </row>
    <row r="3424" spans="1:4" x14ac:dyDescent="0.25">
      <c r="A3424" t="s">
        <v>12365</v>
      </c>
      <c r="B3424">
        <v>7</v>
      </c>
      <c r="C3424" s="4">
        <v>71</v>
      </c>
      <c r="D3424">
        <v>1</v>
      </c>
    </row>
    <row r="3425" spans="1:4" x14ac:dyDescent="0.25">
      <c r="A3425" t="s">
        <v>12366</v>
      </c>
      <c r="B3425">
        <v>3</v>
      </c>
      <c r="C3425" s="4">
        <v>95.85</v>
      </c>
      <c r="D3425">
        <v>3</v>
      </c>
    </row>
    <row r="3426" spans="1:4" x14ac:dyDescent="0.25">
      <c r="A3426" t="s">
        <v>12367</v>
      </c>
      <c r="B3426">
        <v>9</v>
      </c>
      <c r="C3426" s="4">
        <v>357.77</v>
      </c>
      <c r="D3426">
        <v>3</v>
      </c>
    </row>
    <row r="3427" spans="1:4" x14ac:dyDescent="0.25">
      <c r="A3427" t="s">
        <v>12368</v>
      </c>
      <c r="B3427">
        <v>4</v>
      </c>
      <c r="C3427" s="4">
        <v>154.83000000000001</v>
      </c>
      <c r="D3427">
        <v>2</v>
      </c>
    </row>
    <row r="3428" spans="1:4" x14ac:dyDescent="0.25">
      <c r="A3428" t="s">
        <v>12369</v>
      </c>
      <c r="B3428">
        <v>153</v>
      </c>
      <c r="C3428" s="4">
        <v>890.29</v>
      </c>
      <c r="D3428">
        <v>6</v>
      </c>
    </row>
    <row r="3429" spans="1:4" x14ac:dyDescent="0.25">
      <c r="A3429" t="s">
        <v>12370</v>
      </c>
      <c r="B3429">
        <v>2</v>
      </c>
      <c r="C3429" s="4">
        <v>716</v>
      </c>
      <c r="D3429">
        <v>2</v>
      </c>
    </row>
    <row r="3430" spans="1:4" x14ac:dyDescent="0.25">
      <c r="A3430" t="s">
        <v>12371</v>
      </c>
      <c r="B3430">
        <v>11</v>
      </c>
      <c r="C3430" s="4">
        <v>146.87</v>
      </c>
      <c r="D3430">
        <v>1</v>
      </c>
    </row>
    <row r="3431" spans="1:4" x14ac:dyDescent="0.25">
      <c r="A3431" t="s">
        <v>12372</v>
      </c>
      <c r="B3431">
        <v>22</v>
      </c>
      <c r="C3431" s="4">
        <v>380.35</v>
      </c>
      <c r="D3431">
        <v>2</v>
      </c>
    </row>
    <row r="3432" spans="1:4" x14ac:dyDescent="0.25">
      <c r="A3432" t="s">
        <v>12373</v>
      </c>
      <c r="B3432">
        <v>28</v>
      </c>
      <c r="C3432" s="4">
        <v>1030.1400000000001</v>
      </c>
      <c r="D3432">
        <v>3</v>
      </c>
    </row>
    <row r="3433" spans="1:4" x14ac:dyDescent="0.25">
      <c r="A3433" t="s">
        <v>12374</v>
      </c>
      <c r="B3433">
        <v>30</v>
      </c>
      <c r="C3433" s="4">
        <v>745.52</v>
      </c>
      <c r="D3433">
        <v>3</v>
      </c>
    </row>
    <row r="3434" spans="1:4" x14ac:dyDescent="0.25">
      <c r="A3434" t="s">
        <v>12375</v>
      </c>
      <c r="B3434">
        <v>28</v>
      </c>
      <c r="C3434" s="4">
        <v>433.53</v>
      </c>
      <c r="D3434">
        <v>2</v>
      </c>
    </row>
    <row r="3435" spans="1:4" x14ac:dyDescent="0.25">
      <c r="A3435" t="s">
        <v>12376</v>
      </c>
      <c r="B3435">
        <v>75</v>
      </c>
      <c r="C3435" s="4">
        <v>1267.32</v>
      </c>
      <c r="D3435">
        <v>1</v>
      </c>
    </row>
    <row r="3436" spans="1:4" x14ac:dyDescent="0.25">
      <c r="A3436" t="s">
        <v>2962</v>
      </c>
      <c r="B3436">
        <v>22</v>
      </c>
      <c r="C3436" s="4">
        <v>112.4</v>
      </c>
      <c r="D3436">
        <v>1</v>
      </c>
    </row>
    <row r="3437" spans="1:4" x14ac:dyDescent="0.25">
      <c r="A3437" t="s">
        <v>12377</v>
      </c>
      <c r="B3437">
        <v>15</v>
      </c>
      <c r="C3437" s="4">
        <v>449.73</v>
      </c>
      <c r="D3437">
        <v>1</v>
      </c>
    </row>
    <row r="3438" spans="1:4" x14ac:dyDescent="0.25">
      <c r="A3438" t="s">
        <v>12378</v>
      </c>
      <c r="B3438">
        <v>70</v>
      </c>
      <c r="C3438" s="4">
        <v>1081.57</v>
      </c>
      <c r="D3438">
        <v>3</v>
      </c>
    </row>
    <row r="3439" spans="1:4" x14ac:dyDescent="0.25">
      <c r="A3439" t="s">
        <v>12379</v>
      </c>
      <c r="B3439">
        <v>98</v>
      </c>
      <c r="C3439" s="4">
        <v>1044.3800000000001</v>
      </c>
      <c r="D3439">
        <v>5</v>
      </c>
    </row>
    <row r="3440" spans="1:4" x14ac:dyDescent="0.25">
      <c r="A3440" t="s">
        <v>12380</v>
      </c>
      <c r="B3440">
        <v>102</v>
      </c>
      <c r="C3440" s="4">
        <v>1735.18</v>
      </c>
      <c r="D3440">
        <v>4</v>
      </c>
    </row>
    <row r="3441" spans="1:4" x14ac:dyDescent="0.25">
      <c r="A3441" t="s">
        <v>12381</v>
      </c>
      <c r="B3441">
        <v>6</v>
      </c>
      <c r="C3441" s="4">
        <v>948.48</v>
      </c>
      <c r="D3441">
        <v>1</v>
      </c>
    </row>
    <row r="3442" spans="1:4" x14ac:dyDescent="0.25">
      <c r="A3442" t="s">
        <v>12382</v>
      </c>
      <c r="B3442">
        <v>22</v>
      </c>
      <c r="C3442" s="4">
        <v>339.44</v>
      </c>
      <c r="D3442">
        <v>3</v>
      </c>
    </row>
    <row r="3443" spans="1:4" x14ac:dyDescent="0.25">
      <c r="A3443" t="s">
        <v>12383</v>
      </c>
      <c r="B3443">
        <v>22</v>
      </c>
      <c r="C3443" s="4">
        <v>642.02</v>
      </c>
      <c r="D3443">
        <v>1</v>
      </c>
    </row>
    <row r="3444" spans="1:4" x14ac:dyDescent="0.25">
      <c r="A3444" t="s">
        <v>12384</v>
      </c>
      <c r="B3444">
        <v>65</v>
      </c>
      <c r="C3444" s="4">
        <v>1100.9000000000001</v>
      </c>
      <c r="D3444">
        <v>3</v>
      </c>
    </row>
    <row r="3445" spans="1:4" x14ac:dyDescent="0.25">
      <c r="A3445" t="s">
        <v>12385</v>
      </c>
      <c r="B3445">
        <v>43</v>
      </c>
      <c r="C3445" s="4">
        <v>925.35</v>
      </c>
      <c r="D3445">
        <v>3</v>
      </c>
    </row>
    <row r="3446" spans="1:4" x14ac:dyDescent="0.25">
      <c r="A3446" t="s">
        <v>12386</v>
      </c>
      <c r="B3446">
        <v>318</v>
      </c>
      <c r="C3446" s="4">
        <v>5659.98</v>
      </c>
      <c r="D3446">
        <v>9</v>
      </c>
    </row>
    <row r="3447" spans="1:4" x14ac:dyDescent="0.25">
      <c r="A3447" t="s">
        <v>12387</v>
      </c>
      <c r="B3447">
        <v>316</v>
      </c>
      <c r="C3447" s="4">
        <v>3228.84</v>
      </c>
      <c r="D3447">
        <v>6</v>
      </c>
    </row>
    <row r="3448" spans="1:4" x14ac:dyDescent="0.25">
      <c r="A3448" t="s">
        <v>12388</v>
      </c>
      <c r="B3448">
        <v>43</v>
      </c>
      <c r="C3448" s="4">
        <v>247.14</v>
      </c>
      <c r="D3448">
        <v>1</v>
      </c>
    </row>
    <row r="3449" spans="1:4" x14ac:dyDescent="0.25">
      <c r="A3449" t="s">
        <v>12389</v>
      </c>
      <c r="B3449">
        <v>92</v>
      </c>
      <c r="C3449" s="4">
        <v>413.75</v>
      </c>
      <c r="D3449">
        <v>1</v>
      </c>
    </row>
    <row r="3450" spans="1:4" x14ac:dyDescent="0.25">
      <c r="A3450" t="s">
        <v>12390</v>
      </c>
      <c r="B3450">
        <v>13</v>
      </c>
      <c r="C3450" s="4">
        <v>498.48</v>
      </c>
      <c r="D3450">
        <v>1</v>
      </c>
    </row>
    <row r="3451" spans="1:4" x14ac:dyDescent="0.25">
      <c r="A3451" t="s">
        <v>12391</v>
      </c>
      <c r="B3451">
        <v>83</v>
      </c>
      <c r="C3451" s="4">
        <v>1356.33</v>
      </c>
      <c r="D3451">
        <v>5</v>
      </c>
    </row>
    <row r="3452" spans="1:4" x14ac:dyDescent="0.25">
      <c r="A3452" t="s">
        <v>12392</v>
      </c>
      <c r="B3452">
        <v>62</v>
      </c>
      <c r="C3452" s="4">
        <v>1179.8900000000001</v>
      </c>
      <c r="D3452">
        <v>3</v>
      </c>
    </row>
    <row r="3453" spans="1:4" x14ac:dyDescent="0.25">
      <c r="A3453" t="s">
        <v>12393</v>
      </c>
      <c r="B3453">
        <v>516</v>
      </c>
      <c r="C3453" s="4">
        <v>3095.04</v>
      </c>
      <c r="D3453">
        <v>5</v>
      </c>
    </row>
    <row r="3454" spans="1:4" x14ac:dyDescent="0.25">
      <c r="A3454" t="s">
        <v>12394</v>
      </c>
      <c r="B3454">
        <v>5</v>
      </c>
      <c r="C3454" s="4">
        <v>234.24</v>
      </c>
      <c r="D3454">
        <v>1</v>
      </c>
    </row>
    <row r="3455" spans="1:4" x14ac:dyDescent="0.25">
      <c r="A3455" t="s">
        <v>12395</v>
      </c>
      <c r="B3455">
        <v>99</v>
      </c>
      <c r="C3455" s="4">
        <v>5232.2299999999996</v>
      </c>
      <c r="D3455">
        <v>11</v>
      </c>
    </row>
    <row r="3456" spans="1:4" x14ac:dyDescent="0.25">
      <c r="A3456" t="s">
        <v>12396</v>
      </c>
      <c r="B3456">
        <v>69</v>
      </c>
      <c r="C3456" s="4">
        <v>533.33000000000004</v>
      </c>
      <c r="D3456">
        <v>4</v>
      </c>
    </row>
    <row r="3457" spans="1:4" x14ac:dyDescent="0.25">
      <c r="A3457" t="s">
        <v>12397</v>
      </c>
      <c r="B3457">
        <v>78</v>
      </c>
      <c r="C3457" s="4">
        <v>1461.14</v>
      </c>
      <c r="D3457">
        <v>7</v>
      </c>
    </row>
    <row r="3458" spans="1:4" x14ac:dyDescent="0.25">
      <c r="A3458" t="s">
        <v>12398</v>
      </c>
      <c r="B3458">
        <v>62</v>
      </c>
      <c r="C3458" s="4">
        <v>859.35</v>
      </c>
      <c r="D3458">
        <v>3</v>
      </c>
    </row>
    <row r="3459" spans="1:4" x14ac:dyDescent="0.25">
      <c r="A3459" t="s">
        <v>12399</v>
      </c>
      <c r="B3459">
        <v>295</v>
      </c>
      <c r="C3459" s="4">
        <v>4545.8900000000003</v>
      </c>
      <c r="D3459">
        <v>21</v>
      </c>
    </row>
    <row r="3460" spans="1:4" x14ac:dyDescent="0.25">
      <c r="A3460" t="s">
        <v>12400</v>
      </c>
      <c r="B3460">
        <v>143</v>
      </c>
      <c r="C3460" s="4">
        <v>2709.7</v>
      </c>
      <c r="D3460">
        <v>9</v>
      </c>
    </row>
    <row r="3461" spans="1:4" x14ac:dyDescent="0.25">
      <c r="A3461" t="s">
        <v>12401</v>
      </c>
      <c r="B3461">
        <v>64</v>
      </c>
      <c r="C3461" s="4">
        <v>312.14</v>
      </c>
      <c r="D3461">
        <v>1</v>
      </c>
    </row>
    <row r="3462" spans="1:4" x14ac:dyDescent="0.25">
      <c r="A3462" t="s">
        <v>12402</v>
      </c>
      <c r="B3462">
        <v>140</v>
      </c>
      <c r="C3462" s="4">
        <v>2429.0300000000002</v>
      </c>
      <c r="D3462">
        <v>9</v>
      </c>
    </row>
    <row r="3463" spans="1:4" x14ac:dyDescent="0.25">
      <c r="A3463" t="s">
        <v>12403</v>
      </c>
      <c r="B3463">
        <v>173</v>
      </c>
      <c r="C3463" s="4">
        <v>1444.84</v>
      </c>
      <c r="D3463">
        <v>4</v>
      </c>
    </row>
    <row r="3464" spans="1:4" x14ac:dyDescent="0.25">
      <c r="A3464" t="s">
        <v>12404</v>
      </c>
      <c r="B3464">
        <v>77</v>
      </c>
      <c r="C3464" s="4">
        <v>834.12</v>
      </c>
      <c r="D3464">
        <v>4</v>
      </c>
    </row>
    <row r="3465" spans="1:4" x14ac:dyDescent="0.25">
      <c r="A3465" t="s">
        <v>12405</v>
      </c>
      <c r="B3465">
        <v>25</v>
      </c>
      <c r="C3465" s="4">
        <v>841.08</v>
      </c>
      <c r="D3465">
        <v>3</v>
      </c>
    </row>
    <row r="3466" spans="1:4" x14ac:dyDescent="0.25">
      <c r="A3466" t="s">
        <v>12406</v>
      </c>
      <c r="B3466">
        <v>27</v>
      </c>
      <c r="C3466" s="4">
        <v>375.86</v>
      </c>
      <c r="D3466">
        <v>2</v>
      </c>
    </row>
    <row r="3467" spans="1:4" x14ac:dyDescent="0.25">
      <c r="A3467" t="s">
        <v>12407</v>
      </c>
      <c r="B3467">
        <v>2</v>
      </c>
      <c r="C3467" s="4">
        <v>118.8</v>
      </c>
      <c r="D3467">
        <v>1</v>
      </c>
    </row>
    <row r="3468" spans="1:4" x14ac:dyDescent="0.25">
      <c r="A3468" t="s">
        <v>12408</v>
      </c>
      <c r="B3468">
        <v>8</v>
      </c>
      <c r="C3468" s="4">
        <v>287.62</v>
      </c>
      <c r="D3468">
        <v>2</v>
      </c>
    </row>
    <row r="3469" spans="1:4" x14ac:dyDescent="0.25">
      <c r="A3469" t="s">
        <v>12409</v>
      </c>
      <c r="B3469">
        <v>64</v>
      </c>
      <c r="C3469" s="4">
        <v>290.16000000000003</v>
      </c>
      <c r="D3469">
        <v>2</v>
      </c>
    </row>
    <row r="3470" spans="1:4" x14ac:dyDescent="0.25">
      <c r="A3470" t="s">
        <v>12410</v>
      </c>
      <c r="B3470">
        <v>81</v>
      </c>
      <c r="C3470" s="4">
        <v>2003.85</v>
      </c>
      <c r="D3470">
        <v>2</v>
      </c>
    </row>
    <row r="3471" spans="1:4" x14ac:dyDescent="0.25">
      <c r="A3471" t="s">
        <v>12411</v>
      </c>
      <c r="B3471">
        <v>52</v>
      </c>
      <c r="C3471" s="4">
        <v>1405.78</v>
      </c>
      <c r="D3471">
        <v>3</v>
      </c>
    </row>
    <row r="3472" spans="1:4" x14ac:dyDescent="0.25">
      <c r="A3472" t="s">
        <v>12412</v>
      </c>
      <c r="B3472">
        <v>162</v>
      </c>
      <c r="C3472" s="4">
        <v>2949.75</v>
      </c>
      <c r="D3472">
        <v>2</v>
      </c>
    </row>
    <row r="3473" spans="1:4" x14ac:dyDescent="0.25">
      <c r="A3473" t="s">
        <v>12413</v>
      </c>
      <c r="B3473">
        <v>187</v>
      </c>
      <c r="C3473" s="4">
        <v>1566.65</v>
      </c>
      <c r="D3473">
        <v>5</v>
      </c>
    </row>
    <row r="3474" spans="1:4" x14ac:dyDescent="0.25">
      <c r="A3474" t="s">
        <v>12414</v>
      </c>
      <c r="B3474">
        <v>96</v>
      </c>
      <c r="C3474" s="4">
        <v>2050.08</v>
      </c>
      <c r="D3474">
        <v>6</v>
      </c>
    </row>
    <row r="3475" spans="1:4" x14ac:dyDescent="0.25">
      <c r="A3475" t="s">
        <v>12415</v>
      </c>
      <c r="B3475">
        <v>115</v>
      </c>
      <c r="C3475" s="4">
        <v>1991.01</v>
      </c>
      <c r="D3475">
        <v>4</v>
      </c>
    </row>
    <row r="3476" spans="1:4" x14ac:dyDescent="0.25">
      <c r="A3476" t="s">
        <v>12416</v>
      </c>
      <c r="B3476">
        <v>63</v>
      </c>
      <c r="C3476" s="4">
        <v>2043.95</v>
      </c>
      <c r="D3476">
        <v>7</v>
      </c>
    </row>
    <row r="3477" spans="1:4" x14ac:dyDescent="0.25">
      <c r="A3477" t="s">
        <v>12417</v>
      </c>
      <c r="B3477">
        <v>195</v>
      </c>
      <c r="C3477" s="4">
        <v>3827.76</v>
      </c>
      <c r="D3477">
        <v>9</v>
      </c>
    </row>
    <row r="3478" spans="1:4" x14ac:dyDescent="0.25">
      <c r="A3478" t="s">
        <v>12418</v>
      </c>
      <c r="B3478">
        <v>125</v>
      </c>
      <c r="C3478" s="4">
        <v>1777.78</v>
      </c>
      <c r="D3478">
        <v>4</v>
      </c>
    </row>
    <row r="3479" spans="1:4" x14ac:dyDescent="0.25">
      <c r="A3479" t="s">
        <v>12419</v>
      </c>
      <c r="B3479">
        <v>14</v>
      </c>
      <c r="C3479" s="4">
        <v>302</v>
      </c>
      <c r="D3479">
        <v>1</v>
      </c>
    </row>
    <row r="3480" spans="1:4" x14ac:dyDescent="0.25">
      <c r="A3480" t="s">
        <v>12420</v>
      </c>
      <c r="B3480">
        <v>74</v>
      </c>
      <c r="C3480" s="4">
        <v>1324.16</v>
      </c>
      <c r="D3480">
        <v>3</v>
      </c>
    </row>
    <row r="3481" spans="1:4" x14ac:dyDescent="0.25">
      <c r="A3481" t="s">
        <v>2398</v>
      </c>
      <c r="B3481">
        <v>48</v>
      </c>
      <c r="C3481" s="4">
        <v>1022.13</v>
      </c>
      <c r="D3481">
        <v>4</v>
      </c>
    </row>
    <row r="3482" spans="1:4" x14ac:dyDescent="0.25">
      <c r="A3482" t="s">
        <v>12421</v>
      </c>
      <c r="B3482">
        <v>211</v>
      </c>
      <c r="C3482" s="4">
        <v>954.42</v>
      </c>
      <c r="D3482">
        <v>8</v>
      </c>
    </row>
    <row r="3483" spans="1:4" x14ac:dyDescent="0.25">
      <c r="A3483" t="s">
        <v>12422</v>
      </c>
      <c r="B3483">
        <v>65</v>
      </c>
      <c r="C3483" s="4">
        <v>971.74</v>
      </c>
      <c r="D3483">
        <v>2</v>
      </c>
    </row>
    <row r="3484" spans="1:4" x14ac:dyDescent="0.25">
      <c r="A3484" t="s">
        <v>12423</v>
      </c>
      <c r="B3484">
        <v>42</v>
      </c>
      <c r="C3484" s="4">
        <v>1621.73</v>
      </c>
      <c r="D3484">
        <v>4</v>
      </c>
    </row>
    <row r="3485" spans="1:4" x14ac:dyDescent="0.25">
      <c r="A3485" t="s">
        <v>12424</v>
      </c>
      <c r="B3485">
        <v>1</v>
      </c>
      <c r="C3485" s="4">
        <v>25.5</v>
      </c>
      <c r="D3485">
        <v>1</v>
      </c>
    </row>
    <row r="3486" spans="1:4" x14ac:dyDescent="0.25">
      <c r="A3486" t="s">
        <v>12425</v>
      </c>
      <c r="B3486">
        <v>90</v>
      </c>
      <c r="C3486" s="4">
        <v>665.78</v>
      </c>
      <c r="D3486">
        <v>2</v>
      </c>
    </row>
    <row r="3487" spans="1:4" x14ac:dyDescent="0.25">
      <c r="A3487" t="s">
        <v>12426</v>
      </c>
      <c r="B3487">
        <v>418</v>
      </c>
      <c r="C3487" s="4">
        <v>10815.43</v>
      </c>
      <c r="D3487">
        <v>6</v>
      </c>
    </row>
    <row r="3488" spans="1:4" x14ac:dyDescent="0.25">
      <c r="A3488" t="s">
        <v>12427</v>
      </c>
      <c r="B3488">
        <v>117</v>
      </c>
      <c r="C3488" s="4">
        <v>885.04</v>
      </c>
      <c r="D3488">
        <v>6</v>
      </c>
    </row>
    <row r="3489" spans="1:4" x14ac:dyDescent="0.25">
      <c r="A3489" t="s">
        <v>12428</v>
      </c>
      <c r="B3489">
        <v>12</v>
      </c>
      <c r="C3489" s="4">
        <v>163.30000000000001</v>
      </c>
      <c r="D3489">
        <v>1</v>
      </c>
    </row>
    <row r="3490" spans="1:4" x14ac:dyDescent="0.25">
      <c r="A3490" t="s">
        <v>12429</v>
      </c>
      <c r="B3490">
        <v>30</v>
      </c>
      <c r="C3490" s="4">
        <v>248.61</v>
      </c>
      <c r="D3490">
        <v>1</v>
      </c>
    </row>
    <row r="3491" spans="1:4" x14ac:dyDescent="0.25">
      <c r="A3491" t="s">
        <v>12430</v>
      </c>
      <c r="B3491">
        <v>127</v>
      </c>
      <c r="C3491" s="4">
        <v>808.62</v>
      </c>
      <c r="D3491">
        <v>8</v>
      </c>
    </row>
    <row r="3492" spans="1:4" x14ac:dyDescent="0.25">
      <c r="A3492" t="s">
        <v>12431</v>
      </c>
      <c r="B3492">
        <v>39</v>
      </c>
      <c r="C3492" s="4">
        <v>837.5</v>
      </c>
      <c r="D3492">
        <v>3</v>
      </c>
    </row>
    <row r="3493" spans="1:4" x14ac:dyDescent="0.25">
      <c r="A3493" t="s">
        <v>12432</v>
      </c>
      <c r="B3493">
        <v>9</v>
      </c>
      <c r="C3493" s="4">
        <v>116.2</v>
      </c>
      <c r="D3493">
        <v>1</v>
      </c>
    </row>
    <row r="3494" spans="1:4" x14ac:dyDescent="0.25">
      <c r="A3494" t="s">
        <v>12433</v>
      </c>
      <c r="B3494">
        <v>10</v>
      </c>
      <c r="C3494" s="4">
        <v>157.02000000000001</v>
      </c>
      <c r="D3494">
        <v>1</v>
      </c>
    </row>
    <row r="3495" spans="1:4" x14ac:dyDescent="0.25">
      <c r="A3495" t="s">
        <v>12434</v>
      </c>
      <c r="B3495">
        <v>35</v>
      </c>
      <c r="C3495" s="4">
        <v>606.91</v>
      </c>
      <c r="D3495">
        <v>2</v>
      </c>
    </row>
    <row r="3496" spans="1:4" x14ac:dyDescent="0.25">
      <c r="A3496" t="s">
        <v>12435</v>
      </c>
      <c r="B3496">
        <v>18</v>
      </c>
      <c r="C3496" s="4">
        <v>307.45999999999998</v>
      </c>
      <c r="D3496">
        <v>1</v>
      </c>
    </row>
    <row r="3497" spans="1:4" x14ac:dyDescent="0.25">
      <c r="A3497" t="s">
        <v>12436</v>
      </c>
      <c r="B3497">
        <v>7</v>
      </c>
      <c r="C3497" s="4">
        <v>138.32</v>
      </c>
      <c r="D3497">
        <v>1</v>
      </c>
    </row>
    <row r="3498" spans="1:4" x14ac:dyDescent="0.25">
      <c r="A3498" t="s">
        <v>12437</v>
      </c>
      <c r="B3498">
        <v>9</v>
      </c>
      <c r="C3498" s="4">
        <v>345.3</v>
      </c>
      <c r="D3498">
        <v>1</v>
      </c>
    </row>
    <row r="3499" spans="1:4" x14ac:dyDescent="0.25">
      <c r="A3499" t="s">
        <v>12438</v>
      </c>
      <c r="B3499">
        <v>32</v>
      </c>
      <c r="C3499" s="4">
        <v>298.89</v>
      </c>
      <c r="D3499">
        <v>1</v>
      </c>
    </row>
    <row r="3500" spans="1:4" x14ac:dyDescent="0.25">
      <c r="A3500" t="s">
        <v>12439</v>
      </c>
      <c r="B3500">
        <v>40</v>
      </c>
      <c r="C3500" s="4">
        <v>259.35000000000002</v>
      </c>
      <c r="D3500">
        <v>1</v>
      </c>
    </row>
    <row r="3501" spans="1:4" x14ac:dyDescent="0.25">
      <c r="A3501" t="s">
        <v>12440</v>
      </c>
      <c r="B3501">
        <v>260</v>
      </c>
      <c r="C3501" s="4">
        <v>1004.75</v>
      </c>
      <c r="D3501">
        <v>5</v>
      </c>
    </row>
    <row r="3502" spans="1:4" x14ac:dyDescent="0.25">
      <c r="A3502" t="s">
        <v>12441</v>
      </c>
      <c r="B3502">
        <v>14</v>
      </c>
      <c r="C3502" s="4">
        <v>157.09</v>
      </c>
      <c r="D3502">
        <v>1</v>
      </c>
    </row>
    <row r="3503" spans="1:4" x14ac:dyDescent="0.25">
      <c r="A3503" t="s">
        <v>12442</v>
      </c>
      <c r="B3503">
        <v>134</v>
      </c>
      <c r="C3503" s="4">
        <v>2463.17</v>
      </c>
      <c r="D3503">
        <v>5</v>
      </c>
    </row>
    <row r="3504" spans="1:4" x14ac:dyDescent="0.25">
      <c r="A3504" t="s">
        <v>12443</v>
      </c>
      <c r="B3504">
        <v>27</v>
      </c>
      <c r="C3504" s="4">
        <v>4892.24</v>
      </c>
      <c r="D3504">
        <v>7</v>
      </c>
    </row>
    <row r="3505" spans="1:4" x14ac:dyDescent="0.25">
      <c r="A3505" t="s">
        <v>12444</v>
      </c>
      <c r="B3505">
        <v>24</v>
      </c>
      <c r="C3505" s="4">
        <v>425</v>
      </c>
      <c r="D3505">
        <v>2</v>
      </c>
    </row>
    <row r="3506" spans="1:4" x14ac:dyDescent="0.25">
      <c r="A3506" t="s">
        <v>12445</v>
      </c>
      <c r="B3506">
        <v>52</v>
      </c>
      <c r="C3506" s="4">
        <v>1139.73</v>
      </c>
      <c r="D3506">
        <v>7</v>
      </c>
    </row>
    <row r="3507" spans="1:4" x14ac:dyDescent="0.25">
      <c r="A3507" t="s">
        <v>12446</v>
      </c>
      <c r="B3507">
        <v>24</v>
      </c>
      <c r="C3507" s="4">
        <v>380.5</v>
      </c>
      <c r="D3507">
        <v>1</v>
      </c>
    </row>
    <row r="3508" spans="1:4" x14ac:dyDescent="0.25">
      <c r="A3508" t="s">
        <v>12447</v>
      </c>
      <c r="B3508">
        <v>478</v>
      </c>
      <c r="C3508" s="4">
        <v>10668.47</v>
      </c>
      <c r="D3508">
        <v>12</v>
      </c>
    </row>
    <row r="3509" spans="1:4" x14ac:dyDescent="0.25">
      <c r="A3509" t="s">
        <v>12448</v>
      </c>
      <c r="B3509">
        <v>20</v>
      </c>
      <c r="C3509" s="4">
        <v>465.32</v>
      </c>
      <c r="D3509">
        <v>1</v>
      </c>
    </row>
    <row r="3510" spans="1:4" x14ac:dyDescent="0.25">
      <c r="A3510" t="s">
        <v>12449</v>
      </c>
      <c r="B3510">
        <v>15</v>
      </c>
      <c r="C3510" s="4">
        <v>579</v>
      </c>
      <c r="D3510">
        <v>1</v>
      </c>
    </row>
    <row r="3511" spans="1:4" x14ac:dyDescent="0.25">
      <c r="A3511" t="s">
        <v>12450</v>
      </c>
      <c r="B3511">
        <v>48</v>
      </c>
      <c r="C3511" s="4">
        <v>984.57</v>
      </c>
      <c r="D3511">
        <v>2</v>
      </c>
    </row>
    <row r="3512" spans="1:4" x14ac:dyDescent="0.25">
      <c r="A3512" t="s">
        <v>12451</v>
      </c>
      <c r="B3512">
        <v>35</v>
      </c>
      <c r="C3512" s="4">
        <v>749.78</v>
      </c>
      <c r="D3512">
        <v>3</v>
      </c>
    </row>
    <row r="3513" spans="1:4" x14ac:dyDescent="0.25">
      <c r="A3513" t="s">
        <v>12452</v>
      </c>
      <c r="B3513">
        <v>81</v>
      </c>
      <c r="C3513" s="4">
        <v>1714.59</v>
      </c>
      <c r="D3513">
        <v>4</v>
      </c>
    </row>
    <row r="3514" spans="1:4" x14ac:dyDescent="0.25">
      <c r="A3514" t="s">
        <v>12453</v>
      </c>
      <c r="B3514">
        <v>9</v>
      </c>
      <c r="C3514" s="4">
        <v>124.88</v>
      </c>
      <c r="D3514">
        <v>1</v>
      </c>
    </row>
    <row r="3515" spans="1:4" x14ac:dyDescent="0.25">
      <c r="A3515" t="s">
        <v>12454</v>
      </c>
      <c r="B3515">
        <v>14</v>
      </c>
      <c r="C3515" s="4">
        <v>1689.5</v>
      </c>
      <c r="D3515">
        <v>3</v>
      </c>
    </row>
    <row r="3516" spans="1:4" x14ac:dyDescent="0.25">
      <c r="A3516" t="s">
        <v>12455</v>
      </c>
      <c r="B3516">
        <v>14</v>
      </c>
      <c r="C3516" s="4">
        <v>213.78</v>
      </c>
      <c r="D3516">
        <v>1</v>
      </c>
    </row>
    <row r="3517" spans="1:4" x14ac:dyDescent="0.25">
      <c r="A3517" t="s">
        <v>12456</v>
      </c>
      <c r="B3517">
        <v>23</v>
      </c>
      <c r="C3517" s="4">
        <v>329.34</v>
      </c>
      <c r="D3517">
        <v>1</v>
      </c>
    </row>
    <row r="3518" spans="1:4" x14ac:dyDescent="0.25">
      <c r="A3518" t="s">
        <v>12457</v>
      </c>
      <c r="B3518">
        <v>20</v>
      </c>
      <c r="C3518" s="4">
        <v>251.7</v>
      </c>
      <c r="D3518">
        <v>2</v>
      </c>
    </row>
    <row r="3519" spans="1:4" x14ac:dyDescent="0.25">
      <c r="A3519" t="s">
        <v>12458</v>
      </c>
      <c r="B3519">
        <v>13</v>
      </c>
      <c r="C3519" s="4">
        <v>319</v>
      </c>
      <c r="D3519">
        <v>2</v>
      </c>
    </row>
    <row r="3520" spans="1:4" x14ac:dyDescent="0.25">
      <c r="A3520" t="s">
        <v>12459</v>
      </c>
      <c r="B3520">
        <v>67</v>
      </c>
      <c r="C3520" s="4">
        <v>1266.97</v>
      </c>
      <c r="D3520">
        <v>3</v>
      </c>
    </row>
    <row r="3521" spans="1:4" x14ac:dyDescent="0.25">
      <c r="A3521" t="s">
        <v>12460</v>
      </c>
      <c r="B3521">
        <v>101</v>
      </c>
      <c r="C3521" s="4">
        <v>1538.88</v>
      </c>
      <c r="D3521">
        <v>3</v>
      </c>
    </row>
    <row r="3522" spans="1:4" x14ac:dyDescent="0.25">
      <c r="A3522" t="s">
        <v>12461</v>
      </c>
      <c r="B3522">
        <v>229</v>
      </c>
      <c r="C3522" s="4">
        <v>3518.03</v>
      </c>
      <c r="D3522">
        <v>6</v>
      </c>
    </row>
    <row r="3523" spans="1:4" x14ac:dyDescent="0.25">
      <c r="A3523" t="s">
        <v>12462</v>
      </c>
      <c r="B3523">
        <v>104</v>
      </c>
      <c r="C3523" s="4">
        <v>1715.46</v>
      </c>
      <c r="D3523">
        <v>10</v>
      </c>
    </row>
    <row r="3524" spans="1:4" x14ac:dyDescent="0.25">
      <c r="A3524" t="s">
        <v>12463</v>
      </c>
      <c r="B3524">
        <v>5</v>
      </c>
      <c r="C3524" s="4">
        <v>293.10000000000002</v>
      </c>
      <c r="D3524">
        <v>2</v>
      </c>
    </row>
    <row r="3525" spans="1:4" x14ac:dyDescent="0.25">
      <c r="A3525" t="s">
        <v>12464</v>
      </c>
      <c r="B3525">
        <v>144</v>
      </c>
      <c r="C3525" s="4">
        <v>2467.35</v>
      </c>
      <c r="D3525">
        <v>7</v>
      </c>
    </row>
    <row r="3526" spans="1:4" x14ac:dyDescent="0.25">
      <c r="A3526" t="s">
        <v>12465</v>
      </c>
      <c r="B3526">
        <v>10</v>
      </c>
      <c r="C3526" s="4">
        <v>158.68</v>
      </c>
      <c r="D3526">
        <v>1</v>
      </c>
    </row>
    <row r="3527" spans="1:4" x14ac:dyDescent="0.25">
      <c r="A3527" t="s">
        <v>12466</v>
      </c>
      <c r="B3527">
        <v>12</v>
      </c>
      <c r="C3527" s="4">
        <v>206.34</v>
      </c>
      <c r="D3527">
        <v>2</v>
      </c>
    </row>
    <row r="3528" spans="1:4" x14ac:dyDescent="0.25">
      <c r="A3528" t="s">
        <v>12467</v>
      </c>
      <c r="B3528">
        <v>54</v>
      </c>
      <c r="C3528" s="4">
        <v>835.78</v>
      </c>
      <c r="D3528">
        <v>2</v>
      </c>
    </row>
    <row r="3529" spans="1:4" x14ac:dyDescent="0.25">
      <c r="A3529" t="s">
        <v>12468</v>
      </c>
      <c r="B3529">
        <v>16</v>
      </c>
      <c r="C3529" s="4">
        <v>224.91</v>
      </c>
      <c r="D3529">
        <v>1</v>
      </c>
    </row>
    <row r="3530" spans="1:4" x14ac:dyDescent="0.25">
      <c r="A3530" t="s">
        <v>12469</v>
      </c>
      <c r="B3530">
        <v>15</v>
      </c>
      <c r="C3530" s="4">
        <v>317.76</v>
      </c>
      <c r="D3530">
        <v>1</v>
      </c>
    </row>
    <row r="3531" spans="1:4" x14ac:dyDescent="0.25">
      <c r="A3531" t="s">
        <v>12470</v>
      </c>
      <c r="B3531">
        <v>86</v>
      </c>
      <c r="C3531" s="4">
        <v>3766.6</v>
      </c>
      <c r="D3531">
        <v>8</v>
      </c>
    </row>
    <row r="3532" spans="1:4" x14ac:dyDescent="0.25">
      <c r="A3532" t="s">
        <v>3966</v>
      </c>
      <c r="B3532">
        <v>4</v>
      </c>
      <c r="C3532" s="4">
        <v>59.9</v>
      </c>
      <c r="D3532">
        <v>1</v>
      </c>
    </row>
    <row r="3533" spans="1:4" x14ac:dyDescent="0.25">
      <c r="A3533" t="s">
        <v>12471</v>
      </c>
      <c r="B3533">
        <v>63</v>
      </c>
      <c r="C3533" s="4">
        <v>1443.69</v>
      </c>
      <c r="D3533">
        <v>4</v>
      </c>
    </row>
    <row r="3534" spans="1:4" x14ac:dyDescent="0.25">
      <c r="A3534" t="s">
        <v>12472</v>
      </c>
      <c r="B3534">
        <v>15</v>
      </c>
      <c r="C3534" s="4">
        <v>306.13</v>
      </c>
      <c r="D3534">
        <v>1</v>
      </c>
    </row>
    <row r="3535" spans="1:4" x14ac:dyDescent="0.25">
      <c r="A3535" t="s">
        <v>12473</v>
      </c>
      <c r="B3535">
        <v>80</v>
      </c>
      <c r="C3535" s="4">
        <v>711.79</v>
      </c>
      <c r="D3535">
        <v>3</v>
      </c>
    </row>
    <row r="3536" spans="1:4" x14ac:dyDescent="0.25">
      <c r="A3536" t="s">
        <v>12474</v>
      </c>
      <c r="B3536">
        <v>128</v>
      </c>
      <c r="C3536" s="4">
        <v>796.03</v>
      </c>
      <c r="D3536">
        <v>4</v>
      </c>
    </row>
    <row r="3537" spans="1:4" x14ac:dyDescent="0.25">
      <c r="A3537" t="s">
        <v>12475</v>
      </c>
      <c r="B3537">
        <v>23</v>
      </c>
      <c r="C3537" s="4">
        <v>239.92</v>
      </c>
      <c r="D3537">
        <v>2</v>
      </c>
    </row>
    <row r="3538" spans="1:4" x14ac:dyDescent="0.25">
      <c r="A3538" t="s">
        <v>12476</v>
      </c>
      <c r="B3538">
        <v>73</v>
      </c>
      <c r="C3538" s="4">
        <v>3347.31</v>
      </c>
      <c r="D3538">
        <v>6</v>
      </c>
    </row>
    <row r="3539" spans="1:4" x14ac:dyDescent="0.25">
      <c r="A3539" t="s">
        <v>12477</v>
      </c>
      <c r="B3539">
        <v>2</v>
      </c>
      <c r="C3539" s="4">
        <v>144</v>
      </c>
      <c r="D3539">
        <v>2</v>
      </c>
    </row>
    <row r="3540" spans="1:4" x14ac:dyDescent="0.25">
      <c r="A3540" t="s">
        <v>12478</v>
      </c>
      <c r="B3540">
        <v>10</v>
      </c>
      <c r="C3540" s="4">
        <v>203.95</v>
      </c>
      <c r="D3540">
        <v>1</v>
      </c>
    </row>
    <row r="3541" spans="1:4" x14ac:dyDescent="0.25">
      <c r="A3541" t="s">
        <v>12479</v>
      </c>
      <c r="B3541">
        <v>84</v>
      </c>
      <c r="C3541" s="4">
        <v>2474.23</v>
      </c>
      <c r="D3541">
        <v>7</v>
      </c>
    </row>
    <row r="3542" spans="1:4" x14ac:dyDescent="0.25">
      <c r="A3542" t="s">
        <v>12480</v>
      </c>
      <c r="B3542">
        <v>61</v>
      </c>
      <c r="C3542" s="4">
        <v>384.4</v>
      </c>
      <c r="D3542">
        <v>2</v>
      </c>
    </row>
    <row r="3543" spans="1:4" x14ac:dyDescent="0.25">
      <c r="A3543" t="s">
        <v>12481</v>
      </c>
      <c r="B3543">
        <v>19</v>
      </c>
      <c r="C3543" s="4">
        <v>444.74</v>
      </c>
      <c r="D3543">
        <v>2</v>
      </c>
    </row>
    <row r="3544" spans="1:4" x14ac:dyDescent="0.25">
      <c r="A3544" t="s">
        <v>12482</v>
      </c>
      <c r="B3544">
        <v>237</v>
      </c>
      <c r="C3544" s="4">
        <v>2095.13</v>
      </c>
      <c r="D3544">
        <v>7</v>
      </c>
    </row>
    <row r="3545" spans="1:4" x14ac:dyDescent="0.25">
      <c r="A3545" t="s">
        <v>12483</v>
      </c>
      <c r="B3545">
        <v>32</v>
      </c>
      <c r="C3545" s="4">
        <v>1699.3</v>
      </c>
      <c r="D3545">
        <v>7</v>
      </c>
    </row>
    <row r="3546" spans="1:4" x14ac:dyDescent="0.25">
      <c r="A3546" t="s">
        <v>12484</v>
      </c>
      <c r="B3546">
        <v>25</v>
      </c>
      <c r="C3546" s="4">
        <v>226.78</v>
      </c>
      <c r="D3546">
        <v>1</v>
      </c>
    </row>
    <row r="3547" spans="1:4" x14ac:dyDescent="0.25">
      <c r="A3547" t="s">
        <v>12485</v>
      </c>
      <c r="B3547">
        <v>29</v>
      </c>
      <c r="C3547" s="4">
        <v>1013.01</v>
      </c>
      <c r="D3547">
        <v>1</v>
      </c>
    </row>
    <row r="3548" spans="1:4" x14ac:dyDescent="0.25">
      <c r="A3548" t="s">
        <v>12486</v>
      </c>
      <c r="B3548">
        <v>96</v>
      </c>
      <c r="C3548" s="4">
        <v>692.22</v>
      </c>
      <c r="D3548">
        <v>3</v>
      </c>
    </row>
    <row r="3549" spans="1:4" x14ac:dyDescent="0.25">
      <c r="A3549" t="s">
        <v>12487</v>
      </c>
      <c r="B3549">
        <v>40</v>
      </c>
      <c r="C3549" s="4">
        <v>342.63</v>
      </c>
      <c r="D3549">
        <v>1</v>
      </c>
    </row>
    <row r="3550" spans="1:4" x14ac:dyDescent="0.25">
      <c r="A3550" t="s">
        <v>12488</v>
      </c>
      <c r="B3550">
        <v>152</v>
      </c>
      <c r="C3550" s="4">
        <v>3563.85</v>
      </c>
      <c r="D3550">
        <v>6</v>
      </c>
    </row>
    <row r="3551" spans="1:4" x14ac:dyDescent="0.25">
      <c r="A3551" t="s">
        <v>12489</v>
      </c>
      <c r="B3551">
        <v>57</v>
      </c>
      <c r="C3551" s="4">
        <v>1564.56</v>
      </c>
      <c r="D3551">
        <v>4</v>
      </c>
    </row>
    <row r="3552" spans="1:4" x14ac:dyDescent="0.25">
      <c r="A3552" t="s">
        <v>12490</v>
      </c>
      <c r="B3552">
        <v>13</v>
      </c>
      <c r="C3552" s="4">
        <v>384.08</v>
      </c>
      <c r="D3552">
        <v>1</v>
      </c>
    </row>
    <row r="3553" spans="1:4" x14ac:dyDescent="0.25">
      <c r="A3553" t="s">
        <v>12491</v>
      </c>
      <c r="B3553">
        <v>7</v>
      </c>
      <c r="C3553" s="4">
        <v>204.24</v>
      </c>
      <c r="D3553">
        <v>1</v>
      </c>
    </row>
    <row r="3554" spans="1:4" x14ac:dyDescent="0.25">
      <c r="A3554" t="s">
        <v>12492</v>
      </c>
      <c r="B3554">
        <v>211</v>
      </c>
      <c r="C3554" s="4">
        <v>2317.2199999999998</v>
      </c>
      <c r="D3554">
        <v>8</v>
      </c>
    </row>
    <row r="3555" spans="1:4" x14ac:dyDescent="0.25">
      <c r="A3555" t="s">
        <v>12493</v>
      </c>
      <c r="B3555">
        <v>4</v>
      </c>
      <c r="C3555" s="4">
        <v>226.85</v>
      </c>
      <c r="D3555">
        <v>1</v>
      </c>
    </row>
    <row r="3556" spans="1:4" x14ac:dyDescent="0.25">
      <c r="A3556" t="s">
        <v>12494</v>
      </c>
      <c r="B3556">
        <v>157</v>
      </c>
      <c r="C3556" s="4">
        <v>2781.23</v>
      </c>
      <c r="D3556">
        <v>7</v>
      </c>
    </row>
    <row r="3557" spans="1:4" x14ac:dyDescent="0.25">
      <c r="A3557" t="s">
        <v>12495</v>
      </c>
      <c r="B3557">
        <v>103</v>
      </c>
      <c r="C3557" s="4">
        <v>1069.1199999999999</v>
      </c>
      <c r="D3557">
        <v>6</v>
      </c>
    </row>
    <row r="3558" spans="1:4" x14ac:dyDescent="0.25">
      <c r="A3558" t="s">
        <v>12496</v>
      </c>
      <c r="B3558">
        <v>9</v>
      </c>
      <c r="C3558" s="4">
        <v>113.5</v>
      </c>
      <c r="D3558">
        <v>1</v>
      </c>
    </row>
    <row r="3559" spans="1:4" x14ac:dyDescent="0.25">
      <c r="A3559" t="s">
        <v>12497</v>
      </c>
      <c r="B3559">
        <v>274</v>
      </c>
      <c r="C3559" s="4">
        <v>1960.72</v>
      </c>
      <c r="D3559">
        <v>10</v>
      </c>
    </row>
    <row r="3560" spans="1:4" x14ac:dyDescent="0.25">
      <c r="A3560" t="s">
        <v>12498</v>
      </c>
      <c r="B3560">
        <v>25</v>
      </c>
      <c r="C3560" s="4">
        <v>114.23</v>
      </c>
      <c r="D3560">
        <v>1</v>
      </c>
    </row>
    <row r="3561" spans="1:4" x14ac:dyDescent="0.25">
      <c r="A3561" t="s">
        <v>12499</v>
      </c>
      <c r="B3561">
        <v>472</v>
      </c>
      <c r="C3561" s="4">
        <v>3198.25</v>
      </c>
      <c r="D3561">
        <v>14</v>
      </c>
    </row>
    <row r="3562" spans="1:4" x14ac:dyDescent="0.25">
      <c r="A3562" t="s">
        <v>12500</v>
      </c>
      <c r="B3562">
        <v>63</v>
      </c>
      <c r="C3562" s="4">
        <v>335.13</v>
      </c>
      <c r="D3562">
        <v>2</v>
      </c>
    </row>
    <row r="3563" spans="1:4" x14ac:dyDescent="0.25">
      <c r="A3563" t="s">
        <v>12501</v>
      </c>
      <c r="B3563">
        <v>28</v>
      </c>
      <c r="C3563" s="4">
        <v>354.15</v>
      </c>
      <c r="D3563">
        <v>1</v>
      </c>
    </row>
    <row r="3564" spans="1:4" x14ac:dyDescent="0.25">
      <c r="A3564" t="s">
        <v>12502</v>
      </c>
      <c r="B3564">
        <v>48</v>
      </c>
      <c r="C3564" s="4">
        <v>391.79</v>
      </c>
      <c r="D3564">
        <v>2</v>
      </c>
    </row>
    <row r="3565" spans="1:4" x14ac:dyDescent="0.25">
      <c r="A3565" t="s">
        <v>12503</v>
      </c>
      <c r="B3565">
        <v>21</v>
      </c>
      <c r="C3565" s="4">
        <v>393.49</v>
      </c>
      <c r="D3565">
        <v>1</v>
      </c>
    </row>
    <row r="3566" spans="1:4" x14ac:dyDescent="0.25">
      <c r="A3566" t="s">
        <v>12504</v>
      </c>
      <c r="B3566">
        <v>47</v>
      </c>
      <c r="C3566" s="4">
        <v>939.32</v>
      </c>
      <c r="D3566">
        <v>6</v>
      </c>
    </row>
    <row r="3567" spans="1:4" x14ac:dyDescent="0.25">
      <c r="A3567" t="s">
        <v>12505</v>
      </c>
      <c r="B3567">
        <v>208</v>
      </c>
      <c r="C3567" s="4">
        <v>1906.09</v>
      </c>
      <c r="D3567">
        <v>8</v>
      </c>
    </row>
    <row r="3568" spans="1:4" x14ac:dyDescent="0.25">
      <c r="A3568" t="s">
        <v>12506</v>
      </c>
      <c r="B3568">
        <v>47</v>
      </c>
      <c r="C3568" s="4">
        <v>318.76</v>
      </c>
      <c r="D3568">
        <v>2</v>
      </c>
    </row>
    <row r="3569" spans="1:4" x14ac:dyDescent="0.25">
      <c r="A3569" t="s">
        <v>12507</v>
      </c>
      <c r="B3569">
        <v>69</v>
      </c>
      <c r="C3569" s="4">
        <v>3638.41</v>
      </c>
      <c r="D3569">
        <v>8</v>
      </c>
    </row>
    <row r="3570" spans="1:4" x14ac:dyDescent="0.25">
      <c r="A3570" t="s">
        <v>12508</v>
      </c>
      <c r="B3570">
        <v>541</v>
      </c>
      <c r="C3570" s="4">
        <v>3174.32</v>
      </c>
      <c r="D3570">
        <v>10</v>
      </c>
    </row>
    <row r="3571" spans="1:4" x14ac:dyDescent="0.25">
      <c r="A3571" t="s">
        <v>12509</v>
      </c>
      <c r="B3571">
        <v>36</v>
      </c>
      <c r="C3571" s="4">
        <v>421.52</v>
      </c>
      <c r="D3571">
        <v>2</v>
      </c>
    </row>
    <row r="3572" spans="1:4" x14ac:dyDescent="0.25">
      <c r="A3572" t="s">
        <v>12510</v>
      </c>
      <c r="B3572">
        <v>25</v>
      </c>
      <c r="C3572" s="4">
        <v>190.88</v>
      </c>
      <c r="D3572">
        <v>1</v>
      </c>
    </row>
    <row r="3573" spans="1:4" x14ac:dyDescent="0.25">
      <c r="A3573" t="s">
        <v>12511</v>
      </c>
      <c r="B3573">
        <v>14</v>
      </c>
      <c r="C3573" s="4">
        <v>149.88999999999999</v>
      </c>
      <c r="D3573">
        <v>1</v>
      </c>
    </row>
    <row r="3574" spans="1:4" x14ac:dyDescent="0.25">
      <c r="A3574" t="s">
        <v>12512</v>
      </c>
      <c r="B3574">
        <v>29</v>
      </c>
      <c r="C3574" s="4">
        <v>550.05999999999995</v>
      </c>
      <c r="D3574">
        <v>2</v>
      </c>
    </row>
    <row r="3575" spans="1:4" x14ac:dyDescent="0.25">
      <c r="A3575" t="s">
        <v>12513</v>
      </c>
      <c r="B3575">
        <v>105</v>
      </c>
      <c r="C3575" s="4">
        <v>916.13</v>
      </c>
      <c r="D3575">
        <v>6</v>
      </c>
    </row>
    <row r="3576" spans="1:4" x14ac:dyDescent="0.25">
      <c r="A3576" t="s">
        <v>12514</v>
      </c>
      <c r="B3576">
        <v>19</v>
      </c>
      <c r="C3576" s="4">
        <v>314.69</v>
      </c>
      <c r="D3576">
        <v>2</v>
      </c>
    </row>
    <row r="3577" spans="1:4" x14ac:dyDescent="0.25">
      <c r="A3577" t="s">
        <v>12515</v>
      </c>
      <c r="B3577">
        <v>566</v>
      </c>
      <c r="C3577" s="4">
        <v>3744.65</v>
      </c>
      <c r="D3577">
        <v>17</v>
      </c>
    </row>
    <row r="3578" spans="1:4" x14ac:dyDescent="0.25">
      <c r="A3578" t="s">
        <v>12516</v>
      </c>
      <c r="B3578">
        <v>15</v>
      </c>
      <c r="C3578" s="4">
        <v>382.5</v>
      </c>
      <c r="D3578">
        <v>1</v>
      </c>
    </row>
    <row r="3579" spans="1:4" x14ac:dyDescent="0.25">
      <c r="A3579" t="s">
        <v>12517</v>
      </c>
      <c r="B3579">
        <v>40</v>
      </c>
      <c r="C3579" s="4">
        <v>1135.04</v>
      </c>
      <c r="D3579">
        <v>2</v>
      </c>
    </row>
    <row r="3580" spans="1:4" x14ac:dyDescent="0.25">
      <c r="A3580" t="s">
        <v>12518</v>
      </c>
      <c r="B3580">
        <v>399</v>
      </c>
      <c r="C3580" s="4">
        <v>8668.4500000000007</v>
      </c>
      <c r="D3580">
        <v>26</v>
      </c>
    </row>
    <row r="3581" spans="1:4" x14ac:dyDescent="0.25">
      <c r="A3581" t="s">
        <v>12519</v>
      </c>
      <c r="B3581">
        <v>31</v>
      </c>
      <c r="C3581" s="4">
        <v>954.9</v>
      </c>
      <c r="D3581">
        <v>1</v>
      </c>
    </row>
    <row r="3582" spans="1:4" x14ac:dyDescent="0.25">
      <c r="A3582" t="s">
        <v>12520</v>
      </c>
      <c r="B3582">
        <v>9</v>
      </c>
      <c r="C3582" s="4">
        <v>171.45</v>
      </c>
      <c r="D3582">
        <v>1</v>
      </c>
    </row>
    <row r="3583" spans="1:4" x14ac:dyDescent="0.25">
      <c r="A3583" t="s">
        <v>12521</v>
      </c>
      <c r="B3583">
        <v>55</v>
      </c>
      <c r="C3583" s="4">
        <v>282.19</v>
      </c>
      <c r="D3583">
        <v>1</v>
      </c>
    </row>
    <row r="3584" spans="1:4" x14ac:dyDescent="0.25">
      <c r="A3584" t="s">
        <v>12522</v>
      </c>
      <c r="B3584">
        <v>69</v>
      </c>
      <c r="C3584" s="4">
        <v>318.64999999999998</v>
      </c>
      <c r="D3584">
        <v>1</v>
      </c>
    </row>
    <row r="3585" spans="1:4" x14ac:dyDescent="0.25">
      <c r="A3585" t="s">
        <v>12523</v>
      </c>
      <c r="B3585">
        <v>57</v>
      </c>
      <c r="C3585" s="4">
        <v>384.52</v>
      </c>
      <c r="D3585">
        <v>2</v>
      </c>
    </row>
    <row r="3586" spans="1:4" x14ac:dyDescent="0.25">
      <c r="A3586" t="s">
        <v>12524</v>
      </c>
      <c r="B3586">
        <v>39</v>
      </c>
      <c r="C3586" s="4">
        <v>283.27999999999997</v>
      </c>
      <c r="D3586">
        <v>1</v>
      </c>
    </row>
    <row r="3587" spans="1:4" x14ac:dyDescent="0.25">
      <c r="A3587" t="s">
        <v>12525</v>
      </c>
      <c r="B3587">
        <v>87</v>
      </c>
      <c r="C3587" s="4">
        <v>353.86</v>
      </c>
      <c r="D3587">
        <v>2</v>
      </c>
    </row>
    <row r="3588" spans="1:4" x14ac:dyDescent="0.25">
      <c r="A3588" t="s">
        <v>12526</v>
      </c>
      <c r="B3588">
        <v>18</v>
      </c>
      <c r="C3588" s="4">
        <v>178.26</v>
      </c>
      <c r="D3588">
        <v>1</v>
      </c>
    </row>
    <row r="3589" spans="1:4" x14ac:dyDescent="0.25">
      <c r="A3589" t="s">
        <v>12527</v>
      </c>
      <c r="B3589">
        <v>112</v>
      </c>
      <c r="C3589" s="4">
        <v>272.44</v>
      </c>
      <c r="D3589">
        <v>2</v>
      </c>
    </row>
    <row r="3590" spans="1:4" x14ac:dyDescent="0.25">
      <c r="A3590" t="s">
        <v>12528</v>
      </c>
      <c r="B3590">
        <v>78</v>
      </c>
      <c r="C3590" s="4">
        <v>298.41000000000003</v>
      </c>
      <c r="D3590">
        <v>2</v>
      </c>
    </row>
    <row r="3591" spans="1:4" x14ac:dyDescent="0.25">
      <c r="A3591" t="s">
        <v>12529</v>
      </c>
      <c r="B3591">
        <v>16</v>
      </c>
      <c r="C3591" s="4">
        <v>240</v>
      </c>
      <c r="D3591">
        <v>2</v>
      </c>
    </row>
    <row r="3592" spans="1:4" x14ac:dyDescent="0.25">
      <c r="A3592" t="s">
        <v>12530</v>
      </c>
      <c r="B3592">
        <v>124</v>
      </c>
      <c r="C3592" s="4">
        <v>603.37</v>
      </c>
      <c r="D3592">
        <v>2</v>
      </c>
    </row>
    <row r="3593" spans="1:4" x14ac:dyDescent="0.25">
      <c r="A3593" t="s">
        <v>12531</v>
      </c>
      <c r="B3593">
        <v>12</v>
      </c>
      <c r="C3593" s="4">
        <v>1253.3599999999999</v>
      </c>
      <c r="D3593">
        <v>5</v>
      </c>
    </row>
    <row r="3594" spans="1:4" x14ac:dyDescent="0.25">
      <c r="A3594" t="s">
        <v>12532</v>
      </c>
      <c r="B3594">
        <v>23</v>
      </c>
      <c r="C3594" s="4">
        <v>63.44</v>
      </c>
      <c r="D3594">
        <v>1</v>
      </c>
    </row>
    <row r="3595" spans="1:4" x14ac:dyDescent="0.25">
      <c r="A3595" t="s">
        <v>12533</v>
      </c>
      <c r="B3595">
        <v>127</v>
      </c>
      <c r="C3595" s="4">
        <v>562.9</v>
      </c>
      <c r="D3595">
        <v>2</v>
      </c>
    </row>
    <row r="3596" spans="1:4" x14ac:dyDescent="0.25">
      <c r="A3596" t="s">
        <v>12534</v>
      </c>
      <c r="B3596">
        <v>80</v>
      </c>
      <c r="C3596" s="4">
        <v>310.64</v>
      </c>
      <c r="D3596">
        <v>3</v>
      </c>
    </row>
    <row r="3597" spans="1:4" x14ac:dyDescent="0.25">
      <c r="A3597" t="s">
        <v>12535</v>
      </c>
      <c r="B3597">
        <v>38</v>
      </c>
      <c r="C3597" s="4">
        <v>317.62</v>
      </c>
      <c r="D3597">
        <v>2</v>
      </c>
    </row>
    <row r="3598" spans="1:4" x14ac:dyDescent="0.25">
      <c r="A3598" t="s">
        <v>12536</v>
      </c>
      <c r="B3598">
        <v>6</v>
      </c>
      <c r="C3598" s="4">
        <v>763.64</v>
      </c>
      <c r="D3598">
        <v>4</v>
      </c>
    </row>
    <row r="3599" spans="1:4" x14ac:dyDescent="0.25">
      <c r="A3599" t="s">
        <v>12537</v>
      </c>
      <c r="B3599">
        <v>114</v>
      </c>
      <c r="C3599" s="4">
        <v>2148.63</v>
      </c>
      <c r="D3599">
        <v>4</v>
      </c>
    </row>
    <row r="3600" spans="1:4" x14ac:dyDescent="0.25">
      <c r="A3600" t="s">
        <v>12538</v>
      </c>
      <c r="B3600">
        <v>27</v>
      </c>
      <c r="C3600" s="4">
        <v>111.98</v>
      </c>
      <c r="D3600">
        <v>1</v>
      </c>
    </row>
    <row r="3601" spans="1:4" x14ac:dyDescent="0.25">
      <c r="A3601" t="s">
        <v>12539</v>
      </c>
      <c r="B3601">
        <v>69</v>
      </c>
      <c r="C3601" s="4">
        <v>1065.3499999999999</v>
      </c>
      <c r="D3601">
        <v>2</v>
      </c>
    </row>
    <row r="3602" spans="1:4" x14ac:dyDescent="0.25">
      <c r="A3602" t="s">
        <v>12540</v>
      </c>
      <c r="B3602">
        <v>15</v>
      </c>
      <c r="C3602" s="4">
        <v>246.04</v>
      </c>
      <c r="D3602">
        <v>1</v>
      </c>
    </row>
    <row r="3603" spans="1:4" x14ac:dyDescent="0.25">
      <c r="A3603" t="s">
        <v>12541</v>
      </c>
      <c r="B3603">
        <v>9</v>
      </c>
      <c r="C3603" s="4">
        <v>187.83</v>
      </c>
      <c r="D3603">
        <v>1</v>
      </c>
    </row>
    <row r="3604" spans="1:4" x14ac:dyDescent="0.25">
      <c r="A3604" t="s">
        <v>12542</v>
      </c>
      <c r="B3604">
        <v>94</v>
      </c>
      <c r="C3604" s="4">
        <v>1703.41</v>
      </c>
      <c r="D3604">
        <v>3</v>
      </c>
    </row>
    <row r="3605" spans="1:4" x14ac:dyDescent="0.25">
      <c r="A3605" t="s">
        <v>12543</v>
      </c>
      <c r="B3605">
        <v>292</v>
      </c>
      <c r="C3605" s="4">
        <v>1652.58</v>
      </c>
      <c r="D3605">
        <v>6</v>
      </c>
    </row>
    <row r="3606" spans="1:4" x14ac:dyDescent="0.25">
      <c r="A3606" t="s">
        <v>12544</v>
      </c>
      <c r="B3606">
        <v>45</v>
      </c>
      <c r="C3606" s="4">
        <v>153.91999999999999</v>
      </c>
      <c r="D3606">
        <v>1</v>
      </c>
    </row>
    <row r="3607" spans="1:4" x14ac:dyDescent="0.25">
      <c r="A3607" t="s">
        <v>12545</v>
      </c>
      <c r="B3607">
        <v>124</v>
      </c>
      <c r="C3607" s="4">
        <v>1064.1099999999999</v>
      </c>
      <c r="D3607">
        <v>7</v>
      </c>
    </row>
    <row r="3608" spans="1:4" x14ac:dyDescent="0.25">
      <c r="A3608" t="s">
        <v>12546</v>
      </c>
      <c r="B3608">
        <v>142</v>
      </c>
      <c r="C3608" s="4">
        <v>1419.73</v>
      </c>
      <c r="D3608">
        <v>7</v>
      </c>
    </row>
    <row r="3609" spans="1:4" x14ac:dyDescent="0.25">
      <c r="A3609" t="s">
        <v>12547</v>
      </c>
      <c r="B3609">
        <v>111</v>
      </c>
      <c r="C3609" s="4">
        <v>944.41</v>
      </c>
      <c r="D3609">
        <v>3</v>
      </c>
    </row>
    <row r="3610" spans="1:4" x14ac:dyDescent="0.25">
      <c r="A3610" t="s">
        <v>12548</v>
      </c>
      <c r="B3610">
        <v>102</v>
      </c>
      <c r="C3610" s="4">
        <v>525.24</v>
      </c>
      <c r="D3610">
        <v>2</v>
      </c>
    </row>
    <row r="3611" spans="1:4" x14ac:dyDescent="0.25">
      <c r="A3611" t="s">
        <v>12549</v>
      </c>
      <c r="B3611">
        <v>1</v>
      </c>
      <c r="C3611" s="4">
        <v>550.79999999999995</v>
      </c>
      <c r="D3611">
        <v>1</v>
      </c>
    </row>
    <row r="3612" spans="1:4" x14ac:dyDescent="0.25">
      <c r="A3612" t="s">
        <v>12550</v>
      </c>
      <c r="B3612">
        <v>135</v>
      </c>
      <c r="C3612" s="4">
        <v>1875.11</v>
      </c>
      <c r="D3612">
        <v>9</v>
      </c>
    </row>
    <row r="3613" spans="1:4" x14ac:dyDescent="0.25">
      <c r="A3613" t="s">
        <v>12551</v>
      </c>
      <c r="B3613">
        <v>69</v>
      </c>
      <c r="C3613" s="4">
        <v>556.95000000000005</v>
      </c>
      <c r="D3613">
        <v>3</v>
      </c>
    </row>
    <row r="3614" spans="1:4" x14ac:dyDescent="0.25">
      <c r="A3614" t="s">
        <v>12552</v>
      </c>
      <c r="B3614">
        <v>51</v>
      </c>
      <c r="C3614" s="4">
        <v>131.78</v>
      </c>
      <c r="D3614">
        <v>1</v>
      </c>
    </row>
    <row r="3615" spans="1:4" x14ac:dyDescent="0.25">
      <c r="A3615" t="s">
        <v>12553</v>
      </c>
      <c r="B3615">
        <v>30</v>
      </c>
      <c r="C3615" s="4">
        <v>498.42</v>
      </c>
      <c r="D3615">
        <v>2</v>
      </c>
    </row>
    <row r="3616" spans="1:4" x14ac:dyDescent="0.25">
      <c r="A3616" t="s">
        <v>12554</v>
      </c>
      <c r="B3616">
        <v>57</v>
      </c>
      <c r="C3616" s="4">
        <v>669.11</v>
      </c>
      <c r="D3616">
        <v>4</v>
      </c>
    </row>
    <row r="3617" spans="1:4" x14ac:dyDescent="0.25">
      <c r="A3617" t="s">
        <v>12555</v>
      </c>
      <c r="B3617">
        <v>66</v>
      </c>
      <c r="C3617" s="4">
        <v>197.63</v>
      </c>
      <c r="D3617">
        <v>1</v>
      </c>
    </row>
    <row r="3618" spans="1:4" x14ac:dyDescent="0.25">
      <c r="A3618" t="s">
        <v>12556</v>
      </c>
      <c r="B3618">
        <v>79</v>
      </c>
      <c r="C3618" s="4">
        <v>1135.6300000000001</v>
      </c>
      <c r="D3618">
        <v>5</v>
      </c>
    </row>
    <row r="3619" spans="1:4" x14ac:dyDescent="0.25">
      <c r="A3619" t="s">
        <v>12557</v>
      </c>
      <c r="B3619">
        <v>53</v>
      </c>
      <c r="C3619" s="4">
        <v>250.04</v>
      </c>
      <c r="D3619">
        <v>1</v>
      </c>
    </row>
    <row r="3620" spans="1:4" x14ac:dyDescent="0.25">
      <c r="A3620" t="s">
        <v>12558</v>
      </c>
      <c r="B3620">
        <v>66</v>
      </c>
      <c r="C3620" s="4">
        <v>8631.31</v>
      </c>
      <c r="D3620">
        <v>19</v>
      </c>
    </row>
    <row r="3621" spans="1:4" x14ac:dyDescent="0.25">
      <c r="A3621" t="s">
        <v>12559</v>
      </c>
      <c r="B3621">
        <v>12</v>
      </c>
      <c r="C3621" s="4">
        <v>82.75</v>
      </c>
      <c r="D3621">
        <v>1</v>
      </c>
    </row>
    <row r="3622" spans="1:4" x14ac:dyDescent="0.25">
      <c r="A3622" t="s">
        <v>12560</v>
      </c>
      <c r="B3622">
        <v>55</v>
      </c>
      <c r="C3622" s="4">
        <v>1384.85</v>
      </c>
      <c r="D3622">
        <v>2</v>
      </c>
    </row>
    <row r="3623" spans="1:4" x14ac:dyDescent="0.25">
      <c r="A3623" t="s">
        <v>12561</v>
      </c>
      <c r="B3623">
        <v>14</v>
      </c>
      <c r="C3623" s="4">
        <v>644.29999999999995</v>
      </c>
      <c r="D3623">
        <v>3</v>
      </c>
    </row>
    <row r="3624" spans="1:4" x14ac:dyDescent="0.25">
      <c r="A3624" t="s">
        <v>12562</v>
      </c>
      <c r="B3624">
        <v>24</v>
      </c>
      <c r="C3624" s="4">
        <v>2328.84</v>
      </c>
      <c r="D3624">
        <v>1</v>
      </c>
    </row>
    <row r="3625" spans="1:4" x14ac:dyDescent="0.25">
      <c r="A3625" t="s">
        <v>12563</v>
      </c>
      <c r="B3625">
        <v>131</v>
      </c>
      <c r="C3625" s="4">
        <v>2527.92</v>
      </c>
      <c r="D3625">
        <v>8</v>
      </c>
    </row>
    <row r="3626" spans="1:4" x14ac:dyDescent="0.25">
      <c r="A3626" t="s">
        <v>12564</v>
      </c>
      <c r="B3626">
        <v>470</v>
      </c>
      <c r="C3626" s="4">
        <v>6252.18</v>
      </c>
      <c r="D3626">
        <v>36</v>
      </c>
    </row>
    <row r="3627" spans="1:4" x14ac:dyDescent="0.25">
      <c r="A3627" t="s">
        <v>12565</v>
      </c>
      <c r="B3627">
        <v>9</v>
      </c>
      <c r="C3627" s="4">
        <v>2600.34</v>
      </c>
      <c r="D3627">
        <v>3</v>
      </c>
    </row>
    <row r="3628" spans="1:4" x14ac:dyDescent="0.25">
      <c r="A3628" t="s">
        <v>12566</v>
      </c>
      <c r="B3628">
        <v>73</v>
      </c>
      <c r="C3628" s="4">
        <v>1200.6199999999999</v>
      </c>
      <c r="D3628">
        <v>3</v>
      </c>
    </row>
    <row r="3629" spans="1:4" x14ac:dyDescent="0.25">
      <c r="A3629" t="s">
        <v>12567</v>
      </c>
      <c r="B3629">
        <v>107</v>
      </c>
      <c r="C3629" s="4">
        <v>700.86</v>
      </c>
      <c r="D3629">
        <v>2</v>
      </c>
    </row>
    <row r="3630" spans="1:4" x14ac:dyDescent="0.25">
      <c r="A3630" t="s">
        <v>12568</v>
      </c>
      <c r="B3630">
        <v>199</v>
      </c>
      <c r="C3630" s="4">
        <v>917.67</v>
      </c>
      <c r="D3630">
        <v>7</v>
      </c>
    </row>
    <row r="3631" spans="1:4" x14ac:dyDescent="0.25">
      <c r="A3631" t="s">
        <v>12569</v>
      </c>
      <c r="B3631">
        <v>50</v>
      </c>
      <c r="C3631" s="4">
        <v>990.23</v>
      </c>
      <c r="D3631">
        <v>4</v>
      </c>
    </row>
    <row r="3632" spans="1:4" x14ac:dyDescent="0.25">
      <c r="A3632" t="s">
        <v>12570</v>
      </c>
      <c r="B3632">
        <v>6</v>
      </c>
      <c r="C3632" s="4">
        <v>96.8</v>
      </c>
      <c r="D3632">
        <v>1</v>
      </c>
    </row>
    <row r="3633" spans="1:4" x14ac:dyDescent="0.25">
      <c r="A3633" t="s">
        <v>12571</v>
      </c>
      <c r="B3633">
        <v>33</v>
      </c>
      <c r="C3633" s="4">
        <v>523.11</v>
      </c>
      <c r="D3633">
        <v>2</v>
      </c>
    </row>
    <row r="3634" spans="1:4" x14ac:dyDescent="0.25">
      <c r="A3634" t="s">
        <v>12572</v>
      </c>
      <c r="B3634">
        <v>6</v>
      </c>
      <c r="C3634" s="4">
        <v>363.9</v>
      </c>
      <c r="D3634">
        <v>2</v>
      </c>
    </row>
    <row r="3635" spans="1:4" x14ac:dyDescent="0.25">
      <c r="A3635" t="s">
        <v>12573</v>
      </c>
      <c r="B3635">
        <v>1</v>
      </c>
      <c r="C3635" s="4">
        <v>175.2</v>
      </c>
      <c r="D3635">
        <v>1</v>
      </c>
    </row>
    <row r="3636" spans="1:4" x14ac:dyDescent="0.25">
      <c r="A3636" t="s">
        <v>12574</v>
      </c>
      <c r="B3636">
        <v>28</v>
      </c>
      <c r="C3636" s="4">
        <v>494.25</v>
      </c>
      <c r="D3636">
        <v>1</v>
      </c>
    </row>
    <row r="3637" spans="1:4" x14ac:dyDescent="0.25">
      <c r="A3637" t="s">
        <v>12575</v>
      </c>
      <c r="B3637">
        <v>11</v>
      </c>
      <c r="C3637" s="4">
        <v>307.02</v>
      </c>
      <c r="D3637">
        <v>2</v>
      </c>
    </row>
    <row r="3638" spans="1:4" x14ac:dyDescent="0.25">
      <c r="A3638" t="s">
        <v>12576</v>
      </c>
      <c r="B3638">
        <v>542</v>
      </c>
      <c r="C3638" s="4">
        <v>2026.42</v>
      </c>
      <c r="D3638">
        <v>4</v>
      </c>
    </row>
    <row r="3639" spans="1:4" x14ac:dyDescent="0.25">
      <c r="A3639" t="s">
        <v>12577</v>
      </c>
      <c r="B3639">
        <v>751</v>
      </c>
      <c r="C3639" s="4">
        <v>6635.14</v>
      </c>
      <c r="D3639">
        <v>8</v>
      </c>
    </row>
    <row r="3640" spans="1:4" x14ac:dyDescent="0.25">
      <c r="A3640" t="s">
        <v>12578</v>
      </c>
      <c r="B3640">
        <v>9</v>
      </c>
      <c r="C3640" s="4">
        <v>243.36</v>
      </c>
      <c r="D3640">
        <v>2</v>
      </c>
    </row>
    <row r="3641" spans="1:4" x14ac:dyDescent="0.25">
      <c r="A3641" t="s">
        <v>12579</v>
      </c>
      <c r="B3641">
        <v>407</v>
      </c>
      <c r="C3641" s="4">
        <v>12353.29</v>
      </c>
      <c r="D3641">
        <v>11</v>
      </c>
    </row>
    <row r="3642" spans="1:4" x14ac:dyDescent="0.25">
      <c r="A3642" t="s">
        <v>12580</v>
      </c>
      <c r="B3642">
        <v>183</v>
      </c>
      <c r="C3642" s="4">
        <v>781.36</v>
      </c>
      <c r="D3642">
        <v>3</v>
      </c>
    </row>
    <row r="3643" spans="1:4" x14ac:dyDescent="0.25">
      <c r="A3643" t="s">
        <v>12581</v>
      </c>
      <c r="B3643">
        <v>17</v>
      </c>
      <c r="C3643" s="4">
        <v>193.64</v>
      </c>
      <c r="D3643">
        <v>1</v>
      </c>
    </row>
    <row r="3644" spans="1:4" x14ac:dyDescent="0.25">
      <c r="A3644" t="s">
        <v>12582</v>
      </c>
      <c r="B3644">
        <v>32</v>
      </c>
      <c r="C3644" s="4">
        <v>160.57</v>
      </c>
      <c r="D3644">
        <v>1</v>
      </c>
    </row>
    <row r="3645" spans="1:4" x14ac:dyDescent="0.25">
      <c r="A3645" t="s">
        <v>12583</v>
      </c>
      <c r="B3645">
        <v>87</v>
      </c>
      <c r="C3645" s="4">
        <v>537.74</v>
      </c>
      <c r="D3645">
        <v>4</v>
      </c>
    </row>
    <row r="3646" spans="1:4" x14ac:dyDescent="0.25">
      <c r="A3646" t="s">
        <v>12584</v>
      </c>
      <c r="B3646">
        <v>500</v>
      </c>
      <c r="C3646" s="4">
        <v>2676.56</v>
      </c>
      <c r="D3646">
        <v>15</v>
      </c>
    </row>
    <row r="3647" spans="1:4" x14ac:dyDescent="0.25">
      <c r="A3647" t="s">
        <v>12585</v>
      </c>
      <c r="B3647">
        <v>1</v>
      </c>
      <c r="C3647" s="4">
        <v>228.96</v>
      </c>
      <c r="D3647">
        <v>1</v>
      </c>
    </row>
    <row r="3648" spans="1:4" x14ac:dyDescent="0.25">
      <c r="A3648" t="s">
        <v>12586</v>
      </c>
      <c r="B3648">
        <v>215</v>
      </c>
      <c r="C3648" s="4">
        <v>1159.52</v>
      </c>
      <c r="D3648">
        <v>5</v>
      </c>
    </row>
    <row r="3649" spans="1:4" x14ac:dyDescent="0.25">
      <c r="A3649" t="s">
        <v>12587</v>
      </c>
      <c r="B3649">
        <v>9</v>
      </c>
      <c r="C3649" s="4">
        <v>110.75</v>
      </c>
      <c r="D3649">
        <v>1</v>
      </c>
    </row>
    <row r="3650" spans="1:4" x14ac:dyDescent="0.25">
      <c r="A3650" t="s">
        <v>12588</v>
      </c>
      <c r="B3650">
        <v>71</v>
      </c>
      <c r="C3650" s="4">
        <v>1286.07</v>
      </c>
      <c r="D3650">
        <v>4</v>
      </c>
    </row>
    <row r="3651" spans="1:4" x14ac:dyDescent="0.25">
      <c r="A3651" t="s">
        <v>12589</v>
      </c>
      <c r="B3651">
        <v>27</v>
      </c>
      <c r="C3651" s="4">
        <v>587.15</v>
      </c>
      <c r="D3651">
        <v>3</v>
      </c>
    </row>
    <row r="3652" spans="1:4" x14ac:dyDescent="0.25">
      <c r="A3652" t="s">
        <v>12590</v>
      </c>
      <c r="B3652">
        <v>8</v>
      </c>
      <c r="C3652" s="4">
        <v>1740</v>
      </c>
      <c r="D3652">
        <v>2</v>
      </c>
    </row>
    <row r="3653" spans="1:4" x14ac:dyDescent="0.25">
      <c r="A3653" t="s">
        <v>12591</v>
      </c>
      <c r="B3653">
        <v>16</v>
      </c>
      <c r="C3653" s="4">
        <v>1393.06</v>
      </c>
      <c r="D3653">
        <v>1</v>
      </c>
    </row>
    <row r="3654" spans="1:4" x14ac:dyDescent="0.25">
      <c r="A3654" t="s">
        <v>12592</v>
      </c>
      <c r="B3654">
        <v>19</v>
      </c>
      <c r="C3654" s="4">
        <v>178.22</v>
      </c>
      <c r="D3654">
        <v>1</v>
      </c>
    </row>
    <row r="3655" spans="1:4" x14ac:dyDescent="0.25">
      <c r="A3655" t="s">
        <v>12593</v>
      </c>
      <c r="B3655">
        <v>45</v>
      </c>
      <c r="C3655" s="4">
        <v>388.14</v>
      </c>
      <c r="D3655">
        <v>2</v>
      </c>
    </row>
    <row r="3656" spans="1:4" x14ac:dyDescent="0.25">
      <c r="A3656" t="s">
        <v>12594</v>
      </c>
      <c r="B3656">
        <v>59</v>
      </c>
      <c r="C3656" s="4">
        <v>365.85</v>
      </c>
      <c r="D3656">
        <v>2</v>
      </c>
    </row>
    <row r="3657" spans="1:4" x14ac:dyDescent="0.25">
      <c r="A3657" t="s">
        <v>12595</v>
      </c>
      <c r="B3657">
        <v>15</v>
      </c>
      <c r="C3657" s="4">
        <v>127.86</v>
      </c>
      <c r="D3657">
        <v>1</v>
      </c>
    </row>
    <row r="3658" spans="1:4" x14ac:dyDescent="0.25">
      <c r="A3658" t="s">
        <v>12596</v>
      </c>
      <c r="B3658">
        <v>132</v>
      </c>
      <c r="C3658" s="4">
        <v>585.79</v>
      </c>
      <c r="D3658">
        <v>3</v>
      </c>
    </row>
    <row r="3659" spans="1:4" x14ac:dyDescent="0.25">
      <c r="A3659" t="s">
        <v>12597</v>
      </c>
      <c r="B3659">
        <v>29</v>
      </c>
      <c r="C3659" s="4">
        <v>488.2</v>
      </c>
      <c r="D3659">
        <v>3</v>
      </c>
    </row>
    <row r="3660" spans="1:4" x14ac:dyDescent="0.25">
      <c r="A3660" t="s">
        <v>12598</v>
      </c>
      <c r="B3660">
        <v>35</v>
      </c>
      <c r="C3660" s="4">
        <v>312.23</v>
      </c>
      <c r="D3660">
        <v>2</v>
      </c>
    </row>
    <row r="3661" spans="1:4" x14ac:dyDescent="0.25">
      <c r="A3661" t="s">
        <v>12599</v>
      </c>
      <c r="B3661">
        <v>411</v>
      </c>
      <c r="C3661" s="4">
        <v>4481.18</v>
      </c>
      <c r="D3661">
        <v>11</v>
      </c>
    </row>
    <row r="3662" spans="1:4" x14ac:dyDescent="0.25">
      <c r="A3662" t="s">
        <v>12600</v>
      </c>
      <c r="B3662">
        <v>467</v>
      </c>
      <c r="C3662" s="4">
        <v>4796.5200000000004</v>
      </c>
      <c r="D3662">
        <v>8</v>
      </c>
    </row>
    <row r="3663" spans="1:4" x14ac:dyDescent="0.25">
      <c r="A3663" t="s">
        <v>12601</v>
      </c>
      <c r="B3663">
        <v>34</v>
      </c>
      <c r="C3663" s="4">
        <v>168.4</v>
      </c>
      <c r="D3663">
        <v>1</v>
      </c>
    </row>
    <row r="3664" spans="1:4" x14ac:dyDescent="0.25">
      <c r="A3664" t="s">
        <v>12602</v>
      </c>
      <c r="B3664">
        <v>111</v>
      </c>
      <c r="C3664" s="4">
        <v>1912.67</v>
      </c>
      <c r="D3664">
        <v>8</v>
      </c>
    </row>
    <row r="3665" spans="1:4" x14ac:dyDescent="0.25">
      <c r="A3665" t="s">
        <v>12603</v>
      </c>
      <c r="B3665">
        <v>33</v>
      </c>
      <c r="C3665" s="4">
        <v>446.18</v>
      </c>
      <c r="D3665">
        <v>4</v>
      </c>
    </row>
    <row r="3666" spans="1:4" x14ac:dyDescent="0.25">
      <c r="A3666" t="s">
        <v>12604</v>
      </c>
      <c r="B3666">
        <v>87</v>
      </c>
      <c r="C3666" s="4">
        <v>423.89</v>
      </c>
      <c r="D3666">
        <v>3</v>
      </c>
    </row>
    <row r="3667" spans="1:4" x14ac:dyDescent="0.25">
      <c r="A3667" t="s">
        <v>12605</v>
      </c>
      <c r="B3667">
        <v>253</v>
      </c>
      <c r="C3667" s="4">
        <v>1342.68</v>
      </c>
      <c r="D3667">
        <v>8</v>
      </c>
    </row>
    <row r="3668" spans="1:4" x14ac:dyDescent="0.25">
      <c r="A3668" t="s">
        <v>12606</v>
      </c>
      <c r="B3668">
        <v>57</v>
      </c>
      <c r="C3668" s="4">
        <v>646.91999999999996</v>
      </c>
      <c r="D3668">
        <v>4</v>
      </c>
    </row>
    <row r="3669" spans="1:4" x14ac:dyDescent="0.25">
      <c r="A3669" t="s">
        <v>12607</v>
      </c>
      <c r="B3669">
        <v>28</v>
      </c>
      <c r="C3669" s="4">
        <v>495.77</v>
      </c>
      <c r="D3669">
        <v>2</v>
      </c>
    </row>
    <row r="3670" spans="1:4" x14ac:dyDescent="0.25">
      <c r="A3670" t="s">
        <v>12608</v>
      </c>
      <c r="B3670">
        <v>69</v>
      </c>
      <c r="C3670" s="4">
        <v>400.1</v>
      </c>
      <c r="D3670">
        <v>3</v>
      </c>
    </row>
    <row r="3671" spans="1:4" x14ac:dyDescent="0.25">
      <c r="A3671" t="s">
        <v>12609</v>
      </c>
      <c r="B3671">
        <v>24</v>
      </c>
      <c r="C3671" s="4">
        <v>203.2</v>
      </c>
      <c r="D3671">
        <v>2</v>
      </c>
    </row>
    <row r="3672" spans="1:4" x14ac:dyDescent="0.25">
      <c r="A3672" t="s">
        <v>12610</v>
      </c>
      <c r="B3672">
        <v>418</v>
      </c>
      <c r="C3672" s="4">
        <v>4100.92</v>
      </c>
      <c r="D3672">
        <v>20</v>
      </c>
    </row>
    <row r="3673" spans="1:4" x14ac:dyDescent="0.25">
      <c r="A3673" t="s">
        <v>12611</v>
      </c>
      <c r="B3673">
        <v>83</v>
      </c>
      <c r="C3673" s="4">
        <v>404.66</v>
      </c>
      <c r="D3673">
        <v>1</v>
      </c>
    </row>
    <row r="3674" spans="1:4" x14ac:dyDescent="0.25">
      <c r="A3674" t="s">
        <v>12612</v>
      </c>
      <c r="B3674">
        <v>109</v>
      </c>
      <c r="C3674" s="4">
        <v>20275.61</v>
      </c>
      <c r="D3674">
        <v>29</v>
      </c>
    </row>
    <row r="3675" spans="1:4" x14ac:dyDescent="0.25">
      <c r="A3675" t="s">
        <v>12613</v>
      </c>
      <c r="B3675">
        <v>2</v>
      </c>
      <c r="C3675" s="4">
        <v>65.400000000000006</v>
      </c>
      <c r="D3675">
        <v>1</v>
      </c>
    </row>
    <row r="3676" spans="1:4" x14ac:dyDescent="0.25">
      <c r="A3676" t="s">
        <v>12614</v>
      </c>
      <c r="B3676">
        <v>51</v>
      </c>
      <c r="C3676" s="4">
        <v>199.29</v>
      </c>
      <c r="D3676">
        <v>1</v>
      </c>
    </row>
    <row r="3677" spans="1:4" x14ac:dyDescent="0.25">
      <c r="A3677" t="s">
        <v>12615</v>
      </c>
      <c r="B3677">
        <v>15</v>
      </c>
      <c r="C3677" s="4">
        <v>336.4</v>
      </c>
      <c r="D3677">
        <v>2</v>
      </c>
    </row>
    <row r="3678" spans="1:4" x14ac:dyDescent="0.25">
      <c r="A3678" t="s">
        <v>12616</v>
      </c>
      <c r="B3678">
        <v>47</v>
      </c>
      <c r="C3678" s="4">
        <v>261.11</v>
      </c>
      <c r="D3678">
        <v>1</v>
      </c>
    </row>
    <row r="3679" spans="1:4" x14ac:dyDescent="0.25">
      <c r="A3679" t="s">
        <v>12617</v>
      </c>
      <c r="B3679">
        <v>28</v>
      </c>
      <c r="C3679" s="4">
        <v>2686.42</v>
      </c>
      <c r="D3679">
        <v>6</v>
      </c>
    </row>
    <row r="3680" spans="1:4" x14ac:dyDescent="0.25">
      <c r="A3680" t="s">
        <v>12618</v>
      </c>
      <c r="B3680">
        <v>78</v>
      </c>
      <c r="C3680" s="4">
        <v>784.11</v>
      </c>
      <c r="D3680">
        <v>2</v>
      </c>
    </row>
    <row r="3681" spans="1:4" x14ac:dyDescent="0.25">
      <c r="A3681" t="s">
        <v>12619</v>
      </c>
      <c r="B3681">
        <v>15</v>
      </c>
      <c r="C3681" s="4">
        <v>1259.56</v>
      </c>
      <c r="D3681">
        <v>4</v>
      </c>
    </row>
    <row r="3682" spans="1:4" x14ac:dyDescent="0.25">
      <c r="A3682" t="s">
        <v>12620</v>
      </c>
      <c r="B3682">
        <v>213</v>
      </c>
      <c r="C3682" s="4">
        <v>31833.68</v>
      </c>
      <c r="D3682">
        <v>34</v>
      </c>
    </row>
    <row r="3683" spans="1:4" x14ac:dyDescent="0.25">
      <c r="A3683" t="s">
        <v>12621</v>
      </c>
      <c r="B3683">
        <v>3</v>
      </c>
      <c r="C3683" s="4">
        <v>508.8</v>
      </c>
      <c r="D3683">
        <v>2</v>
      </c>
    </row>
    <row r="3684" spans="1:4" x14ac:dyDescent="0.25">
      <c r="A3684" t="s">
        <v>12622</v>
      </c>
      <c r="B3684">
        <v>61</v>
      </c>
      <c r="C3684" s="4">
        <v>451.91</v>
      </c>
      <c r="D3684">
        <v>2</v>
      </c>
    </row>
    <row r="3685" spans="1:4" x14ac:dyDescent="0.25">
      <c r="A3685" t="s">
        <v>12623</v>
      </c>
      <c r="B3685">
        <v>4</v>
      </c>
      <c r="C3685" s="4">
        <v>203.87</v>
      </c>
      <c r="D3685">
        <v>1</v>
      </c>
    </row>
    <row r="3686" spans="1:4" x14ac:dyDescent="0.25">
      <c r="A3686" t="s">
        <v>12624</v>
      </c>
      <c r="B3686">
        <v>26</v>
      </c>
      <c r="C3686" s="4">
        <v>7312.8</v>
      </c>
      <c r="D3686">
        <v>7</v>
      </c>
    </row>
    <row r="3687" spans="1:4" x14ac:dyDescent="0.25">
      <c r="A3687" t="s">
        <v>12625</v>
      </c>
      <c r="B3687">
        <v>92</v>
      </c>
      <c r="C3687" s="4">
        <v>696.41</v>
      </c>
      <c r="D3687">
        <v>2</v>
      </c>
    </row>
    <row r="3688" spans="1:4" x14ac:dyDescent="0.25">
      <c r="A3688" t="s">
        <v>12626</v>
      </c>
      <c r="B3688">
        <v>38</v>
      </c>
      <c r="C3688" s="4">
        <v>653.38</v>
      </c>
      <c r="D3688">
        <v>3</v>
      </c>
    </row>
    <row r="3689" spans="1:4" x14ac:dyDescent="0.25">
      <c r="A3689" t="s">
        <v>12627</v>
      </c>
      <c r="B3689">
        <v>213</v>
      </c>
      <c r="C3689" s="4">
        <v>2129.96</v>
      </c>
      <c r="D3689">
        <v>5</v>
      </c>
    </row>
    <row r="3690" spans="1:4" x14ac:dyDescent="0.25">
      <c r="A3690" t="s">
        <v>12628</v>
      </c>
      <c r="B3690">
        <v>58</v>
      </c>
      <c r="C3690" s="4">
        <v>2598.85</v>
      </c>
      <c r="D3690">
        <v>12</v>
      </c>
    </row>
    <row r="3691" spans="1:4" x14ac:dyDescent="0.25">
      <c r="A3691" t="s">
        <v>12629</v>
      </c>
      <c r="B3691">
        <v>33</v>
      </c>
      <c r="C3691" s="4">
        <v>281.62</v>
      </c>
      <c r="D3691">
        <v>1</v>
      </c>
    </row>
    <row r="3692" spans="1:4" x14ac:dyDescent="0.25">
      <c r="A3692" t="s">
        <v>12630</v>
      </c>
      <c r="B3692">
        <v>195</v>
      </c>
      <c r="C3692" s="4">
        <v>31781.82</v>
      </c>
      <c r="D3692">
        <v>13</v>
      </c>
    </row>
    <row r="3693" spans="1:4" x14ac:dyDescent="0.25">
      <c r="A3693" t="s">
        <v>12631</v>
      </c>
      <c r="B3693">
        <v>82</v>
      </c>
      <c r="C3693" s="4">
        <v>1031.4100000000001</v>
      </c>
      <c r="D3693">
        <v>3</v>
      </c>
    </row>
    <row r="3694" spans="1:4" x14ac:dyDescent="0.25">
      <c r="A3694" t="s">
        <v>12632</v>
      </c>
      <c r="B3694">
        <v>113</v>
      </c>
      <c r="C3694" s="4">
        <v>2200.42</v>
      </c>
      <c r="D3694">
        <v>3</v>
      </c>
    </row>
    <row r="3695" spans="1:4" x14ac:dyDescent="0.25">
      <c r="A3695" t="s">
        <v>12633</v>
      </c>
      <c r="B3695">
        <v>2</v>
      </c>
      <c r="C3695" s="4">
        <v>32.65</v>
      </c>
      <c r="D3695">
        <v>1</v>
      </c>
    </row>
    <row r="3696" spans="1:4" x14ac:dyDescent="0.25">
      <c r="A3696" t="s">
        <v>12634</v>
      </c>
      <c r="B3696">
        <v>13</v>
      </c>
      <c r="C3696" s="4">
        <v>771.85</v>
      </c>
      <c r="D3696">
        <v>2</v>
      </c>
    </row>
    <row r="3697" spans="1:4" x14ac:dyDescent="0.25">
      <c r="A3697" t="s">
        <v>12635</v>
      </c>
      <c r="B3697">
        <v>64</v>
      </c>
      <c r="C3697" s="4">
        <v>1214.72</v>
      </c>
      <c r="D3697">
        <v>5</v>
      </c>
    </row>
    <row r="3698" spans="1:4" x14ac:dyDescent="0.25">
      <c r="A3698" t="s">
        <v>12636</v>
      </c>
      <c r="B3698">
        <v>41</v>
      </c>
      <c r="C3698" s="4">
        <v>778.94</v>
      </c>
      <c r="D3698">
        <v>3</v>
      </c>
    </row>
    <row r="3699" spans="1:4" x14ac:dyDescent="0.25">
      <c r="A3699" t="s">
        <v>12637</v>
      </c>
      <c r="B3699">
        <v>66</v>
      </c>
      <c r="C3699" s="4">
        <v>1258.06</v>
      </c>
      <c r="D3699">
        <v>7</v>
      </c>
    </row>
    <row r="3700" spans="1:4" x14ac:dyDescent="0.25">
      <c r="A3700" t="s">
        <v>12638</v>
      </c>
      <c r="B3700">
        <v>6</v>
      </c>
      <c r="C3700" s="4">
        <v>778</v>
      </c>
      <c r="D3700">
        <v>2</v>
      </c>
    </row>
    <row r="3701" spans="1:4" x14ac:dyDescent="0.25">
      <c r="A3701" t="s">
        <v>12639</v>
      </c>
      <c r="B3701">
        <v>14</v>
      </c>
      <c r="C3701" s="4">
        <v>507.84</v>
      </c>
      <c r="D3701">
        <v>1</v>
      </c>
    </row>
    <row r="3702" spans="1:4" x14ac:dyDescent="0.25">
      <c r="A3702" t="s">
        <v>12640</v>
      </c>
      <c r="B3702">
        <v>269</v>
      </c>
      <c r="C3702" s="4">
        <v>6893.42</v>
      </c>
      <c r="D3702">
        <v>7</v>
      </c>
    </row>
    <row r="3703" spans="1:4" x14ac:dyDescent="0.25">
      <c r="A3703" t="s">
        <v>12641</v>
      </c>
      <c r="B3703">
        <v>30</v>
      </c>
      <c r="C3703" s="4">
        <v>463.46</v>
      </c>
      <c r="D3703">
        <v>2</v>
      </c>
    </row>
    <row r="3704" spans="1:4" x14ac:dyDescent="0.25">
      <c r="A3704" t="s">
        <v>12642</v>
      </c>
      <c r="B3704">
        <v>206</v>
      </c>
      <c r="C3704" s="4">
        <v>4226.57</v>
      </c>
      <c r="D3704">
        <v>12</v>
      </c>
    </row>
    <row r="3705" spans="1:4" x14ac:dyDescent="0.25">
      <c r="A3705" t="s">
        <v>12643</v>
      </c>
      <c r="B3705">
        <v>30</v>
      </c>
      <c r="C3705" s="4">
        <v>598.83000000000004</v>
      </c>
      <c r="D3705">
        <v>3</v>
      </c>
    </row>
    <row r="3706" spans="1:4" x14ac:dyDescent="0.25">
      <c r="A3706" t="s">
        <v>12644</v>
      </c>
      <c r="B3706">
        <v>117</v>
      </c>
      <c r="C3706" s="4">
        <v>1979.37</v>
      </c>
      <c r="D3706">
        <v>6</v>
      </c>
    </row>
    <row r="3707" spans="1:4" x14ac:dyDescent="0.25">
      <c r="A3707" t="s">
        <v>12645</v>
      </c>
      <c r="B3707">
        <v>26</v>
      </c>
      <c r="C3707" s="4">
        <v>698.41</v>
      </c>
      <c r="D3707">
        <v>2</v>
      </c>
    </row>
    <row r="3708" spans="1:4" x14ac:dyDescent="0.25">
      <c r="A3708" t="s">
        <v>12646</v>
      </c>
      <c r="B3708">
        <v>43</v>
      </c>
      <c r="C3708" s="4">
        <v>759.17</v>
      </c>
      <c r="D3708">
        <v>2</v>
      </c>
    </row>
    <row r="3709" spans="1:4" x14ac:dyDescent="0.25">
      <c r="A3709" t="s">
        <v>12647</v>
      </c>
      <c r="B3709">
        <v>271</v>
      </c>
      <c r="C3709" s="4">
        <v>5037.26</v>
      </c>
      <c r="D3709">
        <v>6</v>
      </c>
    </row>
    <row r="3710" spans="1:4" x14ac:dyDescent="0.25">
      <c r="A3710" t="s">
        <v>12648</v>
      </c>
      <c r="B3710">
        <v>2</v>
      </c>
      <c r="C3710" s="4">
        <v>100.8</v>
      </c>
      <c r="D3710">
        <v>1</v>
      </c>
    </row>
    <row r="3711" spans="1:4" x14ac:dyDescent="0.25">
      <c r="A3711" t="s">
        <v>12649</v>
      </c>
      <c r="B3711">
        <v>328</v>
      </c>
      <c r="C3711" s="4">
        <v>17256.849999999999</v>
      </c>
      <c r="D3711">
        <v>28</v>
      </c>
    </row>
    <row r="3712" spans="1:4" x14ac:dyDescent="0.25">
      <c r="A3712" t="s">
        <v>12650</v>
      </c>
      <c r="B3712">
        <v>39</v>
      </c>
      <c r="C3712" s="4">
        <v>524.91999999999996</v>
      </c>
      <c r="D3712">
        <v>3</v>
      </c>
    </row>
    <row r="3713" spans="1:4" x14ac:dyDescent="0.25">
      <c r="A3713" t="s">
        <v>12651</v>
      </c>
      <c r="B3713">
        <v>14</v>
      </c>
      <c r="C3713" s="4">
        <v>265.76</v>
      </c>
      <c r="D3713">
        <v>2</v>
      </c>
    </row>
    <row r="3714" spans="1:4" x14ac:dyDescent="0.25">
      <c r="A3714" t="s">
        <v>12652</v>
      </c>
      <c r="B3714">
        <v>43</v>
      </c>
      <c r="C3714" s="4">
        <v>403.3</v>
      </c>
      <c r="D3714">
        <v>1</v>
      </c>
    </row>
    <row r="3715" spans="1:4" x14ac:dyDescent="0.25">
      <c r="A3715" t="s">
        <v>12653</v>
      </c>
      <c r="B3715">
        <v>48</v>
      </c>
      <c r="C3715" s="4">
        <v>365.76</v>
      </c>
      <c r="D3715">
        <v>2</v>
      </c>
    </row>
    <row r="3716" spans="1:4" x14ac:dyDescent="0.25">
      <c r="A3716" t="s">
        <v>12654</v>
      </c>
      <c r="B3716">
        <v>54</v>
      </c>
      <c r="C3716" s="4">
        <v>303.16000000000003</v>
      </c>
      <c r="D3716">
        <v>1</v>
      </c>
    </row>
    <row r="3717" spans="1:4" x14ac:dyDescent="0.25">
      <c r="A3717" t="s">
        <v>12655</v>
      </c>
      <c r="B3717">
        <v>134</v>
      </c>
      <c r="C3717" s="4">
        <v>2373.8200000000002</v>
      </c>
      <c r="D3717">
        <v>7</v>
      </c>
    </row>
    <row r="3718" spans="1:4" x14ac:dyDescent="0.25">
      <c r="A3718" t="s">
        <v>12656</v>
      </c>
      <c r="B3718">
        <v>9</v>
      </c>
      <c r="C3718" s="4">
        <v>216.3</v>
      </c>
      <c r="D3718">
        <v>2</v>
      </c>
    </row>
    <row r="3719" spans="1:4" x14ac:dyDescent="0.25">
      <c r="A3719" t="s">
        <v>12657</v>
      </c>
      <c r="B3719">
        <v>17</v>
      </c>
      <c r="C3719" s="4">
        <v>388.45</v>
      </c>
      <c r="D3719">
        <v>1</v>
      </c>
    </row>
    <row r="3720" spans="1:4" x14ac:dyDescent="0.25">
      <c r="A3720" t="s">
        <v>12658</v>
      </c>
      <c r="B3720">
        <v>5</v>
      </c>
      <c r="C3720" s="4">
        <v>186.42</v>
      </c>
      <c r="D3720">
        <v>3</v>
      </c>
    </row>
    <row r="3721" spans="1:4" x14ac:dyDescent="0.25">
      <c r="A3721" t="s">
        <v>12659</v>
      </c>
      <c r="B3721">
        <v>135</v>
      </c>
      <c r="C3721" s="4">
        <v>2248.56</v>
      </c>
      <c r="D3721">
        <v>6</v>
      </c>
    </row>
    <row r="3722" spans="1:4" x14ac:dyDescent="0.25">
      <c r="A3722" t="s">
        <v>12660</v>
      </c>
      <c r="B3722">
        <v>1</v>
      </c>
      <c r="C3722" s="4">
        <v>534.24</v>
      </c>
      <c r="D3722">
        <v>1</v>
      </c>
    </row>
    <row r="3723" spans="1:4" x14ac:dyDescent="0.25">
      <c r="A3723" t="s">
        <v>12661</v>
      </c>
      <c r="B3723">
        <v>134</v>
      </c>
      <c r="C3723" s="4">
        <v>2389.1</v>
      </c>
      <c r="D3723">
        <v>2</v>
      </c>
    </row>
    <row r="3724" spans="1:4" x14ac:dyDescent="0.25">
      <c r="A3724" t="s">
        <v>12662</v>
      </c>
      <c r="B3724">
        <v>9</v>
      </c>
      <c r="C3724" s="4">
        <v>120.9</v>
      </c>
      <c r="D3724">
        <v>2</v>
      </c>
    </row>
    <row r="3725" spans="1:4" x14ac:dyDescent="0.25">
      <c r="A3725" t="s">
        <v>12663</v>
      </c>
      <c r="B3725">
        <v>36</v>
      </c>
      <c r="C3725" s="4">
        <v>541.53</v>
      </c>
      <c r="D3725">
        <v>2</v>
      </c>
    </row>
    <row r="3726" spans="1:4" x14ac:dyDescent="0.25">
      <c r="A3726" t="s">
        <v>12664</v>
      </c>
      <c r="B3726">
        <v>276</v>
      </c>
      <c r="C3726" s="4">
        <v>2517.86</v>
      </c>
      <c r="D3726">
        <v>7</v>
      </c>
    </row>
    <row r="3727" spans="1:4" x14ac:dyDescent="0.25">
      <c r="A3727" t="s">
        <v>12665</v>
      </c>
      <c r="B3727">
        <v>337</v>
      </c>
      <c r="C3727" s="4">
        <v>194550.79</v>
      </c>
      <c r="D3727">
        <v>46</v>
      </c>
    </row>
    <row r="3728" spans="1:4" x14ac:dyDescent="0.25">
      <c r="A3728" t="s">
        <v>12666</v>
      </c>
      <c r="B3728">
        <v>100</v>
      </c>
      <c r="C3728" s="4">
        <v>1721.4</v>
      </c>
      <c r="D3728">
        <v>7</v>
      </c>
    </row>
    <row r="3729" spans="1:4" x14ac:dyDescent="0.25">
      <c r="A3729" t="s">
        <v>12667</v>
      </c>
      <c r="B3729">
        <v>19</v>
      </c>
      <c r="C3729" s="4">
        <v>486.72</v>
      </c>
      <c r="D3729">
        <v>2</v>
      </c>
    </row>
    <row r="3730" spans="1:4" x14ac:dyDescent="0.25">
      <c r="A3730" t="s">
        <v>12668</v>
      </c>
      <c r="B3730">
        <v>61</v>
      </c>
      <c r="C3730" s="4">
        <v>517.53</v>
      </c>
      <c r="D3730">
        <v>4</v>
      </c>
    </row>
    <row r="3731" spans="1:4" x14ac:dyDescent="0.25">
      <c r="A3731" t="s">
        <v>12669</v>
      </c>
      <c r="B3731">
        <v>8</v>
      </c>
      <c r="C3731" s="4">
        <v>131.69999999999999</v>
      </c>
      <c r="D3731">
        <v>1</v>
      </c>
    </row>
    <row r="3732" spans="1:4" x14ac:dyDescent="0.25">
      <c r="A3732" t="s">
        <v>12670</v>
      </c>
      <c r="B3732">
        <v>17</v>
      </c>
      <c r="C3732" s="4">
        <v>249.86</v>
      </c>
      <c r="D3732">
        <v>1</v>
      </c>
    </row>
    <row r="3733" spans="1:4" x14ac:dyDescent="0.25">
      <c r="A3733" t="s">
        <v>12671</v>
      </c>
      <c r="B3733">
        <v>19</v>
      </c>
      <c r="C3733" s="4">
        <v>1737.7</v>
      </c>
      <c r="D3733">
        <v>5</v>
      </c>
    </row>
    <row r="3734" spans="1:4" x14ac:dyDescent="0.25">
      <c r="A3734" t="s">
        <v>12672</v>
      </c>
      <c r="B3734">
        <v>54</v>
      </c>
      <c r="C3734" s="4">
        <v>316.5</v>
      </c>
      <c r="D3734">
        <v>1</v>
      </c>
    </row>
    <row r="3735" spans="1:4" x14ac:dyDescent="0.25">
      <c r="A3735" t="s">
        <v>12673</v>
      </c>
      <c r="B3735">
        <v>111</v>
      </c>
      <c r="C3735" s="4">
        <v>657.3</v>
      </c>
      <c r="D3735">
        <v>2</v>
      </c>
    </row>
    <row r="3736" spans="1:4" x14ac:dyDescent="0.25">
      <c r="A3736" t="s">
        <v>12674</v>
      </c>
      <c r="B3736">
        <v>29</v>
      </c>
      <c r="C3736" s="4">
        <v>622.42999999999995</v>
      </c>
      <c r="D3736">
        <v>6</v>
      </c>
    </row>
    <row r="3737" spans="1:4" x14ac:dyDescent="0.25">
      <c r="A3737" t="s">
        <v>12675</v>
      </c>
      <c r="B3737">
        <v>111</v>
      </c>
      <c r="C3737" s="4">
        <v>757.46</v>
      </c>
      <c r="D3737">
        <v>3</v>
      </c>
    </row>
    <row r="3738" spans="1:4" x14ac:dyDescent="0.25">
      <c r="A3738" t="s">
        <v>12676</v>
      </c>
      <c r="B3738">
        <v>27</v>
      </c>
      <c r="C3738" s="4">
        <v>675.69</v>
      </c>
      <c r="D3738">
        <v>2</v>
      </c>
    </row>
    <row r="3739" spans="1:4" x14ac:dyDescent="0.25">
      <c r="A3739" t="s">
        <v>12677</v>
      </c>
      <c r="B3739">
        <v>215</v>
      </c>
      <c r="C3739" s="4">
        <v>1896.41</v>
      </c>
      <c r="D3739">
        <v>5</v>
      </c>
    </row>
    <row r="3740" spans="1:4" x14ac:dyDescent="0.25">
      <c r="A3740" t="s">
        <v>12678</v>
      </c>
      <c r="B3740">
        <v>9</v>
      </c>
      <c r="C3740" s="4">
        <v>289.95999999999998</v>
      </c>
      <c r="D3740">
        <v>1</v>
      </c>
    </row>
    <row r="3741" spans="1:4" x14ac:dyDescent="0.25">
      <c r="A3741" t="s">
        <v>12679</v>
      </c>
      <c r="B3741">
        <v>41</v>
      </c>
      <c r="C3741" s="4">
        <v>763.28</v>
      </c>
      <c r="D3741">
        <v>2</v>
      </c>
    </row>
    <row r="3742" spans="1:4" x14ac:dyDescent="0.25">
      <c r="A3742" t="s">
        <v>12680</v>
      </c>
      <c r="B3742">
        <v>5</v>
      </c>
      <c r="C3742" s="4">
        <v>137</v>
      </c>
      <c r="D3742">
        <v>2</v>
      </c>
    </row>
    <row r="3743" spans="1:4" x14ac:dyDescent="0.25">
      <c r="A3743" t="s">
        <v>12681</v>
      </c>
      <c r="B3743">
        <v>88</v>
      </c>
      <c r="C3743" s="4">
        <v>1870.97</v>
      </c>
      <c r="D3743">
        <v>5</v>
      </c>
    </row>
    <row r="3744" spans="1:4" x14ac:dyDescent="0.25">
      <c r="A3744" t="s">
        <v>12682</v>
      </c>
      <c r="B3744">
        <v>78</v>
      </c>
      <c r="C3744" s="4">
        <v>1125.07</v>
      </c>
      <c r="D3744">
        <v>5</v>
      </c>
    </row>
    <row r="3745" spans="1:4" x14ac:dyDescent="0.25">
      <c r="A3745" t="s">
        <v>12683</v>
      </c>
      <c r="B3745">
        <v>181</v>
      </c>
      <c r="C3745" s="4">
        <v>710.29</v>
      </c>
      <c r="D3745">
        <v>3</v>
      </c>
    </row>
    <row r="3746" spans="1:4" x14ac:dyDescent="0.25">
      <c r="A3746" t="s">
        <v>12684</v>
      </c>
      <c r="B3746">
        <v>14</v>
      </c>
      <c r="C3746" s="4">
        <v>194.37</v>
      </c>
      <c r="D3746">
        <v>1</v>
      </c>
    </row>
    <row r="3747" spans="1:4" x14ac:dyDescent="0.25">
      <c r="A3747" t="s">
        <v>12685</v>
      </c>
      <c r="B3747">
        <v>29</v>
      </c>
      <c r="C3747" s="4">
        <v>511.82</v>
      </c>
      <c r="D3747">
        <v>1</v>
      </c>
    </row>
    <row r="3748" spans="1:4" x14ac:dyDescent="0.25">
      <c r="A3748" t="s">
        <v>12686</v>
      </c>
      <c r="B3748">
        <v>82</v>
      </c>
      <c r="C3748" s="4">
        <v>1255.5899999999999</v>
      </c>
      <c r="D3748">
        <v>4</v>
      </c>
    </row>
    <row r="3749" spans="1:4" x14ac:dyDescent="0.25">
      <c r="A3749" t="s">
        <v>12687</v>
      </c>
      <c r="B3749">
        <v>21</v>
      </c>
      <c r="C3749" s="4">
        <v>414.04</v>
      </c>
      <c r="D3749">
        <v>3</v>
      </c>
    </row>
    <row r="3750" spans="1:4" x14ac:dyDescent="0.25">
      <c r="A3750" t="s">
        <v>12688</v>
      </c>
      <c r="B3750">
        <v>24</v>
      </c>
      <c r="C3750" s="4">
        <v>396.87</v>
      </c>
      <c r="D3750">
        <v>1</v>
      </c>
    </row>
    <row r="3751" spans="1:4" x14ac:dyDescent="0.25">
      <c r="A3751" t="s">
        <v>12689</v>
      </c>
      <c r="B3751">
        <v>29</v>
      </c>
      <c r="C3751" s="4">
        <v>376.64</v>
      </c>
      <c r="D3751">
        <v>2</v>
      </c>
    </row>
    <row r="3752" spans="1:4" x14ac:dyDescent="0.25">
      <c r="A3752" t="s">
        <v>12690</v>
      </c>
      <c r="B3752">
        <v>76</v>
      </c>
      <c r="C3752" s="4">
        <v>2092.3200000000002</v>
      </c>
      <c r="D3752">
        <v>7</v>
      </c>
    </row>
    <row r="3753" spans="1:4" x14ac:dyDescent="0.25">
      <c r="A3753" t="s">
        <v>12691</v>
      </c>
      <c r="B3753">
        <v>109</v>
      </c>
      <c r="C3753" s="4">
        <v>3558.87</v>
      </c>
      <c r="D3753">
        <v>10</v>
      </c>
    </row>
    <row r="3754" spans="1:4" x14ac:dyDescent="0.25">
      <c r="A3754" t="s">
        <v>12692</v>
      </c>
      <c r="B3754">
        <v>12</v>
      </c>
      <c r="C3754" s="4">
        <v>374.57</v>
      </c>
      <c r="D3754">
        <v>1</v>
      </c>
    </row>
    <row r="3755" spans="1:4" x14ac:dyDescent="0.25">
      <c r="A3755" t="s">
        <v>12693</v>
      </c>
      <c r="B3755">
        <v>27</v>
      </c>
      <c r="C3755" s="4">
        <v>497.56</v>
      </c>
      <c r="D3755">
        <v>2</v>
      </c>
    </row>
    <row r="3756" spans="1:4" x14ac:dyDescent="0.25">
      <c r="A3756" t="s">
        <v>12694</v>
      </c>
      <c r="B3756">
        <v>10</v>
      </c>
      <c r="C3756" s="4">
        <v>271.05</v>
      </c>
      <c r="D3756">
        <v>1</v>
      </c>
    </row>
    <row r="3757" spans="1:4" x14ac:dyDescent="0.25">
      <c r="A3757" t="s">
        <v>12695</v>
      </c>
      <c r="B3757">
        <v>17</v>
      </c>
      <c r="C3757" s="4">
        <v>272.22000000000003</v>
      </c>
      <c r="D3757">
        <v>1</v>
      </c>
    </row>
    <row r="3758" spans="1:4" x14ac:dyDescent="0.25">
      <c r="A3758" t="s">
        <v>12696</v>
      </c>
      <c r="B3758">
        <v>40</v>
      </c>
      <c r="C3758" s="4">
        <v>622.88</v>
      </c>
      <c r="D3758">
        <v>1</v>
      </c>
    </row>
    <row r="3759" spans="1:4" x14ac:dyDescent="0.25">
      <c r="A3759" t="s">
        <v>12697</v>
      </c>
      <c r="B3759">
        <v>5</v>
      </c>
      <c r="C3759" s="4">
        <v>1138</v>
      </c>
      <c r="D3759">
        <v>3</v>
      </c>
    </row>
    <row r="3760" spans="1:4" x14ac:dyDescent="0.25">
      <c r="A3760" t="s">
        <v>12698</v>
      </c>
      <c r="B3760">
        <v>18</v>
      </c>
      <c r="C3760" s="4">
        <v>288.60000000000002</v>
      </c>
      <c r="D3760">
        <v>2</v>
      </c>
    </row>
    <row r="3761" spans="1:4" x14ac:dyDescent="0.25">
      <c r="A3761" t="s">
        <v>12699</v>
      </c>
      <c r="B3761">
        <v>28</v>
      </c>
      <c r="C3761" s="4">
        <v>689.1</v>
      </c>
      <c r="D3761">
        <v>4</v>
      </c>
    </row>
    <row r="3762" spans="1:4" x14ac:dyDescent="0.25">
      <c r="A3762" t="s">
        <v>12700</v>
      </c>
      <c r="B3762">
        <v>38</v>
      </c>
      <c r="C3762" s="4">
        <v>558.96</v>
      </c>
      <c r="D3762">
        <v>2</v>
      </c>
    </row>
    <row r="3763" spans="1:4" x14ac:dyDescent="0.25">
      <c r="A3763" t="s">
        <v>12701</v>
      </c>
      <c r="B3763">
        <v>127</v>
      </c>
      <c r="C3763" s="4">
        <v>2997.03</v>
      </c>
      <c r="D3763">
        <v>9</v>
      </c>
    </row>
    <row r="3764" spans="1:4" x14ac:dyDescent="0.25">
      <c r="A3764" t="s">
        <v>12702</v>
      </c>
      <c r="B3764">
        <v>52</v>
      </c>
      <c r="C3764" s="4">
        <v>1145.8399999999999</v>
      </c>
      <c r="D3764">
        <v>2</v>
      </c>
    </row>
    <row r="3765" spans="1:4" x14ac:dyDescent="0.25">
      <c r="A3765" t="s">
        <v>12703</v>
      </c>
      <c r="B3765">
        <v>14</v>
      </c>
      <c r="C3765" s="4">
        <v>302.2</v>
      </c>
      <c r="D3765">
        <v>1</v>
      </c>
    </row>
    <row r="3766" spans="1:4" x14ac:dyDescent="0.25">
      <c r="A3766" t="s">
        <v>12704</v>
      </c>
      <c r="B3766">
        <v>88</v>
      </c>
      <c r="C3766" s="4">
        <v>605.58000000000004</v>
      </c>
      <c r="D3766">
        <v>2</v>
      </c>
    </row>
    <row r="3767" spans="1:4" x14ac:dyDescent="0.25">
      <c r="A3767" t="s">
        <v>12705</v>
      </c>
      <c r="B3767">
        <v>22</v>
      </c>
      <c r="C3767" s="4">
        <v>387.31</v>
      </c>
      <c r="D3767">
        <v>1</v>
      </c>
    </row>
    <row r="3768" spans="1:4" x14ac:dyDescent="0.25">
      <c r="A3768" t="s">
        <v>12706</v>
      </c>
      <c r="B3768">
        <v>366</v>
      </c>
      <c r="C3768" s="4">
        <v>6115.14</v>
      </c>
      <c r="D3768">
        <v>8</v>
      </c>
    </row>
    <row r="3769" spans="1:4" x14ac:dyDescent="0.25">
      <c r="A3769" t="s">
        <v>12707</v>
      </c>
      <c r="B3769">
        <v>20</v>
      </c>
      <c r="C3769" s="4">
        <v>308.48</v>
      </c>
      <c r="D3769">
        <v>1</v>
      </c>
    </row>
    <row r="3770" spans="1:4" x14ac:dyDescent="0.25">
      <c r="A3770" t="s">
        <v>12708</v>
      </c>
      <c r="B3770">
        <v>963</v>
      </c>
      <c r="C3770" s="4">
        <v>91062.38</v>
      </c>
      <c r="D3770">
        <v>31</v>
      </c>
    </row>
    <row r="3771" spans="1:4" x14ac:dyDescent="0.25">
      <c r="A3771" t="s">
        <v>12709</v>
      </c>
      <c r="B3771">
        <v>105</v>
      </c>
      <c r="C3771" s="4">
        <v>2924.99</v>
      </c>
      <c r="D3771">
        <v>10</v>
      </c>
    </row>
    <row r="3772" spans="1:4" x14ac:dyDescent="0.25">
      <c r="A3772" t="s">
        <v>12710</v>
      </c>
      <c r="B3772">
        <v>6</v>
      </c>
      <c r="C3772" s="4">
        <v>513.20000000000005</v>
      </c>
      <c r="D3772">
        <v>1</v>
      </c>
    </row>
    <row r="3773" spans="1:4" x14ac:dyDescent="0.25">
      <c r="A3773" t="s">
        <v>12711</v>
      </c>
      <c r="B3773">
        <v>40</v>
      </c>
      <c r="C3773" s="4">
        <v>208.65</v>
      </c>
      <c r="D3773">
        <v>1</v>
      </c>
    </row>
    <row r="3774" spans="1:4" x14ac:dyDescent="0.25">
      <c r="A3774" t="s">
        <v>12712</v>
      </c>
      <c r="B3774">
        <v>87</v>
      </c>
      <c r="C3774" s="4">
        <v>639.02</v>
      </c>
      <c r="D3774">
        <v>4</v>
      </c>
    </row>
    <row r="3775" spans="1:4" x14ac:dyDescent="0.25">
      <c r="A3775" t="s">
        <v>12713</v>
      </c>
      <c r="B3775">
        <v>137</v>
      </c>
      <c r="C3775" s="4">
        <v>768.08</v>
      </c>
      <c r="D3775">
        <v>5</v>
      </c>
    </row>
    <row r="3776" spans="1:4" x14ac:dyDescent="0.25">
      <c r="A3776" t="s">
        <v>12714</v>
      </c>
      <c r="B3776">
        <v>11</v>
      </c>
      <c r="C3776" s="4">
        <v>153.94</v>
      </c>
      <c r="D3776">
        <v>1</v>
      </c>
    </row>
    <row r="3777" spans="1:4" x14ac:dyDescent="0.25">
      <c r="A3777" t="s">
        <v>12715</v>
      </c>
      <c r="B3777">
        <v>82</v>
      </c>
      <c r="C3777" s="4">
        <v>1844.02</v>
      </c>
      <c r="D3777">
        <v>6</v>
      </c>
    </row>
    <row r="3778" spans="1:4" x14ac:dyDescent="0.25">
      <c r="A3778" t="s">
        <v>12716</v>
      </c>
      <c r="B3778">
        <v>30</v>
      </c>
      <c r="C3778" s="4">
        <v>546.80999999999995</v>
      </c>
      <c r="D3778">
        <v>1</v>
      </c>
    </row>
    <row r="3779" spans="1:4" x14ac:dyDescent="0.25">
      <c r="A3779" t="s">
        <v>12717</v>
      </c>
      <c r="B3779">
        <v>45</v>
      </c>
      <c r="C3779" s="4">
        <v>723.21</v>
      </c>
      <c r="D3779">
        <v>3</v>
      </c>
    </row>
    <row r="3780" spans="1:4" x14ac:dyDescent="0.25">
      <c r="A3780" t="s">
        <v>12718</v>
      </c>
      <c r="B3780">
        <v>72</v>
      </c>
      <c r="C3780" s="4">
        <v>1066.1500000000001</v>
      </c>
      <c r="D3780">
        <v>5</v>
      </c>
    </row>
    <row r="3781" spans="1:4" x14ac:dyDescent="0.25">
      <c r="A3781" t="s">
        <v>12719</v>
      </c>
      <c r="B3781">
        <v>33</v>
      </c>
      <c r="C3781" s="4">
        <v>652.74</v>
      </c>
      <c r="D3781">
        <v>4</v>
      </c>
    </row>
    <row r="3782" spans="1:4" x14ac:dyDescent="0.25">
      <c r="A3782" t="s">
        <v>12720</v>
      </c>
      <c r="B3782">
        <v>6</v>
      </c>
      <c r="C3782" s="4">
        <v>145</v>
      </c>
      <c r="D3782">
        <v>1</v>
      </c>
    </row>
    <row r="3783" spans="1:4" x14ac:dyDescent="0.25">
      <c r="A3783" t="s">
        <v>12721</v>
      </c>
      <c r="B3783">
        <v>9</v>
      </c>
      <c r="C3783" s="4">
        <v>422.7</v>
      </c>
      <c r="D3783">
        <v>1</v>
      </c>
    </row>
    <row r="3784" spans="1:4" x14ac:dyDescent="0.25">
      <c r="A3784" t="s">
        <v>12722</v>
      </c>
      <c r="B3784">
        <v>19</v>
      </c>
      <c r="C3784" s="4">
        <v>1195.9000000000001</v>
      </c>
      <c r="D3784">
        <v>4</v>
      </c>
    </row>
    <row r="3785" spans="1:4" x14ac:dyDescent="0.25">
      <c r="A3785" t="s">
        <v>12723</v>
      </c>
      <c r="B3785">
        <v>47</v>
      </c>
      <c r="C3785" s="4">
        <v>939.37</v>
      </c>
      <c r="D3785">
        <v>4</v>
      </c>
    </row>
    <row r="3786" spans="1:4" x14ac:dyDescent="0.25">
      <c r="A3786" t="s">
        <v>12724</v>
      </c>
      <c r="B3786">
        <v>253</v>
      </c>
      <c r="C3786" s="4">
        <v>3628.5</v>
      </c>
      <c r="D3786">
        <v>8</v>
      </c>
    </row>
    <row r="3787" spans="1:4" x14ac:dyDescent="0.25">
      <c r="A3787" t="s">
        <v>12725</v>
      </c>
      <c r="B3787">
        <v>392</v>
      </c>
      <c r="C3787" s="4">
        <v>2380.41</v>
      </c>
      <c r="D3787">
        <v>10</v>
      </c>
    </row>
    <row r="3788" spans="1:4" x14ac:dyDescent="0.25">
      <c r="A3788" t="s">
        <v>12726</v>
      </c>
      <c r="B3788">
        <v>14</v>
      </c>
      <c r="C3788" s="4">
        <v>296.7</v>
      </c>
      <c r="D3788">
        <v>1</v>
      </c>
    </row>
    <row r="3789" spans="1:4" x14ac:dyDescent="0.25">
      <c r="A3789" t="s">
        <v>12727</v>
      </c>
      <c r="B3789">
        <v>9</v>
      </c>
      <c r="C3789" s="4">
        <v>223.36</v>
      </c>
      <c r="D3789">
        <v>1</v>
      </c>
    </row>
    <row r="3790" spans="1:4" x14ac:dyDescent="0.25">
      <c r="A3790" t="s">
        <v>12728</v>
      </c>
      <c r="B3790">
        <v>13</v>
      </c>
      <c r="C3790" s="4">
        <v>164.4</v>
      </c>
      <c r="D3790">
        <v>1</v>
      </c>
    </row>
    <row r="3791" spans="1:4" x14ac:dyDescent="0.25">
      <c r="A3791" t="s">
        <v>12729</v>
      </c>
      <c r="B3791">
        <v>3</v>
      </c>
      <c r="C3791" s="4">
        <v>76.5</v>
      </c>
      <c r="D3791">
        <v>1</v>
      </c>
    </row>
    <row r="3792" spans="1:4" x14ac:dyDescent="0.25">
      <c r="A3792" t="s">
        <v>12730</v>
      </c>
      <c r="B3792">
        <v>75</v>
      </c>
      <c r="C3792" s="4">
        <v>897.62</v>
      </c>
      <c r="D3792">
        <v>2</v>
      </c>
    </row>
    <row r="3793" spans="1:4" x14ac:dyDescent="0.25">
      <c r="A3793" t="s">
        <v>12731</v>
      </c>
      <c r="B3793">
        <v>9</v>
      </c>
      <c r="C3793" s="4">
        <v>98.42</v>
      </c>
      <c r="D3793">
        <v>1</v>
      </c>
    </row>
    <row r="3794" spans="1:4" x14ac:dyDescent="0.25">
      <c r="A3794" t="s">
        <v>12732</v>
      </c>
      <c r="B3794">
        <v>25</v>
      </c>
      <c r="C3794" s="4">
        <v>578.9</v>
      </c>
      <c r="D3794">
        <v>2</v>
      </c>
    </row>
    <row r="3795" spans="1:4" x14ac:dyDescent="0.25">
      <c r="A3795" t="s">
        <v>12733</v>
      </c>
      <c r="B3795">
        <v>25</v>
      </c>
      <c r="C3795" s="4">
        <v>170.75</v>
      </c>
      <c r="D3795">
        <v>1</v>
      </c>
    </row>
    <row r="3796" spans="1:4" x14ac:dyDescent="0.25">
      <c r="A3796" t="s">
        <v>12734</v>
      </c>
      <c r="B3796">
        <v>145</v>
      </c>
      <c r="C3796" s="4">
        <v>645.96</v>
      </c>
      <c r="D3796">
        <v>3</v>
      </c>
    </row>
    <row r="3797" spans="1:4" x14ac:dyDescent="0.25">
      <c r="A3797" t="s">
        <v>12735</v>
      </c>
      <c r="B3797">
        <v>5</v>
      </c>
      <c r="C3797" s="4">
        <v>103.3</v>
      </c>
      <c r="D3797">
        <v>1</v>
      </c>
    </row>
    <row r="3798" spans="1:4" x14ac:dyDescent="0.25">
      <c r="A3798" t="s">
        <v>12736</v>
      </c>
      <c r="B3798">
        <v>6</v>
      </c>
      <c r="C3798" s="4">
        <v>148.86000000000001</v>
      </c>
      <c r="D3798">
        <v>2</v>
      </c>
    </row>
    <row r="3799" spans="1:4" x14ac:dyDescent="0.25">
      <c r="A3799" t="s">
        <v>12737</v>
      </c>
      <c r="B3799">
        <v>42</v>
      </c>
      <c r="C3799" s="4">
        <v>267.16000000000003</v>
      </c>
      <c r="D3799">
        <v>3</v>
      </c>
    </row>
    <row r="3800" spans="1:4" x14ac:dyDescent="0.25">
      <c r="A3800" t="s">
        <v>12738</v>
      </c>
      <c r="B3800">
        <v>43</v>
      </c>
      <c r="C3800" s="4">
        <v>306.83999999999997</v>
      </c>
      <c r="D3800">
        <v>1</v>
      </c>
    </row>
    <row r="3801" spans="1:4" x14ac:dyDescent="0.25">
      <c r="A3801" t="s">
        <v>12739</v>
      </c>
      <c r="B3801">
        <v>49</v>
      </c>
      <c r="C3801" s="4">
        <v>930.41</v>
      </c>
      <c r="D3801">
        <v>4</v>
      </c>
    </row>
    <row r="3802" spans="1:4" x14ac:dyDescent="0.25">
      <c r="A3802" t="s">
        <v>12740</v>
      </c>
      <c r="B3802">
        <v>2</v>
      </c>
      <c r="C3802" s="4">
        <v>1487.6</v>
      </c>
      <c r="D3802">
        <v>1</v>
      </c>
    </row>
    <row r="3803" spans="1:4" x14ac:dyDescent="0.25">
      <c r="A3803" t="s">
        <v>12741</v>
      </c>
      <c r="B3803">
        <v>88</v>
      </c>
      <c r="C3803" s="4">
        <v>1952.45</v>
      </c>
      <c r="D3803">
        <v>5</v>
      </c>
    </row>
    <row r="3804" spans="1:4" x14ac:dyDescent="0.25">
      <c r="A3804" t="s">
        <v>12742</v>
      </c>
      <c r="B3804">
        <v>106</v>
      </c>
      <c r="C3804" s="4">
        <v>483.26</v>
      </c>
      <c r="D3804">
        <v>2</v>
      </c>
    </row>
    <row r="3805" spans="1:4" x14ac:dyDescent="0.25">
      <c r="A3805" t="s">
        <v>12743</v>
      </c>
      <c r="B3805">
        <v>6</v>
      </c>
      <c r="C3805" s="4">
        <v>157.9</v>
      </c>
      <c r="D3805">
        <v>1</v>
      </c>
    </row>
    <row r="3806" spans="1:4" x14ac:dyDescent="0.25">
      <c r="A3806" t="s">
        <v>12744</v>
      </c>
      <c r="B3806">
        <v>34</v>
      </c>
      <c r="C3806" s="4">
        <v>541.46</v>
      </c>
      <c r="D3806">
        <v>3</v>
      </c>
    </row>
    <row r="3807" spans="1:4" x14ac:dyDescent="0.25">
      <c r="A3807" t="s">
        <v>12745</v>
      </c>
      <c r="B3807">
        <v>26</v>
      </c>
      <c r="C3807" s="4">
        <v>854.95</v>
      </c>
      <c r="D3807">
        <v>4</v>
      </c>
    </row>
    <row r="3808" spans="1:4" x14ac:dyDescent="0.25">
      <c r="A3808" t="s">
        <v>12746</v>
      </c>
      <c r="B3808">
        <v>46</v>
      </c>
      <c r="C3808" s="4">
        <v>167.62</v>
      </c>
      <c r="D3808">
        <v>1</v>
      </c>
    </row>
    <row r="3809" spans="1:4" x14ac:dyDescent="0.25">
      <c r="A3809" t="s">
        <v>12747</v>
      </c>
      <c r="B3809">
        <v>63</v>
      </c>
      <c r="C3809" s="4">
        <v>1122.3800000000001</v>
      </c>
      <c r="D3809">
        <v>7</v>
      </c>
    </row>
    <row r="3810" spans="1:4" x14ac:dyDescent="0.25">
      <c r="A3810" t="s">
        <v>12748</v>
      </c>
      <c r="B3810">
        <v>49</v>
      </c>
      <c r="C3810" s="4">
        <v>454.01</v>
      </c>
      <c r="D3810">
        <v>3</v>
      </c>
    </row>
    <row r="3811" spans="1:4" x14ac:dyDescent="0.25">
      <c r="A3811" t="s">
        <v>12749</v>
      </c>
      <c r="B3811">
        <v>152</v>
      </c>
      <c r="C3811" s="4">
        <v>901.21</v>
      </c>
      <c r="D3811">
        <v>2</v>
      </c>
    </row>
    <row r="3812" spans="1:4" x14ac:dyDescent="0.25">
      <c r="A3812" t="s">
        <v>12750</v>
      </c>
      <c r="B3812">
        <v>165</v>
      </c>
      <c r="C3812" s="4">
        <v>4331.4799999999996</v>
      </c>
      <c r="D3812">
        <v>8</v>
      </c>
    </row>
    <row r="3813" spans="1:4" x14ac:dyDescent="0.25">
      <c r="A3813" t="s">
        <v>12751</v>
      </c>
      <c r="B3813">
        <v>29</v>
      </c>
      <c r="C3813" s="4">
        <v>344.14</v>
      </c>
      <c r="D3813">
        <v>1</v>
      </c>
    </row>
    <row r="3814" spans="1:4" x14ac:dyDescent="0.25">
      <c r="A3814" t="s">
        <v>12752</v>
      </c>
      <c r="B3814">
        <v>298</v>
      </c>
      <c r="C3814" s="4">
        <v>1497.26</v>
      </c>
      <c r="D3814">
        <v>4</v>
      </c>
    </row>
    <row r="3815" spans="1:4" x14ac:dyDescent="0.25">
      <c r="A3815" t="s">
        <v>12753</v>
      </c>
      <c r="B3815">
        <v>12</v>
      </c>
      <c r="C3815" s="4">
        <v>226.75</v>
      </c>
      <c r="D3815">
        <v>4</v>
      </c>
    </row>
    <row r="3816" spans="1:4" x14ac:dyDescent="0.25">
      <c r="A3816" t="s">
        <v>12754</v>
      </c>
      <c r="B3816">
        <v>25</v>
      </c>
      <c r="C3816" s="4">
        <v>380.6</v>
      </c>
      <c r="D3816">
        <v>3</v>
      </c>
    </row>
    <row r="3817" spans="1:4" x14ac:dyDescent="0.25">
      <c r="A3817" t="s">
        <v>12755</v>
      </c>
      <c r="B3817">
        <v>8</v>
      </c>
      <c r="C3817" s="4">
        <v>185.65</v>
      </c>
      <c r="D3817">
        <v>1</v>
      </c>
    </row>
    <row r="3818" spans="1:4" x14ac:dyDescent="0.25">
      <c r="A3818" t="s">
        <v>12756</v>
      </c>
      <c r="B3818">
        <v>411</v>
      </c>
      <c r="C3818" s="4">
        <v>3622.68</v>
      </c>
      <c r="D3818">
        <v>19</v>
      </c>
    </row>
    <row r="3819" spans="1:4" x14ac:dyDescent="0.25">
      <c r="A3819" t="s">
        <v>12757</v>
      </c>
      <c r="B3819">
        <v>5</v>
      </c>
      <c r="C3819" s="4">
        <v>143.46</v>
      </c>
      <c r="D3819">
        <v>1</v>
      </c>
    </row>
    <row r="3820" spans="1:4" x14ac:dyDescent="0.25">
      <c r="A3820" t="s">
        <v>12758</v>
      </c>
      <c r="B3820">
        <v>50</v>
      </c>
      <c r="C3820" s="4">
        <v>448.9</v>
      </c>
      <c r="D3820">
        <v>3</v>
      </c>
    </row>
    <row r="3821" spans="1:4" x14ac:dyDescent="0.25">
      <c r="A3821" t="s">
        <v>12759</v>
      </c>
      <c r="B3821">
        <v>44</v>
      </c>
      <c r="C3821" s="4">
        <v>212.77</v>
      </c>
      <c r="D3821">
        <v>3</v>
      </c>
    </row>
    <row r="3822" spans="1:4" x14ac:dyDescent="0.25">
      <c r="A3822" t="s">
        <v>12760</v>
      </c>
      <c r="B3822">
        <v>440</v>
      </c>
      <c r="C3822" s="4">
        <v>11045.04</v>
      </c>
      <c r="D3822">
        <v>25</v>
      </c>
    </row>
    <row r="3823" spans="1:4" x14ac:dyDescent="0.25">
      <c r="A3823" t="s">
        <v>12761</v>
      </c>
      <c r="B3823">
        <v>29</v>
      </c>
      <c r="C3823" s="4">
        <v>175.27</v>
      </c>
      <c r="D3823">
        <v>1</v>
      </c>
    </row>
    <row r="3824" spans="1:4" x14ac:dyDescent="0.25">
      <c r="A3824" t="s">
        <v>12762</v>
      </c>
      <c r="B3824">
        <v>35</v>
      </c>
      <c r="C3824" s="4">
        <v>1242.3</v>
      </c>
      <c r="D3824">
        <v>2</v>
      </c>
    </row>
    <row r="3825" spans="1:4" x14ac:dyDescent="0.25">
      <c r="A3825" t="s">
        <v>12763</v>
      </c>
      <c r="B3825">
        <v>214</v>
      </c>
      <c r="C3825" s="4">
        <v>1133.07</v>
      </c>
      <c r="D3825">
        <v>4</v>
      </c>
    </row>
    <row r="3826" spans="1:4" x14ac:dyDescent="0.25">
      <c r="A3826" t="s">
        <v>12764</v>
      </c>
      <c r="B3826">
        <v>23</v>
      </c>
      <c r="C3826" s="4">
        <v>1240.2</v>
      </c>
      <c r="D3826">
        <v>3</v>
      </c>
    </row>
    <row r="3827" spans="1:4" x14ac:dyDescent="0.25">
      <c r="A3827" t="s">
        <v>12765</v>
      </c>
      <c r="B3827">
        <v>252</v>
      </c>
      <c r="C3827" s="4">
        <v>2402.92</v>
      </c>
      <c r="D3827">
        <v>4</v>
      </c>
    </row>
    <row r="3828" spans="1:4" x14ac:dyDescent="0.25">
      <c r="A3828" t="s">
        <v>12766</v>
      </c>
      <c r="B3828">
        <v>200</v>
      </c>
      <c r="C3828" s="4">
        <v>1477.97</v>
      </c>
      <c r="D3828">
        <v>3</v>
      </c>
    </row>
    <row r="3829" spans="1:4" x14ac:dyDescent="0.25">
      <c r="A3829" t="s">
        <v>12767</v>
      </c>
      <c r="B3829">
        <v>166</v>
      </c>
      <c r="C3829" s="4">
        <v>2225.9699999999998</v>
      </c>
      <c r="D3829">
        <v>7</v>
      </c>
    </row>
    <row r="3830" spans="1:4" x14ac:dyDescent="0.25">
      <c r="A3830" t="s">
        <v>12768</v>
      </c>
      <c r="B3830">
        <v>213</v>
      </c>
      <c r="C3830" s="4">
        <v>3927.34</v>
      </c>
      <c r="D3830">
        <v>5</v>
      </c>
    </row>
    <row r="3831" spans="1:4" x14ac:dyDescent="0.25">
      <c r="A3831" t="s">
        <v>12769</v>
      </c>
      <c r="B3831">
        <v>50</v>
      </c>
      <c r="C3831" s="4">
        <v>993.18</v>
      </c>
      <c r="D3831">
        <v>2</v>
      </c>
    </row>
    <row r="3832" spans="1:4" x14ac:dyDescent="0.25">
      <c r="A3832" t="s">
        <v>12770</v>
      </c>
      <c r="B3832">
        <v>83</v>
      </c>
      <c r="C3832" s="4">
        <v>388.79</v>
      </c>
      <c r="D3832">
        <v>2</v>
      </c>
    </row>
    <row r="3833" spans="1:4" x14ac:dyDescent="0.25">
      <c r="A3833" t="s">
        <v>12771</v>
      </c>
      <c r="B3833">
        <v>270</v>
      </c>
      <c r="C3833" s="4">
        <v>2827.93</v>
      </c>
      <c r="D3833">
        <v>7</v>
      </c>
    </row>
    <row r="3834" spans="1:4" x14ac:dyDescent="0.25">
      <c r="A3834" t="s">
        <v>12772</v>
      </c>
      <c r="B3834">
        <v>55</v>
      </c>
      <c r="C3834" s="4">
        <v>2044.37</v>
      </c>
      <c r="D3834">
        <v>1</v>
      </c>
    </row>
    <row r="3835" spans="1:4" x14ac:dyDescent="0.25">
      <c r="A3835" t="s">
        <v>12773</v>
      </c>
      <c r="B3835">
        <v>13</v>
      </c>
      <c r="C3835" s="4">
        <v>161.66999999999999</v>
      </c>
      <c r="D3835">
        <v>1</v>
      </c>
    </row>
    <row r="3836" spans="1:4" x14ac:dyDescent="0.25">
      <c r="A3836" t="s">
        <v>12774</v>
      </c>
      <c r="B3836">
        <v>9</v>
      </c>
      <c r="C3836" s="4">
        <v>116.01</v>
      </c>
      <c r="D3836">
        <v>1</v>
      </c>
    </row>
    <row r="3837" spans="1:4" x14ac:dyDescent="0.25">
      <c r="A3837" t="s">
        <v>12775</v>
      </c>
      <c r="B3837">
        <v>560</v>
      </c>
      <c r="C3837" s="4">
        <v>5102.97</v>
      </c>
      <c r="D3837">
        <v>6</v>
      </c>
    </row>
    <row r="3838" spans="1:4" x14ac:dyDescent="0.25">
      <c r="A3838" t="s">
        <v>12776</v>
      </c>
      <c r="B3838">
        <v>11</v>
      </c>
      <c r="C3838" s="4">
        <v>394.72</v>
      </c>
      <c r="D3838">
        <v>1</v>
      </c>
    </row>
    <row r="3839" spans="1:4" x14ac:dyDescent="0.25">
      <c r="A3839" t="s">
        <v>12777</v>
      </c>
      <c r="B3839">
        <v>63</v>
      </c>
      <c r="C3839" s="4">
        <v>309.36</v>
      </c>
      <c r="D3839">
        <v>2</v>
      </c>
    </row>
    <row r="3840" spans="1:4" x14ac:dyDescent="0.25">
      <c r="A3840" t="s">
        <v>12778</v>
      </c>
      <c r="B3840">
        <v>59</v>
      </c>
      <c r="C3840" s="4">
        <v>193.42</v>
      </c>
      <c r="D3840">
        <v>2</v>
      </c>
    </row>
    <row r="3841" spans="1:4" x14ac:dyDescent="0.25">
      <c r="A3841" t="s">
        <v>12779</v>
      </c>
      <c r="B3841">
        <v>235</v>
      </c>
      <c r="C3841" s="4">
        <v>1104.72</v>
      </c>
      <c r="D3841">
        <v>5</v>
      </c>
    </row>
    <row r="3842" spans="1:4" x14ac:dyDescent="0.25">
      <c r="A3842" t="s">
        <v>12780</v>
      </c>
      <c r="B3842">
        <v>576</v>
      </c>
      <c r="C3842" s="4">
        <v>3984.22</v>
      </c>
      <c r="D3842">
        <v>15</v>
      </c>
    </row>
    <row r="3843" spans="1:4" x14ac:dyDescent="0.25">
      <c r="A3843" t="s">
        <v>12781</v>
      </c>
      <c r="B3843">
        <v>135</v>
      </c>
      <c r="C3843" s="4">
        <v>2048.4499999999998</v>
      </c>
      <c r="D3843">
        <v>6</v>
      </c>
    </row>
    <row r="3844" spans="1:4" x14ac:dyDescent="0.25">
      <c r="A3844" t="s">
        <v>12782</v>
      </c>
      <c r="B3844">
        <v>312</v>
      </c>
      <c r="C3844" s="4">
        <v>4559.1499999999996</v>
      </c>
      <c r="D3844">
        <v>14</v>
      </c>
    </row>
    <row r="3845" spans="1:4" x14ac:dyDescent="0.25">
      <c r="A3845" t="s">
        <v>12783</v>
      </c>
      <c r="B3845">
        <v>100</v>
      </c>
      <c r="C3845" s="4">
        <v>390.07</v>
      </c>
      <c r="D3845">
        <v>1</v>
      </c>
    </row>
    <row r="3846" spans="1:4" x14ac:dyDescent="0.25">
      <c r="A3846" t="s">
        <v>12784</v>
      </c>
      <c r="B3846">
        <v>14</v>
      </c>
      <c r="C3846" s="4">
        <v>329.6</v>
      </c>
      <c r="D3846">
        <v>3</v>
      </c>
    </row>
    <row r="3847" spans="1:4" x14ac:dyDescent="0.25">
      <c r="A3847" t="s">
        <v>12785</v>
      </c>
      <c r="B3847">
        <v>3</v>
      </c>
      <c r="C3847" s="4">
        <v>571.20000000000005</v>
      </c>
      <c r="D3847">
        <v>3</v>
      </c>
    </row>
    <row r="3848" spans="1:4" x14ac:dyDescent="0.25">
      <c r="A3848" t="s">
        <v>12786</v>
      </c>
      <c r="B3848">
        <v>78</v>
      </c>
      <c r="C3848" s="4">
        <v>971.58</v>
      </c>
      <c r="D3848">
        <v>3</v>
      </c>
    </row>
    <row r="3849" spans="1:4" x14ac:dyDescent="0.25">
      <c r="A3849" t="s">
        <v>12787</v>
      </c>
      <c r="B3849">
        <v>77</v>
      </c>
      <c r="C3849" s="4">
        <v>218.52</v>
      </c>
      <c r="D3849">
        <v>1</v>
      </c>
    </row>
    <row r="3850" spans="1:4" x14ac:dyDescent="0.25">
      <c r="A3850" t="s">
        <v>12788</v>
      </c>
      <c r="B3850">
        <v>4</v>
      </c>
      <c r="C3850" s="4">
        <v>81.44</v>
      </c>
      <c r="D3850">
        <v>1</v>
      </c>
    </row>
    <row r="3851" spans="1:4" x14ac:dyDescent="0.25">
      <c r="A3851" t="s">
        <v>12789</v>
      </c>
      <c r="B3851">
        <v>26</v>
      </c>
      <c r="C3851" s="4">
        <v>1379.9</v>
      </c>
      <c r="D3851">
        <v>3</v>
      </c>
    </row>
    <row r="3852" spans="1:4" x14ac:dyDescent="0.25">
      <c r="A3852" t="s">
        <v>12790</v>
      </c>
      <c r="B3852">
        <v>33</v>
      </c>
      <c r="C3852" s="4">
        <v>527.04999999999995</v>
      </c>
      <c r="D3852">
        <v>1</v>
      </c>
    </row>
    <row r="3853" spans="1:4" x14ac:dyDescent="0.25">
      <c r="A3853" t="s">
        <v>12791</v>
      </c>
      <c r="B3853">
        <v>50</v>
      </c>
      <c r="C3853" s="4">
        <v>843.48</v>
      </c>
      <c r="D3853">
        <v>2</v>
      </c>
    </row>
    <row r="3854" spans="1:4" x14ac:dyDescent="0.25">
      <c r="A3854" t="s">
        <v>12792</v>
      </c>
      <c r="B3854">
        <v>315</v>
      </c>
      <c r="C3854" s="4">
        <v>2047</v>
      </c>
      <c r="D3854">
        <v>4</v>
      </c>
    </row>
    <row r="3855" spans="1:4" x14ac:dyDescent="0.25">
      <c r="A3855" t="s">
        <v>12793</v>
      </c>
      <c r="B3855">
        <v>5</v>
      </c>
      <c r="C3855" s="4">
        <v>75.75</v>
      </c>
      <c r="D3855">
        <v>1</v>
      </c>
    </row>
    <row r="3856" spans="1:4" x14ac:dyDescent="0.25">
      <c r="A3856" t="s">
        <v>12794</v>
      </c>
      <c r="B3856">
        <v>123</v>
      </c>
      <c r="C3856" s="4">
        <v>1814.12</v>
      </c>
      <c r="D3856">
        <v>8</v>
      </c>
    </row>
    <row r="3857" spans="1:4" x14ac:dyDescent="0.25">
      <c r="A3857" t="s">
        <v>12795</v>
      </c>
      <c r="B3857">
        <v>26</v>
      </c>
      <c r="C3857" s="4">
        <v>503.6</v>
      </c>
      <c r="D3857">
        <v>2</v>
      </c>
    </row>
    <row r="3858" spans="1:4" x14ac:dyDescent="0.25">
      <c r="A3858" t="s">
        <v>12796</v>
      </c>
      <c r="B3858">
        <v>39</v>
      </c>
      <c r="C3858" s="4">
        <v>528.33000000000004</v>
      </c>
      <c r="D3858">
        <v>3</v>
      </c>
    </row>
    <row r="3859" spans="1:4" x14ac:dyDescent="0.25">
      <c r="A3859" t="s">
        <v>12797</v>
      </c>
      <c r="B3859">
        <v>70</v>
      </c>
      <c r="C3859" s="4">
        <v>1324.84</v>
      </c>
      <c r="D3859">
        <v>4</v>
      </c>
    </row>
    <row r="3860" spans="1:4" x14ac:dyDescent="0.25">
      <c r="A3860" t="s">
        <v>12798</v>
      </c>
      <c r="B3860">
        <v>297</v>
      </c>
      <c r="C3860" s="4">
        <v>2361.9699999999998</v>
      </c>
      <c r="D3860">
        <v>9</v>
      </c>
    </row>
    <row r="3861" spans="1:4" x14ac:dyDescent="0.25">
      <c r="A3861" t="s">
        <v>12799</v>
      </c>
      <c r="B3861">
        <v>20</v>
      </c>
      <c r="C3861" s="4">
        <v>285.56</v>
      </c>
      <c r="D3861">
        <v>1</v>
      </c>
    </row>
    <row r="3862" spans="1:4" x14ac:dyDescent="0.25">
      <c r="A3862" t="s">
        <v>12800</v>
      </c>
      <c r="B3862">
        <v>35</v>
      </c>
      <c r="C3862" s="4">
        <v>547.05999999999995</v>
      </c>
      <c r="D3862">
        <v>2</v>
      </c>
    </row>
    <row r="3863" spans="1:4" x14ac:dyDescent="0.25">
      <c r="A3863" t="s">
        <v>12801</v>
      </c>
      <c r="B3863">
        <v>7</v>
      </c>
      <c r="C3863" s="4">
        <v>108.5</v>
      </c>
      <c r="D3863">
        <v>1</v>
      </c>
    </row>
    <row r="3864" spans="1:4" x14ac:dyDescent="0.25">
      <c r="A3864" t="s">
        <v>12802</v>
      </c>
      <c r="B3864">
        <v>5</v>
      </c>
      <c r="C3864" s="4">
        <v>621.66</v>
      </c>
      <c r="D3864">
        <v>1</v>
      </c>
    </row>
    <row r="3865" spans="1:4" x14ac:dyDescent="0.25">
      <c r="A3865" t="s">
        <v>12803</v>
      </c>
      <c r="B3865">
        <v>40</v>
      </c>
      <c r="C3865" s="4">
        <v>712.29</v>
      </c>
      <c r="D3865">
        <v>2</v>
      </c>
    </row>
    <row r="3866" spans="1:4" x14ac:dyDescent="0.25">
      <c r="A3866" t="s">
        <v>12804</v>
      </c>
      <c r="B3866">
        <v>8</v>
      </c>
      <c r="C3866" s="4">
        <v>101.55</v>
      </c>
      <c r="D3866">
        <v>1</v>
      </c>
    </row>
    <row r="3867" spans="1:4" x14ac:dyDescent="0.25">
      <c r="A3867" t="s">
        <v>12805</v>
      </c>
      <c r="B3867">
        <v>157</v>
      </c>
      <c r="C3867" s="4">
        <v>2895.64</v>
      </c>
      <c r="D3867">
        <v>11</v>
      </c>
    </row>
    <row r="3868" spans="1:4" x14ac:dyDescent="0.25">
      <c r="A3868" t="s">
        <v>12806</v>
      </c>
      <c r="B3868">
        <v>51</v>
      </c>
      <c r="C3868" s="4">
        <v>1008.39</v>
      </c>
      <c r="D3868">
        <v>3</v>
      </c>
    </row>
    <row r="3869" spans="1:4" x14ac:dyDescent="0.25">
      <c r="A3869" t="s">
        <v>12807</v>
      </c>
      <c r="B3869">
        <v>7</v>
      </c>
      <c r="C3869" s="4">
        <v>133.06</v>
      </c>
      <c r="D3869">
        <v>1</v>
      </c>
    </row>
    <row r="3870" spans="1:4" x14ac:dyDescent="0.25">
      <c r="A3870" t="s">
        <v>12808</v>
      </c>
      <c r="B3870">
        <v>91</v>
      </c>
      <c r="C3870" s="4">
        <v>1797.5</v>
      </c>
      <c r="D3870">
        <v>4</v>
      </c>
    </row>
    <row r="3871" spans="1:4" x14ac:dyDescent="0.25">
      <c r="A3871" t="s">
        <v>12809</v>
      </c>
      <c r="B3871">
        <v>52</v>
      </c>
      <c r="C3871" s="4">
        <v>868.49</v>
      </c>
      <c r="D3871">
        <v>1</v>
      </c>
    </row>
    <row r="3872" spans="1:4" x14ac:dyDescent="0.25">
      <c r="A3872" t="s">
        <v>12810</v>
      </c>
      <c r="B3872">
        <v>8</v>
      </c>
      <c r="C3872" s="4">
        <v>166.08</v>
      </c>
      <c r="D3872">
        <v>1</v>
      </c>
    </row>
    <row r="3873" spans="1:4" x14ac:dyDescent="0.25">
      <c r="A3873" t="s">
        <v>12811</v>
      </c>
      <c r="B3873">
        <v>232</v>
      </c>
      <c r="C3873" s="4">
        <v>3945</v>
      </c>
      <c r="D3873">
        <v>10</v>
      </c>
    </row>
    <row r="3874" spans="1:4" x14ac:dyDescent="0.25">
      <c r="A3874" t="s">
        <v>12812</v>
      </c>
      <c r="B3874">
        <v>259</v>
      </c>
      <c r="C3874" s="4">
        <v>4867.72</v>
      </c>
      <c r="D3874">
        <v>12</v>
      </c>
    </row>
    <row r="3875" spans="1:4" x14ac:dyDescent="0.25">
      <c r="A3875" t="s">
        <v>12813</v>
      </c>
      <c r="B3875">
        <v>44</v>
      </c>
      <c r="C3875" s="4">
        <v>1207.56</v>
      </c>
      <c r="D3875">
        <v>4</v>
      </c>
    </row>
    <row r="3876" spans="1:4" x14ac:dyDescent="0.25">
      <c r="A3876" t="s">
        <v>12814</v>
      </c>
      <c r="B3876">
        <v>22</v>
      </c>
      <c r="C3876" s="4">
        <v>117.55</v>
      </c>
      <c r="D3876">
        <v>1</v>
      </c>
    </row>
    <row r="3877" spans="1:4" x14ac:dyDescent="0.25">
      <c r="A3877" t="s">
        <v>12815</v>
      </c>
      <c r="B3877">
        <v>91</v>
      </c>
      <c r="C3877" s="4">
        <v>2638.94</v>
      </c>
      <c r="D3877">
        <v>7</v>
      </c>
    </row>
    <row r="3878" spans="1:4" x14ac:dyDescent="0.25">
      <c r="A3878" t="s">
        <v>12816</v>
      </c>
      <c r="B3878">
        <v>82</v>
      </c>
      <c r="C3878" s="4">
        <v>1674.69</v>
      </c>
      <c r="D3878">
        <v>5</v>
      </c>
    </row>
    <row r="3879" spans="1:4" x14ac:dyDescent="0.25">
      <c r="A3879" t="s">
        <v>12817</v>
      </c>
      <c r="B3879">
        <v>19</v>
      </c>
      <c r="C3879" s="4">
        <v>595.41999999999996</v>
      </c>
      <c r="D3879">
        <v>2</v>
      </c>
    </row>
    <row r="3880" spans="1:4" x14ac:dyDescent="0.25">
      <c r="A3880" t="s">
        <v>12818</v>
      </c>
      <c r="B3880">
        <v>158</v>
      </c>
      <c r="C3880" s="4">
        <v>2999.46</v>
      </c>
      <c r="D3880">
        <v>12</v>
      </c>
    </row>
    <row r="3881" spans="1:4" x14ac:dyDescent="0.25">
      <c r="A3881" t="s">
        <v>12819</v>
      </c>
      <c r="B3881">
        <v>45</v>
      </c>
      <c r="C3881" s="4">
        <v>196</v>
      </c>
      <c r="D3881">
        <v>1</v>
      </c>
    </row>
    <row r="3882" spans="1:4" x14ac:dyDescent="0.25">
      <c r="A3882" t="s">
        <v>12820</v>
      </c>
      <c r="B3882">
        <v>86</v>
      </c>
      <c r="C3882" s="4">
        <v>1802.91</v>
      </c>
      <c r="D3882">
        <v>7</v>
      </c>
    </row>
    <row r="3883" spans="1:4" x14ac:dyDescent="0.25">
      <c r="A3883" t="s">
        <v>12821</v>
      </c>
      <c r="B3883">
        <v>43</v>
      </c>
      <c r="C3883" s="4">
        <v>604.64</v>
      </c>
      <c r="D3883">
        <v>2</v>
      </c>
    </row>
    <row r="3884" spans="1:4" x14ac:dyDescent="0.25">
      <c r="A3884" t="s">
        <v>12822</v>
      </c>
      <c r="B3884">
        <v>18</v>
      </c>
      <c r="C3884" s="4">
        <v>728.16</v>
      </c>
      <c r="D3884">
        <v>2</v>
      </c>
    </row>
    <row r="3885" spans="1:4" x14ac:dyDescent="0.25">
      <c r="A3885" t="s">
        <v>12823</v>
      </c>
      <c r="B3885">
        <v>116</v>
      </c>
      <c r="C3885" s="4">
        <v>2055.5100000000002</v>
      </c>
      <c r="D3885">
        <v>5</v>
      </c>
    </row>
    <row r="3886" spans="1:4" x14ac:dyDescent="0.25">
      <c r="A3886" t="s">
        <v>12824</v>
      </c>
      <c r="B3886">
        <v>15</v>
      </c>
      <c r="C3886" s="4">
        <v>347.75</v>
      </c>
      <c r="D3886">
        <v>2</v>
      </c>
    </row>
    <row r="3887" spans="1:4" x14ac:dyDescent="0.25">
      <c r="A3887" t="s">
        <v>12825</v>
      </c>
      <c r="B3887">
        <v>68</v>
      </c>
      <c r="C3887" s="4">
        <v>3406.72</v>
      </c>
      <c r="D3887">
        <v>7</v>
      </c>
    </row>
    <row r="3888" spans="1:4" x14ac:dyDescent="0.25">
      <c r="A3888" t="s">
        <v>12826</v>
      </c>
      <c r="B3888">
        <v>11</v>
      </c>
      <c r="C3888" s="4">
        <v>205.7</v>
      </c>
      <c r="D3888">
        <v>1</v>
      </c>
    </row>
    <row r="3889" spans="1:4" x14ac:dyDescent="0.25">
      <c r="A3889" t="s">
        <v>12827</v>
      </c>
      <c r="B3889">
        <v>53</v>
      </c>
      <c r="C3889" s="4">
        <v>1572.71</v>
      </c>
      <c r="D3889">
        <v>4</v>
      </c>
    </row>
    <row r="3890" spans="1:4" x14ac:dyDescent="0.25">
      <c r="A3890" t="s">
        <v>12828</v>
      </c>
      <c r="B3890">
        <v>110</v>
      </c>
      <c r="C3890" s="4">
        <v>3178.17</v>
      </c>
      <c r="D3890">
        <v>2</v>
      </c>
    </row>
    <row r="3891" spans="1:4" x14ac:dyDescent="0.25">
      <c r="A3891" t="s">
        <v>12829</v>
      </c>
      <c r="B3891">
        <v>227</v>
      </c>
      <c r="C3891" s="4">
        <v>1629.12</v>
      </c>
      <c r="D3891">
        <v>6</v>
      </c>
    </row>
    <row r="3892" spans="1:4" x14ac:dyDescent="0.25">
      <c r="A3892" t="s">
        <v>12830</v>
      </c>
      <c r="B3892">
        <v>27</v>
      </c>
      <c r="C3892" s="4">
        <v>551.04</v>
      </c>
      <c r="D3892">
        <v>2</v>
      </c>
    </row>
    <row r="3893" spans="1:4" x14ac:dyDescent="0.25">
      <c r="A3893" t="s">
        <v>12831</v>
      </c>
      <c r="B3893">
        <v>705</v>
      </c>
      <c r="C3893" s="4">
        <v>20374.28</v>
      </c>
      <c r="D3893">
        <v>31</v>
      </c>
    </row>
    <row r="3894" spans="1:4" x14ac:dyDescent="0.25">
      <c r="A3894" t="s">
        <v>12832</v>
      </c>
      <c r="B3894">
        <v>78</v>
      </c>
      <c r="C3894" s="4">
        <v>1387.68</v>
      </c>
      <c r="D3894">
        <v>6</v>
      </c>
    </row>
    <row r="3895" spans="1:4" x14ac:dyDescent="0.25">
      <c r="A3895" t="s">
        <v>12833</v>
      </c>
      <c r="B3895">
        <v>304</v>
      </c>
      <c r="C3895" s="4">
        <v>16363.23</v>
      </c>
      <c r="D3895">
        <v>30</v>
      </c>
    </row>
    <row r="3896" spans="1:4" x14ac:dyDescent="0.25">
      <c r="A3896" t="s">
        <v>12834</v>
      </c>
      <c r="B3896">
        <v>16</v>
      </c>
      <c r="C3896" s="4">
        <v>298.11</v>
      </c>
      <c r="D3896">
        <v>1</v>
      </c>
    </row>
    <row r="3897" spans="1:4" x14ac:dyDescent="0.25">
      <c r="A3897" t="s">
        <v>12835</v>
      </c>
      <c r="B3897">
        <v>30</v>
      </c>
      <c r="C3897" s="4">
        <v>1992.11</v>
      </c>
      <c r="D3897">
        <v>2</v>
      </c>
    </row>
    <row r="3898" spans="1:4" x14ac:dyDescent="0.25">
      <c r="A3898" t="s">
        <v>12836</v>
      </c>
      <c r="B3898">
        <v>11</v>
      </c>
      <c r="C3898" s="4">
        <v>184.4</v>
      </c>
      <c r="D3898">
        <v>1</v>
      </c>
    </row>
    <row r="3899" spans="1:4" x14ac:dyDescent="0.25">
      <c r="A3899" t="s">
        <v>12837</v>
      </c>
      <c r="B3899">
        <v>118</v>
      </c>
      <c r="C3899" s="4">
        <v>2474.33</v>
      </c>
      <c r="D3899">
        <v>6</v>
      </c>
    </row>
    <row r="3900" spans="1:4" x14ac:dyDescent="0.25">
      <c r="A3900" t="s">
        <v>12838</v>
      </c>
      <c r="B3900">
        <v>15</v>
      </c>
      <c r="C3900" s="4">
        <v>239.41</v>
      </c>
      <c r="D3900">
        <v>1</v>
      </c>
    </row>
    <row r="3901" spans="1:4" x14ac:dyDescent="0.25">
      <c r="A3901" t="s">
        <v>12839</v>
      </c>
      <c r="B3901">
        <v>130</v>
      </c>
      <c r="C3901" s="4">
        <v>3191.53</v>
      </c>
      <c r="D3901">
        <v>7</v>
      </c>
    </row>
    <row r="3902" spans="1:4" x14ac:dyDescent="0.25">
      <c r="A3902" t="s">
        <v>12840</v>
      </c>
      <c r="B3902">
        <v>286</v>
      </c>
      <c r="C3902" s="4">
        <v>5739.46</v>
      </c>
      <c r="D3902">
        <v>7</v>
      </c>
    </row>
    <row r="3903" spans="1:4" x14ac:dyDescent="0.25">
      <c r="A3903" t="s">
        <v>12841</v>
      </c>
      <c r="B3903">
        <v>256</v>
      </c>
      <c r="C3903" s="4">
        <v>4757.95</v>
      </c>
      <c r="D3903">
        <v>15</v>
      </c>
    </row>
    <row r="3904" spans="1:4" x14ac:dyDescent="0.25">
      <c r="A3904" t="s">
        <v>12842</v>
      </c>
      <c r="B3904">
        <v>19</v>
      </c>
      <c r="C3904" s="4">
        <v>290.39999999999998</v>
      </c>
      <c r="D3904">
        <v>2</v>
      </c>
    </row>
    <row r="3905" spans="1:4" x14ac:dyDescent="0.25">
      <c r="A3905" t="s">
        <v>12843</v>
      </c>
      <c r="B3905">
        <v>45</v>
      </c>
      <c r="C3905" s="4">
        <v>725.58</v>
      </c>
      <c r="D3905">
        <v>4</v>
      </c>
    </row>
    <row r="3906" spans="1:4" x14ac:dyDescent="0.25">
      <c r="A3906" t="s">
        <v>12844</v>
      </c>
      <c r="B3906">
        <v>16</v>
      </c>
      <c r="C3906" s="4">
        <v>200.47</v>
      </c>
      <c r="D3906">
        <v>1</v>
      </c>
    </row>
    <row r="3907" spans="1:4" x14ac:dyDescent="0.25">
      <c r="A3907" t="s">
        <v>12845</v>
      </c>
      <c r="B3907">
        <v>15</v>
      </c>
      <c r="C3907" s="4">
        <v>283.12</v>
      </c>
      <c r="D3907">
        <v>1</v>
      </c>
    </row>
    <row r="3908" spans="1:4" x14ac:dyDescent="0.25">
      <c r="A3908" t="s">
        <v>12846</v>
      </c>
      <c r="B3908">
        <v>35</v>
      </c>
      <c r="C3908" s="4">
        <v>765.34</v>
      </c>
      <c r="D3908">
        <v>2</v>
      </c>
    </row>
    <row r="3909" spans="1:4" x14ac:dyDescent="0.25">
      <c r="A3909" t="s">
        <v>12847</v>
      </c>
      <c r="B3909">
        <v>115</v>
      </c>
      <c r="C3909" s="4">
        <v>2285.71</v>
      </c>
      <c r="D3909">
        <v>8</v>
      </c>
    </row>
    <row r="3910" spans="1:4" x14ac:dyDescent="0.25">
      <c r="A3910" t="s">
        <v>12848</v>
      </c>
      <c r="B3910">
        <v>19</v>
      </c>
      <c r="C3910" s="4">
        <v>338.95</v>
      </c>
      <c r="D3910">
        <v>1</v>
      </c>
    </row>
    <row r="3911" spans="1:4" x14ac:dyDescent="0.25">
      <c r="A3911" t="s">
        <v>12849</v>
      </c>
      <c r="B3911">
        <v>8</v>
      </c>
      <c r="C3911" s="4">
        <v>154.94999999999999</v>
      </c>
      <c r="D3911">
        <v>1</v>
      </c>
    </row>
    <row r="3912" spans="1:4" x14ac:dyDescent="0.25">
      <c r="A3912" t="s">
        <v>12850</v>
      </c>
      <c r="B3912">
        <v>142</v>
      </c>
      <c r="C3912" s="4">
        <v>2534.64</v>
      </c>
      <c r="D3912">
        <v>4</v>
      </c>
    </row>
    <row r="3913" spans="1:4" x14ac:dyDescent="0.25">
      <c r="A3913" t="s">
        <v>12851</v>
      </c>
      <c r="B3913">
        <v>24</v>
      </c>
      <c r="C3913" s="4">
        <v>417.95</v>
      </c>
      <c r="D3913">
        <v>1</v>
      </c>
    </row>
    <row r="3914" spans="1:4" x14ac:dyDescent="0.25">
      <c r="A3914" t="s">
        <v>12852</v>
      </c>
      <c r="B3914">
        <v>74</v>
      </c>
      <c r="C3914" s="4">
        <v>1824.37</v>
      </c>
      <c r="D3914">
        <v>4</v>
      </c>
    </row>
    <row r="3915" spans="1:4" x14ac:dyDescent="0.25">
      <c r="A3915" t="s">
        <v>12853</v>
      </c>
      <c r="B3915">
        <v>55</v>
      </c>
      <c r="C3915" s="4">
        <v>798.74</v>
      </c>
      <c r="D3915">
        <v>3</v>
      </c>
    </row>
    <row r="3916" spans="1:4" x14ac:dyDescent="0.25">
      <c r="A3916" t="s">
        <v>12854</v>
      </c>
      <c r="B3916">
        <v>31</v>
      </c>
      <c r="C3916" s="4">
        <v>885.19</v>
      </c>
      <c r="D3916">
        <v>2</v>
      </c>
    </row>
    <row r="3917" spans="1:4" x14ac:dyDescent="0.25">
      <c r="A3917" t="s">
        <v>12855</v>
      </c>
      <c r="B3917">
        <v>103</v>
      </c>
      <c r="C3917" s="4">
        <v>1823.52</v>
      </c>
      <c r="D3917">
        <v>9</v>
      </c>
    </row>
    <row r="3918" spans="1:4" x14ac:dyDescent="0.25">
      <c r="A3918" t="s">
        <v>12856</v>
      </c>
      <c r="B3918">
        <v>382</v>
      </c>
      <c r="C3918" s="4">
        <v>10504.49</v>
      </c>
      <c r="D3918">
        <v>17</v>
      </c>
    </row>
    <row r="3919" spans="1:4" x14ac:dyDescent="0.25">
      <c r="A3919" t="s">
        <v>12857</v>
      </c>
      <c r="B3919">
        <v>5</v>
      </c>
      <c r="C3919" s="4">
        <v>152.4</v>
      </c>
      <c r="D3919">
        <v>2</v>
      </c>
    </row>
    <row r="3920" spans="1:4" x14ac:dyDescent="0.25">
      <c r="A3920" t="s">
        <v>12858</v>
      </c>
      <c r="B3920">
        <v>35</v>
      </c>
      <c r="C3920" s="4">
        <v>267.08</v>
      </c>
      <c r="D3920">
        <v>2</v>
      </c>
    </row>
    <row r="3921" spans="1:4" x14ac:dyDescent="0.25">
      <c r="A3921" t="s">
        <v>12859</v>
      </c>
      <c r="B3921">
        <v>7</v>
      </c>
      <c r="C3921" s="4">
        <v>137.44999999999999</v>
      </c>
      <c r="D3921">
        <v>1</v>
      </c>
    </row>
    <row r="3922" spans="1:4" x14ac:dyDescent="0.25">
      <c r="A3922" t="s">
        <v>12860</v>
      </c>
      <c r="B3922">
        <v>23</v>
      </c>
      <c r="C3922" s="4">
        <v>385.1</v>
      </c>
      <c r="D3922">
        <v>2</v>
      </c>
    </row>
    <row r="3923" spans="1:4" x14ac:dyDescent="0.25">
      <c r="A3923" t="s">
        <v>12861</v>
      </c>
      <c r="B3923">
        <v>29</v>
      </c>
      <c r="C3923" s="4">
        <v>522.91</v>
      </c>
      <c r="D3923">
        <v>1</v>
      </c>
    </row>
    <row r="3924" spans="1:4" x14ac:dyDescent="0.25">
      <c r="A3924" t="s">
        <v>12862</v>
      </c>
      <c r="B3924">
        <v>10</v>
      </c>
      <c r="C3924" s="4">
        <v>153</v>
      </c>
      <c r="D3924">
        <v>1</v>
      </c>
    </row>
    <row r="3925" spans="1:4" x14ac:dyDescent="0.25">
      <c r="A3925" t="s">
        <v>12863</v>
      </c>
      <c r="B3925">
        <v>1</v>
      </c>
      <c r="C3925" s="4">
        <v>326.39999999999998</v>
      </c>
      <c r="D3925">
        <v>1</v>
      </c>
    </row>
    <row r="3926" spans="1:4" x14ac:dyDescent="0.25">
      <c r="A3926" t="s">
        <v>12864</v>
      </c>
      <c r="B3926">
        <v>245</v>
      </c>
      <c r="C3926" s="4">
        <v>5655.99</v>
      </c>
      <c r="D3926">
        <v>11</v>
      </c>
    </row>
    <row r="3927" spans="1:4" x14ac:dyDescent="0.25">
      <c r="A3927" t="s">
        <v>12865</v>
      </c>
      <c r="B3927">
        <v>6</v>
      </c>
      <c r="C3927" s="4">
        <v>139.35</v>
      </c>
      <c r="D3927">
        <v>1</v>
      </c>
    </row>
    <row r="3928" spans="1:4" x14ac:dyDescent="0.25">
      <c r="A3928" t="s">
        <v>12866</v>
      </c>
      <c r="B3928">
        <v>274</v>
      </c>
      <c r="C3928" s="4">
        <v>5396.04</v>
      </c>
      <c r="D3928">
        <v>15</v>
      </c>
    </row>
    <row r="3929" spans="1:4" x14ac:dyDescent="0.25">
      <c r="A3929" t="s">
        <v>12867</v>
      </c>
      <c r="B3929">
        <v>50</v>
      </c>
      <c r="C3929" s="4">
        <v>1195.94</v>
      </c>
      <c r="D3929">
        <v>4</v>
      </c>
    </row>
    <row r="3930" spans="1:4" x14ac:dyDescent="0.25">
      <c r="A3930" t="s">
        <v>12868</v>
      </c>
      <c r="B3930">
        <v>115</v>
      </c>
      <c r="C3930" s="4">
        <v>2424.04</v>
      </c>
      <c r="D3930">
        <v>4</v>
      </c>
    </row>
    <row r="3931" spans="1:4" x14ac:dyDescent="0.25">
      <c r="A3931" t="s">
        <v>12869</v>
      </c>
      <c r="B3931">
        <v>10</v>
      </c>
      <c r="C3931" s="4">
        <v>3276.4</v>
      </c>
      <c r="D3931">
        <v>6</v>
      </c>
    </row>
    <row r="3932" spans="1:4" x14ac:dyDescent="0.25">
      <c r="A3932" t="s">
        <v>12870</v>
      </c>
      <c r="B3932">
        <v>40</v>
      </c>
      <c r="C3932" s="4">
        <v>1033</v>
      </c>
      <c r="D3932">
        <v>3</v>
      </c>
    </row>
    <row r="3933" spans="1:4" x14ac:dyDescent="0.25">
      <c r="A3933" t="s">
        <v>12871</v>
      </c>
      <c r="B3933">
        <v>192</v>
      </c>
      <c r="C3933" s="4">
        <v>3439.08</v>
      </c>
      <c r="D3933">
        <v>11</v>
      </c>
    </row>
    <row r="3934" spans="1:4" x14ac:dyDescent="0.25">
      <c r="A3934" t="s">
        <v>12872</v>
      </c>
      <c r="B3934">
        <v>66</v>
      </c>
      <c r="C3934" s="4">
        <v>1060.25</v>
      </c>
      <c r="D3934">
        <v>1</v>
      </c>
    </row>
    <row r="3935" spans="1:4" x14ac:dyDescent="0.25">
      <c r="A3935" t="s">
        <v>12873</v>
      </c>
      <c r="B3935">
        <v>165</v>
      </c>
      <c r="C3935" s="4">
        <v>2876.01</v>
      </c>
      <c r="D3935">
        <v>3</v>
      </c>
    </row>
    <row r="3936" spans="1:4" x14ac:dyDescent="0.25">
      <c r="A3936" t="s">
        <v>12874</v>
      </c>
      <c r="B3936">
        <v>218</v>
      </c>
      <c r="C3936" s="4">
        <v>5298.48</v>
      </c>
      <c r="D3936">
        <v>13</v>
      </c>
    </row>
    <row r="3937" spans="1:4" x14ac:dyDescent="0.25">
      <c r="A3937" t="s">
        <v>12875</v>
      </c>
      <c r="B3937">
        <v>67</v>
      </c>
      <c r="C3937" s="4">
        <v>1240.1099999999999</v>
      </c>
      <c r="D3937">
        <v>4</v>
      </c>
    </row>
    <row r="3938" spans="1:4" x14ac:dyDescent="0.25">
      <c r="A3938" t="s">
        <v>12876</v>
      </c>
      <c r="B3938">
        <v>18</v>
      </c>
      <c r="C3938" s="4">
        <v>303.97000000000003</v>
      </c>
      <c r="D3938">
        <v>1</v>
      </c>
    </row>
    <row r="3939" spans="1:4" x14ac:dyDescent="0.25">
      <c r="A3939" t="s">
        <v>12877</v>
      </c>
      <c r="B3939">
        <v>35</v>
      </c>
      <c r="C3939" s="4">
        <v>692.19</v>
      </c>
      <c r="D3939">
        <v>2</v>
      </c>
    </row>
    <row r="3940" spans="1:4" x14ac:dyDescent="0.25">
      <c r="A3940" t="s">
        <v>12878</v>
      </c>
      <c r="B3940">
        <v>43</v>
      </c>
      <c r="C3940" s="4">
        <v>700.63</v>
      </c>
      <c r="D3940">
        <v>3</v>
      </c>
    </row>
    <row r="3941" spans="1:4" x14ac:dyDescent="0.25">
      <c r="A3941" t="s">
        <v>12879</v>
      </c>
      <c r="B3941">
        <v>690</v>
      </c>
      <c r="C3941" s="4">
        <v>13110.02</v>
      </c>
      <c r="D3941">
        <v>19</v>
      </c>
    </row>
    <row r="3942" spans="1:4" x14ac:dyDescent="0.25">
      <c r="A3942" t="s">
        <v>12880</v>
      </c>
      <c r="B3942">
        <v>25</v>
      </c>
      <c r="C3942" s="4">
        <v>377.44</v>
      </c>
      <c r="D3942">
        <v>3</v>
      </c>
    </row>
    <row r="3943" spans="1:4" x14ac:dyDescent="0.25">
      <c r="A3943" t="s">
        <v>12881</v>
      </c>
      <c r="B3943">
        <v>10</v>
      </c>
      <c r="C3943" s="4">
        <v>168.24</v>
      </c>
      <c r="D3943">
        <v>2</v>
      </c>
    </row>
    <row r="3944" spans="1:4" x14ac:dyDescent="0.25">
      <c r="A3944" t="s">
        <v>12882</v>
      </c>
      <c r="B3944">
        <v>97</v>
      </c>
      <c r="C3944" s="4">
        <v>1879.05</v>
      </c>
      <c r="D3944">
        <v>4</v>
      </c>
    </row>
    <row r="3945" spans="1:4" x14ac:dyDescent="0.25">
      <c r="A3945" t="s">
        <v>12883</v>
      </c>
      <c r="B3945">
        <v>47</v>
      </c>
      <c r="C3945" s="4">
        <v>2791.35</v>
      </c>
      <c r="D3945">
        <v>7</v>
      </c>
    </row>
    <row r="3946" spans="1:4" x14ac:dyDescent="0.25">
      <c r="A3946" t="s">
        <v>12884</v>
      </c>
      <c r="B3946">
        <v>15</v>
      </c>
      <c r="C3946" s="4">
        <v>355.11</v>
      </c>
      <c r="D3946">
        <v>2</v>
      </c>
    </row>
    <row r="3947" spans="1:4" x14ac:dyDescent="0.25">
      <c r="A3947" t="s">
        <v>12885</v>
      </c>
      <c r="B3947">
        <v>136</v>
      </c>
      <c r="C3947" s="4">
        <v>2322.4</v>
      </c>
      <c r="D3947">
        <v>6</v>
      </c>
    </row>
    <row r="3948" spans="1:4" x14ac:dyDescent="0.25">
      <c r="A3948" t="s">
        <v>12886</v>
      </c>
      <c r="B3948">
        <v>6</v>
      </c>
      <c r="C3948" s="4">
        <v>110.25</v>
      </c>
      <c r="D3948">
        <v>1</v>
      </c>
    </row>
    <row r="3949" spans="1:4" x14ac:dyDescent="0.25">
      <c r="A3949" t="s">
        <v>12887</v>
      </c>
      <c r="B3949">
        <v>1</v>
      </c>
      <c r="C3949" s="4">
        <v>71.400000000000006</v>
      </c>
      <c r="D3949">
        <v>1</v>
      </c>
    </row>
    <row r="3950" spans="1:4" x14ac:dyDescent="0.25">
      <c r="A3950" t="s">
        <v>12888</v>
      </c>
      <c r="B3950">
        <v>35</v>
      </c>
      <c r="C3950" s="4">
        <v>674.52</v>
      </c>
      <c r="D3950">
        <v>2</v>
      </c>
    </row>
    <row r="3951" spans="1:4" x14ac:dyDescent="0.25">
      <c r="A3951" t="s">
        <v>12889</v>
      </c>
      <c r="B3951">
        <v>191</v>
      </c>
      <c r="C3951" s="4">
        <v>1781.28</v>
      </c>
      <c r="D3951">
        <v>9</v>
      </c>
    </row>
    <row r="3952" spans="1:4" x14ac:dyDescent="0.25">
      <c r="A3952" t="s">
        <v>12890</v>
      </c>
      <c r="B3952">
        <v>1</v>
      </c>
      <c r="C3952" s="4">
        <v>80.64</v>
      </c>
      <c r="D3952">
        <v>1</v>
      </c>
    </row>
    <row r="3953" spans="1:4" x14ac:dyDescent="0.25">
      <c r="A3953" t="s">
        <v>12891</v>
      </c>
      <c r="B3953">
        <v>92</v>
      </c>
      <c r="C3953" s="4">
        <v>1772.26</v>
      </c>
      <c r="D3953">
        <v>5</v>
      </c>
    </row>
    <row r="3954" spans="1:4" x14ac:dyDescent="0.25">
      <c r="A3954" t="s">
        <v>12892</v>
      </c>
      <c r="B3954">
        <v>740</v>
      </c>
      <c r="C3954" s="4">
        <v>5601.34</v>
      </c>
      <c r="D3954">
        <v>30</v>
      </c>
    </row>
    <row r="3955" spans="1:4" x14ac:dyDescent="0.25">
      <c r="A3955" t="s">
        <v>12893</v>
      </c>
      <c r="B3955">
        <v>412</v>
      </c>
      <c r="C3955" s="4">
        <v>3456.7</v>
      </c>
      <c r="D3955">
        <v>8</v>
      </c>
    </row>
    <row r="3956" spans="1:4" x14ac:dyDescent="0.25">
      <c r="A3956" t="s">
        <v>12894</v>
      </c>
      <c r="B3956">
        <v>94</v>
      </c>
      <c r="C3956" s="4">
        <v>833.74</v>
      </c>
      <c r="D3956">
        <v>3</v>
      </c>
    </row>
    <row r="3957" spans="1:4" x14ac:dyDescent="0.25">
      <c r="A3957" t="s">
        <v>12895</v>
      </c>
      <c r="B3957">
        <v>25</v>
      </c>
      <c r="C3957" s="4">
        <v>287.58999999999997</v>
      </c>
      <c r="D3957">
        <v>2</v>
      </c>
    </row>
    <row r="3958" spans="1:4" x14ac:dyDescent="0.25">
      <c r="A3958" t="s">
        <v>12896</v>
      </c>
      <c r="B3958">
        <v>19</v>
      </c>
      <c r="C3958" s="4">
        <v>712.78</v>
      </c>
      <c r="D3958">
        <v>1</v>
      </c>
    </row>
    <row r="3959" spans="1:4" x14ac:dyDescent="0.25">
      <c r="A3959" t="s">
        <v>12897</v>
      </c>
      <c r="B3959">
        <v>1</v>
      </c>
      <c r="C3959" s="4">
        <v>15</v>
      </c>
      <c r="D3959">
        <v>1</v>
      </c>
    </row>
    <row r="3960" spans="1:4" x14ac:dyDescent="0.25">
      <c r="A3960" t="s">
        <v>12898</v>
      </c>
      <c r="B3960">
        <v>75</v>
      </c>
      <c r="C3960" s="4">
        <v>818.82</v>
      </c>
      <c r="D3960">
        <v>2</v>
      </c>
    </row>
    <row r="3961" spans="1:4" x14ac:dyDescent="0.25">
      <c r="A3961" t="s">
        <v>12899</v>
      </c>
      <c r="B3961">
        <v>57</v>
      </c>
      <c r="C3961" s="4">
        <v>371.88</v>
      </c>
      <c r="D3961">
        <v>3</v>
      </c>
    </row>
    <row r="3962" spans="1:4" x14ac:dyDescent="0.25">
      <c r="A3962" t="s">
        <v>12900</v>
      </c>
      <c r="B3962">
        <v>21</v>
      </c>
      <c r="C3962" s="4">
        <v>271.2</v>
      </c>
      <c r="D3962">
        <v>1</v>
      </c>
    </row>
    <row r="3963" spans="1:4" x14ac:dyDescent="0.25">
      <c r="A3963" t="s">
        <v>12901</v>
      </c>
      <c r="B3963">
        <v>105</v>
      </c>
      <c r="C3963" s="4">
        <v>2273.1799999999998</v>
      </c>
      <c r="D3963">
        <v>3</v>
      </c>
    </row>
    <row r="3964" spans="1:4" x14ac:dyDescent="0.25">
      <c r="A3964" t="s">
        <v>12902</v>
      </c>
      <c r="B3964">
        <v>310</v>
      </c>
      <c r="C3964" s="4">
        <v>3997.98</v>
      </c>
      <c r="D3964">
        <v>10</v>
      </c>
    </row>
    <row r="3965" spans="1:4" x14ac:dyDescent="0.25">
      <c r="A3965" t="s">
        <v>12903</v>
      </c>
      <c r="B3965">
        <v>38</v>
      </c>
      <c r="C3965" s="4">
        <v>1143.27</v>
      </c>
      <c r="D3965">
        <v>5</v>
      </c>
    </row>
    <row r="3966" spans="1:4" x14ac:dyDescent="0.25">
      <c r="A3966" t="s">
        <v>12904</v>
      </c>
      <c r="B3966">
        <v>53</v>
      </c>
      <c r="C3966" s="4">
        <v>245.33</v>
      </c>
      <c r="D3966">
        <v>2</v>
      </c>
    </row>
    <row r="3967" spans="1:4" x14ac:dyDescent="0.25">
      <c r="A3967" t="s">
        <v>12905</v>
      </c>
      <c r="B3967">
        <v>53</v>
      </c>
      <c r="C3967" s="4">
        <v>182.77</v>
      </c>
      <c r="D3967">
        <v>2</v>
      </c>
    </row>
    <row r="3968" spans="1:4" x14ac:dyDescent="0.25">
      <c r="A3968" t="s">
        <v>12906</v>
      </c>
      <c r="B3968">
        <v>156</v>
      </c>
      <c r="C3968" s="4">
        <v>1225.4100000000001</v>
      </c>
      <c r="D3968">
        <v>4</v>
      </c>
    </row>
    <row r="3969" spans="1:4" x14ac:dyDescent="0.25">
      <c r="A3969" t="s">
        <v>12907</v>
      </c>
      <c r="B3969">
        <v>3</v>
      </c>
      <c r="C3969" s="4">
        <v>56.4</v>
      </c>
      <c r="D3969">
        <v>1</v>
      </c>
    </row>
    <row r="3970" spans="1:4" x14ac:dyDescent="0.25">
      <c r="A3970" t="s">
        <v>12908</v>
      </c>
      <c r="B3970">
        <v>194</v>
      </c>
      <c r="C3970" s="4">
        <v>665.86</v>
      </c>
      <c r="D3970">
        <v>3</v>
      </c>
    </row>
    <row r="3971" spans="1:4" x14ac:dyDescent="0.25">
      <c r="A3971" t="s">
        <v>12909</v>
      </c>
      <c r="B3971">
        <v>82</v>
      </c>
      <c r="C3971" s="4">
        <v>658.57</v>
      </c>
      <c r="D3971">
        <v>3</v>
      </c>
    </row>
    <row r="3972" spans="1:4" x14ac:dyDescent="0.25">
      <c r="A3972" t="s">
        <v>12910</v>
      </c>
      <c r="B3972">
        <v>12</v>
      </c>
      <c r="C3972" s="4">
        <v>188.02</v>
      </c>
      <c r="D3972">
        <v>2</v>
      </c>
    </row>
    <row r="3973" spans="1:4" x14ac:dyDescent="0.25">
      <c r="A3973" t="s">
        <v>12911</v>
      </c>
      <c r="B3973">
        <v>67</v>
      </c>
      <c r="C3973" s="4">
        <v>283.47000000000003</v>
      </c>
      <c r="D3973">
        <v>2</v>
      </c>
    </row>
    <row r="3974" spans="1:4" x14ac:dyDescent="0.25">
      <c r="A3974" t="s">
        <v>12912</v>
      </c>
      <c r="B3974">
        <v>13</v>
      </c>
      <c r="C3974" s="4">
        <v>131.94</v>
      </c>
      <c r="D3974">
        <v>1</v>
      </c>
    </row>
    <row r="3975" spans="1:4" x14ac:dyDescent="0.25">
      <c r="A3975" t="s">
        <v>12913</v>
      </c>
      <c r="B3975">
        <v>72</v>
      </c>
      <c r="C3975" s="4">
        <v>278.74</v>
      </c>
      <c r="D3975">
        <v>2</v>
      </c>
    </row>
    <row r="3976" spans="1:4" x14ac:dyDescent="0.25">
      <c r="A3976" t="s">
        <v>12914</v>
      </c>
      <c r="B3976">
        <v>134</v>
      </c>
      <c r="C3976" s="4">
        <v>1865.19</v>
      </c>
      <c r="D3976">
        <v>4</v>
      </c>
    </row>
    <row r="3977" spans="1:4" x14ac:dyDescent="0.25">
      <c r="A3977" t="s">
        <v>12915</v>
      </c>
      <c r="B3977">
        <v>4</v>
      </c>
      <c r="C3977" s="4">
        <v>1112.95</v>
      </c>
      <c r="D3977">
        <v>2</v>
      </c>
    </row>
    <row r="3978" spans="1:4" x14ac:dyDescent="0.25">
      <c r="A3978" t="s">
        <v>12916</v>
      </c>
      <c r="B3978">
        <v>14</v>
      </c>
      <c r="C3978" s="4">
        <v>225.9</v>
      </c>
      <c r="D3978">
        <v>1</v>
      </c>
    </row>
    <row r="3979" spans="1:4" x14ac:dyDescent="0.25">
      <c r="A3979" t="s">
        <v>12917</v>
      </c>
      <c r="B3979">
        <v>190</v>
      </c>
      <c r="C3979" s="4">
        <v>1965.55</v>
      </c>
      <c r="D3979">
        <v>14</v>
      </c>
    </row>
    <row r="3980" spans="1:4" x14ac:dyDescent="0.25">
      <c r="A3980" t="s">
        <v>12918</v>
      </c>
      <c r="B3980">
        <v>10</v>
      </c>
      <c r="C3980" s="4">
        <v>106.1</v>
      </c>
      <c r="D3980">
        <v>1</v>
      </c>
    </row>
    <row r="3981" spans="1:4" x14ac:dyDescent="0.25">
      <c r="A3981" t="s">
        <v>12919</v>
      </c>
      <c r="B3981">
        <v>58</v>
      </c>
      <c r="C3981" s="4">
        <v>323.04000000000002</v>
      </c>
      <c r="D3981">
        <v>1</v>
      </c>
    </row>
    <row r="3982" spans="1:4" x14ac:dyDescent="0.25">
      <c r="A3982" t="s">
        <v>12920</v>
      </c>
      <c r="B3982">
        <v>46</v>
      </c>
      <c r="C3982" s="4">
        <v>350.39</v>
      </c>
      <c r="D3982">
        <v>2</v>
      </c>
    </row>
    <row r="3983" spans="1:4" x14ac:dyDescent="0.25">
      <c r="A3983" t="s">
        <v>12921</v>
      </c>
      <c r="B3983">
        <v>82</v>
      </c>
      <c r="C3983" s="4">
        <v>697.9</v>
      </c>
      <c r="D3983">
        <v>4</v>
      </c>
    </row>
    <row r="3984" spans="1:4" x14ac:dyDescent="0.25">
      <c r="A3984" t="s">
        <v>12922</v>
      </c>
      <c r="B3984">
        <v>111</v>
      </c>
      <c r="C3984" s="4">
        <v>780.43</v>
      </c>
      <c r="D3984">
        <v>3</v>
      </c>
    </row>
    <row r="3985" spans="1:4" x14ac:dyDescent="0.25">
      <c r="A3985" t="s">
        <v>12923</v>
      </c>
      <c r="B3985">
        <v>408</v>
      </c>
      <c r="C3985" s="4">
        <v>3055.93</v>
      </c>
      <c r="D3985">
        <v>10</v>
      </c>
    </row>
    <row r="3986" spans="1:4" x14ac:dyDescent="0.25">
      <c r="A3986" t="s">
        <v>12924</v>
      </c>
      <c r="B3986">
        <v>103</v>
      </c>
      <c r="C3986" s="4">
        <v>1198.01</v>
      </c>
      <c r="D3986">
        <v>9</v>
      </c>
    </row>
    <row r="3987" spans="1:4" x14ac:dyDescent="0.25">
      <c r="A3987" t="s">
        <v>12925</v>
      </c>
      <c r="B3987">
        <v>140</v>
      </c>
      <c r="C3987" s="4">
        <v>1285.04</v>
      </c>
      <c r="D3987">
        <v>3</v>
      </c>
    </row>
    <row r="3988" spans="1:4" x14ac:dyDescent="0.25">
      <c r="A3988" t="s">
        <v>12926</v>
      </c>
      <c r="B3988">
        <v>10</v>
      </c>
      <c r="C3988" s="4">
        <v>512.30999999999995</v>
      </c>
      <c r="D3988">
        <v>1</v>
      </c>
    </row>
    <row r="3989" spans="1:4" x14ac:dyDescent="0.25">
      <c r="A3989" t="s">
        <v>12927</v>
      </c>
      <c r="B3989">
        <v>43</v>
      </c>
      <c r="C3989" s="4">
        <v>546.04</v>
      </c>
      <c r="D3989">
        <v>1</v>
      </c>
    </row>
    <row r="3990" spans="1:4" x14ac:dyDescent="0.25">
      <c r="A3990" t="s">
        <v>12928</v>
      </c>
      <c r="B3990">
        <v>61</v>
      </c>
      <c r="C3990" s="4">
        <v>5411.91</v>
      </c>
      <c r="D3990">
        <v>12</v>
      </c>
    </row>
    <row r="3991" spans="1:4" x14ac:dyDescent="0.25">
      <c r="A3991" t="s">
        <v>12929</v>
      </c>
      <c r="B3991">
        <v>850</v>
      </c>
      <c r="C3991" s="4">
        <v>7831.03</v>
      </c>
      <c r="D3991">
        <v>39</v>
      </c>
    </row>
    <row r="3992" spans="1:4" x14ac:dyDescent="0.25">
      <c r="A3992" t="s">
        <v>12930</v>
      </c>
      <c r="B3992">
        <v>141</v>
      </c>
      <c r="C3992" s="4">
        <v>732.16</v>
      </c>
      <c r="D3992">
        <v>4</v>
      </c>
    </row>
    <row r="3993" spans="1:4" x14ac:dyDescent="0.25">
      <c r="A3993" t="s">
        <v>12931</v>
      </c>
      <c r="B3993">
        <v>371</v>
      </c>
      <c r="C3993" s="4">
        <v>1770.88</v>
      </c>
      <c r="D3993">
        <v>5</v>
      </c>
    </row>
    <row r="3994" spans="1:4" x14ac:dyDescent="0.25">
      <c r="A3994" t="s">
        <v>12932</v>
      </c>
      <c r="B3994">
        <v>17</v>
      </c>
      <c r="C3994" s="4">
        <v>36.56</v>
      </c>
      <c r="D3994">
        <v>4</v>
      </c>
    </row>
    <row r="3995" spans="1:4" x14ac:dyDescent="0.25">
      <c r="A3995" t="s">
        <v>12933</v>
      </c>
      <c r="B3995">
        <v>33</v>
      </c>
      <c r="C3995" s="4">
        <v>387.68</v>
      </c>
      <c r="D3995">
        <v>3</v>
      </c>
    </row>
    <row r="3996" spans="1:4" x14ac:dyDescent="0.25">
      <c r="A3996" t="s">
        <v>12934</v>
      </c>
      <c r="B3996">
        <v>48</v>
      </c>
      <c r="C3996" s="4">
        <v>3704.87</v>
      </c>
      <c r="D3996">
        <v>7</v>
      </c>
    </row>
    <row r="3997" spans="1:4" x14ac:dyDescent="0.25">
      <c r="A3997" t="s">
        <v>12935</v>
      </c>
      <c r="B3997">
        <v>13</v>
      </c>
      <c r="C3997" s="4">
        <v>298.39999999999998</v>
      </c>
      <c r="D3997">
        <v>1</v>
      </c>
    </row>
    <row r="3998" spans="1:4" x14ac:dyDescent="0.25">
      <c r="A3998" t="s">
        <v>12936</v>
      </c>
      <c r="B3998">
        <v>220</v>
      </c>
      <c r="C3998" s="4">
        <v>1995.46</v>
      </c>
      <c r="D3998">
        <v>5</v>
      </c>
    </row>
    <row r="3999" spans="1:4" x14ac:dyDescent="0.25">
      <c r="A3999" t="s">
        <v>12937</v>
      </c>
      <c r="B3999">
        <v>64</v>
      </c>
      <c r="C3999" s="4">
        <v>1165.0899999999999</v>
      </c>
      <c r="D3999">
        <v>4</v>
      </c>
    </row>
    <row r="4000" spans="1:4" x14ac:dyDescent="0.25">
      <c r="A4000" t="s">
        <v>12938</v>
      </c>
      <c r="B4000">
        <v>30</v>
      </c>
      <c r="C4000" s="4">
        <v>889.24</v>
      </c>
      <c r="D4000">
        <v>1</v>
      </c>
    </row>
    <row r="4001" spans="1:4" x14ac:dyDescent="0.25">
      <c r="A4001" t="s">
        <v>12939</v>
      </c>
      <c r="B4001">
        <v>23</v>
      </c>
      <c r="C4001" s="4">
        <v>398.7</v>
      </c>
      <c r="D4001">
        <v>3</v>
      </c>
    </row>
    <row r="4002" spans="1:4" x14ac:dyDescent="0.25">
      <c r="A4002" t="s">
        <v>12940</v>
      </c>
      <c r="B4002">
        <v>2</v>
      </c>
      <c r="C4002" s="4">
        <v>35.4</v>
      </c>
      <c r="D4002">
        <v>1</v>
      </c>
    </row>
    <row r="4003" spans="1:4" x14ac:dyDescent="0.25">
      <c r="A4003" t="s">
        <v>12941</v>
      </c>
      <c r="B4003">
        <v>61</v>
      </c>
      <c r="C4003" s="4">
        <v>155.37</v>
      </c>
      <c r="D4003">
        <v>1</v>
      </c>
    </row>
    <row r="4004" spans="1:4" x14ac:dyDescent="0.25">
      <c r="A4004" t="s">
        <v>12942</v>
      </c>
      <c r="B4004">
        <v>61</v>
      </c>
      <c r="C4004" s="4">
        <v>350.64</v>
      </c>
      <c r="D4004">
        <v>3</v>
      </c>
    </row>
    <row r="4005" spans="1:4" x14ac:dyDescent="0.25">
      <c r="A4005" t="s">
        <v>12943</v>
      </c>
      <c r="B4005">
        <v>23</v>
      </c>
      <c r="C4005" s="4">
        <v>109.83</v>
      </c>
      <c r="D4005">
        <v>1</v>
      </c>
    </row>
    <row r="4006" spans="1:4" x14ac:dyDescent="0.25">
      <c r="A4006" t="s">
        <v>12944</v>
      </c>
      <c r="B4006">
        <v>168</v>
      </c>
      <c r="C4006" s="4">
        <v>1587.48</v>
      </c>
      <c r="D4006">
        <v>8</v>
      </c>
    </row>
    <row r="4007" spans="1:4" x14ac:dyDescent="0.25">
      <c r="A4007" t="s">
        <v>12945</v>
      </c>
      <c r="B4007">
        <v>121</v>
      </c>
      <c r="C4007" s="4">
        <v>2779.3</v>
      </c>
      <c r="D4007">
        <v>5</v>
      </c>
    </row>
    <row r="4008" spans="1:4" x14ac:dyDescent="0.25">
      <c r="A4008" t="s">
        <v>12946</v>
      </c>
      <c r="B4008">
        <v>56</v>
      </c>
      <c r="C4008" s="4">
        <v>338.8</v>
      </c>
      <c r="D4008">
        <v>1</v>
      </c>
    </row>
    <row r="4009" spans="1:4" x14ac:dyDescent="0.25">
      <c r="A4009" t="s">
        <v>12947</v>
      </c>
      <c r="B4009">
        <v>7838</v>
      </c>
      <c r="C4009" s="4">
        <v>40967.72</v>
      </c>
      <c r="D4009">
        <v>124</v>
      </c>
    </row>
    <row r="4010" spans="1:4" x14ac:dyDescent="0.25">
      <c r="A4010" t="s">
        <v>12948</v>
      </c>
      <c r="B4010">
        <v>35</v>
      </c>
      <c r="C4010" s="4">
        <v>197.73</v>
      </c>
      <c r="D4010">
        <v>1</v>
      </c>
    </row>
    <row r="4011" spans="1:4" x14ac:dyDescent="0.25">
      <c r="A4011" t="s">
        <v>12949</v>
      </c>
      <c r="B4011">
        <v>5</v>
      </c>
      <c r="C4011" s="4">
        <v>51.56</v>
      </c>
      <c r="D4011">
        <v>1</v>
      </c>
    </row>
    <row r="4012" spans="1:4" x14ac:dyDescent="0.25">
      <c r="A4012" t="s">
        <v>12950</v>
      </c>
      <c r="B4012">
        <v>51</v>
      </c>
      <c r="C4012" s="4">
        <v>901.2</v>
      </c>
      <c r="D4012">
        <v>9</v>
      </c>
    </row>
    <row r="4013" spans="1:4" x14ac:dyDescent="0.25">
      <c r="A4013" t="s">
        <v>12951</v>
      </c>
      <c r="B4013">
        <v>26</v>
      </c>
      <c r="C4013" s="4">
        <v>605.79999999999995</v>
      </c>
      <c r="D4013">
        <v>4</v>
      </c>
    </row>
    <row r="4014" spans="1:4" x14ac:dyDescent="0.25">
      <c r="A4014" t="s">
        <v>12952</v>
      </c>
      <c r="B4014">
        <v>297</v>
      </c>
      <c r="C4014" s="4">
        <v>5391.21</v>
      </c>
      <c r="D4014">
        <v>34</v>
      </c>
    </row>
    <row r="4015" spans="1:4" x14ac:dyDescent="0.25">
      <c r="A4015" t="s">
        <v>12953</v>
      </c>
      <c r="B4015">
        <v>24</v>
      </c>
      <c r="C4015" s="4">
        <v>114.34</v>
      </c>
      <c r="D4015">
        <v>2</v>
      </c>
    </row>
    <row r="4016" spans="1:4" x14ac:dyDescent="0.25">
      <c r="A4016" t="s">
        <v>12954</v>
      </c>
      <c r="B4016">
        <v>15</v>
      </c>
      <c r="C4016" s="4">
        <v>311.26</v>
      </c>
      <c r="D4016">
        <v>2</v>
      </c>
    </row>
    <row r="4017" spans="1:4" x14ac:dyDescent="0.25">
      <c r="A4017" t="s">
        <v>12955</v>
      </c>
      <c r="B4017">
        <v>17</v>
      </c>
      <c r="C4017" s="4">
        <v>208.97</v>
      </c>
      <c r="D4017">
        <v>1</v>
      </c>
    </row>
    <row r="4018" spans="1:4" x14ac:dyDescent="0.25">
      <c r="A4018" t="s">
        <v>12956</v>
      </c>
      <c r="B4018">
        <v>15</v>
      </c>
      <c r="C4018" s="4">
        <v>1418.03</v>
      </c>
      <c r="D4018">
        <v>4</v>
      </c>
    </row>
    <row r="4019" spans="1:4" x14ac:dyDescent="0.25">
      <c r="A4019" t="s">
        <v>12957</v>
      </c>
      <c r="B4019">
        <v>48</v>
      </c>
      <c r="C4019" s="4">
        <v>25301.54</v>
      </c>
      <c r="D4019">
        <v>22</v>
      </c>
    </row>
    <row r="4020" spans="1:4" x14ac:dyDescent="0.25">
      <c r="A4020" t="s">
        <v>12958</v>
      </c>
      <c r="B4020">
        <v>199</v>
      </c>
      <c r="C4020" s="4">
        <v>5155.66</v>
      </c>
      <c r="D4020">
        <v>12</v>
      </c>
    </row>
    <row r="4021" spans="1:4" x14ac:dyDescent="0.25">
      <c r="A4021" t="s">
        <v>12959</v>
      </c>
      <c r="B4021">
        <v>25</v>
      </c>
      <c r="C4021" s="4">
        <v>148.21</v>
      </c>
      <c r="D4021">
        <v>1</v>
      </c>
    </row>
    <row r="4022" spans="1:4" x14ac:dyDescent="0.25">
      <c r="A4022" t="s">
        <v>12960</v>
      </c>
      <c r="B4022">
        <v>58</v>
      </c>
      <c r="C4022" s="4">
        <v>252.8</v>
      </c>
      <c r="D4022">
        <v>1</v>
      </c>
    </row>
    <row r="4023" spans="1:4" x14ac:dyDescent="0.25">
      <c r="A4023" t="s">
        <v>12961</v>
      </c>
      <c r="B4023">
        <v>222</v>
      </c>
      <c r="C4023" s="4">
        <v>2100.8000000000002</v>
      </c>
      <c r="D4023">
        <v>8</v>
      </c>
    </row>
    <row r="4024" spans="1:4" x14ac:dyDescent="0.25">
      <c r="A4024" t="s">
        <v>12962</v>
      </c>
      <c r="B4024">
        <v>11</v>
      </c>
      <c r="C4024" s="4">
        <v>330.9</v>
      </c>
      <c r="D4024">
        <v>1</v>
      </c>
    </row>
    <row r="4025" spans="1:4" x14ac:dyDescent="0.25">
      <c r="A4025" t="s">
        <v>12963</v>
      </c>
      <c r="B4025">
        <v>148</v>
      </c>
      <c r="C4025" s="4">
        <v>3160</v>
      </c>
      <c r="D4025">
        <v>6</v>
      </c>
    </row>
    <row r="4026" spans="1:4" x14ac:dyDescent="0.25">
      <c r="A4026" t="s">
        <v>12964</v>
      </c>
      <c r="B4026">
        <v>102</v>
      </c>
      <c r="C4026" s="4">
        <v>597.5</v>
      </c>
      <c r="D4026">
        <v>3</v>
      </c>
    </row>
    <row r="4027" spans="1:4" x14ac:dyDescent="0.25">
      <c r="A4027" t="s">
        <v>12965</v>
      </c>
      <c r="B4027">
        <v>369</v>
      </c>
      <c r="C4027" s="4">
        <v>10524.22</v>
      </c>
      <c r="D4027">
        <v>20</v>
      </c>
    </row>
    <row r="4028" spans="1:4" x14ac:dyDescent="0.25">
      <c r="A4028" t="s">
        <v>12966</v>
      </c>
      <c r="B4028">
        <v>9</v>
      </c>
      <c r="C4028" s="4">
        <v>329.65</v>
      </c>
      <c r="D4028">
        <v>1</v>
      </c>
    </row>
    <row r="4029" spans="1:4" x14ac:dyDescent="0.25">
      <c r="A4029" t="s">
        <v>12967</v>
      </c>
      <c r="B4029">
        <v>79</v>
      </c>
      <c r="C4029" s="4">
        <v>1197.0999999999999</v>
      </c>
      <c r="D4029">
        <v>6</v>
      </c>
    </row>
    <row r="4030" spans="1:4" x14ac:dyDescent="0.25">
      <c r="A4030" t="s">
        <v>12968</v>
      </c>
      <c r="B4030">
        <v>40</v>
      </c>
      <c r="C4030" s="4">
        <v>428.18</v>
      </c>
      <c r="D4030">
        <v>5</v>
      </c>
    </row>
    <row r="4031" spans="1:4" x14ac:dyDescent="0.25">
      <c r="A4031" t="s">
        <v>12969</v>
      </c>
      <c r="B4031">
        <v>279</v>
      </c>
      <c r="C4031" s="4">
        <v>1894.35</v>
      </c>
      <c r="D4031">
        <v>12</v>
      </c>
    </row>
    <row r="4032" spans="1:4" x14ac:dyDescent="0.25">
      <c r="A4032" t="s">
        <v>12970</v>
      </c>
      <c r="B4032">
        <v>10</v>
      </c>
      <c r="C4032" s="4">
        <v>155.9</v>
      </c>
      <c r="D4032">
        <v>1</v>
      </c>
    </row>
    <row r="4033" spans="1:4" x14ac:dyDescent="0.25">
      <c r="A4033" t="s">
        <v>12971</v>
      </c>
      <c r="B4033">
        <v>43</v>
      </c>
      <c r="C4033" s="4">
        <v>1729.78</v>
      </c>
      <c r="D4033">
        <v>5</v>
      </c>
    </row>
    <row r="4034" spans="1:4" x14ac:dyDescent="0.25">
      <c r="A4034" t="s">
        <v>12972</v>
      </c>
      <c r="B4034">
        <v>46</v>
      </c>
      <c r="C4034" s="4">
        <v>683.46</v>
      </c>
      <c r="D4034">
        <v>6</v>
      </c>
    </row>
    <row r="4035" spans="1:4" x14ac:dyDescent="0.25">
      <c r="A4035" t="s">
        <v>12973</v>
      </c>
      <c r="B4035">
        <v>12</v>
      </c>
      <c r="C4035" s="4">
        <v>237.61</v>
      </c>
      <c r="D4035">
        <v>1</v>
      </c>
    </row>
    <row r="4036" spans="1:4" x14ac:dyDescent="0.25">
      <c r="A4036" t="s">
        <v>12974</v>
      </c>
      <c r="B4036">
        <v>26</v>
      </c>
      <c r="C4036" s="4">
        <v>379.45</v>
      </c>
      <c r="D4036">
        <v>1</v>
      </c>
    </row>
    <row r="4037" spans="1:4" x14ac:dyDescent="0.25">
      <c r="A4037" t="s">
        <v>12975</v>
      </c>
      <c r="B4037">
        <v>6</v>
      </c>
      <c r="C4037" s="4">
        <v>178.52</v>
      </c>
      <c r="D4037">
        <v>1</v>
      </c>
    </row>
    <row r="4038" spans="1:4" x14ac:dyDescent="0.25">
      <c r="A4038" t="s">
        <v>12976</v>
      </c>
      <c r="B4038">
        <v>26</v>
      </c>
      <c r="C4038" s="4">
        <v>458.92</v>
      </c>
      <c r="D4038">
        <v>1</v>
      </c>
    </row>
    <row r="4039" spans="1:4" x14ac:dyDescent="0.25">
      <c r="A4039" t="s">
        <v>12977</v>
      </c>
      <c r="B4039">
        <v>8</v>
      </c>
      <c r="C4039" s="4">
        <v>133.35</v>
      </c>
      <c r="D4039">
        <v>1</v>
      </c>
    </row>
    <row r="4040" spans="1:4" x14ac:dyDescent="0.25">
      <c r="A4040" t="s">
        <v>12978</v>
      </c>
      <c r="B4040">
        <v>145</v>
      </c>
      <c r="C4040" s="4">
        <v>671.77</v>
      </c>
      <c r="D4040">
        <v>4</v>
      </c>
    </row>
    <row r="4041" spans="1:4" x14ac:dyDescent="0.25">
      <c r="A4041" t="s">
        <v>12979</v>
      </c>
      <c r="B4041">
        <v>117</v>
      </c>
      <c r="C4041" s="4">
        <v>717.45</v>
      </c>
      <c r="D4041">
        <v>4</v>
      </c>
    </row>
    <row r="4042" spans="1:4" x14ac:dyDescent="0.25">
      <c r="A4042" t="s">
        <v>12980</v>
      </c>
      <c r="B4042">
        <v>64</v>
      </c>
      <c r="C4042" s="4">
        <v>190.19</v>
      </c>
      <c r="D4042">
        <v>1</v>
      </c>
    </row>
    <row r="4043" spans="1:4" x14ac:dyDescent="0.25">
      <c r="A4043" t="s">
        <v>12981</v>
      </c>
      <c r="B4043">
        <v>109</v>
      </c>
      <c r="C4043" s="4">
        <v>899.61</v>
      </c>
      <c r="D4043">
        <v>3</v>
      </c>
    </row>
    <row r="4044" spans="1:4" x14ac:dyDescent="0.25">
      <c r="A4044" t="s">
        <v>12982</v>
      </c>
      <c r="B4044">
        <v>10</v>
      </c>
      <c r="C4044" s="4">
        <v>111.35</v>
      </c>
      <c r="D4044">
        <v>1</v>
      </c>
    </row>
    <row r="4045" spans="1:4" x14ac:dyDescent="0.25">
      <c r="A4045" t="s">
        <v>12983</v>
      </c>
      <c r="B4045">
        <v>67</v>
      </c>
      <c r="C4045" s="4">
        <v>726.05</v>
      </c>
      <c r="D4045">
        <v>8</v>
      </c>
    </row>
    <row r="4046" spans="1:4" x14ac:dyDescent="0.25">
      <c r="A4046" t="s">
        <v>12984</v>
      </c>
      <c r="B4046">
        <v>21</v>
      </c>
      <c r="C4046" s="4">
        <v>203.87</v>
      </c>
      <c r="D4046">
        <v>2</v>
      </c>
    </row>
    <row r="4047" spans="1:4" x14ac:dyDescent="0.25">
      <c r="A4047" t="s">
        <v>12985</v>
      </c>
      <c r="B4047">
        <v>94</v>
      </c>
      <c r="C4047" s="4">
        <v>602.09</v>
      </c>
      <c r="D4047">
        <v>2</v>
      </c>
    </row>
    <row r="4048" spans="1:4" x14ac:dyDescent="0.25">
      <c r="A4048" t="s">
        <v>12986</v>
      </c>
      <c r="B4048">
        <v>34</v>
      </c>
      <c r="C4048" s="4">
        <v>203.86</v>
      </c>
      <c r="D4048">
        <v>1</v>
      </c>
    </row>
    <row r="4049" spans="1:4" x14ac:dyDescent="0.25">
      <c r="A4049" t="s">
        <v>12987</v>
      </c>
      <c r="B4049">
        <v>28</v>
      </c>
      <c r="C4049" s="4">
        <v>244.1</v>
      </c>
      <c r="D4049">
        <v>3</v>
      </c>
    </row>
    <row r="4050" spans="1:4" x14ac:dyDescent="0.25">
      <c r="A4050" t="s">
        <v>12988</v>
      </c>
      <c r="B4050">
        <v>16</v>
      </c>
      <c r="C4050" s="4">
        <v>112.25</v>
      </c>
      <c r="D4050">
        <v>1</v>
      </c>
    </row>
    <row r="4051" spans="1:4" x14ac:dyDescent="0.25">
      <c r="A4051" t="s">
        <v>12989</v>
      </c>
      <c r="B4051">
        <v>192</v>
      </c>
      <c r="C4051" s="4">
        <v>1119.3900000000001</v>
      </c>
      <c r="D4051">
        <v>8</v>
      </c>
    </row>
    <row r="4052" spans="1:4" x14ac:dyDescent="0.25">
      <c r="A4052" t="s">
        <v>12990</v>
      </c>
      <c r="B4052">
        <v>16</v>
      </c>
      <c r="C4052" s="4">
        <v>98</v>
      </c>
      <c r="D4052">
        <v>1</v>
      </c>
    </row>
    <row r="4053" spans="1:4" x14ac:dyDescent="0.25">
      <c r="A4053" t="s">
        <v>12991</v>
      </c>
      <c r="B4053">
        <v>2</v>
      </c>
      <c r="C4053" s="4">
        <v>256.32</v>
      </c>
      <c r="D4053">
        <v>1</v>
      </c>
    </row>
    <row r="4054" spans="1:4" x14ac:dyDescent="0.25">
      <c r="A4054" t="s">
        <v>12992</v>
      </c>
      <c r="B4054">
        <v>114</v>
      </c>
      <c r="C4054" s="4">
        <v>566.6</v>
      </c>
      <c r="D4054">
        <v>3</v>
      </c>
    </row>
    <row r="4055" spans="1:4" x14ac:dyDescent="0.25">
      <c r="A4055" t="s">
        <v>12993</v>
      </c>
      <c r="B4055">
        <v>28</v>
      </c>
      <c r="C4055" s="4">
        <v>152.06</v>
      </c>
      <c r="D4055">
        <v>2</v>
      </c>
    </row>
    <row r="4056" spans="1:4" x14ac:dyDescent="0.25">
      <c r="A4056" t="s">
        <v>12994</v>
      </c>
      <c r="B4056">
        <v>32</v>
      </c>
      <c r="C4056" s="4">
        <v>155.80000000000001</v>
      </c>
      <c r="D4056">
        <v>1</v>
      </c>
    </row>
    <row r="4057" spans="1:4" x14ac:dyDescent="0.25">
      <c r="A4057" t="s">
        <v>12995</v>
      </c>
      <c r="B4057">
        <v>6</v>
      </c>
      <c r="C4057" s="4">
        <v>112.2</v>
      </c>
      <c r="D4057">
        <v>2</v>
      </c>
    </row>
    <row r="4058" spans="1:4" x14ac:dyDescent="0.25">
      <c r="A4058" t="s">
        <v>12996</v>
      </c>
      <c r="B4058">
        <v>19</v>
      </c>
      <c r="C4058" s="4">
        <v>110.38</v>
      </c>
      <c r="D4058">
        <v>1</v>
      </c>
    </row>
    <row r="4059" spans="1:4" x14ac:dyDescent="0.25">
      <c r="A4059" t="s">
        <v>12997</v>
      </c>
      <c r="B4059">
        <v>38</v>
      </c>
      <c r="C4059" s="4">
        <v>191.67</v>
      </c>
      <c r="D4059">
        <v>1</v>
      </c>
    </row>
    <row r="4060" spans="1:4" x14ac:dyDescent="0.25">
      <c r="A4060" t="s">
        <v>12998</v>
      </c>
      <c r="B4060">
        <v>34</v>
      </c>
      <c r="C4060" s="4">
        <v>800.24</v>
      </c>
      <c r="D4060">
        <v>4</v>
      </c>
    </row>
    <row r="4061" spans="1:4" x14ac:dyDescent="0.25">
      <c r="A4061" t="s">
        <v>12999</v>
      </c>
      <c r="B4061">
        <v>12</v>
      </c>
      <c r="C4061" s="4">
        <v>72.900000000000006</v>
      </c>
      <c r="D4061">
        <v>1</v>
      </c>
    </row>
    <row r="4062" spans="1:4" x14ac:dyDescent="0.25">
      <c r="A4062" t="s">
        <v>4218</v>
      </c>
      <c r="B4062">
        <v>58</v>
      </c>
      <c r="C4062" s="4">
        <v>243.28</v>
      </c>
      <c r="D4062">
        <v>1</v>
      </c>
    </row>
    <row r="4063" spans="1:4" x14ac:dyDescent="0.25">
      <c r="A4063" t="s">
        <v>13000</v>
      </c>
      <c r="B4063">
        <v>39</v>
      </c>
      <c r="C4063" s="4">
        <v>366.23</v>
      </c>
      <c r="D4063">
        <v>1</v>
      </c>
    </row>
    <row r="4064" spans="1:4" x14ac:dyDescent="0.25">
      <c r="A4064" t="s">
        <v>13001</v>
      </c>
      <c r="B4064">
        <v>38</v>
      </c>
      <c r="C4064" s="4">
        <v>311.01</v>
      </c>
      <c r="D4064">
        <v>5</v>
      </c>
    </row>
    <row r="4065" spans="1:4" x14ac:dyDescent="0.25">
      <c r="A4065" t="s">
        <v>13002</v>
      </c>
      <c r="B4065">
        <v>59</v>
      </c>
      <c r="C4065" s="4">
        <v>411.6</v>
      </c>
      <c r="D4065">
        <v>2</v>
      </c>
    </row>
    <row r="4066" spans="1:4" x14ac:dyDescent="0.25">
      <c r="A4066" t="s">
        <v>13003</v>
      </c>
      <c r="B4066">
        <v>80</v>
      </c>
      <c r="C4066" s="4">
        <v>336.43</v>
      </c>
      <c r="D4066">
        <v>1</v>
      </c>
    </row>
    <row r="4067" spans="1:4" x14ac:dyDescent="0.25">
      <c r="A4067" t="s">
        <v>13004</v>
      </c>
      <c r="B4067">
        <v>94</v>
      </c>
      <c r="C4067" s="4">
        <v>341.28</v>
      </c>
      <c r="D4067">
        <v>3</v>
      </c>
    </row>
    <row r="4068" spans="1:4" x14ac:dyDescent="0.25">
      <c r="A4068" t="s">
        <v>13005</v>
      </c>
      <c r="B4068">
        <v>23</v>
      </c>
      <c r="C4068" s="4">
        <v>1304.04</v>
      </c>
      <c r="D4068">
        <v>1</v>
      </c>
    </row>
    <row r="4069" spans="1:4" x14ac:dyDescent="0.25">
      <c r="A4069" t="s">
        <v>13006</v>
      </c>
      <c r="B4069">
        <v>695</v>
      </c>
      <c r="C4069" s="4">
        <v>4192.2</v>
      </c>
      <c r="D4069">
        <v>17</v>
      </c>
    </row>
    <row r="4070" spans="1:4" x14ac:dyDescent="0.25">
      <c r="A4070" t="s">
        <v>13007</v>
      </c>
      <c r="B4070">
        <v>145</v>
      </c>
      <c r="C4070" s="4">
        <v>826.52</v>
      </c>
      <c r="D4070">
        <v>4</v>
      </c>
    </row>
    <row r="4071" spans="1:4" x14ac:dyDescent="0.25">
      <c r="A4071" t="s">
        <v>13008</v>
      </c>
      <c r="B4071">
        <v>1</v>
      </c>
      <c r="C4071" s="4">
        <v>207.5</v>
      </c>
      <c r="D4071">
        <v>1</v>
      </c>
    </row>
    <row r="4072" spans="1:4" x14ac:dyDescent="0.25">
      <c r="A4072" t="s">
        <v>13009</v>
      </c>
      <c r="B4072">
        <v>31</v>
      </c>
      <c r="C4072" s="4">
        <v>2962.5</v>
      </c>
      <c r="D4072">
        <v>7</v>
      </c>
    </row>
    <row r="4073" spans="1:4" x14ac:dyDescent="0.25">
      <c r="A4073" t="s">
        <v>13010</v>
      </c>
      <c r="B4073">
        <v>1</v>
      </c>
      <c r="C4073" s="4">
        <v>244.08</v>
      </c>
      <c r="D4073">
        <v>1</v>
      </c>
    </row>
    <row r="4074" spans="1:4" x14ac:dyDescent="0.25">
      <c r="A4074" t="s">
        <v>13011</v>
      </c>
      <c r="B4074">
        <v>21</v>
      </c>
      <c r="C4074" s="4">
        <v>397.29</v>
      </c>
      <c r="D4074">
        <v>2</v>
      </c>
    </row>
    <row r="4075" spans="1:4" x14ac:dyDescent="0.25">
      <c r="A4075" t="s">
        <v>13012</v>
      </c>
      <c r="B4075">
        <v>22</v>
      </c>
      <c r="C4075" s="4">
        <v>184.46</v>
      </c>
      <c r="D4075">
        <v>2</v>
      </c>
    </row>
    <row r="4076" spans="1:4" x14ac:dyDescent="0.25">
      <c r="A4076" t="s">
        <v>13013</v>
      </c>
      <c r="B4076">
        <v>5</v>
      </c>
      <c r="C4076" s="4">
        <v>843</v>
      </c>
      <c r="D4076">
        <v>4</v>
      </c>
    </row>
    <row r="4077" spans="1:4" x14ac:dyDescent="0.25">
      <c r="A4077" t="s">
        <v>13014</v>
      </c>
      <c r="B4077">
        <v>39</v>
      </c>
      <c r="C4077" s="4">
        <v>1740.48</v>
      </c>
      <c r="D4077">
        <v>5</v>
      </c>
    </row>
    <row r="4078" spans="1:4" x14ac:dyDescent="0.25">
      <c r="A4078" t="s">
        <v>13015</v>
      </c>
      <c r="B4078">
        <v>65</v>
      </c>
      <c r="C4078" s="4">
        <v>408.36</v>
      </c>
      <c r="D4078">
        <v>2</v>
      </c>
    </row>
    <row r="4079" spans="1:4" x14ac:dyDescent="0.25">
      <c r="A4079" t="s">
        <v>13016</v>
      </c>
      <c r="B4079">
        <v>90</v>
      </c>
      <c r="C4079" s="4">
        <v>1331.57</v>
      </c>
      <c r="D4079">
        <v>3</v>
      </c>
    </row>
    <row r="4080" spans="1:4" x14ac:dyDescent="0.25">
      <c r="A4080" t="s">
        <v>13017</v>
      </c>
      <c r="B4080">
        <v>21</v>
      </c>
      <c r="C4080" s="4">
        <v>704.25</v>
      </c>
      <c r="D4080">
        <v>2</v>
      </c>
    </row>
    <row r="4081" spans="1:4" x14ac:dyDescent="0.25">
      <c r="A4081" t="s">
        <v>13018</v>
      </c>
      <c r="B4081">
        <v>28</v>
      </c>
      <c r="C4081" s="4">
        <v>142.88999999999999</v>
      </c>
      <c r="D4081">
        <v>2</v>
      </c>
    </row>
    <row r="4082" spans="1:4" x14ac:dyDescent="0.25">
      <c r="A4082" t="s">
        <v>13019</v>
      </c>
      <c r="B4082">
        <v>77</v>
      </c>
      <c r="C4082" s="4">
        <v>389.84</v>
      </c>
      <c r="D4082">
        <v>1</v>
      </c>
    </row>
    <row r="4083" spans="1:4" x14ac:dyDescent="0.25">
      <c r="A4083" t="s">
        <v>13020</v>
      </c>
      <c r="B4083">
        <v>43</v>
      </c>
      <c r="C4083" s="4">
        <v>4301.22</v>
      </c>
      <c r="D4083">
        <v>7</v>
      </c>
    </row>
    <row r="4084" spans="1:4" x14ac:dyDescent="0.25">
      <c r="A4084" t="s">
        <v>13021</v>
      </c>
      <c r="B4084">
        <v>12</v>
      </c>
      <c r="C4084" s="4">
        <v>99.14</v>
      </c>
      <c r="D4084">
        <v>1</v>
      </c>
    </row>
    <row r="4085" spans="1:4" x14ac:dyDescent="0.25">
      <c r="A4085" t="s">
        <v>13022</v>
      </c>
      <c r="B4085">
        <v>18</v>
      </c>
      <c r="C4085" s="4">
        <v>2238.58</v>
      </c>
      <c r="D4085">
        <v>9</v>
      </c>
    </row>
    <row r="4086" spans="1:4" x14ac:dyDescent="0.25">
      <c r="A4086" t="s">
        <v>13023</v>
      </c>
      <c r="B4086">
        <v>2</v>
      </c>
      <c r="C4086" s="4">
        <v>304.56</v>
      </c>
      <c r="D4086">
        <v>1</v>
      </c>
    </row>
    <row r="4087" spans="1:4" x14ac:dyDescent="0.25">
      <c r="A4087" t="s">
        <v>13024</v>
      </c>
      <c r="B4087">
        <v>2</v>
      </c>
      <c r="C4087" s="4">
        <v>77.5</v>
      </c>
      <c r="D4087">
        <v>1</v>
      </c>
    </row>
    <row r="4088" spans="1:4" x14ac:dyDescent="0.25">
      <c r="A4088" t="s">
        <v>13025</v>
      </c>
      <c r="B4088">
        <v>20</v>
      </c>
      <c r="C4088" s="4">
        <v>149.58000000000001</v>
      </c>
      <c r="D4088">
        <v>2</v>
      </c>
    </row>
    <row r="4089" spans="1:4" x14ac:dyDescent="0.25">
      <c r="A4089" t="s">
        <v>13026</v>
      </c>
      <c r="B4089">
        <v>9</v>
      </c>
      <c r="C4089" s="4">
        <v>176.68</v>
      </c>
      <c r="D4089">
        <v>1</v>
      </c>
    </row>
    <row r="4090" spans="1:4" x14ac:dyDescent="0.25">
      <c r="A4090" t="s">
        <v>13027</v>
      </c>
      <c r="B4090">
        <v>1</v>
      </c>
      <c r="C4090" s="4">
        <v>358.56</v>
      </c>
      <c r="D4090">
        <v>1</v>
      </c>
    </row>
    <row r="4091" spans="1:4" x14ac:dyDescent="0.25">
      <c r="A4091" t="s">
        <v>13028</v>
      </c>
      <c r="B4091">
        <v>69</v>
      </c>
      <c r="C4091" s="4">
        <v>58030.48</v>
      </c>
      <c r="D4091">
        <v>44</v>
      </c>
    </row>
    <row r="4092" spans="1:4" x14ac:dyDescent="0.25">
      <c r="A4092" t="s">
        <v>13029</v>
      </c>
      <c r="B4092">
        <v>71</v>
      </c>
      <c r="C4092" s="4">
        <v>482.2</v>
      </c>
      <c r="D4092">
        <v>3</v>
      </c>
    </row>
    <row r="4093" spans="1:4" x14ac:dyDescent="0.25">
      <c r="A4093" t="s">
        <v>13030</v>
      </c>
      <c r="B4093">
        <v>20</v>
      </c>
      <c r="C4093" s="4">
        <v>1008.54</v>
      </c>
      <c r="D4093">
        <v>3</v>
      </c>
    </row>
    <row r="4094" spans="1:4" x14ac:dyDescent="0.25">
      <c r="A4094" t="s">
        <v>13031</v>
      </c>
      <c r="B4094">
        <v>485</v>
      </c>
      <c r="C4094" s="4">
        <v>2332.7199999999998</v>
      </c>
      <c r="D4094">
        <v>12</v>
      </c>
    </row>
    <row r="4095" spans="1:4" x14ac:dyDescent="0.25">
      <c r="A4095" t="s">
        <v>13032</v>
      </c>
      <c r="B4095">
        <v>19</v>
      </c>
      <c r="C4095" s="4">
        <v>557.29999999999995</v>
      </c>
      <c r="D4095">
        <v>4</v>
      </c>
    </row>
    <row r="4096" spans="1:4" x14ac:dyDescent="0.25">
      <c r="A4096" t="s">
        <v>13033</v>
      </c>
      <c r="B4096">
        <v>1</v>
      </c>
      <c r="C4096" s="4">
        <v>12.75</v>
      </c>
      <c r="D4096">
        <v>1</v>
      </c>
    </row>
    <row r="4097" spans="1:4" x14ac:dyDescent="0.25">
      <c r="A4097" t="s">
        <v>13034</v>
      </c>
      <c r="B4097">
        <v>30</v>
      </c>
      <c r="C4097" s="4">
        <v>110.72</v>
      </c>
      <c r="D4097">
        <v>1</v>
      </c>
    </row>
    <row r="4098" spans="1:4" x14ac:dyDescent="0.25">
      <c r="A4098" t="s">
        <v>13035</v>
      </c>
      <c r="B4098">
        <v>7</v>
      </c>
      <c r="C4098" s="4">
        <v>508.46</v>
      </c>
      <c r="D4098">
        <v>1</v>
      </c>
    </row>
    <row r="4099" spans="1:4" x14ac:dyDescent="0.25">
      <c r="A4099" t="s">
        <v>13036</v>
      </c>
      <c r="B4099">
        <v>26</v>
      </c>
      <c r="C4099" s="4">
        <v>73.78</v>
      </c>
      <c r="D4099">
        <v>1</v>
      </c>
    </row>
    <row r="4100" spans="1:4" x14ac:dyDescent="0.25">
      <c r="A4100" t="s">
        <v>13037</v>
      </c>
      <c r="B4100">
        <v>249</v>
      </c>
      <c r="C4100" s="4">
        <v>1296.44</v>
      </c>
      <c r="D4100">
        <v>39</v>
      </c>
    </row>
    <row r="4101" spans="1:4" x14ac:dyDescent="0.25">
      <c r="A4101" t="s">
        <v>13038</v>
      </c>
      <c r="B4101">
        <v>35</v>
      </c>
      <c r="C4101" s="4">
        <v>102.83</v>
      </c>
      <c r="D4101">
        <v>1</v>
      </c>
    </row>
    <row r="4102" spans="1:4" x14ac:dyDescent="0.25">
      <c r="A4102" t="s">
        <v>13039</v>
      </c>
      <c r="B4102">
        <v>104</v>
      </c>
      <c r="C4102" s="4">
        <v>471.7</v>
      </c>
      <c r="D4102">
        <v>2</v>
      </c>
    </row>
    <row r="4103" spans="1:4" x14ac:dyDescent="0.25">
      <c r="A4103" t="s">
        <v>13040</v>
      </c>
      <c r="B4103">
        <v>329</v>
      </c>
      <c r="C4103" s="4">
        <v>2622.57</v>
      </c>
      <c r="D4103">
        <v>14</v>
      </c>
    </row>
    <row r="4104" spans="1:4" x14ac:dyDescent="0.25">
      <c r="A4104" t="s">
        <v>13041</v>
      </c>
      <c r="B4104">
        <v>68</v>
      </c>
      <c r="C4104" s="4">
        <v>1098.43</v>
      </c>
      <c r="D4104">
        <v>5</v>
      </c>
    </row>
    <row r="4105" spans="1:4" x14ac:dyDescent="0.25">
      <c r="A4105" t="s">
        <v>13042</v>
      </c>
      <c r="B4105">
        <v>48</v>
      </c>
      <c r="C4105" s="4">
        <v>123.07</v>
      </c>
      <c r="D4105">
        <v>1</v>
      </c>
    </row>
    <row r="4106" spans="1:4" x14ac:dyDescent="0.25">
      <c r="A4106" t="s">
        <v>13043</v>
      </c>
      <c r="B4106">
        <v>85</v>
      </c>
      <c r="C4106" s="4">
        <v>277.35000000000002</v>
      </c>
      <c r="D4106">
        <v>1</v>
      </c>
    </row>
    <row r="4107" spans="1:4" x14ac:dyDescent="0.25">
      <c r="A4107" t="s">
        <v>13044</v>
      </c>
      <c r="B4107">
        <v>14</v>
      </c>
      <c r="C4107" s="4">
        <v>228.2</v>
      </c>
      <c r="D4107">
        <v>2</v>
      </c>
    </row>
    <row r="4108" spans="1:4" x14ac:dyDescent="0.25">
      <c r="A4108" t="s">
        <v>13045</v>
      </c>
      <c r="B4108">
        <v>31</v>
      </c>
      <c r="C4108" s="4">
        <v>582.59</v>
      </c>
      <c r="D4108">
        <v>1</v>
      </c>
    </row>
    <row r="4109" spans="1:4" x14ac:dyDescent="0.25">
      <c r="A4109" t="s">
        <v>13046</v>
      </c>
      <c r="B4109">
        <v>31</v>
      </c>
      <c r="C4109" s="4">
        <v>136.04</v>
      </c>
      <c r="D4109">
        <v>1</v>
      </c>
    </row>
    <row r="4110" spans="1:4" x14ac:dyDescent="0.25">
      <c r="A4110" t="s">
        <v>13047</v>
      </c>
      <c r="B4110">
        <v>15</v>
      </c>
      <c r="C4110" s="4">
        <v>337.04</v>
      </c>
      <c r="D4110">
        <v>1</v>
      </c>
    </row>
    <row r="4111" spans="1:4" x14ac:dyDescent="0.25">
      <c r="A4111" t="s">
        <v>13048</v>
      </c>
      <c r="B4111">
        <v>179</v>
      </c>
      <c r="C4111" s="4">
        <v>740.79</v>
      </c>
      <c r="D4111">
        <v>3</v>
      </c>
    </row>
    <row r="4112" spans="1:4" x14ac:dyDescent="0.25">
      <c r="A4112" t="s">
        <v>13049</v>
      </c>
      <c r="B4112">
        <v>295</v>
      </c>
      <c r="C4112" s="4">
        <v>4485.51</v>
      </c>
      <c r="D4112">
        <v>13</v>
      </c>
    </row>
    <row r="4113" spans="1:4" x14ac:dyDescent="0.25">
      <c r="A4113" t="s">
        <v>13050</v>
      </c>
      <c r="B4113">
        <v>65</v>
      </c>
      <c r="C4113" s="4">
        <v>353.19</v>
      </c>
      <c r="D4113">
        <v>1</v>
      </c>
    </row>
    <row r="4114" spans="1:4" x14ac:dyDescent="0.25">
      <c r="A4114" t="s">
        <v>13051</v>
      </c>
      <c r="B4114">
        <v>21</v>
      </c>
      <c r="C4114" s="4">
        <v>288.14</v>
      </c>
      <c r="D4114">
        <v>1</v>
      </c>
    </row>
    <row r="4115" spans="1:4" x14ac:dyDescent="0.25">
      <c r="A4115" t="s">
        <v>13052</v>
      </c>
      <c r="B4115">
        <v>12</v>
      </c>
      <c r="C4115" s="4">
        <v>300.92</v>
      </c>
      <c r="D4115">
        <v>1</v>
      </c>
    </row>
    <row r="4116" spans="1:4" x14ac:dyDescent="0.25">
      <c r="A4116" t="s">
        <v>13053</v>
      </c>
      <c r="B4116">
        <v>145</v>
      </c>
      <c r="C4116" s="4">
        <v>754.31</v>
      </c>
      <c r="D4116">
        <v>4</v>
      </c>
    </row>
    <row r="4117" spans="1:4" x14ac:dyDescent="0.25">
      <c r="A4117" t="s">
        <v>13054</v>
      </c>
      <c r="B4117">
        <v>30</v>
      </c>
      <c r="C4117" s="4">
        <v>811.45</v>
      </c>
      <c r="D4117">
        <v>3</v>
      </c>
    </row>
    <row r="4118" spans="1:4" x14ac:dyDescent="0.25">
      <c r="A4118" t="s">
        <v>13055</v>
      </c>
      <c r="B4118">
        <v>48</v>
      </c>
      <c r="C4118" s="4">
        <v>152.68</v>
      </c>
      <c r="D4118">
        <v>1</v>
      </c>
    </row>
    <row r="4119" spans="1:4" x14ac:dyDescent="0.25">
      <c r="A4119" t="s">
        <v>13056</v>
      </c>
      <c r="B4119">
        <v>23</v>
      </c>
      <c r="C4119" s="4">
        <v>634.95000000000005</v>
      </c>
      <c r="D4119">
        <v>1</v>
      </c>
    </row>
    <row r="4120" spans="1:4" x14ac:dyDescent="0.25">
      <c r="A4120" t="s">
        <v>13057</v>
      </c>
      <c r="B4120">
        <v>1</v>
      </c>
      <c r="C4120" s="4">
        <v>20.8</v>
      </c>
      <c r="D4120">
        <v>1</v>
      </c>
    </row>
    <row r="4121" spans="1:4" x14ac:dyDescent="0.25">
      <c r="A4121" t="s">
        <v>13058</v>
      </c>
      <c r="B4121">
        <v>13</v>
      </c>
      <c r="C4121" s="4">
        <v>198.57</v>
      </c>
      <c r="D4121">
        <v>1</v>
      </c>
    </row>
    <row r="4122" spans="1:4" x14ac:dyDescent="0.25">
      <c r="A4122" t="s">
        <v>13059</v>
      </c>
      <c r="B4122">
        <v>38</v>
      </c>
      <c r="C4122" s="4">
        <v>201.12</v>
      </c>
      <c r="D4122">
        <v>7</v>
      </c>
    </row>
    <row r="4123" spans="1:4" x14ac:dyDescent="0.25">
      <c r="A4123" t="s">
        <v>13060</v>
      </c>
      <c r="B4123">
        <v>29</v>
      </c>
      <c r="C4123" s="4">
        <v>630.84</v>
      </c>
      <c r="D4123">
        <v>3</v>
      </c>
    </row>
    <row r="4124" spans="1:4" x14ac:dyDescent="0.25">
      <c r="A4124" t="s">
        <v>13061</v>
      </c>
      <c r="B4124">
        <v>5</v>
      </c>
      <c r="C4124" s="4">
        <v>93.35</v>
      </c>
      <c r="D4124">
        <v>2</v>
      </c>
    </row>
    <row r="4125" spans="1:4" x14ac:dyDescent="0.25">
      <c r="A4125" t="s">
        <v>13062</v>
      </c>
      <c r="B4125">
        <v>81</v>
      </c>
      <c r="C4125" s="4">
        <v>678.49</v>
      </c>
      <c r="D4125">
        <v>4</v>
      </c>
    </row>
    <row r="4126" spans="1:4" x14ac:dyDescent="0.25">
      <c r="A4126" t="s">
        <v>13063</v>
      </c>
      <c r="B4126">
        <v>2</v>
      </c>
      <c r="C4126" s="4">
        <v>76.099999999999994</v>
      </c>
      <c r="D4126">
        <v>1</v>
      </c>
    </row>
    <row r="4127" spans="1:4" x14ac:dyDescent="0.25">
      <c r="A4127" t="s">
        <v>13064</v>
      </c>
      <c r="B4127">
        <v>166</v>
      </c>
      <c r="C4127" s="4">
        <v>1970.67</v>
      </c>
      <c r="D4127">
        <v>8</v>
      </c>
    </row>
    <row r="4128" spans="1:4" x14ac:dyDescent="0.25">
      <c r="A4128" t="s">
        <v>13065</v>
      </c>
      <c r="B4128">
        <v>93</v>
      </c>
      <c r="C4128" s="4">
        <v>382.06</v>
      </c>
      <c r="D4128">
        <v>2</v>
      </c>
    </row>
    <row r="4129" spans="1:4" x14ac:dyDescent="0.25">
      <c r="A4129" t="s">
        <v>13066</v>
      </c>
      <c r="B4129">
        <v>58</v>
      </c>
      <c r="C4129" s="4">
        <v>417.23</v>
      </c>
      <c r="D4129">
        <v>2</v>
      </c>
    </row>
    <row r="4130" spans="1:4" x14ac:dyDescent="0.25">
      <c r="A4130" t="s">
        <v>13067</v>
      </c>
      <c r="B4130">
        <v>40</v>
      </c>
      <c r="C4130" s="4">
        <v>169.47</v>
      </c>
      <c r="D4130">
        <v>1</v>
      </c>
    </row>
    <row r="4131" spans="1:4" x14ac:dyDescent="0.25">
      <c r="A4131" t="s">
        <v>13068</v>
      </c>
      <c r="B4131">
        <v>60</v>
      </c>
      <c r="C4131" s="4">
        <v>249.72</v>
      </c>
      <c r="D4131">
        <v>2</v>
      </c>
    </row>
    <row r="4132" spans="1:4" x14ac:dyDescent="0.25">
      <c r="A4132" t="s">
        <v>13069</v>
      </c>
      <c r="B4132">
        <v>22</v>
      </c>
      <c r="C4132" s="4">
        <v>444.68</v>
      </c>
      <c r="D4132">
        <v>1</v>
      </c>
    </row>
    <row r="4133" spans="1:4" x14ac:dyDescent="0.25">
      <c r="A4133" t="s">
        <v>13070</v>
      </c>
      <c r="B4133">
        <v>30</v>
      </c>
      <c r="C4133" s="4">
        <v>2116.19</v>
      </c>
      <c r="D4133">
        <v>9</v>
      </c>
    </row>
    <row r="4134" spans="1:4" x14ac:dyDescent="0.25">
      <c r="A4134" t="s">
        <v>13071</v>
      </c>
      <c r="B4134">
        <v>32</v>
      </c>
      <c r="C4134" s="4">
        <v>257.33999999999997</v>
      </c>
      <c r="D4134">
        <v>1</v>
      </c>
    </row>
    <row r="4135" spans="1:4" x14ac:dyDescent="0.25">
      <c r="A4135" t="s">
        <v>13072</v>
      </c>
      <c r="B4135">
        <v>14</v>
      </c>
      <c r="C4135" s="4">
        <v>174.8</v>
      </c>
      <c r="D4135">
        <v>1</v>
      </c>
    </row>
    <row r="4136" spans="1:4" x14ac:dyDescent="0.25">
      <c r="A4136" t="s">
        <v>13073</v>
      </c>
      <c r="B4136">
        <v>28</v>
      </c>
      <c r="C4136" s="4">
        <v>102.79</v>
      </c>
      <c r="D4136">
        <v>1</v>
      </c>
    </row>
    <row r="4137" spans="1:4" x14ac:dyDescent="0.25">
      <c r="A4137" t="s">
        <v>13074</v>
      </c>
      <c r="B4137">
        <v>31</v>
      </c>
      <c r="C4137" s="4">
        <v>187.29</v>
      </c>
      <c r="D4137">
        <v>2</v>
      </c>
    </row>
    <row r="4138" spans="1:4" x14ac:dyDescent="0.25">
      <c r="A4138" t="s">
        <v>13075</v>
      </c>
      <c r="B4138">
        <v>31</v>
      </c>
      <c r="C4138" s="4">
        <v>158.47</v>
      </c>
      <c r="D4138">
        <v>1</v>
      </c>
    </row>
    <row r="4139" spans="1:4" x14ac:dyDescent="0.25">
      <c r="A4139" t="s">
        <v>13076</v>
      </c>
      <c r="B4139">
        <v>46</v>
      </c>
      <c r="C4139" s="4">
        <v>120.03</v>
      </c>
      <c r="D4139">
        <v>1</v>
      </c>
    </row>
    <row r="4140" spans="1:4" x14ac:dyDescent="0.25">
      <c r="A4140" t="s">
        <v>13077</v>
      </c>
      <c r="B4140">
        <v>123</v>
      </c>
      <c r="C4140" s="4">
        <v>1483.56</v>
      </c>
      <c r="D4140">
        <v>5</v>
      </c>
    </row>
    <row r="4141" spans="1:4" x14ac:dyDescent="0.25">
      <c r="A4141" t="s">
        <v>13078</v>
      </c>
      <c r="B4141">
        <v>3</v>
      </c>
      <c r="C4141" s="4">
        <v>523</v>
      </c>
      <c r="D4141">
        <v>3</v>
      </c>
    </row>
    <row r="4142" spans="1:4" x14ac:dyDescent="0.25">
      <c r="A4142" t="s">
        <v>13079</v>
      </c>
      <c r="B4142">
        <v>29</v>
      </c>
      <c r="C4142" s="4">
        <v>122.14</v>
      </c>
      <c r="D4142">
        <v>2</v>
      </c>
    </row>
    <row r="4143" spans="1:4" x14ac:dyDescent="0.25">
      <c r="A4143" t="s">
        <v>13080</v>
      </c>
      <c r="B4143">
        <v>5</v>
      </c>
      <c r="C4143" s="4">
        <v>38.450000000000003</v>
      </c>
      <c r="D4143">
        <v>1</v>
      </c>
    </row>
    <row r="4144" spans="1:4" x14ac:dyDescent="0.25">
      <c r="A4144" t="s">
        <v>13081</v>
      </c>
      <c r="B4144">
        <v>191</v>
      </c>
      <c r="C4144" s="4">
        <v>668.11</v>
      </c>
      <c r="D4144">
        <v>1</v>
      </c>
    </row>
    <row r="4145" spans="1:4" x14ac:dyDescent="0.25">
      <c r="A4145" t="s">
        <v>13082</v>
      </c>
      <c r="B4145">
        <v>21</v>
      </c>
      <c r="C4145" s="4">
        <v>389.78</v>
      </c>
      <c r="D4145">
        <v>2</v>
      </c>
    </row>
    <row r="4146" spans="1:4" x14ac:dyDescent="0.25">
      <c r="A4146" t="s">
        <v>13083</v>
      </c>
      <c r="B4146">
        <v>21</v>
      </c>
      <c r="C4146" s="4">
        <v>115.31</v>
      </c>
      <c r="D4146">
        <v>1</v>
      </c>
    </row>
    <row r="4147" spans="1:4" x14ac:dyDescent="0.25">
      <c r="A4147" t="s">
        <v>13084</v>
      </c>
      <c r="B4147">
        <v>9</v>
      </c>
      <c r="C4147" s="4">
        <v>230.65</v>
      </c>
      <c r="D4147">
        <v>2</v>
      </c>
    </row>
    <row r="4148" spans="1:4" x14ac:dyDescent="0.25">
      <c r="A4148" t="s">
        <v>13085</v>
      </c>
      <c r="B4148">
        <v>5</v>
      </c>
      <c r="C4148" s="4">
        <v>73.5</v>
      </c>
      <c r="D4148">
        <v>1</v>
      </c>
    </row>
    <row r="4149" spans="1:4" x14ac:dyDescent="0.25">
      <c r="A4149" t="s">
        <v>13086</v>
      </c>
      <c r="B4149">
        <v>34</v>
      </c>
      <c r="C4149" s="4">
        <v>97.97</v>
      </c>
      <c r="D4149">
        <v>1</v>
      </c>
    </row>
    <row r="4150" spans="1:4" x14ac:dyDescent="0.25">
      <c r="A4150" t="s">
        <v>13087</v>
      </c>
      <c r="B4150">
        <v>112</v>
      </c>
      <c r="C4150" s="4">
        <v>422.88</v>
      </c>
      <c r="D4150">
        <v>2</v>
      </c>
    </row>
    <row r="4151" spans="1:4" x14ac:dyDescent="0.25">
      <c r="A4151" t="s">
        <v>13088</v>
      </c>
      <c r="B4151">
        <v>53</v>
      </c>
      <c r="C4151" s="4">
        <v>730.4</v>
      </c>
      <c r="D4151">
        <v>3</v>
      </c>
    </row>
    <row r="4152" spans="1:4" x14ac:dyDescent="0.25">
      <c r="A4152" t="s">
        <v>13089</v>
      </c>
      <c r="B4152">
        <v>96</v>
      </c>
      <c r="C4152" s="4">
        <v>405.62</v>
      </c>
      <c r="D4152">
        <v>3</v>
      </c>
    </row>
    <row r="4153" spans="1:4" x14ac:dyDescent="0.25">
      <c r="A4153" t="s">
        <v>13090</v>
      </c>
      <c r="B4153">
        <v>19</v>
      </c>
      <c r="C4153" s="4">
        <v>70.02</v>
      </c>
      <c r="D4153">
        <v>6</v>
      </c>
    </row>
    <row r="4154" spans="1:4" x14ac:dyDescent="0.25">
      <c r="A4154" t="s">
        <v>13091</v>
      </c>
      <c r="B4154">
        <v>19</v>
      </c>
      <c r="C4154" s="4">
        <v>357.2</v>
      </c>
      <c r="D4154">
        <v>2</v>
      </c>
    </row>
    <row r="4155" spans="1:4" x14ac:dyDescent="0.25">
      <c r="A4155" t="s">
        <v>13092</v>
      </c>
      <c r="B4155">
        <v>472</v>
      </c>
      <c r="C4155" s="4">
        <v>4183.3900000000003</v>
      </c>
      <c r="D4155">
        <v>21</v>
      </c>
    </row>
    <row r="4156" spans="1:4" x14ac:dyDescent="0.25">
      <c r="A4156" t="s">
        <v>13093</v>
      </c>
      <c r="B4156">
        <v>7</v>
      </c>
      <c r="C4156" s="4">
        <v>165.05</v>
      </c>
      <c r="D4156">
        <v>1</v>
      </c>
    </row>
    <row r="4157" spans="1:4" x14ac:dyDescent="0.25">
      <c r="A4157" t="s">
        <v>13094</v>
      </c>
      <c r="B4157">
        <v>121</v>
      </c>
      <c r="C4157" s="4">
        <v>559.51</v>
      </c>
      <c r="D4157">
        <v>3</v>
      </c>
    </row>
    <row r="4158" spans="1:4" x14ac:dyDescent="0.25">
      <c r="A4158" t="s">
        <v>13095</v>
      </c>
      <c r="B4158">
        <v>127</v>
      </c>
      <c r="C4158" s="4">
        <v>2088.6</v>
      </c>
      <c r="D4158">
        <v>10</v>
      </c>
    </row>
    <row r="4159" spans="1:4" x14ac:dyDescent="0.25">
      <c r="A4159" t="s">
        <v>13096</v>
      </c>
      <c r="B4159">
        <v>47</v>
      </c>
      <c r="C4159" s="4">
        <v>189.4</v>
      </c>
      <c r="D4159">
        <v>1</v>
      </c>
    </row>
    <row r="4160" spans="1:4" x14ac:dyDescent="0.25">
      <c r="A4160" t="s">
        <v>13097</v>
      </c>
      <c r="B4160">
        <v>7</v>
      </c>
      <c r="C4160" s="4">
        <v>172.29</v>
      </c>
      <c r="D4160">
        <v>2</v>
      </c>
    </row>
    <row r="4161" spans="1:4" x14ac:dyDescent="0.25">
      <c r="A4161" t="s">
        <v>13098</v>
      </c>
      <c r="B4161">
        <v>5</v>
      </c>
      <c r="C4161" s="4">
        <v>74.400000000000006</v>
      </c>
      <c r="D4161">
        <v>1</v>
      </c>
    </row>
    <row r="4162" spans="1:4" x14ac:dyDescent="0.25">
      <c r="A4162" t="s">
        <v>13099</v>
      </c>
      <c r="B4162">
        <v>20</v>
      </c>
      <c r="C4162" s="4">
        <v>300.02</v>
      </c>
      <c r="D4162">
        <v>1</v>
      </c>
    </row>
    <row r="4163" spans="1:4" x14ac:dyDescent="0.25">
      <c r="A4163" t="s">
        <v>13100</v>
      </c>
      <c r="B4163">
        <v>360</v>
      </c>
      <c r="C4163" s="4">
        <v>6784.19</v>
      </c>
      <c r="D4163">
        <v>10</v>
      </c>
    </row>
    <row r="4164" spans="1:4" x14ac:dyDescent="0.25">
      <c r="A4164" t="s">
        <v>13101</v>
      </c>
      <c r="B4164">
        <v>19</v>
      </c>
      <c r="C4164" s="4">
        <v>363.65</v>
      </c>
      <c r="D4164">
        <v>1</v>
      </c>
    </row>
    <row r="4165" spans="1:4" x14ac:dyDescent="0.25">
      <c r="A4165" t="s">
        <v>13102</v>
      </c>
      <c r="B4165">
        <v>3</v>
      </c>
      <c r="C4165" s="4">
        <v>170.16</v>
      </c>
      <c r="D4165">
        <v>1</v>
      </c>
    </row>
    <row r="4166" spans="1:4" x14ac:dyDescent="0.25">
      <c r="A4166" t="s">
        <v>13103</v>
      </c>
      <c r="B4166">
        <v>18</v>
      </c>
      <c r="C4166" s="4">
        <v>306.45999999999998</v>
      </c>
      <c r="D4166">
        <v>3</v>
      </c>
    </row>
    <row r="4167" spans="1:4" x14ac:dyDescent="0.25">
      <c r="A4167" t="s">
        <v>13104</v>
      </c>
      <c r="B4167">
        <v>46</v>
      </c>
      <c r="C4167" s="4">
        <v>2119.41</v>
      </c>
      <c r="D4167">
        <v>10</v>
      </c>
    </row>
    <row r="4168" spans="1:4" x14ac:dyDescent="0.25">
      <c r="A4168" t="s">
        <v>13105</v>
      </c>
      <c r="B4168">
        <v>27</v>
      </c>
      <c r="C4168" s="4">
        <v>720.52</v>
      </c>
      <c r="D4168">
        <v>3</v>
      </c>
    </row>
    <row r="4169" spans="1:4" x14ac:dyDescent="0.25">
      <c r="A4169" t="s">
        <v>13106</v>
      </c>
      <c r="B4169">
        <v>7</v>
      </c>
      <c r="C4169" s="4">
        <v>814</v>
      </c>
      <c r="D4169">
        <v>2</v>
      </c>
    </row>
    <row r="4170" spans="1:4" x14ac:dyDescent="0.25">
      <c r="A4170" t="s">
        <v>13107</v>
      </c>
      <c r="B4170">
        <v>137</v>
      </c>
      <c r="C4170" s="4">
        <v>2392.83</v>
      </c>
      <c r="D4170">
        <v>14</v>
      </c>
    </row>
    <row r="4171" spans="1:4" x14ac:dyDescent="0.25">
      <c r="A4171" t="s">
        <v>13108</v>
      </c>
      <c r="B4171">
        <v>10</v>
      </c>
      <c r="C4171" s="4">
        <v>318</v>
      </c>
      <c r="D4171">
        <v>1</v>
      </c>
    </row>
    <row r="4172" spans="1:4" x14ac:dyDescent="0.25">
      <c r="A4172" t="s">
        <v>13109</v>
      </c>
      <c r="B4172">
        <v>37</v>
      </c>
      <c r="C4172" s="4">
        <v>396.33</v>
      </c>
      <c r="D4172">
        <v>1</v>
      </c>
    </row>
    <row r="4173" spans="1:4" x14ac:dyDescent="0.25">
      <c r="A4173" t="s">
        <v>13110</v>
      </c>
      <c r="B4173">
        <v>1</v>
      </c>
      <c r="C4173" s="4">
        <v>101.7</v>
      </c>
      <c r="D4173">
        <v>1</v>
      </c>
    </row>
    <row r="4174" spans="1:4" x14ac:dyDescent="0.25">
      <c r="A4174" t="s">
        <v>13111</v>
      </c>
      <c r="B4174">
        <v>470</v>
      </c>
      <c r="C4174" s="4">
        <v>2036.67</v>
      </c>
      <c r="D4174">
        <v>5</v>
      </c>
    </row>
    <row r="4175" spans="1:4" x14ac:dyDescent="0.25">
      <c r="A4175" t="s">
        <v>13112</v>
      </c>
      <c r="B4175">
        <v>25</v>
      </c>
      <c r="C4175" s="4">
        <v>453</v>
      </c>
      <c r="D4175">
        <v>2</v>
      </c>
    </row>
    <row r="4176" spans="1:4" x14ac:dyDescent="0.25">
      <c r="A4176" t="s">
        <v>13113</v>
      </c>
      <c r="B4176">
        <v>18</v>
      </c>
      <c r="C4176" s="4">
        <v>247.44</v>
      </c>
      <c r="D4176">
        <v>1</v>
      </c>
    </row>
    <row r="4177" spans="1:4" x14ac:dyDescent="0.25">
      <c r="A4177" t="s">
        <v>13114</v>
      </c>
      <c r="B4177">
        <v>73</v>
      </c>
      <c r="C4177" s="4">
        <v>3877.52</v>
      </c>
      <c r="D4177">
        <v>12</v>
      </c>
    </row>
    <row r="4178" spans="1:4" x14ac:dyDescent="0.25">
      <c r="A4178" t="s">
        <v>13115</v>
      </c>
      <c r="B4178">
        <v>13</v>
      </c>
      <c r="C4178" s="4">
        <v>489.6</v>
      </c>
      <c r="D4178">
        <v>1</v>
      </c>
    </row>
    <row r="4179" spans="1:4" x14ac:dyDescent="0.25">
      <c r="A4179" t="s">
        <v>13116</v>
      </c>
      <c r="B4179">
        <v>142</v>
      </c>
      <c r="C4179" s="4">
        <v>2611.75</v>
      </c>
      <c r="D4179">
        <v>10</v>
      </c>
    </row>
    <row r="4180" spans="1:4" x14ac:dyDescent="0.25">
      <c r="A4180" t="s">
        <v>13117</v>
      </c>
      <c r="B4180">
        <v>227</v>
      </c>
      <c r="C4180" s="4">
        <v>2633.01</v>
      </c>
      <c r="D4180">
        <v>11</v>
      </c>
    </row>
    <row r="4181" spans="1:4" x14ac:dyDescent="0.25">
      <c r="A4181" t="s">
        <v>13118</v>
      </c>
      <c r="B4181">
        <v>29</v>
      </c>
      <c r="C4181" s="4">
        <v>336.13</v>
      </c>
      <c r="D4181">
        <v>2</v>
      </c>
    </row>
    <row r="4182" spans="1:4" x14ac:dyDescent="0.25">
      <c r="A4182" t="s">
        <v>13119</v>
      </c>
      <c r="B4182">
        <v>127</v>
      </c>
      <c r="C4182" s="4">
        <v>3651.97</v>
      </c>
      <c r="D4182">
        <v>4</v>
      </c>
    </row>
    <row r="4183" spans="1:4" x14ac:dyDescent="0.25">
      <c r="A4183" t="s">
        <v>13120</v>
      </c>
      <c r="B4183">
        <v>2</v>
      </c>
      <c r="C4183" s="4">
        <v>1231.5</v>
      </c>
      <c r="D4183">
        <v>2</v>
      </c>
    </row>
    <row r="4184" spans="1:4" x14ac:dyDescent="0.25">
      <c r="A4184" t="s">
        <v>13121</v>
      </c>
      <c r="B4184">
        <v>17</v>
      </c>
      <c r="C4184" s="4">
        <v>343.45</v>
      </c>
      <c r="D4184">
        <v>3</v>
      </c>
    </row>
    <row r="4185" spans="1:4" x14ac:dyDescent="0.25">
      <c r="A4185" t="s">
        <v>13122</v>
      </c>
      <c r="B4185">
        <v>73</v>
      </c>
      <c r="C4185" s="4">
        <v>703.37</v>
      </c>
      <c r="D4185">
        <v>1</v>
      </c>
    </row>
    <row r="4186" spans="1:4" x14ac:dyDescent="0.25">
      <c r="A4186" t="s">
        <v>13123</v>
      </c>
      <c r="B4186">
        <v>1</v>
      </c>
      <c r="C4186" s="4">
        <v>90.48</v>
      </c>
      <c r="D4186">
        <v>1</v>
      </c>
    </row>
    <row r="4187" spans="1:4" x14ac:dyDescent="0.25">
      <c r="A4187" t="s">
        <v>13124</v>
      </c>
      <c r="B4187">
        <v>29</v>
      </c>
      <c r="C4187" s="4">
        <v>689.95</v>
      </c>
      <c r="D4187">
        <v>2</v>
      </c>
    </row>
    <row r="4188" spans="1:4" x14ac:dyDescent="0.25">
      <c r="A4188" t="s">
        <v>13125</v>
      </c>
      <c r="B4188">
        <v>7</v>
      </c>
      <c r="C4188" s="4">
        <v>101.34</v>
      </c>
      <c r="D4188">
        <v>1</v>
      </c>
    </row>
    <row r="4189" spans="1:4" x14ac:dyDescent="0.25">
      <c r="A4189" t="s">
        <v>13126</v>
      </c>
      <c r="B4189">
        <v>1</v>
      </c>
      <c r="C4189" s="4">
        <v>3202.92</v>
      </c>
      <c r="D4189">
        <v>1</v>
      </c>
    </row>
    <row r="4190" spans="1:4" x14ac:dyDescent="0.25">
      <c r="A4190" t="s">
        <v>13127</v>
      </c>
      <c r="B4190">
        <v>39</v>
      </c>
      <c r="C4190" s="4">
        <v>167.67</v>
      </c>
      <c r="D4190">
        <v>1</v>
      </c>
    </row>
    <row r="4191" spans="1:4" x14ac:dyDescent="0.25">
      <c r="A4191" t="s">
        <v>13128</v>
      </c>
      <c r="B4191">
        <v>89</v>
      </c>
      <c r="C4191" s="4">
        <v>9068.26</v>
      </c>
      <c r="D4191">
        <v>11</v>
      </c>
    </row>
    <row r="4192" spans="1:4" x14ac:dyDescent="0.25">
      <c r="A4192" t="s">
        <v>13129</v>
      </c>
      <c r="B4192">
        <v>36</v>
      </c>
      <c r="C4192" s="4">
        <v>2106.52</v>
      </c>
      <c r="D4192">
        <v>4</v>
      </c>
    </row>
    <row r="4193" spans="1:4" x14ac:dyDescent="0.25">
      <c r="A4193" t="s">
        <v>13130</v>
      </c>
      <c r="B4193">
        <v>70</v>
      </c>
      <c r="C4193" s="4">
        <v>3017.3</v>
      </c>
      <c r="D4193">
        <v>7</v>
      </c>
    </row>
    <row r="4194" spans="1:4" x14ac:dyDescent="0.25">
      <c r="A4194" t="s">
        <v>13131</v>
      </c>
      <c r="B4194">
        <v>21</v>
      </c>
      <c r="C4194" s="4">
        <v>580.04999999999995</v>
      </c>
      <c r="D4194">
        <v>2</v>
      </c>
    </row>
    <row r="4195" spans="1:4" x14ac:dyDescent="0.25">
      <c r="A4195" t="s">
        <v>13132</v>
      </c>
      <c r="B4195">
        <v>213</v>
      </c>
      <c r="C4195" s="4">
        <v>911.15</v>
      </c>
      <c r="D4195">
        <v>3</v>
      </c>
    </row>
    <row r="4196" spans="1:4" x14ac:dyDescent="0.25">
      <c r="A4196" t="s">
        <v>13133</v>
      </c>
      <c r="B4196">
        <v>108</v>
      </c>
      <c r="C4196" s="4">
        <v>2697.8</v>
      </c>
      <c r="D4196">
        <v>6</v>
      </c>
    </row>
    <row r="4197" spans="1:4" x14ac:dyDescent="0.25">
      <c r="A4197" t="s">
        <v>13134</v>
      </c>
      <c r="B4197">
        <v>19</v>
      </c>
      <c r="C4197" s="4">
        <v>168.31</v>
      </c>
      <c r="D4197">
        <v>1</v>
      </c>
    </row>
    <row r="4198" spans="1:4" x14ac:dyDescent="0.25">
      <c r="A4198" t="s">
        <v>13135</v>
      </c>
      <c r="B4198">
        <v>41</v>
      </c>
      <c r="C4198" s="4">
        <v>223.65</v>
      </c>
      <c r="D4198">
        <v>2</v>
      </c>
    </row>
    <row r="4199" spans="1:4" x14ac:dyDescent="0.25">
      <c r="A4199" t="s">
        <v>13136</v>
      </c>
      <c r="B4199">
        <v>431</v>
      </c>
      <c r="C4199" s="4">
        <v>259657.3</v>
      </c>
      <c r="D4199">
        <v>60</v>
      </c>
    </row>
    <row r="4200" spans="1:4" x14ac:dyDescent="0.25">
      <c r="A4200" t="s">
        <v>13137</v>
      </c>
      <c r="B4200">
        <v>38</v>
      </c>
      <c r="C4200" s="4">
        <v>754.64</v>
      </c>
      <c r="D4200">
        <v>1</v>
      </c>
    </row>
    <row r="4201" spans="1:4" x14ac:dyDescent="0.25">
      <c r="A4201" t="s">
        <v>13138</v>
      </c>
      <c r="B4201">
        <v>18</v>
      </c>
      <c r="C4201" s="4">
        <v>113.48</v>
      </c>
      <c r="D4201">
        <v>1</v>
      </c>
    </row>
    <row r="4202" spans="1:4" x14ac:dyDescent="0.25">
      <c r="A4202" t="s">
        <v>13139</v>
      </c>
      <c r="B4202">
        <v>39</v>
      </c>
      <c r="C4202" s="4">
        <v>430.7</v>
      </c>
      <c r="D4202">
        <v>1</v>
      </c>
    </row>
    <row r="4203" spans="1:4" x14ac:dyDescent="0.25">
      <c r="A4203" t="s">
        <v>13140</v>
      </c>
      <c r="B4203">
        <v>17</v>
      </c>
      <c r="C4203" s="4">
        <v>271</v>
      </c>
      <c r="D4203">
        <v>1</v>
      </c>
    </row>
    <row r="4204" spans="1:4" x14ac:dyDescent="0.25">
      <c r="A4204" t="s">
        <v>13141</v>
      </c>
      <c r="B4204">
        <v>444</v>
      </c>
      <c r="C4204" s="4">
        <v>8052.97</v>
      </c>
      <c r="D4204">
        <v>26</v>
      </c>
    </row>
    <row r="4205" spans="1:4" x14ac:dyDescent="0.25">
      <c r="A4205" t="s">
        <v>13142</v>
      </c>
      <c r="B4205">
        <v>46</v>
      </c>
      <c r="C4205" s="4">
        <v>236.3</v>
      </c>
      <c r="D4205">
        <v>1</v>
      </c>
    </row>
    <row r="4206" spans="1:4" x14ac:dyDescent="0.25">
      <c r="A4206" t="s">
        <v>13143</v>
      </c>
      <c r="B4206">
        <v>26</v>
      </c>
      <c r="C4206" s="4">
        <v>352.69</v>
      </c>
      <c r="D4206">
        <v>2</v>
      </c>
    </row>
    <row r="4207" spans="1:4" x14ac:dyDescent="0.25">
      <c r="A4207" t="s">
        <v>13144</v>
      </c>
      <c r="B4207">
        <v>1</v>
      </c>
      <c r="C4207" s="4">
        <v>76.319999999999993</v>
      </c>
      <c r="D4207">
        <v>1</v>
      </c>
    </row>
    <row r="4208" spans="1:4" x14ac:dyDescent="0.25">
      <c r="A4208" t="s">
        <v>13145</v>
      </c>
      <c r="B4208">
        <v>28</v>
      </c>
      <c r="C4208" s="4">
        <v>220.1</v>
      </c>
      <c r="D4208">
        <v>1</v>
      </c>
    </row>
    <row r="4209" spans="1:4" x14ac:dyDescent="0.25">
      <c r="A4209" t="s">
        <v>13146</v>
      </c>
      <c r="B4209">
        <v>377</v>
      </c>
      <c r="C4209" s="4">
        <v>1414.43</v>
      </c>
      <c r="D4209">
        <v>8</v>
      </c>
    </row>
    <row r="4210" spans="1:4" x14ac:dyDescent="0.25">
      <c r="A4210" t="s">
        <v>13147</v>
      </c>
      <c r="B4210">
        <v>73</v>
      </c>
      <c r="C4210" s="4">
        <v>319.47000000000003</v>
      </c>
      <c r="D4210">
        <v>1</v>
      </c>
    </row>
    <row r="4211" spans="1:4" x14ac:dyDescent="0.25">
      <c r="A4211" t="s">
        <v>13148</v>
      </c>
      <c r="B4211">
        <v>1278</v>
      </c>
      <c r="C4211" s="4">
        <v>5651.42</v>
      </c>
      <c r="D4211">
        <v>26</v>
      </c>
    </row>
    <row r="4212" spans="1:4" x14ac:dyDescent="0.25">
      <c r="A4212" t="s">
        <v>13149</v>
      </c>
      <c r="B4212">
        <v>30</v>
      </c>
      <c r="C4212" s="4">
        <v>181.12</v>
      </c>
      <c r="D4212">
        <v>1</v>
      </c>
    </row>
    <row r="4213" spans="1:4" x14ac:dyDescent="0.25">
      <c r="A4213" t="s">
        <v>13150</v>
      </c>
      <c r="B4213">
        <v>17</v>
      </c>
      <c r="C4213" s="4">
        <v>111.15</v>
      </c>
      <c r="D4213">
        <v>1</v>
      </c>
    </row>
    <row r="4214" spans="1:4" x14ac:dyDescent="0.25">
      <c r="A4214" t="s">
        <v>13151</v>
      </c>
      <c r="B4214">
        <v>32</v>
      </c>
      <c r="C4214" s="4">
        <v>673.1</v>
      </c>
      <c r="D4214">
        <v>2</v>
      </c>
    </row>
    <row r="4215" spans="1:4" x14ac:dyDescent="0.25">
      <c r="A4215" t="s">
        <v>13152</v>
      </c>
      <c r="B4215">
        <v>362</v>
      </c>
      <c r="C4215" s="4">
        <v>1824.99</v>
      </c>
      <c r="D4215">
        <v>6</v>
      </c>
    </row>
    <row r="4216" spans="1:4" x14ac:dyDescent="0.25">
      <c r="A4216" t="s">
        <v>13153</v>
      </c>
      <c r="B4216">
        <v>36</v>
      </c>
      <c r="C4216" s="4">
        <v>589.44000000000005</v>
      </c>
      <c r="D4216">
        <v>2</v>
      </c>
    </row>
    <row r="4217" spans="1:4" x14ac:dyDescent="0.25">
      <c r="A4217" t="s">
        <v>13154</v>
      </c>
      <c r="B4217">
        <v>196</v>
      </c>
      <c r="C4217" s="4">
        <v>1142.99</v>
      </c>
      <c r="D4217">
        <v>4</v>
      </c>
    </row>
    <row r="4218" spans="1:4" x14ac:dyDescent="0.25">
      <c r="A4218" t="s">
        <v>13155</v>
      </c>
      <c r="B4218">
        <v>55</v>
      </c>
      <c r="C4218" s="4">
        <v>204.49</v>
      </c>
      <c r="D4218">
        <v>1</v>
      </c>
    </row>
    <row r="4219" spans="1:4" x14ac:dyDescent="0.25">
      <c r="A4219" t="s">
        <v>13156</v>
      </c>
      <c r="B4219">
        <v>47</v>
      </c>
      <c r="C4219" s="4">
        <v>348.73</v>
      </c>
      <c r="D4219">
        <v>3</v>
      </c>
    </row>
    <row r="4220" spans="1:4" x14ac:dyDescent="0.25">
      <c r="A4220" t="s">
        <v>13157</v>
      </c>
      <c r="B4220">
        <v>14</v>
      </c>
      <c r="C4220" s="4">
        <v>112.55</v>
      </c>
      <c r="D4220">
        <v>1</v>
      </c>
    </row>
    <row r="4221" spans="1:4" x14ac:dyDescent="0.25">
      <c r="A4221" t="s">
        <v>13158</v>
      </c>
      <c r="B4221">
        <v>70</v>
      </c>
      <c r="C4221" s="4">
        <v>1059.3900000000001</v>
      </c>
      <c r="D4221">
        <v>3</v>
      </c>
    </row>
    <row r="4222" spans="1:4" x14ac:dyDescent="0.25">
      <c r="A4222" t="s">
        <v>13159</v>
      </c>
      <c r="B4222">
        <v>1</v>
      </c>
      <c r="C4222" s="4">
        <v>931.5</v>
      </c>
      <c r="D4222">
        <v>1</v>
      </c>
    </row>
    <row r="4223" spans="1:4" x14ac:dyDescent="0.25">
      <c r="A4223" t="s">
        <v>13160</v>
      </c>
      <c r="B4223">
        <v>20</v>
      </c>
      <c r="C4223" s="4">
        <v>681.91</v>
      </c>
      <c r="D4223">
        <v>5</v>
      </c>
    </row>
    <row r="4224" spans="1:4" x14ac:dyDescent="0.25">
      <c r="A4224" t="s">
        <v>13161</v>
      </c>
      <c r="B4224">
        <v>38</v>
      </c>
      <c r="C4224" s="4">
        <v>784.33</v>
      </c>
      <c r="D4224">
        <v>3</v>
      </c>
    </row>
    <row r="4225" spans="1:4" x14ac:dyDescent="0.25">
      <c r="A4225" t="s">
        <v>13162</v>
      </c>
      <c r="B4225">
        <v>8</v>
      </c>
      <c r="C4225" s="4">
        <v>152.65</v>
      </c>
      <c r="D4225">
        <v>1</v>
      </c>
    </row>
    <row r="4226" spans="1:4" x14ac:dyDescent="0.25">
      <c r="A4226" t="s">
        <v>13163</v>
      </c>
      <c r="B4226">
        <v>159</v>
      </c>
      <c r="C4226" s="4">
        <v>8438.34</v>
      </c>
      <c r="D4226">
        <v>6</v>
      </c>
    </row>
    <row r="4227" spans="1:4" x14ac:dyDescent="0.25">
      <c r="A4227" t="s">
        <v>13164</v>
      </c>
      <c r="B4227">
        <v>15</v>
      </c>
      <c r="C4227" s="4">
        <v>1019.52</v>
      </c>
      <c r="D4227">
        <v>2</v>
      </c>
    </row>
    <row r="4228" spans="1:4" x14ac:dyDescent="0.25">
      <c r="A4228" t="s">
        <v>13165</v>
      </c>
      <c r="B4228">
        <v>61</v>
      </c>
      <c r="C4228" s="4">
        <v>1000.16</v>
      </c>
      <c r="D4228">
        <v>2</v>
      </c>
    </row>
    <row r="4229" spans="1:4" x14ac:dyDescent="0.25">
      <c r="A4229" t="s">
        <v>13166</v>
      </c>
      <c r="B4229">
        <v>43</v>
      </c>
      <c r="C4229" s="4">
        <v>2888.75</v>
      </c>
      <c r="D4229">
        <v>12</v>
      </c>
    </row>
    <row r="4230" spans="1:4" x14ac:dyDescent="0.25">
      <c r="A4230" t="s">
        <v>13167</v>
      </c>
      <c r="B4230">
        <v>221</v>
      </c>
      <c r="C4230" s="4">
        <v>2861.55</v>
      </c>
      <c r="D4230">
        <v>4</v>
      </c>
    </row>
    <row r="4231" spans="1:4" x14ac:dyDescent="0.25">
      <c r="A4231" t="s">
        <v>13168</v>
      </c>
      <c r="B4231">
        <v>10</v>
      </c>
      <c r="C4231" s="4">
        <v>160.35</v>
      </c>
      <c r="D4231">
        <v>2</v>
      </c>
    </row>
    <row r="4232" spans="1:4" x14ac:dyDescent="0.25">
      <c r="A4232" t="s">
        <v>13169</v>
      </c>
      <c r="B4232">
        <v>7</v>
      </c>
      <c r="C4232" s="4">
        <v>179.34</v>
      </c>
      <c r="D4232">
        <v>2</v>
      </c>
    </row>
    <row r="4233" spans="1:4" x14ac:dyDescent="0.25">
      <c r="A4233" t="s">
        <v>13170</v>
      </c>
      <c r="B4233">
        <v>16</v>
      </c>
      <c r="C4233" s="4">
        <v>612.08000000000004</v>
      </c>
      <c r="D4233">
        <v>3</v>
      </c>
    </row>
    <row r="4234" spans="1:4" x14ac:dyDescent="0.25">
      <c r="A4234" t="s">
        <v>13171</v>
      </c>
      <c r="B4234">
        <v>37</v>
      </c>
      <c r="C4234" s="4">
        <v>566.58000000000004</v>
      </c>
      <c r="D4234">
        <v>3</v>
      </c>
    </row>
    <row r="4235" spans="1:4" x14ac:dyDescent="0.25">
      <c r="A4235" t="s">
        <v>13172</v>
      </c>
      <c r="B4235">
        <v>38</v>
      </c>
      <c r="C4235" s="4">
        <v>653.35</v>
      </c>
      <c r="D4235">
        <v>2</v>
      </c>
    </row>
    <row r="4236" spans="1:4" x14ac:dyDescent="0.25">
      <c r="A4236" t="s">
        <v>13173</v>
      </c>
      <c r="B4236">
        <v>21</v>
      </c>
      <c r="C4236" s="4">
        <v>399.19</v>
      </c>
      <c r="D4236">
        <v>2</v>
      </c>
    </row>
    <row r="4237" spans="1:4" x14ac:dyDescent="0.25">
      <c r="A4237" t="s">
        <v>13174</v>
      </c>
      <c r="B4237">
        <v>25</v>
      </c>
      <c r="C4237" s="4">
        <v>371.62</v>
      </c>
      <c r="D4237">
        <v>3</v>
      </c>
    </row>
    <row r="4238" spans="1:4" x14ac:dyDescent="0.25">
      <c r="A4238" t="s">
        <v>13175</v>
      </c>
      <c r="B4238">
        <v>140</v>
      </c>
      <c r="C4238" s="4">
        <v>734.94</v>
      </c>
      <c r="D4238">
        <v>2</v>
      </c>
    </row>
    <row r="4239" spans="1:4" x14ac:dyDescent="0.25">
      <c r="A4239" t="s">
        <v>13176</v>
      </c>
      <c r="B4239">
        <v>34</v>
      </c>
      <c r="C4239" s="4">
        <v>453.4</v>
      </c>
      <c r="D4239">
        <v>2</v>
      </c>
    </row>
    <row r="4240" spans="1:4" x14ac:dyDescent="0.25">
      <c r="A4240" t="s">
        <v>13177</v>
      </c>
      <c r="B4240">
        <v>23</v>
      </c>
      <c r="C4240" s="4">
        <v>530.15</v>
      </c>
      <c r="D4240">
        <v>1</v>
      </c>
    </row>
    <row r="4241" spans="1:4" x14ac:dyDescent="0.25">
      <c r="A4241" t="s">
        <v>13178</v>
      </c>
      <c r="B4241">
        <v>39</v>
      </c>
      <c r="C4241" s="4">
        <v>638.05999999999995</v>
      </c>
      <c r="D4241">
        <v>2</v>
      </c>
    </row>
    <row r="4242" spans="1:4" x14ac:dyDescent="0.25">
      <c r="A4242" t="s">
        <v>13179</v>
      </c>
      <c r="B4242">
        <v>80</v>
      </c>
      <c r="C4242" s="4">
        <v>1618.69</v>
      </c>
      <c r="D4242">
        <v>5</v>
      </c>
    </row>
    <row r="4243" spans="1:4" x14ac:dyDescent="0.25">
      <c r="A4243" t="s">
        <v>13180</v>
      </c>
      <c r="B4243">
        <v>24</v>
      </c>
      <c r="C4243" s="4">
        <v>399.65</v>
      </c>
      <c r="D4243">
        <v>1</v>
      </c>
    </row>
    <row r="4244" spans="1:4" x14ac:dyDescent="0.25">
      <c r="A4244" t="s">
        <v>13181</v>
      </c>
      <c r="B4244">
        <v>10</v>
      </c>
      <c r="C4244" s="4">
        <v>302.45999999999998</v>
      </c>
      <c r="D4244">
        <v>1</v>
      </c>
    </row>
    <row r="4245" spans="1:4" x14ac:dyDescent="0.25">
      <c r="A4245" t="s">
        <v>13182</v>
      </c>
      <c r="B4245">
        <v>37</v>
      </c>
      <c r="C4245" s="4">
        <v>1384.86</v>
      </c>
      <c r="D4245">
        <v>3</v>
      </c>
    </row>
    <row r="4246" spans="1:4" x14ac:dyDescent="0.25">
      <c r="A4246" t="s">
        <v>13183</v>
      </c>
      <c r="B4246">
        <v>131</v>
      </c>
      <c r="C4246" s="4">
        <v>1169.94</v>
      </c>
      <c r="D4246">
        <v>6</v>
      </c>
    </row>
    <row r="4247" spans="1:4" x14ac:dyDescent="0.25">
      <c r="A4247" t="s">
        <v>13184</v>
      </c>
      <c r="B4247">
        <v>9</v>
      </c>
      <c r="C4247" s="4">
        <v>202.65</v>
      </c>
      <c r="D4247">
        <v>1</v>
      </c>
    </row>
    <row r="4248" spans="1:4" x14ac:dyDescent="0.25">
      <c r="A4248" t="s">
        <v>13185</v>
      </c>
      <c r="B4248">
        <v>38</v>
      </c>
      <c r="C4248" s="4">
        <v>980.31</v>
      </c>
      <c r="D4248">
        <v>3</v>
      </c>
    </row>
    <row r="4249" spans="1:4" x14ac:dyDescent="0.25">
      <c r="A4249" t="s">
        <v>13186</v>
      </c>
      <c r="B4249">
        <v>54</v>
      </c>
      <c r="C4249" s="4">
        <v>1231.31</v>
      </c>
      <c r="D4249">
        <v>5</v>
      </c>
    </row>
    <row r="4250" spans="1:4" x14ac:dyDescent="0.25">
      <c r="A4250" t="s">
        <v>13187</v>
      </c>
      <c r="B4250">
        <v>189</v>
      </c>
      <c r="C4250" s="4">
        <v>7561.68</v>
      </c>
      <c r="D4250">
        <v>20</v>
      </c>
    </row>
    <row r="4251" spans="1:4" x14ac:dyDescent="0.25">
      <c r="A4251" t="s">
        <v>13188</v>
      </c>
      <c r="B4251">
        <v>31</v>
      </c>
      <c r="C4251" s="4">
        <v>2106.84</v>
      </c>
      <c r="D4251">
        <v>4</v>
      </c>
    </row>
    <row r="4252" spans="1:4" x14ac:dyDescent="0.25">
      <c r="A4252" t="s">
        <v>13189</v>
      </c>
      <c r="B4252">
        <v>1</v>
      </c>
      <c r="C4252" s="4">
        <v>104</v>
      </c>
      <c r="D4252">
        <v>1</v>
      </c>
    </row>
    <row r="4253" spans="1:4" x14ac:dyDescent="0.25">
      <c r="A4253" t="s">
        <v>13190</v>
      </c>
      <c r="B4253">
        <v>30</v>
      </c>
      <c r="C4253" s="4">
        <v>476.35</v>
      </c>
      <c r="D4253">
        <v>1</v>
      </c>
    </row>
    <row r="4254" spans="1:4" x14ac:dyDescent="0.25">
      <c r="A4254" t="s">
        <v>13191</v>
      </c>
      <c r="B4254">
        <v>74</v>
      </c>
      <c r="C4254" s="4">
        <v>1341.42</v>
      </c>
      <c r="D4254">
        <v>6</v>
      </c>
    </row>
    <row r="4255" spans="1:4" x14ac:dyDescent="0.25">
      <c r="A4255" t="s">
        <v>13192</v>
      </c>
      <c r="B4255">
        <v>97</v>
      </c>
      <c r="C4255" s="4">
        <v>1590.81</v>
      </c>
      <c r="D4255">
        <v>4</v>
      </c>
    </row>
    <row r="4256" spans="1:4" x14ac:dyDescent="0.25">
      <c r="A4256" t="s">
        <v>13193</v>
      </c>
      <c r="B4256">
        <v>90</v>
      </c>
      <c r="C4256" s="4">
        <v>1793.17</v>
      </c>
      <c r="D4256">
        <v>6</v>
      </c>
    </row>
    <row r="4257" spans="1:4" x14ac:dyDescent="0.25">
      <c r="A4257" t="s">
        <v>13194</v>
      </c>
      <c r="B4257">
        <v>119</v>
      </c>
      <c r="C4257" s="4">
        <v>1843.75</v>
      </c>
      <c r="D4257">
        <v>6</v>
      </c>
    </row>
    <row r="4258" spans="1:4" x14ac:dyDescent="0.25">
      <c r="A4258" t="s">
        <v>13195</v>
      </c>
      <c r="B4258">
        <v>44</v>
      </c>
      <c r="C4258" s="4">
        <v>382.8</v>
      </c>
      <c r="D4258">
        <v>1</v>
      </c>
    </row>
    <row r="4259" spans="1:4" x14ac:dyDescent="0.25">
      <c r="A4259" t="s">
        <v>13196</v>
      </c>
      <c r="B4259">
        <v>37</v>
      </c>
      <c r="C4259" s="4">
        <v>632.07000000000005</v>
      </c>
      <c r="D4259">
        <v>2</v>
      </c>
    </row>
    <row r="4260" spans="1:4" x14ac:dyDescent="0.25">
      <c r="A4260" t="s">
        <v>13197</v>
      </c>
      <c r="B4260">
        <v>1</v>
      </c>
      <c r="C4260" s="4">
        <v>49.8</v>
      </c>
      <c r="D4260">
        <v>1</v>
      </c>
    </row>
    <row r="4261" spans="1:4" x14ac:dyDescent="0.25">
      <c r="A4261" t="s">
        <v>13198</v>
      </c>
      <c r="B4261">
        <v>17</v>
      </c>
      <c r="C4261" s="4">
        <v>304.25</v>
      </c>
      <c r="D4261">
        <v>1</v>
      </c>
    </row>
    <row r="4262" spans="1:4" x14ac:dyDescent="0.25">
      <c r="A4262" t="s">
        <v>13199</v>
      </c>
      <c r="B4262">
        <v>71</v>
      </c>
      <c r="C4262" s="4">
        <v>2001.04</v>
      </c>
      <c r="D4262">
        <v>3</v>
      </c>
    </row>
    <row r="4263" spans="1:4" x14ac:dyDescent="0.25">
      <c r="A4263" t="s">
        <v>13200</v>
      </c>
      <c r="B4263">
        <v>68</v>
      </c>
      <c r="C4263" s="4">
        <v>1090.24</v>
      </c>
      <c r="D4263">
        <v>2</v>
      </c>
    </row>
    <row r="4264" spans="1:4" x14ac:dyDescent="0.25">
      <c r="A4264" t="s">
        <v>13201</v>
      </c>
      <c r="B4264">
        <v>15</v>
      </c>
      <c r="C4264" s="4">
        <v>284.45999999999998</v>
      </c>
      <c r="D4264">
        <v>2</v>
      </c>
    </row>
    <row r="4265" spans="1:4" x14ac:dyDescent="0.25">
      <c r="A4265" t="s">
        <v>13202</v>
      </c>
      <c r="B4265">
        <v>7</v>
      </c>
      <c r="C4265" s="4">
        <v>207.8</v>
      </c>
      <c r="D4265">
        <v>1</v>
      </c>
    </row>
    <row r="4266" spans="1:4" x14ac:dyDescent="0.25">
      <c r="A4266" t="s">
        <v>13203</v>
      </c>
      <c r="B4266">
        <v>45</v>
      </c>
      <c r="C4266" s="4">
        <v>957.97</v>
      </c>
      <c r="D4266">
        <v>1</v>
      </c>
    </row>
    <row r="4267" spans="1:4" x14ac:dyDescent="0.25">
      <c r="A4267" t="s">
        <v>13204</v>
      </c>
      <c r="B4267">
        <v>16</v>
      </c>
      <c r="C4267" s="4">
        <v>243.76</v>
      </c>
      <c r="D4267">
        <v>1</v>
      </c>
    </row>
    <row r="4268" spans="1:4" x14ac:dyDescent="0.25">
      <c r="A4268" t="s">
        <v>13205</v>
      </c>
      <c r="B4268">
        <v>7</v>
      </c>
      <c r="C4268" s="4">
        <v>973.84</v>
      </c>
      <c r="D4268">
        <v>1</v>
      </c>
    </row>
    <row r="4269" spans="1:4" x14ac:dyDescent="0.25">
      <c r="A4269" t="s">
        <v>13206</v>
      </c>
      <c r="B4269">
        <v>141</v>
      </c>
      <c r="C4269" s="4">
        <v>689.13</v>
      </c>
      <c r="D4269">
        <v>2</v>
      </c>
    </row>
    <row r="4270" spans="1:4" x14ac:dyDescent="0.25">
      <c r="A4270" t="s">
        <v>13207</v>
      </c>
      <c r="B4270">
        <v>159</v>
      </c>
      <c r="C4270" s="4">
        <v>5425.56</v>
      </c>
      <c r="D4270">
        <v>17</v>
      </c>
    </row>
    <row r="4271" spans="1:4" x14ac:dyDescent="0.25">
      <c r="A4271" t="s">
        <v>13208</v>
      </c>
      <c r="B4271">
        <v>32</v>
      </c>
      <c r="C4271" s="4">
        <v>163.80000000000001</v>
      </c>
      <c r="D4271">
        <v>1</v>
      </c>
    </row>
    <row r="4272" spans="1:4" x14ac:dyDescent="0.25">
      <c r="A4272" t="s">
        <v>13209</v>
      </c>
      <c r="B4272">
        <v>68</v>
      </c>
      <c r="C4272" s="4">
        <v>1396.99</v>
      </c>
      <c r="D4272">
        <v>3</v>
      </c>
    </row>
    <row r="4273" spans="1:4" x14ac:dyDescent="0.25">
      <c r="A4273" t="s">
        <v>13210</v>
      </c>
      <c r="B4273">
        <v>19</v>
      </c>
      <c r="C4273" s="4">
        <v>160.41999999999999</v>
      </c>
      <c r="D4273">
        <v>1</v>
      </c>
    </row>
    <row r="4274" spans="1:4" x14ac:dyDescent="0.25">
      <c r="A4274" t="s">
        <v>13211</v>
      </c>
      <c r="B4274">
        <v>200</v>
      </c>
      <c r="C4274" s="4">
        <v>1993.7</v>
      </c>
      <c r="D4274">
        <v>3</v>
      </c>
    </row>
    <row r="4275" spans="1:4" x14ac:dyDescent="0.25">
      <c r="A4275" t="s">
        <v>13212</v>
      </c>
      <c r="B4275">
        <v>32</v>
      </c>
      <c r="C4275" s="4">
        <v>517.36</v>
      </c>
      <c r="D4275">
        <v>2</v>
      </c>
    </row>
    <row r="4276" spans="1:4" x14ac:dyDescent="0.25">
      <c r="A4276" t="s">
        <v>13213</v>
      </c>
      <c r="B4276">
        <v>8</v>
      </c>
      <c r="C4276" s="4">
        <v>139.1</v>
      </c>
      <c r="D4276">
        <v>1</v>
      </c>
    </row>
    <row r="4277" spans="1:4" x14ac:dyDescent="0.25">
      <c r="A4277" t="s">
        <v>13214</v>
      </c>
      <c r="B4277">
        <v>134</v>
      </c>
      <c r="C4277" s="4">
        <v>2621.38</v>
      </c>
      <c r="D4277">
        <v>6</v>
      </c>
    </row>
    <row r="4278" spans="1:4" x14ac:dyDescent="0.25">
      <c r="A4278" t="s">
        <v>13215</v>
      </c>
      <c r="B4278">
        <v>42</v>
      </c>
      <c r="C4278" s="4">
        <v>600.07000000000005</v>
      </c>
      <c r="D4278">
        <v>5</v>
      </c>
    </row>
    <row r="4279" spans="1:4" x14ac:dyDescent="0.25">
      <c r="A4279" t="s">
        <v>13216</v>
      </c>
      <c r="B4279">
        <v>43</v>
      </c>
      <c r="C4279" s="4">
        <v>248.42</v>
      </c>
      <c r="D4279">
        <v>1</v>
      </c>
    </row>
    <row r="4280" spans="1:4" x14ac:dyDescent="0.25">
      <c r="A4280" t="s">
        <v>13217</v>
      </c>
      <c r="B4280">
        <v>15</v>
      </c>
      <c r="C4280" s="4">
        <v>232.48</v>
      </c>
      <c r="D4280">
        <v>1</v>
      </c>
    </row>
    <row r="4281" spans="1:4" x14ac:dyDescent="0.25">
      <c r="A4281" t="s">
        <v>13218</v>
      </c>
      <c r="B4281">
        <v>13</v>
      </c>
      <c r="C4281" s="4">
        <v>299.33999999999997</v>
      </c>
      <c r="D4281">
        <v>1</v>
      </c>
    </row>
    <row r="4282" spans="1:4" x14ac:dyDescent="0.25">
      <c r="A4282" t="s">
        <v>13219</v>
      </c>
      <c r="B4282">
        <v>26</v>
      </c>
      <c r="C4282" s="4">
        <v>481.75</v>
      </c>
      <c r="D4282">
        <v>1</v>
      </c>
    </row>
    <row r="4283" spans="1:4" x14ac:dyDescent="0.25">
      <c r="A4283" t="s">
        <v>13220</v>
      </c>
      <c r="B4283">
        <v>31</v>
      </c>
      <c r="C4283" s="4">
        <v>621.75</v>
      </c>
      <c r="D4283">
        <v>2</v>
      </c>
    </row>
    <row r="4284" spans="1:4" x14ac:dyDescent="0.25">
      <c r="A4284" t="s">
        <v>13221</v>
      </c>
      <c r="B4284">
        <v>21</v>
      </c>
      <c r="C4284" s="4">
        <v>662.08</v>
      </c>
      <c r="D4284">
        <v>2</v>
      </c>
    </row>
    <row r="4285" spans="1:4" x14ac:dyDescent="0.25">
      <c r="A4285" t="s">
        <v>13222</v>
      </c>
      <c r="B4285">
        <v>114</v>
      </c>
      <c r="C4285" s="4">
        <v>2069.77</v>
      </c>
      <c r="D4285">
        <v>10</v>
      </c>
    </row>
    <row r="4286" spans="1:4" x14ac:dyDescent="0.25">
      <c r="A4286" t="s">
        <v>13223</v>
      </c>
      <c r="B4286">
        <v>2</v>
      </c>
      <c r="C4286" s="4">
        <v>305.27999999999997</v>
      </c>
      <c r="D4286">
        <v>1</v>
      </c>
    </row>
    <row r="4287" spans="1:4" x14ac:dyDescent="0.25">
      <c r="A4287" t="s">
        <v>13224</v>
      </c>
      <c r="B4287">
        <v>64</v>
      </c>
      <c r="C4287" s="4">
        <v>1041.6099999999999</v>
      </c>
      <c r="D4287">
        <v>5</v>
      </c>
    </row>
    <row r="4288" spans="1:4" x14ac:dyDescent="0.25">
      <c r="A4288" t="s">
        <v>13225</v>
      </c>
      <c r="B4288">
        <v>19</v>
      </c>
      <c r="C4288" s="4">
        <v>443</v>
      </c>
      <c r="D4288">
        <v>1</v>
      </c>
    </row>
    <row r="4289" spans="1:4" x14ac:dyDescent="0.25">
      <c r="A4289" t="s">
        <v>13226</v>
      </c>
      <c r="B4289">
        <v>272</v>
      </c>
      <c r="C4289" s="4">
        <v>6484.54</v>
      </c>
      <c r="D4289">
        <v>14</v>
      </c>
    </row>
    <row r="4290" spans="1:4" x14ac:dyDescent="0.25">
      <c r="A4290" t="s">
        <v>13227</v>
      </c>
      <c r="B4290">
        <v>10</v>
      </c>
      <c r="C4290" s="4">
        <v>158.94999999999999</v>
      </c>
      <c r="D4290">
        <v>1</v>
      </c>
    </row>
    <row r="4291" spans="1:4" x14ac:dyDescent="0.25">
      <c r="A4291" t="s">
        <v>13228</v>
      </c>
      <c r="B4291">
        <v>271</v>
      </c>
      <c r="C4291" s="4">
        <v>5509.12</v>
      </c>
      <c r="D4291">
        <v>12</v>
      </c>
    </row>
    <row r="4292" spans="1:4" x14ac:dyDescent="0.25">
      <c r="A4292" t="s">
        <v>13229</v>
      </c>
      <c r="B4292">
        <v>242</v>
      </c>
      <c r="C4292" s="4">
        <v>5228.05</v>
      </c>
      <c r="D4292">
        <v>11</v>
      </c>
    </row>
    <row r="4293" spans="1:4" x14ac:dyDescent="0.25">
      <c r="A4293" t="s">
        <v>13230</v>
      </c>
      <c r="B4293">
        <v>5</v>
      </c>
      <c r="C4293" s="4">
        <v>93.75</v>
      </c>
      <c r="D4293">
        <v>1</v>
      </c>
    </row>
    <row r="4294" spans="1:4" x14ac:dyDescent="0.25">
      <c r="A4294" t="s">
        <v>13231</v>
      </c>
      <c r="B4294">
        <v>30</v>
      </c>
      <c r="C4294" s="4">
        <v>779.9</v>
      </c>
      <c r="D4294">
        <v>2</v>
      </c>
    </row>
    <row r="4295" spans="1:4" x14ac:dyDescent="0.25">
      <c r="A4295" t="s">
        <v>13232</v>
      </c>
      <c r="B4295">
        <v>164</v>
      </c>
      <c r="C4295" s="4">
        <v>7276.9</v>
      </c>
      <c r="D4295">
        <v>20</v>
      </c>
    </row>
    <row r="4296" spans="1:4" x14ac:dyDescent="0.25">
      <c r="A4296" t="s">
        <v>13233</v>
      </c>
      <c r="B4296">
        <v>86</v>
      </c>
      <c r="C4296" s="4">
        <v>2810.2</v>
      </c>
      <c r="D4296">
        <v>7</v>
      </c>
    </row>
    <row r="4297" spans="1:4" x14ac:dyDescent="0.25">
      <c r="A4297" t="s">
        <v>13234</v>
      </c>
      <c r="B4297">
        <v>124</v>
      </c>
      <c r="C4297" s="4">
        <v>2083.27</v>
      </c>
      <c r="D4297">
        <v>5</v>
      </c>
    </row>
    <row r="4298" spans="1:4" x14ac:dyDescent="0.25">
      <c r="A4298" t="s">
        <v>13235</v>
      </c>
      <c r="B4298">
        <v>37</v>
      </c>
      <c r="C4298" s="4">
        <v>592.97</v>
      </c>
      <c r="D4298">
        <v>4</v>
      </c>
    </row>
    <row r="4299" spans="1:4" x14ac:dyDescent="0.25">
      <c r="A4299" t="s">
        <v>13236</v>
      </c>
      <c r="B4299">
        <v>1</v>
      </c>
      <c r="C4299" s="4">
        <v>440</v>
      </c>
      <c r="D4299">
        <v>1</v>
      </c>
    </row>
    <row r="4300" spans="1:4" x14ac:dyDescent="0.25">
      <c r="A4300" t="s">
        <v>13237</v>
      </c>
      <c r="B4300">
        <v>104</v>
      </c>
      <c r="C4300" s="4">
        <v>1796.48</v>
      </c>
      <c r="D4300">
        <v>3</v>
      </c>
    </row>
    <row r="4301" spans="1:4" x14ac:dyDescent="0.25">
      <c r="A4301" t="s">
        <v>13238</v>
      </c>
      <c r="B4301">
        <v>49</v>
      </c>
      <c r="C4301" s="4">
        <v>882.24</v>
      </c>
      <c r="D4301">
        <v>6</v>
      </c>
    </row>
    <row r="4302" spans="1:4" x14ac:dyDescent="0.25">
      <c r="A4302" t="s">
        <v>13239</v>
      </c>
      <c r="B4302">
        <v>61</v>
      </c>
      <c r="C4302" s="4">
        <v>987.1</v>
      </c>
      <c r="D4302">
        <v>5</v>
      </c>
    </row>
    <row r="4303" spans="1:4" x14ac:dyDescent="0.25">
      <c r="A4303" t="s">
        <v>13240</v>
      </c>
      <c r="B4303">
        <v>88</v>
      </c>
      <c r="C4303" s="4">
        <v>1561.61</v>
      </c>
      <c r="D4303">
        <v>5</v>
      </c>
    </row>
    <row r="4304" spans="1:4" x14ac:dyDescent="0.25">
      <c r="A4304" t="s">
        <v>13241</v>
      </c>
      <c r="B4304">
        <v>6</v>
      </c>
      <c r="C4304" s="4">
        <v>422.58</v>
      </c>
      <c r="D4304">
        <v>1</v>
      </c>
    </row>
    <row r="4305" spans="1:4" x14ac:dyDescent="0.25">
      <c r="A4305" t="s">
        <v>13242</v>
      </c>
      <c r="B4305">
        <v>104</v>
      </c>
      <c r="C4305" s="4">
        <v>2073.09</v>
      </c>
      <c r="D4305">
        <v>17</v>
      </c>
    </row>
    <row r="4306" spans="1:4" x14ac:dyDescent="0.25">
      <c r="A4306" t="s">
        <v>13243</v>
      </c>
      <c r="B4306">
        <v>78</v>
      </c>
      <c r="C4306" s="4">
        <v>2232.4899999999998</v>
      </c>
      <c r="D4306">
        <v>4</v>
      </c>
    </row>
    <row r="4307" spans="1:4" x14ac:dyDescent="0.25">
      <c r="A4307" t="s">
        <v>13244</v>
      </c>
      <c r="B4307">
        <v>175</v>
      </c>
      <c r="C4307" s="4">
        <v>2567.06</v>
      </c>
      <c r="D4307">
        <v>7</v>
      </c>
    </row>
    <row r="4308" spans="1:4" x14ac:dyDescent="0.25">
      <c r="A4308" t="s">
        <v>13245</v>
      </c>
      <c r="B4308">
        <v>4</v>
      </c>
      <c r="C4308" s="4">
        <v>596.1</v>
      </c>
      <c r="D4308">
        <v>2</v>
      </c>
    </row>
    <row r="4309" spans="1:4" x14ac:dyDescent="0.25">
      <c r="A4309" t="s">
        <v>13246</v>
      </c>
      <c r="B4309">
        <v>47</v>
      </c>
      <c r="C4309" s="4">
        <v>804.02</v>
      </c>
      <c r="D4309">
        <v>2</v>
      </c>
    </row>
    <row r="4310" spans="1:4" x14ac:dyDescent="0.25">
      <c r="A4310" t="s">
        <v>13247</v>
      </c>
      <c r="B4310">
        <v>8</v>
      </c>
      <c r="C4310" s="4">
        <v>95.34</v>
      </c>
      <c r="D4310">
        <v>1</v>
      </c>
    </row>
    <row r="4311" spans="1:4" x14ac:dyDescent="0.25">
      <c r="A4311" t="s">
        <v>13248</v>
      </c>
      <c r="B4311">
        <v>21</v>
      </c>
      <c r="C4311" s="4">
        <v>349.27</v>
      </c>
      <c r="D4311">
        <v>1</v>
      </c>
    </row>
    <row r="4312" spans="1:4" x14ac:dyDescent="0.25">
      <c r="A4312" t="s">
        <v>13249</v>
      </c>
      <c r="B4312">
        <v>16</v>
      </c>
      <c r="C4312" s="4">
        <v>4314.72</v>
      </c>
      <c r="D4312">
        <v>1</v>
      </c>
    </row>
    <row r="4313" spans="1:4" x14ac:dyDescent="0.25">
      <c r="A4313" t="s">
        <v>13250</v>
      </c>
      <c r="B4313">
        <v>98</v>
      </c>
      <c r="C4313" s="4">
        <v>526.66999999999996</v>
      </c>
      <c r="D4313">
        <v>2</v>
      </c>
    </row>
    <row r="4314" spans="1:4" x14ac:dyDescent="0.25">
      <c r="A4314" t="s">
        <v>13251</v>
      </c>
      <c r="B4314">
        <v>6</v>
      </c>
      <c r="C4314" s="4">
        <v>103.3</v>
      </c>
      <c r="D4314">
        <v>1</v>
      </c>
    </row>
    <row r="4315" spans="1:4" x14ac:dyDescent="0.25">
      <c r="A4315" t="s">
        <v>13252</v>
      </c>
      <c r="B4315">
        <v>118</v>
      </c>
      <c r="C4315" s="4">
        <v>2337.63</v>
      </c>
      <c r="D4315">
        <v>8</v>
      </c>
    </row>
    <row r="4316" spans="1:4" x14ac:dyDescent="0.25">
      <c r="A4316" t="s">
        <v>13253</v>
      </c>
      <c r="B4316">
        <v>42</v>
      </c>
      <c r="C4316" s="4">
        <v>2338.6</v>
      </c>
      <c r="D4316">
        <v>3</v>
      </c>
    </row>
    <row r="4317" spans="1:4" x14ac:dyDescent="0.25">
      <c r="A4317" t="s">
        <v>13254</v>
      </c>
      <c r="B4317">
        <v>134</v>
      </c>
      <c r="C4317" s="4">
        <v>2643.2</v>
      </c>
      <c r="D4317">
        <v>6</v>
      </c>
    </row>
    <row r="4318" spans="1:4" x14ac:dyDescent="0.25">
      <c r="A4318" t="s">
        <v>13255</v>
      </c>
      <c r="B4318">
        <v>21</v>
      </c>
      <c r="C4318" s="4">
        <v>324.24</v>
      </c>
      <c r="D4318">
        <v>2</v>
      </c>
    </row>
    <row r="4319" spans="1:4" x14ac:dyDescent="0.25">
      <c r="A4319" t="s">
        <v>13256</v>
      </c>
      <c r="B4319">
        <v>13</v>
      </c>
      <c r="C4319" s="4">
        <v>149.47999999999999</v>
      </c>
      <c r="D4319">
        <v>1</v>
      </c>
    </row>
    <row r="4320" spans="1:4" x14ac:dyDescent="0.25">
      <c r="A4320" t="s">
        <v>13257</v>
      </c>
      <c r="B4320">
        <v>61</v>
      </c>
      <c r="C4320" s="4">
        <v>1213.1600000000001</v>
      </c>
      <c r="D4320">
        <v>3</v>
      </c>
    </row>
    <row r="4321" spans="1:4" x14ac:dyDescent="0.25">
      <c r="A4321" t="s">
        <v>13258</v>
      </c>
      <c r="B4321">
        <v>46</v>
      </c>
      <c r="C4321" s="4">
        <v>801.51</v>
      </c>
      <c r="D4321">
        <v>2</v>
      </c>
    </row>
    <row r="4322" spans="1:4" x14ac:dyDescent="0.25">
      <c r="A4322" t="s">
        <v>13259</v>
      </c>
      <c r="B4322">
        <v>1</v>
      </c>
      <c r="C4322" s="4">
        <v>25.5</v>
      </c>
      <c r="D4322">
        <v>1</v>
      </c>
    </row>
    <row r="4323" spans="1:4" x14ac:dyDescent="0.25">
      <c r="A4323" t="s">
        <v>13260</v>
      </c>
      <c r="B4323">
        <v>7</v>
      </c>
      <c r="C4323" s="4">
        <v>168.6</v>
      </c>
      <c r="D4323">
        <v>1</v>
      </c>
    </row>
    <row r="4324" spans="1:4" x14ac:dyDescent="0.25">
      <c r="A4324" t="s">
        <v>13261</v>
      </c>
      <c r="B4324">
        <v>11</v>
      </c>
      <c r="C4324" s="4">
        <v>283.14999999999998</v>
      </c>
      <c r="D4324">
        <v>2</v>
      </c>
    </row>
    <row r="4325" spans="1:4" x14ac:dyDescent="0.25">
      <c r="A4325" t="s">
        <v>13262</v>
      </c>
      <c r="B4325">
        <v>166</v>
      </c>
      <c r="C4325" s="4">
        <v>3078.58</v>
      </c>
      <c r="D4325">
        <v>6</v>
      </c>
    </row>
    <row r="4326" spans="1:4" x14ac:dyDescent="0.25">
      <c r="A4326" t="s">
        <v>13263</v>
      </c>
      <c r="B4326">
        <v>3</v>
      </c>
      <c r="C4326" s="4">
        <v>204</v>
      </c>
      <c r="D4326">
        <v>3</v>
      </c>
    </row>
    <row r="4327" spans="1:4" x14ac:dyDescent="0.25">
      <c r="A4327" t="s">
        <v>13264</v>
      </c>
      <c r="B4327">
        <v>11</v>
      </c>
      <c r="C4327" s="4">
        <v>175.92</v>
      </c>
      <c r="D4327">
        <v>1</v>
      </c>
    </row>
    <row r="4328" spans="1:4" x14ac:dyDescent="0.25">
      <c r="A4328" t="s">
        <v>13265</v>
      </c>
      <c r="B4328">
        <v>14</v>
      </c>
      <c r="C4328" s="4">
        <v>335.86</v>
      </c>
      <c r="D4328">
        <v>1</v>
      </c>
    </row>
    <row r="4329" spans="1:4" x14ac:dyDescent="0.25">
      <c r="A4329" t="s">
        <v>13266</v>
      </c>
      <c r="B4329">
        <v>8</v>
      </c>
      <c r="C4329" s="4">
        <v>110.38</v>
      </c>
      <c r="D4329">
        <v>1</v>
      </c>
    </row>
    <row r="4330" spans="1:4" x14ac:dyDescent="0.25">
      <c r="A4330" t="s">
        <v>13267</v>
      </c>
      <c r="B4330">
        <v>9</v>
      </c>
      <c r="C4330" s="4">
        <v>173.9</v>
      </c>
      <c r="D4330">
        <v>1</v>
      </c>
    </row>
    <row r="4331" spans="1:4" x14ac:dyDescent="0.25">
      <c r="A4331" t="s">
        <v>13268</v>
      </c>
      <c r="B4331">
        <v>10</v>
      </c>
      <c r="C4331" s="4">
        <v>180.6</v>
      </c>
      <c r="D4331">
        <v>1</v>
      </c>
    </row>
    <row r="4332" spans="1:4" x14ac:dyDescent="0.25">
      <c r="A4332" t="s">
        <v>13269</v>
      </c>
      <c r="B4332">
        <v>7</v>
      </c>
      <c r="C4332" s="4">
        <v>80.819999999999993</v>
      </c>
      <c r="D4332">
        <v>1</v>
      </c>
    </row>
    <row r="4333" spans="1:4" x14ac:dyDescent="0.25">
      <c r="A4333" t="s">
        <v>13270</v>
      </c>
      <c r="B4333">
        <v>12</v>
      </c>
      <c r="C4333" s="4">
        <v>178.05</v>
      </c>
      <c r="D4333">
        <v>2</v>
      </c>
    </row>
    <row r="4334" spans="1:4" x14ac:dyDescent="0.25">
      <c r="A4334" t="s">
        <v>13271</v>
      </c>
      <c r="B4334">
        <v>754</v>
      </c>
      <c r="C4334" s="4">
        <v>2088.9299999999998</v>
      </c>
      <c r="D4334">
        <v>16</v>
      </c>
    </row>
    <row r="4335" spans="1:4" x14ac:dyDescent="0.25">
      <c r="A4335" t="s">
        <v>13272</v>
      </c>
      <c r="B4335">
        <v>70</v>
      </c>
      <c r="C4335" s="4">
        <v>1837.28</v>
      </c>
      <c r="D4335">
        <v>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U64"/>
  <sheetViews>
    <sheetView showGridLines="0" workbookViewId="0" tabSelected="0">
      <pane ySplit="1" topLeftCell="A2" activePane="bottomLeft" state="frozen"/>
      <selection pane="bottomLeft"/>
    </sheetView>
  </sheetViews>
  <sheetFormatPr defaultRowHeight="15" x14ac:dyDescent="0.25"/>
  <cols>
    <col min="1" max="5" width="18.7109375" customWidth="1"/>
    <col min="6" max="6" width="45.7109375" customWidth="1"/>
    <col min="7" max="11" width="18.7109375" customWidth="1"/>
    <col min="12" max="12" width="58.7109375" customWidth="1"/>
    <col min="13" max="15" width="18.7109375" customWidth="1"/>
    <col min="16" max="16" width="45.7109375" customWidth="1"/>
    <col min="17" max="19" width="18.7109375" customWidth="1"/>
    <col min="20" max="20" width="29.7109375" customWidth="1"/>
    <col min="21" max="24" width="18.7109375" customWidth="1"/>
    <col min="25" max="25" width="21.7109375" bestFit="1" customWidth="1"/>
    <col min="26" max="26" width="23.28515625" bestFit="1" customWidth="1"/>
    <col min="27" max="27" width="24.140625" bestFit="1" customWidth="1"/>
    <col min="28" max="28" width="22" bestFit="1" customWidth="1"/>
    <col min="29" max="29" width="25.28515625" bestFit="1" customWidth="1"/>
    <col min="30" max="30" width="23.7109375" bestFit="1" customWidth="1"/>
    <col min="31" max="31" width="29.7109375" bestFit="1" customWidth="1"/>
    <col min="32" max="32" width="25.140625" bestFit="1" customWidth="1"/>
    <col min="33" max="33" width="25" bestFit="1" customWidth="1"/>
    <col min="34" max="34" width="21.28515625" bestFit="1" customWidth="1"/>
    <col min="35" max="35" width="19" bestFit="1" customWidth="1"/>
    <col min="36" max="36" width="20.28515625" bestFit="1" customWidth="1"/>
    <col min="37" max="37" width="26.42578125" bestFit="1" customWidth="1"/>
    <col min="38" max="41" width="18.7109375" customWidth="1"/>
    <col min="42" max="42" width="29.7109375" customWidth="1"/>
    <col min="43" max="43" width="18.7109375" customWidth="1"/>
    <col min="44" max="44" width="25.7109375" bestFit="1" customWidth="1"/>
    <col min="45" max="45" width="18.7109375" customWidth="1"/>
    <col min="46" max="46" width="50" bestFit="1" customWidth="1"/>
    <col min="47" max="47" width="29.7109375" customWidth="1"/>
  </cols>
  <sheetData>
    <row r="1" spans="1:47" ht="27.95" customHeight="1" x14ac:dyDescent="0.25">
      <c r="A1" t="s">
        <v>13273</v>
      </c>
      <c r="B1" t="s">
        <v>13274</v>
      </c>
      <c r="C1" t="s">
        <v>4203</v>
      </c>
      <c r="D1" t="s">
        <v>4204</v>
      </c>
      <c r="E1" t="s">
        <v>4205</v>
      </c>
      <c r="F1" t="s">
        <v>4206</v>
      </c>
      <c r="G1" t="s">
        <v>13275</v>
      </c>
      <c r="H1" t="s">
        <v>13276</v>
      </c>
      <c r="I1" t="s">
        <v>13277</v>
      </c>
      <c r="J1" t="s">
        <v>4208</v>
      </c>
      <c r="K1" t="s">
        <v>13278</v>
      </c>
      <c r="L1" t="s">
        <v>4202</v>
      </c>
      <c r="M1" t="s">
        <v>13279</v>
      </c>
      <c r="N1" t="s">
        <v>127</v>
      </c>
      <c r="O1" t="s">
        <v>4209</v>
      </c>
      <c r="P1" t="s">
        <v>4207</v>
      </c>
      <c r="Q1" t="s">
        <v>13280</v>
      </c>
      <c r="R1" t="s">
        <v>13281</v>
      </c>
      <c r="S1" t="s">
        <v>13282</v>
      </c>
      <c r="T1" t="s">
        <v>2</v>
      </c>
      <c r="U1" t="s">
        <v>42</v>
      </c>
      <c r="V1" t="s">
        <v>13283</v>
      </c>
      <c r="W1" t="s">
        <v>4053</v>
      </c>
      <c r="X1" t="s">
        <v>4211</v>
      </c>
      <c r="Y1" t="s">
        <v>4073</v>
      </c>
      <c r="Z1" t="s">
        <v>4078</v>
      </c>
      <c r="AA1" t="s">
        <v>4081</v>
      </c>
      <c r="AB1" t="s">
        <v>4085</v>
      </c>
      <c r="AC1" t="s">
        <v>4090</v>
      </c>
      <c r="AD1" t="s">
        <v>4094</v>
      </c>
      <c r="AE1" t="s">
        <v>4099</v>
      </c>
      <c r="AF1" t="s">
        <v>4247</v>
      </c>
      <c r="AG1" t="s">
        <v>4103</v>
      </c>
      <c r="AH1" t="s">
        <v>13284</v>
      </c>
      <c r="AI1" t="s">
        <v>4122</v>
      </c>
      <c r="AJ1" t="s">
        <v>4130</v>
      </c>
      <c r="AK1" t="s">
        <v>4125</v>
      </c>
      <c r="AL1" t="s">
        <v>4107</v>
      </c>
      <c r="AM1" t="s">
        <v>4111</v>
      </c>
      <c r="AN1" t="s">
        <v>4114</v>
      </c>
      <c r="AO1" t="s">
        <v>4118</v>
      </c>
      <c r="AP1" t="s">
        <v>4050</v>
      </c>
      <c r="AQ1" t="s">
        <v>13285</v>
      </c>
      <c r="AR1" t="s">
        <v>13286</v>
      </c>
      <c r="AS1" t="s">
        <v>13287</v>
      </c>
      <c r="AT1" t="s">
        <v>4210</v>
      </c>
      <c r="AU1" t="s">
        <v>13288</v>
      </c>
    </row>
    <row r="2" spans="1:47" x14ac:dyDescent="0.25">
      <c r="A2" t="s">
        <v>13289</v>
      </c>
      <c r="B2" t="s">
        <v>13290</v>
      </c>
      <c r="C2">
        <v>624</v>
      </c>
      <c r="D2">
        <v>536414</v>
      </c>
      <c r="E2">
        <v>22139</v>
      </c>
      <c r="G2">
        <v>56</v>
      </c>
      <c r="H2" s="6">
        <v>40513.494444444441</v>
      </c>
      <c r="I2">
        <v>0</v>
      </c>
      <c r="K2" t="s">
        <v>89</v>
      </c>
      <c r="L2" t="s">
        <v>4220</v>
      </c>
      <c r="M2" t="s">
        <v>13291</v>
      </c>
      <c r="N2" t="s">
        <v>195</v>
      </c>
      <c r="Q2">
        <v>56</v>
      </c>
      <c r="R2">
        <v>0</v>
      </c>
      <c r="S2" s="6">
        <v>40513.494444444441</v>
      </c>
      <c r="T2" t="s">
        <v>89</v>
      </c>
      <c r="U2" t="s">
        <v>6</v>
      </c>
      <c r="V2">
        <v>0</v>
      </c>
      <c r="W2">
        <v>0</v>
      </c>
      <c r="X2" s="4">
        <v>0</v>
      </c>
      <c r="Y2" t="b">
        <v>1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>
        <v>2</v>
      </c>
      <c r="AG2" t="b">
        <v>1</v>
      </c>
      <c r="AH2" t="s">
        <v>13292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  <c r="AN2" t="b">
        <v>0</v>
      </c>
      <c r="AO2" t="b">
        <v>0</v>
      </c>
      <c r="AP2" t="s">
        <v>4060</v>
      </c>
      <c r="AQ2" t="b">
        <v>0</v>
      </c>
      <c r="AR2" t="b">
        <v>0</v>
      </c>
      <c r="AS2" t="b">
        <v>1</v>
      </c>
      <c r="AT2" t="s">
        <v>4221</v>
      </c>
      <c r="AU2" t="s">
        <v>4073</v>
      </c>
    </row>
    <row r="3" spans="1:47" x14ac:dyDescent="0.25">
      <c r="A3" t="s">
        <v>13289</v>
      </c>
      <c r="B3" t="s">
        <v>13290</v>
      </c>
      <c r="C3">
        <v>1445</v>
      </c>
      <c r="D3">
        <v>536544</v>
      </c>
      <c r="E3">
        <v>21773</v>
      </c>
      <c r="F3" t="s">
        <v>4223</v>
      </c>
      <c r="G3">
        <v>1</v>
      </c>
      <c r="H3" s="6">
        <v>40513.605555555558</v>
      </c>
      <c r="I3">
        <v>2.5099999999999998</v>
      </c>
      <c r="K3" t="s">
        <v>89</v>
      </c>
      <c r="L3" t="s">
        <v>4222</v>
      </c>
      <c r="M3" t="s">
        <v>13293</v>
      </c>
      <c r="N3" t="s">
        <v>1630</v>
      </c>
      <c r="P3" t="s">
        <v>4223</v>
      </c>
      <c r="Q3">
        <v>1</v>
      </c>
      <c r="R3">
        <v>2.5099999999999998</v>
      </c>
      <c r="S3" s="6">
        <v>40513.605555555558</v>
      </c>
      <c r="T3" t="s">
        <v>89</v>
      </c>
      <c r="U3" t="s">
        <v>6</v>
      </c>
      <c r="V3">
        <v>25100</v>
      </c>
      <c r="W3">
        <v>25100</v>
      </c>
      <c r="X3" s="4">
        <v>2.5099999999999998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>
        <v>1</v>
      </c>
      <c r="AG3" t="b">
        <v>0</v>
      </c>
      <c r="AH3" t="s">
        <v>13292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s">
        <v>4056</v>
      </c>
      <c r="AQ3" t="b">
        <v>1</v>
      </c>
      <c r="AR3" t="b">
        <v>0</v>
      </c>
      <c r="AS3" t="b">
        <v>1</v>
      </c>
      <c r="AT3" t="s">
        <v>4074</v>
      </c>
      <c r="AU3" t="s">
        <v>4073</v>
      </c>
    </row>
    <row r="4" spans="1:47" x14ac:dyDescent="0.25">
      <c r="A4" t="s">
        <v>13289</v>
      </c>
      <c r="B4" t="s">
        <v>13290</v>
      </c>
      <c r="C4">
        <v>1446</v>
      </c>
      <c r="D4">
        <v>536544</v>
      </c>
      <c r="E4">
        <v>21774</v>
      </c>
      <c r="F4" t="s">
        <v>5251</v>
      </c>
      <c r="G4">
        <v>2</v>
      </c>
      <c r="H4" s="6">
        <v>40513.605555555558</v>
      </c>
      <c r="I4">
        <v>2.5099999999999998</v>
      </c>
      <c r="K4" t="s">
        <v>89</v>
      </c>
      <c r="L4" t="s">
        <v>13294</v>
      </c>
      <c r="M4" t="s">
        <v>13293</v>
      </c>
      <c r="N4" t="s">
        <v>1632</v>
      </c>
      <c r="P4" t="s">
        <v>5251</v>
      </c>
      <c r="Q4">
        <v>2</v>
      </c>
      <c r="R4">
        <v>2.5099999999999998</v>
      </c>
      <c r="S4" s="6">
        <v>40513.605555555558</v>
      </c>
      <c r="T4" t="s">
        <v>89</v>
      </c>
      <c r="U4" t="s">
        <v>6</v>
      </c>
      <c r="V4">
        <v>25100</v>
      </c>
      <c r="W4">
        <v>50200</v>
      </c>
      <c r="X4" s="4">
        <v>5.0199999999999996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>
        <v>1</v>
      </c>
      <c r="AG4" t="b">
        <v>0</v>
      </c>
      <c r="AH4" t="s">
        <v>13292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s">
        <v>4056</v>
      </c>
      <c r="AQ4" t="b">
        <v>1</v>
      </c>
      <c r="AR4" t="b">
        <v>0</v>
      </c>
      <c r="AS4" t="b">
        <v>1</v>
      </c>
      <c r="AT4" t="s">
        <v>4074</v>
      </c>
      <c r="AU4" t="s">
        <v>4073</v>
      </c>
    </row>
    <row r="5" spans="1:47" x14ac:dyDescent="0.25">
      <c r="A5" t="s">
        <v>13289</v>
      </c>
      <c r="B5" t="s">
        <v>13290</v>
      </c>
      <c r="C5">
        <v>1447</v>
      </c>
      <c r="D5">
        <v>536544</v>
      </c>
      <c r="E5">
        <v>21786</v>
      </c>
      <c r="F5" t="s">
        <v>13295</v>
      </c>
      <c r="G5">
        <v>4</v>
      </c>
      <c r="H5" s="6">
        <v>40513.605555555558</v>
      </c>
      <c r="I5">
        <v>0.85</v>
      </c>
      <c r="K5" t="s">
        <v>89</v>
      </c>
      <c r="L5" t="s">
        <v>13296</v>
      </c>
      <c r="M5" t="s">
        <v>13293</v>
      </c>
      <c r="N5" t="s">
        <v>1832</v>
      </c>
      <c r="P5" t="s">
        <v>13297</v>
      </c>
      <c r="Q5">
        <v>4</v>
      </c>
      <c r="R5">
        <v>0.85</v>
      </c>
      <c r="S5" s="6">
        <v>40513.605555555558</v>
      </c>
      <c r="T5" t="s">
        <v>89</v>
      </c>
      <c r="U5" t="s">
        <v>6</v>
      </c>
      <c r="V5">
        <v>8500</v>
      </c>
      <c r="W5">
        <v>34000</v>
      </c>
      <c r="X5" s="4">
        <v>3.4</v>
      </c>
      <c r="Y5" t="b">
        <v>1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>
        <v>2</v>
      </c>
      <c r="AG5" t="b">
        <v>1</v>
      </c>
      <c r="AH5" t="s">
        <v>13292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s">
        <v>4056</v>
      </c>
      <c r="AQ5" t="b">
        <v>1</v>
      </c>
      <c r="AR5" t="b">
        <v>0</v>
      </c>
      <c r="AS5" t="b">
        <v>1</v>
      </c>
      <c r="AT5" t="s">
        <v>13298</v>
      </c>
      <c r="AU5" t="s">
        <v>4073</v>
      </c>
    </row>
    <row r="6" spans="1:47" x14ac:dyDescent="0.25">
      <c r="A6" t="s">
        <v>13289</v>
      </c>
      <c r="B6" t="s">
        <v>13290</v>
      </c>
      <c r="C6">
        <v>1448</v>
      </c>
      <c r="D6">
        <v>536544</v>
      </c>
      <c r="E6">
        <v>21787</v>
      </c>
      <c r="F6" t="s">
        <v>5261</v>
      </c>
      <c r="G6">
        <v>2</v>
      </c>
      <c r="H6" s="6">
        <v>40513.605555555558</v>
      </c>
      <c r="I6">
        <v>1.66</v>
      </c>
      <c r="K6" t="s">
        <v>89</v>
      </c>
      <c r="L6" t="s">
        <v>13299</v>
      </c>
      <c r="M6" t="s">
        <v>13293</v>
      </c>
      <c r="N6" t="s">
        <v>464</v>
      </c>
      <c r="P6" t="s">
        <v>5261</v>
      </c>
      <c r="Q6">
        <v>2</v>
      </c>
      <c r="R6">
        <v>1.66</v>
      </c>
      <c r="S6" s="6">
        <v>40513.605555555558</v>
      </c>
      <c r="T6" t="s">
        <v>89</v>
      </c>
      <c r="U6" t="s">
        <v>6</v>
      </c>
      <c r="V6">
        <v>16600</v>
      </c>
      <c r="W6">
        <v>33200</v>
      </c>
      <c r="X6" s="4">
        <v>3.32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>
        <v>1</v>
      </c>
      <c r="AG6" t="b">
        <v>0</v>
      </c>
      <c r="AH6" t="s">
        <v>13292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s">
        <v>4056</v>
      </c>
      <c r="AQ6" t="b">
        <v>1</v>
      </c>
      <c r="AR6" t="b">
        <v>0</v>
      </c>
      <c r="AS6" t="b">
        <v>1</v>
      </c>
      <c r="AT6" t="s">
        <v>4074</v>
      </c>
      <c r="AU6" t="s">
        <v>4073</v>
      </c>
    </row>
    <row r="7" spans="1:47" x14ac:dyDescent="0.25">
      <c r="A7" t="s">
        <v>13289</v>
      </c>
      <c r="B7" t="s">
        <v>13290</v>
      </c>
      <c r="C7">
        <v>1449</v>
      </c>
      <c r="D7">
        <v>536544</v>
      </c>
      <c r="E7">
        <v>21790</v>
      </c>
      <c r="F7" t="s">
        <v>5264</v>
      </c>
      <c r="G7">
        <v>9</v>
      </c>
      <c r="H7" s="6">
        <v>40513.605555555558</v>
      </c>
      <c r="I7">
        <v>1.66</v>
      </c>
      <c r="K7" t="s">
        <v>89</v>
      </c>
      <c r="L7" t="s">
        <v>13300</v>
      </c>
      <c r="M7" t="s">
        <v>13293</v>
      </c>
      <c r="N7" t="s">
        <v>296</v>
      </c>
      <c r="P7" t="s">
        <v>5264</v>
      </c>
      <c r="Q7">
        <v>9</v>
      </c>
      <c r="R7">
        <v>1.66</v>
      </c>
      <c r="S7" s="6">
        <v>40513.605555555558</v>
      </c>
      <c r="T7" t="s">
        <v>89</v>
      </c>
      <c r="U7" t="s">
        <v>6</v>
      </c>
      <c r="V7">
        <v>16600</v>
      </c>
      <c r="W7">
        <v>149400</v>
      </c>
      <c r="X7" s="4">
        <v>14.94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>
        <v>1</v>
      </c>
      <c r="AG7" t="b">
        <v>0</v>
      </c>
      <c r="AH7" t="s">
        <v>13292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s">
        <v>4056</v>
      </c>
      <c r="AQ7" t="b">
        <v>1</v>
      </c>
      <c r="AR7" t="b">
        <v>0</v>
      </c>
      <c r="AS7" t="b">
        <v>1</v>
      </c>
      <c r="AT7" t="s">
        <v>4074</v>
      </c>
      <c r="AU7" t="s">
        <v>4073</v>
      </c>
    </row>
    <row r="8" spans="1:47" x14ac:dyDescent="0.25">
      <c r="A8" t="s">
        <v>13289</v>
      </c>
      <c r="B8" t="s">
        <v>13290</v>
      </c>
      <c r="C8">
        <v>1450</v>
      </c>
      <c r="D8">
        <v>536544</v>
      </c>
      <c r="E8">
        <v>21791</v>
      </c>
      <c r="F8" t="s">
        <v>5265</v>
      </c>
      <c r="G8">
        <v>2</v>
      </c>
      <c r="H8" s="6">
        <v>40513.605555555558</v>
      </c>
      <c r="I8">
        <v>2.5099999999999998</v>
      </c>
      <c r="K8" t="s">
        <v>89</v>
      </c>
      <c r="L8" t="s">
        <v>13301</v>
      </c>
      <c r="M8" t="s">
        <v>13293</v>
      </c>
      <c r="N8" t="s">
        <v>337</v>
      </c>
      <c r="P8" t="s">
        <v>5266</v>
      </c>
      <c r="Q8">
        <v>2</v>
      </c>
      <c r="R8">
        <v>2.5099999999999998</v>
      </c>
      <c r="S8" s="6">
        <v>40513.605555555558</v>
      </c>
      <c r="T8" t="s">
        <v>89</v>
      </c>
      <c r="U8" t="s">
        <v>6</v>
      </c>
      <c r="V8">
        <v>25100</v>
      </c>
      <c r="W8">
        <v>50200</v>
      </c>
      <c r="X8" s="4">
        <v>5.0199999999999996</v>
      </c>
      <c r="Y8" t="b">
        <v>1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>
        <v>1</v>
      </c>
      <c r="AG8" t="b">
        <v>0</v>
      </c>
      <c r="AH8" t="s">
        <v>13292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s">
        <v>4056</v>
      </c>
      <c r="AQ8" t="b">
        <v>1</v>
      </c>
      <c r="AR8" t="b">
        <v>0</v>
      </c>
      <c r="AS8" t="b">
        <v>1</v>
      </c>
      <c r="AT8" t="s">
        <v>4074</v>
      </c>
      <c r="AU8" t="s">
        <v>4073</v>
      </c>
    </row>
    <row r="9" spans="1:47" x14ac:dyDescent="0.25">
      <c r="A9" t="s">
        <v>13289</v>
      </c>
      <c r="B9" t="s">
        <v>13290</v>
      </c>
      <c r="C9">
        <v>1451</v>
      </c>
      <c r="D9">
        <v>536544</v>
      </c>
      <c r="E9">
        <v>21801</v>
      </c>
      <c r="F9" t="s">
        <v>5271</v>
      </c>
      <c r="G9">
        <v>10</v>
      </c>
      <c r="H9" s="6">
        <v>40513.605555555558</v>
      </c>
      <c r="I9">
        <v>0.43</v>
      </c>
      <c r="K9" t="s">
        <v>89</v>
      </c>
      <c r="L9" t="s">
        <v>13302</v>
      </c>
      <c r="M9" t="s">
        <v>13293</v>
      </c>
      <c r="N9" t="s">
        <v>2297</v>
      </c>
      <c r="P9" t="s">
        <v>5271</v>
      </c>
      <c r="Q9">
        <v>10</v>
      </c>
      <c r="R9">
        <v>0.43</v>
      </c>
      <c r="S9" s="6">
        <v>40513.605555555558</v>
      </c>
      <c r="T9" t="s">
        <v>89</v>
      </c>
      <c r="U9" t="s">
        <v>6</v>
      </c>
      <c r="V9">
        <v>4300</v>
      </c>
      <c r="W9">
        <v>43000</v>
      </c>
      <c r="X9" s="4">
        <v>4.3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>
        <v>1</v>
      </c>
      <c r="AG9" t="b">
        <v>0</v>
      </c>
      <c r="AH9" t="s">
        <v>13292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s">
        <v>4056</v>
      </c>
      <c r="AQ9" t="b">
        <v>1</v>
      </c>
      <c r="AR9" t="b">
        <v>0</v>
      </c>
      <c r="AS9" t="b">
        <v>1</v>
      </c>
      <c r="AT9" t="s">
        <v>4074</v>
      </c>
      <c r="AU9" t="s">
        <v>4073</v>
      </c>
    </row>
    <row r="10" spans="1:47" x14ac:dyDescent="0.25">
      <c r="A10" t="s">
        <v>13289</v>
      </c>
      <c r="B10" t="s">
        <v>13290</v>
      </c>
      <c r="C10">
        <v>624</v>
      </c>
      <c r="D10">
        <v>536414</v>
      </c>
      <c r="E10">
        <v>22139</v>
      </c>
      <c r="G10">
        <v>56</v>
      </c>
      <c r="H10" s="6">
        <v>40513.494444444441</v>
      </c>
      <c r="I10">
        <v>0</v>
      </c>
      <c r="K10" t="s">
        <v>89</v>
      </c>
      <c r="L10" t="s">
        <v>4220</v>
      </c>
      <c r="M10" t="s">
        <v>13291</v>
      </c>
      <c r="N10" t="s">
        <v>195</v>
      </c>
      <c r="Q10">
        <v>56</v>
      </c>
      <c r="R10">
        <v>0</v>
      </c>
      <c r="S10" s="6">
        <v>40513.494444444441</v>
      </c>
      <c r="T10" t="s">
        <v>89</v>
      </c>
      <c r="U10" t="s">
        <v>6</v>
      </c>
      <c r="V10">
        <v>0</v>
      </c>
      <c r="W10">
        <v>0</v>
      </c>
      <c r="X10" s="4">
        <v>0</v>
      </c>
      <c r="Y10" t="b">
        <v>1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>
        <v>2</v>
      </c>
      <c r="AG10" t="b">
        <v>1</v>
      </c>
      <c r="AH10" t="s">
        <v>13292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  <c r="AO10" t="b">
        <v>0</v>
      </c>
      <c r="AP10" t="s">
        <v>4060</v>
      </c>
      <c r="AQ10" t="b">
        <v>0</v>
      </c>
      <c r="AR10" t="b">
        <v>0</v>
      </c>
      <c r="AS10" t="b">
        <v>1</v>
      </c>
      <c r="AT10" t="s">
        <v>4221</v>
      </c>
      <c r="AU10" t="s">
        <v>4078</v>
      </c>
    </row>
    <row r="11" spans="1:47" x14ac:dyDescent="0.25">
      <c r="A11" t="s">
        <v>13289</v>
      </c>
      <c r="B11" t="s">
        <v>13290</v>
      </c>
      <c r="C11">
        <v>1972</v>
      </c>
      <c r="D11">
        <v>536545</v>
      </c>
      <c r="E11">
        <v>21134</v>
      </c>
      <c r="G11">
        <v>1</v>
      </c>
      <c r="H11" s="6">
        <v>40513.605555555558</v>
      </c>
      <c r="I11">
        <v>0</v>
      </c>
      <c r="K11" t="s">
        <v>89</v>
      </c>
      <c r="L11" t="s">
        <v>13303</v>
      </c>
      <c r="M11" t="s">
        <v>13304</v>
      </c>
      <c r="N11" t="s">
        <v>4727</v>
      </c>
      <c r="Q11">
        <v>1</v>
      </c>
      <c r="R11">
        <v>0</v>
      </c>
      <c r="S11" s="6">
        <v>40513.605555555558</v>
      </c>
      <c r="T11" t="s">
        <v>89</v>
      </c>
      <c r="U11" t="s">
        <v>6</v>
      </c>
      <c r="V11">
        <v>0</v>
      </c>
      <c r="W11">
        <v>0</v>
      </c>
      <c r="X11" s="4">
        <v>0</v>
      </c>
      <c r="Y11" t="b">
        <v>1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>
        <v>0</v>
      </c>
      <c r="AG11" t="b">
        <v>0</v>
      </c>
      <c r="AH11" t="s">
        <v>13292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b">
        <v>0</v>
      </c>
      <c r="AO11" t="b">
        <v>0</v>
      </c>
      <c r="AP11" t="s">
        <v>4060</v>
      </c>
      <c r="AQ11" t="b">
        <v>0</v>
      </c>
      <c r="AR11" t="b">
        <v>0</v>
      </c>
      <c r="AS11" t="b">
        <v>1</v>
      </c>
      <c r="AT11" t="s">
        <v>13305</v>
      </c>
      <c r="AU11" t="s">
        <v>4078</v>
      </c>
    </row>
    <row r="12" spans="1:47" x14ac:dyDescent="0.25">
      <c r="A12" t="s">
        <v>13289</v>
      </c>
      <c r="B12" t="s">
        <v>13290</v>
      </c>
      <c r="C12">
        <v>1973</v>
      </c>
      <c r="D12">
        <v>536546</v>
      </c>
      <c r="E12">
        <v>22145</v>
      </c>
      <c r="G12">
        <v>1</v>
      </c>
      <c r="H12" s="6">
        <v>40513.606249999997</v>
      </c>
      <c r="I12">
        <v>0</v>
      </c>
      <c r="K12" t="s">
        <v>89</v>
      </c>
      <c r="L12" t="s">
        <v>13306</v>
      </c>
      <c r="M12" t="s">
        <v>13307</v>
      </c>
      <c r="N12" t="s">
        <v>3341</v>
      </c>
      <c r="Q12">
        <v>1</v>
      </c>
      <c r="R12">
        <v>0</v>
      </c>
      <c r="S12" s="6">
        <v>40513.606249999997</v>
      </c>
      <c r="T12" t="s">
        <v>89</v>
      </c>
      <c r="U12" t="s">
        <v>6</v>
      </c>
      <c r="V12">
        <v>0</v>
      </c>
      <c r="W12">
        <v>0</v>
      </c>
      <c r="X12" s="4">
        <v>0</v>
      </c>
      <c r="Y12" t="b">
        <v>1</v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>
        <v>1</v>
      </c>
      <c r="AG12" t="b">
        <v>0</v>
      </c>
      <c r="AH12" t="s">
        <v>13292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  <c r="AP12" t="s">
        <v>4060</v>
      </c>
      <c r="AQ12" t="b">
        <v>0</v>
      </c>
      <c r="AR12" t="b">
        <v>0</v>
      </c>
      <c r="AS12" t="b">
        <v>1</v>
      </c>
      <c r="AT12" t="s">
        <v>13305</v>
      </c>
      <c r="AU12" t="s">
        <v>4078</v>
      </c>
    </row>
    <row r="13" spans="1:47" x14ac:dyDescent="0.25">
      <c r="A13" t="s">
        <v>13289</v>
      </c>
      <c r="B13" t="s">
        <v>13290</v>
      </c>
      <c r="C13">
        <v>1974</v>
      </c>
      <c r="D13">
        <v>536547</v>
      </c>
      <c r="E13">
        <v>37509</v>
      </c>
      <c r="G13">
        <v>1</v>
      </c>
      <c r="H13" s="6">
        <v>40513.606249999997</v>
      </c>
      <c r="I13">
        <v>0</v>
      </c>
      <c r="K13" t="s">
        <v>89</v>
      </c>
      <c r="L13" t="s">
        <v>13308</v>
      </c>
      <c r="M13" t="s">
        <v>13309</v>
      </c>
      <c r="N13" t="s">
        <v>3932</v>
      </c>
      <c r="Q13">
        <v>1</v>
      </c>
      <c r="R13">
        <v>0</v>
      </c>
      <c r="S13" s="6">
        <v>40513.606249999997</v>
      </c>
      <c r="T13" t="s">
        <v>89</v>
      </c>
      <c r="U13" t="s">
        <v>6</v>
      </c>
      <c r="V13">
        <v>0</v>
      </c>
      <c r="W13">
        <v>0</v>
      </c>
      <c r="X13" s="4">
        <v>0</v>
      </c>
      <c r="Y13" t="b">
        <v>1</v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>
        <v>1</v>
      </c>
      <c r="AG13" t="b">
        <v>0</v>
      </c>
      <c r="AH13" t="s">
        <v>13292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  <c r="AN13" t="b">
        <v>0</v>
      </c>
      <c r="AO13" t="b">
        <v>0</v>
      </c>
      <c r="AP13" t="s">
        <v>4060</v>
      </c>
      <c r="AQ13" t="b">
        <v>0</v>
      </c>
      <c r="AR13" t="b">
        <v>0</v>
      </c>
      <c r="AS13" t="b">
        <v>1</v>
      </c>
      <c r="AT13" t="s">
        <v>13305</v>
      </c>
      <c r="AU13" t="s">
        <v>4078</v>
      </c>
    </row>
    <row r="14" spans="1:47" x14ac:dyDescent="0.25">
      <c r="A14" t="s">
        <v>13289</v>
      </c>
      <c r="B14" t="s">
        <v>13290</v>
      </c>
      <c r="C14">
        <v>1989</v>
      </c>
      <c r="D14">
        <v>536549</v>
      </c>
      <c r="E14" t="s">
        <v>8513</v>
      </c>
      <c r="G14">
        <v>1</v>
      </c>
      <c r="H14" s="6">
        <v>40513.606944444437</v>
      </c>
      <c r="I14">
        <v>0</v>
      </c>
      <c r="K14" t="s">
        <v>89</v>
      </c>
      <c r="L14" t="s">
        <v>13310</v>
      </c>
      <c r="M14" t="s">
        <v>13311</v>
      </c>
      <c r="N14" t="s">
        <v>8513</v>
      </c>
      <c r="Q14">
        <v>1</v>
      </c>
      <c r="R14">
        <v>0</v>
      </c>
      <c r="S14" s="6">
        <v>40513.606944444437</v>
      </c>
      <c r="T14" t="s">
        <v>89</v>
      </c>
      <c r="U14" t="s">
        <v>6</v>
      </c>
      <c r="V14">
        <v>0</v>
      </c>
      <c r="W14">
        <v>0</v>
      </c>
      <c r="X14" s="4">
        <v>0</v>
      </c>
      <c r="Y14" t="b">
        <v>1</v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>
        <v>0</v>
      </c>
      <c r="AG14" t="b">
        <v>0</v>
      </c>
      <c r="AH14" t="s">
        <v>13292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0</v>
      </c>
      <c r="AO14" t="b">
        <v>0</v>
      </c>
      <c r="AP14" t="s">
        <v>4060</v>
      </c>
      <c r="AQ14" t="b">
        <v>0</v>
      </c>
      <c r="AR14" t="b">
        <v>0</v>
      </c>
      <c r="AS14" t="b">
        <v>1</v>
      </c>
      <c r="AT14" t="s">
        <v>13305</v>
      </c>
      <c r="AU14" t="s">
        <v>4078</v>
      </c>
    </row>
    <row r="15" spans="1:47" x14ac:dyDescent="0.25">
      <c r="A15" t="s">
        <v>13289</v>
      </c>
      <c r="B15" t="s">
        <v>13290</v>
      </c>
      <c r="C15">
        <v>1990</v>
      </c>
      <c r="D15">
        <v>536550</v>
      </c>
      <c r="E15">
        <v>85044</v>
      </c>
      <c r="G15">
        <v>1</v>
      </c>
      <c r="H15" s="6">
        <v>40513.606944444437</v>
      </c>
      <c r="I15">
        <v>0</v>
      </c>
      <c r="K15" t="s">
        <v>89</v>
      </c>
      <c r="L15" t="s">
        <v>13312</v>
      </c>
      <c r="M15" t="s">
        <v>13313</v>
      </c>
      <c r="N15" t="s">
        <v>8341</v>
      </c>
      <c r="Q15">
        <v>1</v>
      </c>
      <c r="R15">
        <v>0</v>
      </c>
      <c r="S15" s="6">
        <v>40513.606944444437</v>
      </c>
      <c r="T15" t="s">
        <v>89</v>
      </c>
      <c r="U15" t="s">
        <v>6</v>
      </c>
      <c r="V15">
        <v>0</v>
      </c>
      <c r="W15">
        <v>0</v>
      </c>
      <c r="X15" s="4">
        <v>0</v>
      </c>
      <c r="Y15" t="b">
        <v>1</v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>
        <v>0</v>
      </c>
      <c r="AG15" t="b">
        <v>0</v>
      </c>
      <c r="AH15" t="s">
        <v>13292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0</v>
      </c>
      <c r="AO15" t="b">
        <v>0</v>
      </c>
      <c r="AP15" t="s">
        <v>4060</v>
      </c>
      <c r="AQ15" t="b">
        <v>0</v>
      </c>
      <c r="AR15" t="b">
        <v>0</v>
      </c>
      <c r="AS15" t="b">
        <v>1</v>
      </c>
      <c r="AT15" t="s">
        <v>13305</v>
      </c>
      <c r="AU15" t="s">
        <v>4078</v>
      </c>
    </row>
    <row r="16" spans="1:47" x14ac:dyDescent="0.25">
      <c r="A16" t="s">
        <v>13289</v>
      </c>
      <c r="B16" t="s">
        <v>13290</v>
      </c>
      <c r="C16">
        <v>2026</v>
      </c>
      <c r="D16">
        <v>536552</v>
      </c>
      <c r="E16">
        <v>20950</v>
      </c>
      <c r="G16">
        <v>1</v>
      </c>
      <c r="H16" s="6">
        <v>40513.606944444437</v>
      </c>
      <c r="I16">
        <v>0</v>
      </c>
      <c r="K16" t="s">
        <v>89</v>
      </c>
      <c r="L16" t="s">
        <v>13314</v>
      </c>
      <c r="M16" t="s">
        <v>13315</v>
      </c>
      <c r="N16" t="s">
        <v>4600</v>
      </c>
      <c r="Q16">
        <v>1</v>
      </c>
      <c r="R16">
        <v>0</v>
      </c>
      <c r="S16" s="6">
        <v>40513.606944444437</v>
      </c>
      <c r="T16" t="s">
        <v>89</v>
      </c>
      <c r="U16" t="s">
        <v>6</v>
      </c>
      <c r="V16">
        <v>0</v>
      </c>
      <c r="W16">
        <v>0</v>
      </c>
      <c r="X16" s="4">
        <v>0</v>
      </c>
      <c r="Y16" t="b">
        <v>1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>
        <v>0</v>
      </c>
      <c r="AG16" t="b">
        <v>0</v>
      </c>
      <c r="AH16" t="s">
        <v>13292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  <c r="AN16" t="b">
        <v>0</v>
      </c>
      <c r="AO16" t="b">
        <v>0</v>
      </c>
      <c r="AP16" t="s">
        <v>4060</v>
      </c>
      <c r="AQ16" t="b">
        <v>0</v>
      </c>
      <c r="AR16" t="b">
        <v>0</v>
      </c>
      <c r="AS16" t="b">
        <v>1</v>
      </c>
      <c r="AT16" t="s">
        <v>13305</v>
      </c>
      <c r="AU16" t="s">
        <v>4078</v>
      </c>
    </row>
    <row r="17" spans="1:47" x14ac:dyDescent="0.25">
      <c r="A17" t="s">
        <v>13289</v>
      </c>
      <c r="B17" t="s">
        <v>13290</v>
      </c>
      <c r="C17">
        <v>2027</v>
      </c>
      <c r="D17">
        <v>536553</v>
      </c>
      <c r="E17">
        <v>37461</v>
      </c>
      <c r="G17">
        <v>3</v>
      </c>
      <c r="H17" s="6">
        <v>40513.607638888891</v>
      </c>
      <c r="I17">
        <v>0</v>
      </c>
      <c r="K17" t="s">
        <v>89</v>
      </c>
      <c r="L17" t="s">
        <v>13316</v>
      </c>
      <c r="M17" t="s">
        <v>13317</v>
      </c>
      <c r="N17" t="s">
        <v>4024</v>
      </c>
      <c r="Q17">
        <v>3</v>
      </c>
      <c r="R17">
        <v>0</v>
      </c>
      <c r="S17" s="6">
        <v>40513.607638888891</v>
      </c>
      <c r="T17" t="s">
        <v>89</v>
      </c>
      <c r="U17" t="s">
        <v>6</v>
      </c>
      <c r="V17">
        <v>0</v>
      </c>
      <c r="W17">
        <v>0</v>
      </c>
      <c r="X17" s="4">
        <v>0</v>
      </c>
      <c r="Y17" t="b">
        <v>1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>
        <v>1</v>
      </c>
      <c r="AG17" t="b">
        <v>0</v>
      </c>
      <c r="AH17" t="s">
        <v>13292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0</v>
      </c>
      <c r="AO17" t="b">
        <v>0</v>
      </c>
      <c r="AP17" t="s">
        <v>4060</v>
      </c>
      <c r="AQ17" t="b">
        <v>0</v>
      </c>
      <c r="AR17" t="b">
        <v>0</v>
      </c>
      <c r="AS17" t="b">
        <v>1</v>
      </c>
      <c r="AT17" t="s">
        <v>13305</v>
      </c>
      <c r="AU17" t="s">
        <v>4078</v>
      </c>
    </row>
    <row r="18" spans="1:47" x14ac:dyDescent="0.25">
      <c r="A18" t="s">
        <v>13289</v>
      </c>
      <c r="B18" t="s">
        <v>13290</v>
      </c>
      <c r="C18">
        <v>420393</v>
      </c>
      <c r="D18">
        <v>572891</v>
      </c>
      <c r="E18">
        <v>23343</v>
      </c>
      <c r="F18">
        <v>20713</v>
      </c>
      <c r="G18">
        <v>-400</v>
      </c>
      <c r="H18" s="6">
        <v>40842.593055555553</v>
      </c>
      <c r="I18">
        <v>0</v>
      </c>
      <c r="K18" t="s">
        <v>89</v>
      </c>
      <c r="L18" t="s">
        <v>4240</v>
      </c>
      <c r="M18" t="s">
        <v>13318</v>
      </c>
      <c r="N18" t="s">
        <v>271</v>
      </c>
      <c r="Q18">
        <v>-400</v>
      </c>
      <c r="R18">
        <v>0</v>
      </c>
      <c r="S18" s="6">
        <v>40842.593055555553</v>
      </c>
      <c r="T18" t="s">
        <v>89</v>
      </c>
      <c r="U18" t="s">
        <v>81</v>
      </c>
      <c r="V18">
        <v>0</v>
      </c>
      <c r="W18">
        <v>0</v>
      </c>
      <c r="X18" s="4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>
        <v>4</v>
      </c>
      <c r="AG18" t="b">
        <v>1</v>
      </c>
      <c r="AH18" t="s">
        <v>13292</v>
      </c>
      <c r="AI18" t="b">
        <v>0</v>
      </c>
      <c r="AJ18" t="b">
        <v>0</v>
      </c>
      <c r="AK18" t="b">
        <v>0</v>
      </c>
      <c r="AL18" t="b">
        <v>1</v>
      </c>
      <c r="AM18" t="b">
        <v>1</v>
      </c>
      <c r="AN18" t="b">
        <v>0</v>
      </c>
      <c r="AO18" t="b">
        <v>0</v>
      </c>
      <c r="AP18" t="s">
        <v>4060</v>
      </c>
      <c r="AQ18" t="b">
        <v>0</v>
      </c>
      <c r="AR18" t="b">
        <v>0</v>
      </c>
      <c r="AS18" t="b">
        <v>1</v>
      </c>
      <c r="AT18" t="s">
        <v>4241</v>
      </c>
      <c r="AU18" t="s">
        <v>4081</v>
      </c>
    </row>
    <row r="19" spans="1:47" x14ac:dyDescent="0.25">
      <c r="A19" t="s">
        <v>13289</v>
      </c>
      <c r="B19" t="s">
        <v>13290</v>
      </c>
      <c r="C19">
        <v>487</v>
      </c>
      <c r="D19">
        <v>536409</v>
      </c>
      <c r="E19">
        <v>22111</v>
      </c>
      <c r="F19" t="s">
        <v>4217</v>
      </c>
      <c r="G19">
        <v>1</v>
      </c>
      <c r="H19" s="6">
        <v>40513.489583333343</v>
      </c>
      <c r="I19">
        <v>4.95</v>
      </c>
      <c r="J19">
        <v>17908</v>
      </c>
      <c r="K19" t="s">
        <v>89</v>
      </c>
      <c r="L19" t="s">
        <v>4216</v>
      </c>
      <c r="M19" t="s">
        <v>13319</v>
      </c>
      <c r="N19" t="s">
        <v>180</v>
      </c>
      <c r="O19" t="s">
        <v>4218</v>
      </c>
      <c r="P19" t="s">
        <v>4217</v>
      </c>
      <c r="Q19">
        <v>1</v>
      </c>
      <c r="R19">
        <v>4.95</v>
      </c>
      <c r="S19" s="6">
        <v>40513.489583333343</v>
      </c>
      <c r="T19" t="s">
        <v>89</v>
      </c>
      <c r="U19" t="s">
        <v>6</v>
      </c>
      <c r="V19">
        <v>49500</v>
      </c>
      <c r="W19">
        <v>49500</v>
      </c>
      <c r="X19" s="4">
        <v>4.95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E19" t="b">
        <v>0</v>
      </c>
      <c r="AF19">
        <v>1</v>
      </c>
      <c r="AG19" t="b">
        <v>0</v>
      </c>
      <c r="AH19" t="s">
        <v>13292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s">
        <v>4056</v>
      </c>
      <c r="AQ19" t="b">
        <v>1</v>
      </c>
      <c r="AR19" t="b">
        <v>1</v>
      </c>
      <c r="AS19" t="b">
        <v>1</v>
      </c>
      <c r="AT19" t="s">
        <v>4091</v>
      </c>
      <c r="AU19" t="s">
        <v>4090</v>
      </c>
    </row>
    <row r="20" spans="1:47" x14ac:dyDescent="0.25">
      <c r="A20" t="s">
        <v>13289</v>
      </c>
      <c r="B20" t="s">
        <v>13290</v>
      </c>
      <c r="C20">
        <v>491</v>
      </c>
      <c r="D20">
        <v>536409</v>
      </c>
      <c r="E20">
        <v>22866</v>
      </c>
      <c r="F20" t="s">
        <v>6411</v>
      </c>
      <c r="G20">
        <v>1</v>
      </c>
      <c r="H20" s="6">
        <v>40513.489583333343</v>
      </c>
      <c r="I20">
        <v>2.1</v>
      </c>
      <c r="J20">
        <v>17908</v>
      </c>
      <c r="K20" t="s">
        <v>89</v>
      </c>
      <c r="L20" t="s">
        <v>13320</v>
      </c>
      <c r="M20" t="s">
        <v>13319</v>
      </c>
      <c r="N20" t="s">
        <v>262</v>
      </c>
      <c r="O20" t="s">
        <v>4218</v>
      </c>
      <c r="P20" t="s">
        <v>6411</v>
      </c>
      <c r="Q20">
        <v>1</v>
      </c>
      <c r="R20">
        <v>2.1</v>
      </c>
      <c r="S20" s="6">
        <v>40513.489583333343</v>
      </c>
      <c r="T20" t="s">
        <v>89</v>
      </c>
      <c r="U20" t="s">
        <v>6</v>
      </c>
      <c r="V20">
        <v>21000</v>
      </c>
      <c r="W20">
        <v>21000</v>
      </c>
      <c r="X20" s="4">
        <v>2.1</v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>
        <v>1</v>
      </c>
      <c r="AG20" t="b">
        <v>0</v>
      </c>
      <c r="AH20" t="s">
        <v>13292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s">
        <v>4056</v>
      </c>
      <c r="AQ20" t="b">
        <v>1</v>
      </c>
      <c r="AR20" t="b">
        <v>1</v>
      </c>
      <c r="AS20" t="b">
        <v>1</v>
      </c>
      <c r="AT20" t="s">
        <v>4091</v>
      </c>
      <c r="AU20" t="s">
        <v>4090</v>
      </c>
    </row>
    <row r="21" spans="1:47" x14ac:dyDescent="0.25">
      <c r="A21" t="s">
        <v>13289</v>
      </c>
      <c r="B21" t="s">
        <v>13290</v>
      </c>
      <c r="C21">
        <v>496</v>
      </c>
      <c r="D21">
        <v>536409</v>
      </c>
      <c r="E21">
        <v>21866</v>
      </c>
      <c r="F21" t="s">
        <v>5327</v>
      </c>
      <c r="G21">
        <v>1</v>
      </c>
      <c r="H21" s="6">
        <v>40513.489583333343</v>
      </c>
      <c r="I21">
        <v>1.25</v>
      </c>
      <c r="J21">
        <v>17908</v>
      </c>
      <c r="K21" t="s">
        <v>89</v>
      </c>
      <c r="L21" t="s">
        <v>13321</v>
      </c>
      <c r="M21" t="s">
        <v>13319</v>
      </c>
      <c r="N21" t="s">
        <v>1550</v>
      </c>
      <c r="O21" t="s">
        <v>4218</v>
      </c>
      <c r="P21" t="s">
        <v>5327</v>
      </c>
      <c r="Q21">
        <v>1</v>
      </c>
      <c r="R21">
        <v>1.25</v>
      </c>
      <c r="S21" s="6">
        <v>40513.489583333343</v>
      </c>
      <c r="T21" t="s">
        <v>89</v>
      </c>
      <c r="U21" t="s">
        <v>6</v>
      </c>
      <c r="V21">
        <v>12500</v>
      </c>
      <c r="W21">
        <v>12500</v>
      </c>
      <c r="X21" s="4">
        <v>1.25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  <c r="AE21" t="b">
        <v>0</v>
      </c>
      <c r="AF21">
        <v>1</v>
      </c>
      <c r="AG21" t="b">
        <v>0</v>
      </c>
      <c r="AH21" t="s">
        <v>13292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s">
        <v>4056</v>
      </c>
      <c r="AQ21" t="b">
        <v>1</v>
      </c>
      <c r="AR21" t="b">
        <v>1</v>
      </c>
      <c r="AS21" t="b">
        <v>1</v>
      </c>
      <c r="AT21" t="s">
        <v>4091</v>
      </c>
      <c r="AU21" t="s">
        <v>4090</v>
      </c>
    </row>
    <row r="22" spans="1:47" x14ac:dyDescent="0.25">
      <c r="A22" t="s">
        <v>13289</v>
      </c>
      <c r="B22" t="s">
        <v>13290</v>
      </c>
      <c r="C22">
        <v>519</v>
      </c>
      <c r="D22">
        <v>536409</v>
      </c>
      <c r="E22">
        <v>21866</v>
      </c>
      <c r="F22" t="s">
        <v>5327</v>
      </c>
      <c r="G22">
        <v>1</v>
      </c>
      <c r="H22" s="6">
        <v>40513.489583333343</v>
      </c>
      <c r="I22">
        <v>1.25</v>
      </c>
      <c r="J22">
        <v>17908</v>
      </c>
      <c r="K22" t="s">
        <v>89</v>
      </c>
      <c r="L22" t="s">
        <v>13322</v>
      </c>
      <c r="M22" t="s">
        <v>13319</v>
      </c>
      <c r="N22" t="s">
        <v>1550</v>
      </c>
      <c r="O22" t="s">
        <v>4218</v>
      </c>
      <c r="P22" t="s">
        <v>5327</v>
      </c>
      <c r="Q22">
        <v>1</v>
      </c>
      <c r="R22">
        <v>1.25</v>
      </c>
      <c r="S22" s="6">
        <v>40513.489583333343</v>
      </c>
      <c r="T22" t="s">
        <v>89</v>
      </c>
      <c r="U22" t="s">
        <v>6</v>
      </c>
      <c r="V22">
        <v>12500</v>
      </c>
      <c r="W22">
        <v>12500</v>
      </c>
      <c r="X22" s="4">
        <v>1.25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1</v>
      </c>
      <c r="AE22" t="b">
        <v>0</v>
      </c>
      <c r="AF22">
        <v>1</v>
      </c>
      <c r="AG22" t="b">
        <v>0</v>
      </c>
      <c r="AH22" t="s">
        <v>13292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s">
        <v>4056</v>
      </c>
      <c r="AQ22" t="b">
        <v>1</v>
      </c>
      <c r="AR22" t="b">
        <v>1</v>
      </c>
      <c r="AS22" t="b">
        <v>1</v>
      </c>
      <c r="AT22" t="s">
        <v>4091</v>
      </c>
      <c r="AU22" t="s">
        <v>4090</v>
      </c>
    </row>
    <row r="23" spans="1:47" x14ac:dyDescent="0.25">
      <c r="A23" t="s">
        <v>13289</v>
      </c>
      <c r="B23" t="s">
        <v>13290</v>
      </c>
      <c r="C23">
        <v>523</v>
      </c>
      <c r="D23">
        <v>536409</v>
      </c>
      <c r="E23">
        <v>22900</v>
      </c>
      <c r="F23" t="s">
        <v>13323</v>
      </c>
      <c r="G23">
        <v>1</v>
      </c>
      <c r="H23" s="6">
        <v>40513.489583333343</v>
      </c>
      <c r="I23">
        <v>2.95</v>
      </c>
      <c r="J23">
        <v>17908</v>
      </c>
      <c r="K23" t="s">
        <v>89</v>
      </c>
      <c r="L23" t="s">
        <v>13324</v>
      </c>
      <c r="M23" t="s">
        <v>13319</v>
      </c>
      <c r="N23" t="s">
        <v>259</v>
      </c>
      <c r="O23" t="s">
        <v>4218</v>
      </c>
      <c r="P23" t="s">
        <v>6453</v>
      </c>
      <c r="Q23">
        <v>1</v>
      </c>
      <c r="R23">
        <v>2.95</v>
      </c>
      <c r="S23" s="6">
        <v>40513.489583333343</v>
      </c>
      <c r="T23" t="s">
        <v>89</v>
      </c>
      <c r="U23" t="s">
        <v>6</v>
      </c>
      <c r="V23">
        <v>29500</v>
      </c>
      <c r="W23">
        <v>29500</v>
      </c>
      <c r="X23" s="4">
        <v>2.95</v>
      </c>
      <c r="Y23" t="b">
        <v>0</v>
      </c>
      <c r="Z23" t="b">
        <v>0</v>
      </c>
      <c r="AA23" t="b">
        <v>0</v>
      </c>
      <c r="AB23" t="b">
        <v>1</v>
      </c>
      <c r="AC23" t="b">
        <v>1</v>
      </c>
      <c r="AD23" t="b">
        <v>0</v>
      </c>
      <c r="AE23" t="b">
        <v>0</v>
      </c>
      <c r="AF23">
        <v>2</v>
      </c>
      <c r="AG23" t="b">
        <v>1</v>
      </c>
      <c r="AH23" t="s">
        <v>13292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s">
        <v>4056</v>
      </c>
      <c r="AQ23" t="b">
        <v>1</v>
      </c>
      <c r="AR23" t="b">
        <v>1</v>
      </c>
      <c r="AS23" t="b">
        <v>1</v>
      </c>
      <c r="AT23" t="s">
        <v>13325</v>
      </c>
      <c r="AU23" t="s">
        <v>4090</v>
      </c>
    </row>
    <row r="24" spans="1:47" x14ac:dyDescent="0.25">
      <c r="A24" t="s">
        <v>13289</v>
      </c>
      <c r="B24" t="s">
        <v>13290</v>
      </c>
      <c r="C24">
        <v>529</v>
      </c>
      <c r="D24">
        <v>536409</v>
      </c>
      <c r="E24">
        <v>22866</v>
      </c>
      <c r="F24" t="s">
        <v>6411</v>
      </c>
      <c r="G24">
        <v>1</v>
      </c>
      <c r="H24" s="6">
        <v>40513.489583333343</v>
      </c>
      <c r="I24">
        <v>2.1</v>
      </c>
      <c r="J24">
        <v>17908</v>
      </c>
      <c r="K24" t="s">
        <v>89</v>
      </c>
      <c r="L24" t="s">
        <v>13326</v>
      </c>
      <c r="M24" t="s">
        <v>13319</v>
      </c>
      <c r="N24" t="s">
        <v>262</v>
      </c>
      <c r="O24" t="s">
        <v>4218</v>
      </c>
      <c r="P24" t="s">
        <v>6411</v>
      </c>
      <c r="Q24">
        <v>1</v>
      </c>
      <c r="R24">
        <v>2.1</v>
      </c>
      <c r="S24" s="6">
        <v>40513.489583333343</v>
      </c>
      <c r="T24" t="s">
        <v>89</v>
      </c>
      <c r="U24" t="s">
        <v>6</v>
      </c>
      <c r="V24">
        <v>21000</v>
      </c>
      <c r="W24">
        <v>21000</v>
      </c>
      <c r="X24" s="4">
        <v>2.1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1</v>
      </c>
      <c r="AE24" t="b">
        <v>0</v>
      </c>
      <c r="AF24">
        <v>1</v>
      </c>
      <c r="AG24" t="b">
        <v>0</v>
      </c>
      <c r="AH24" t="s">
        <v>13292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s">
        <v>4056</v>
      </c>
      <c r="AQ24" t="b">
        <v>1</v>
      </c>
      <c r="AR24" t="b">
        <v>1</v>
      </c>
      <c r="AS24" t="b">
        <v>1</v>
      </c>
      <c r="AT24" t="s">
        <v>4091</v>
      </c>
      <c r="AU24" t="s">
        <v>4090</v>
      </c>
    </row>
    <row r="25" spans="1:47" x14ac:dyDescent="0.25">
      <c r="A25" t="s">
        <v>13289</v>
      </c>
      <c r="B25" t="s">
        <v>13290</v>
      </c>
      <c r="C25">
        <v>539</v>
      </c>
      <c r="D25">
        <v>536409</v>
      </c>
      <c r="E25">
        <v>22900</v>
      </c>
      <c r="F25" t="s">
        <v>13323</v>
      </c>
      <c r="G25">
        <v>1</v>
      </c>
      <c r="H25" s="6">
        <v>40513.489583333343</v>
      </c>
      <c r="I25">
        <v>2.95</v>
      </c>
      <c r="J25">
        <v>17908</v>
      </c>
      <c r="K25" t="s">
        <v>89</v>
      </c>
      <c r="L25" t="s">
        <v>13327</v>
      </c>
      <c r="M25" t="s">
        <v>13319</v>
      </c>
      <c r="N25" t="s">
        <v>259</v>
      </c>
      <c r="O25" t="s">
        <v>4218</v>
      </c>
      <c r="P25" t="s">
        <v>6453</v>
      </c>
      <c r="Q25">
        <v>1</v>
      </c>
      <c r="R25">
        <v>2.95</v>
      </c>
      <c r="S25" s="6">
        <v>40513.489583333343</v>
      </c>
      <c r="T25" t="s">
        <v>89</v>
      </c>
      <c r="U25" t="s">
        <v>6</v>
      </c>
      <c r="V25">
        <v>29500</v>
      </c>
      <c r="W25">
        <v>29500</v>
      </c>
      <c r="X25" s="4">
        <v>2.95</v>
      </c>
      <c r="Y25" t="b">
        <v>0</v>
      </c>
      <c r="Z25" t="b">
        <v>0</v>
      </c>
      <c r="AA25" t="b">
        <v>0</v>
      </c>
      <c r="AB25" t="b">
        <v>1</v>
      </c>
      <c r="AC25" t="b">
        <v>1</v>
      </c>
      <c r="AD25" t="b">
        <v>1</v>
      </c>
      <c r="AE25" t="b">
        <v>0</v>
      </c>
      <c r="AF25">
        <v>2</v>
      </c>
      <c r="AG25" t="b">
        <v>1</v>
      </c>
      <c r="AH25" t="s">
        <v>13292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s">
        <v>4056</v>
      </c>
      <c r="AQ25" t="b">
        <v>1</v>
      </c>
      <c r="AR25" t="b">
        <v>1</v>
      </c>
      <c r="AS25" t="b">
        <v>1</v>
      </c>
      <c r="AT25" t="s">
        <v>13325</v>
      </c>
      <c r="AU25" t="s">
        <v>4090</v>
      </c>
    </row>
    <row r="26" spans="1:47" x14ac:dyDescent="0.25">
      <c r="A26" t="s">
        <v>13289</v>
      </c>
      <c r="B26" t="s">
        <v>13290</v>
      </c>
      <c r="C26">
        <v>541</v>
      </c>
      <c r="D26">
        <v>536409</v>
      </c>
      <c r="E26">
        <v>22111</v>
      </c>
      <c r="F26" t="s">
        <v>4217</v>
      </c>
      <c r="G26">
        <v>1</v>
      </c>
      <c r="H26" s="6">
        <v>40513.489583333343</v>
      </c>
      <c r="I26">
        <v>4.95</v>
      </c>
      <c r="J26">
        <v>17908</v>
      </c>
      <c r="K26" t="s">
        <v>89</v>
      </c>
      <c r="L26" t="s">
        <v>4219</v>
      </c>
      <c r="M26" t="s">
        <v>13319</v>
      </c>
      <c r="N26" t="s">
        <v>180</v>
      </c>
      <c r="O26" t="s">
        <v>4218</v>
      </c>
      <c r="P26" t="s">
        <v>4217</v>
      </c>
      <c r="Q26">
        <v>1</v>
      </c>
      <c r="R26">
        <v>4.95</v>
      </c>
      <c r="S26" s="6">
        <v>40513.489583333343</v>
      </c>
      <c r="T26" t="s">
        <v>89</v>
      </c>
      <c r="U26" t="s">
        <v>6</v>
      </c>
      <c r="V26">
        <v>49500</v>
      </c>
      <c r="W26">
        <v>49500</v>
      </c>
      <c r="X26" s="4">
        <v>4.95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1</v>
      </c>
      <c r="AE26" t="b">
        <v>0</v>
      </c>
      <c r="AF26">
        <v>1</v>
      </c>
      <c r="AG26" t="b">
        <v>0</v>
      </c>
      <c r="AH26" t="s">
        <v>13292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s">
        <v>4056</v>
      </c>
      <c r="AQ26" t="b">
        <v>1</v>
      </c>
      <c r="AR26" t="b">
        <v>1</v>
      </c>
      <c r="AS26" t="b">
        <v>1</v>
      </c>
      <c r="AT26" t="s">
        <v>4091</v>
      </c>
      <c r="AU26" t="s">
        <v>4090</v>
      </c>
    </row>
    <row r="27" spans="1:47" x14ac:dyDescent="0.25">
      <c r="A27" t="s">
        <v>13289</v>
      </c>
      <c r="B27" t="s">
        <v>13290</v>
      </c>
      <c r="C27">
        <v>199126</v>
      </c>
      <c r="D27">
        <v>554084</v>
      </c>
      <c r="E27">
        <v>23298</v>
      </c>
      <c r="F27" t="s">
        <v>4229</v>
      </c>
      <c r="G27">
        <v>3</v>
      </c>
      <c r="H27" s="6">
        <v>40685.494444444441</v>
      </c>
      <c r="I27">
        <v>4.95</v>
      </c>
      <c r="J27">
        <v>12909</v>
      </c>
      <c r="K27" t="s">
        <v>89</v>
      </c>
      <c r="L27" t="s">
        <v>4228</v>
      </c>
      <c r="M27" t="s">
        <v>13328</v>
      </c>
      <c r="N27" t="s">
        <v>140</v>
      </c>
      <c r="O27" t="s">
        <v>4231</v>
      </c>
      <c r="P27" t="s">
        <v>4230</v>
      </c>
      <c r="Q27">
        <v>3</v>
      </c>
      <c r="R27">
        <v>4.95</v>
      </c>
      <c r="S27" s="6">
        <v>40685.494444444441</v>
      </c>
      <c r="T27" t="s">
        <v>89</v>
      </c>
      <c r="U27" t="s">
        <v>66</v>
      </c>
      <c r="V27">
        <v>49500</v>
      </c>
      <c r="W27">
        <v>148500</v>
      </c>
      <c r="X27" s="4">
        <v>14.85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1</v>
      </c>
      <c r="AF27">
        <v>2</v>
      </c>
      <c r="AG27" t="b">
        <v>1</v>
      </c>
      <c r="AH27" t="s">
        <v>13292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s">
        <v>4056</v>
      </c>
      <c r="AQ27" t="b">
        <v>1</v>
      </c>
      <c r="AR27" t="b">
        <v>1</v>
      </c>
      <c r="AS27" t="b">
        <v>1</v>
      </c>
      <c r="AT27" t="s">
        <v>4232</v>
      </c>
      <c r="AU27" t="s">
        <v>4099</v>
      </c>
    </row>
    <row r="28" spans="1:47" x14ac:dyDescent="0.25">
      <c r="A28" t="s">
        <v>13289</v>
      </c>
      <c r="B28" t="s">
        <v>13290</v>
      </c>
      <c r="C28">
        <v>199146</v>
      </c>
      <c r="D28">
        <v>554084</v>
      </c>
      <c r="E28">
        <v>23298</v>
      </c>
      <c r="F28" t="s">
        <v>4234</v>
      </c>
      <c r="G28">
        <v>3</v>
      </c>
      <c r="H28" s="6">
        <v>40685.494444444441</v>
      </c>
      <c r="I28">
        <v>4.95</v>
      </c>
      <c r="J28">
        <v>12909</v>
      </c>
      <c r="K28" t="s">
        <v>89</v>
      </c>
      <c r="L28" t="s">
        <v>4233</v>
      </c>
      <c r="M28" t="s">
        <v>13328</v>
      </c>
      <c r="N28" t="s">
        <v>140</v>
      </c>
      <c r="O28" t="s">
        <v>4231</v>
      </c>
      <c r="P28" t="s">
        <v>4234</v>
      </c>
      <c r="Q28">
        <v>3</v>
      </c>
      <c r="R28">
        <v>4.95</v>
      </c>
      <c r="S28" s="6">
        <v>40685.494444444441</v>
      </c>
      <c r="T28" t="s">
        <v>89</v>
      </c>
      <c r="U28" t="s">
        <v>66</v>
      </c>
      <c r="V28">
        <v>49500</v>
      </c>
      <c r="W28">
        <v>148500</v>
      </c>
      <c r="X28" s="4">
        <v>14.85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>
        <v>2</v>
      </c>
      <c r="AG28" t="b">
        <v>1</v>
      </c>
      <c r="AH28" t="s">
        <v>13292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s">
        <v>4056</v>
      </c>
      <c r="AQ28" t="b">
        <v>1</v>
      </c>
      <c r="AR28" t="b">
        <v>1</v>
      </c>
      <c r="AS28" t="b">
        <v>1</v>
      </c>
      <c r="AT28" t="s">
        <v>4232</v>
      </c>
      <c r="AU28" t="s">
        <v>4099</v>
      </c>
    </row>
    <row r="29" spans="1:47" x14ac:dyDescent="0.25">
      <c r="A29" t="s">
        <v>13289</v>
      </c>
      <c r="B29" t="s">
        <v>13290</v>
      </c>
      <c r="C29">
        <v>452370</v>
      </c>
      <c r="D29">
        <v>575335</v>
      </c>
      <c r="E29">
        <v>23203</v>
      </c>
      <c r="F29" t="s">
        <v>13329</v>
      </c>
      <c r="G29">
        <v>300</v>
      </c>
      <c r="H29" s="6">
        <v>40856.580555555563</v>
      </c>
      <c r="I29">
        <v>1.79</v>
      </c>
      <c r="J29">
        <v>12931</v>
      </c>
      <c r="K29" t="s">
        <v>89</v>
      </c>
      <c r="L29" t="s">
        <v>13330</v>
      </c>
      <c r="M29" t="s">
        <v>13331</v>
      </c>
      <c r="N29" t="s">
        <v>142</v>
      </c>
      <c r="O29" t="s">
        <v>9423</v>
      </c>
      <c r="P29" t="s">
        <v>13329</v>
      </c>
      <c r="Q29">
        <v>300</v>
      </c>
      <c r="R29">
        <v>1.79</v>
      </c>
      <c r="S29" s="6">
        <v>40856.580555555563</v>
      </c>
      <c r="T29" t="s">
        <v>89</v>
      </c>
      <c r="U29" t="s">
        <v>84</v>
      </c>
      <c r="V29">
        <v>17900</v>
      </c>
      <c r="W29">
        <v>5370000</v>
      </c>
      <c r="X29" s="4">
        <v>537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>
        <v>4</v>
      </c>
      <c r="AG29" t="b">
        <v>1</v>
      </c>
      <c r="AH29" t="s">
        <v>13292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s">
        <v>4056</v>
      </c>
      <c r="AQ29" t="b">
        <v>1</v>
      </c>
      <c r="AR29" t="b">
        <v>1</v>
      </c>
      <c r="AS29" t="b">
        <v>1</v>
      </c>
      <c r="AT29" t="s">
        <v>4232</v>
      </c>
      <c r="AU29" t="s">
        <v>4099</v>
      </c>
    </row>
    <row r="30" spans="1:47" x14ac:dyDescent="0.25">
      <c r="A30" t="s">
        <v>13289</v>
      </c>
      <c r="B30" t="s">
        <v>13290</v>
      </c>
      <c r="C30">
        <v>452373</v>
      </c>
      <c r="D30">
        <v>575335</v>
      </c>
      <c r="E30">
        <v>23203</v>
      </c>
      <c r="F30" t="s">
        <v>13332</v>
      </c>
      <c r="G30">
        <v>300</v>
      </c>
      <c r="H30" s="6">
        <v>40856.580555555563</v>
      </c>
      <c r="I30">
        <v>1.79</v>
      </c>
      <c r="J30">
        <v>12931</v>
      </c>
      <c r="K30" t="s">
        <v>89</v>
      </c>
      <c r="L30" t="s">
        <v>13333</v>
      </c>
      <c r="M30" t="s">
        <v>13331</v>
      </c>
      <c r="N30" t="s">
        <v>142</v>
      </c>
      <c r="O30" t="s">
        <v>9423</v>
      </c>
      <c r="P30" t="s">
        <v>13334</v>
      </c>
      <c r="Q30">
        <v>300</v>
      </c>
      <c r="R30">
        <v>1.79</v>
      </c>
      <c r="S30" s="6">
        <v>40856.580555555563</v>
      </c>
      <c r="T30" t="s">
        <v>89</v>
      </c>
      <c r="U30" t="s">
        <v>84</v>
      </c>
      <c r="V30">
        <v>17900</v>
      </c>
      <c r="W30">
        <v>5370000</v>
      </c>
      <c r="X30" s="4">
        <v>537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1</v>
      </c>
      <c r="AF30">
        <v>4</v>
      </c>
      <c r="AG30" t="b">
        <v>1</v>
      </c>
      <c r="AH30" t="s">
        <v>13292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s">
        <v>4056</v>
      </c>
      <c r="AQ30" t="b">
        <v>1</v>
      </c>
      <c r="AR30" t="b">
        <v>1</v>
      </c>
      <c r="AS30" t="b">
        <v>1</v>
      </c>
      <c r="AT30" t="s">
        <v>4232</v>
      </c>
      <c r="AU30" t="s">
        <v>4099</v>
      </c>
    </row>
    <row r="31" spans="1:47" x14ac:dyDescent="0.25">
      <c r="A31" t="s">
        <v>13289</v>
      </c>
      <c r="B31" t="s">
        <v>13290</v>
      </c>
      <c r="C31">
        <v>2</v>
      </c>
      <c r="D31">
        <v>536365</v>
      </c>
      <c r="E31" t="s">
        <v>130</v>
      </c>
      <c r="F31" t="s">
        <v>8407</v>
      </c>
      <c r="G31">
        <v>6</v>
      </c>
      <c r="H31" s="6">
        <v>40513.351388888892</v>
      </c>
      <c r="I31">
        <v>2.5499999999999998</v>
      </c>
      <c r="J31">
        <v>17850</v>
      </c>
      <c r="K31" t="s">
        <v>89</v>
      </c>
      <c r="L31" t="s">
        <v>13335</v>
      </c>
      <c r="M31" t="s">
        <v>13336</v>
      </c>
      <c r="N31" t="s">
        <v>130</v>
      </c>
      <c r="O31" t="s">
        <v>12952</v>
      </c>
      <c r="P31" t="s">
        <v>8407</v>
      </c>
      <c r="Q31">
        <v>6</v>
      </c>
      <c r="R31">
        <v>2.5499999999999998</v>
      </c>
      <c r="S31" s="6">
        <v>40513.351388888892</v>
      </c>
      <c r="T31" t="s">
        <v>89</v>
      </c>
      <c r="U31" t="s">
        <v>6</v>
      </c>
      <c r="V31">
        <v>25500</v>
      </c>
      <c r="W31">
        <v>153000</v>
      </c>
      <c r="X31" s="4">
        <v>15.3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>
        <v>4</v>
      </c>
      <c r="AG31" t="b">
        <v>1</v>
      </c>
      <c r="AH31" t="s">
        <v>13292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s">
        <v>4056</v>
      </c>
      <c r="AQ31" t="b">
        <v>1</v>
      </c>
      <c r="AR31" t="b">
        <v>1</v>
      </c>
      <c r="AS31" t="b">
        <v>1</v>
      </c>
      <c r="AT31" t="s">
        <v>4104</v>
      </c>
      <c r="AU31" t="s">
        <v>4103</v>
      </c>
    </row>
    <row r="32" spans="1:47" x14ac:dyDescent="0.25">
      <c r="A32" t="s">
        <v>13289</v>
      </c>
      <c r="B32" t="s">
        <v>13290</v>
      </c>
      <c r="C32">
        <v>3</v>
      </c>
      <c r="D32">
        <v>536365</v>
      </c>
      <c r="E32">
        <v>71053</v>
      </c>
      <c r="F32" t="s">
        <v>13337</v>
      </c>
      <c r="G32">
        <v>6</v>
      </c>
      <c r="H32" s="6">
        <v>40513.351388888892</v>
      </c>
      <c r="I32">
        <v>3.39</v>
      </c>
      <c r="J32">
        <v>17850</v>
      </c>
      <c r="K32" t="s">
        <v>89</v>
      </c>
      <c r="L32" t="s">
        <v>13338</v>
      </c>
      <c r="M32" t="s">
        <v>13336</v>
      </c>
      <c r="N32" t="s">
        <v>412</v>
      </c>
      <c r="O32" t="s">
        <v>12952</v>
      </c>
      <c r="P32" t="s">
        <v>13337</v>
      </c>
      <c r="Q32">
        <v>6</v>
      </c>
      <c r="R32">
        <v>3.39</v>
      </c>
      <c r="S32" s="6">
        <v>40513.351388888892</v>
      </c>
      <c r="T32" t="s">
        <v>89</v>
      </c>
      <c r="U32" t="s">
        <v>6</v>
      </c>
      <c r="V32">
        <v>33900</v>
      </c>
      <c r="W32">
        <v>203400</v>
      </c>
      <c r="X32" s="4">
        <v>20.34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>
        <v>2</v>
      </c>
      <c r="AG32" t="b">
        <v>1</v>
      </c>
      <c r="AH32" t="s">
        <v>13292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s">
        <v>4056</v>
      </c>
      <c r="AQ32" t="b">
        <v>1</v>
      </c>
      <c r="AR32" t="b">
        <v>1</v>
      </c>
      <c r="AS32" t="b">
        <v>1</v>
      </c>
      <c r="AT32" t="s">
        <v>4104</v>
      </c>
      <c r="AU32" t="s">
        <v>4103</v>
      </c>
    </row>
    <row r="33" spans="1:47" x14ac:dyDescent="0.25">
      <c r="A33" t="s">
        <v>13289</v>
      </c>
      <c r="B33" t="s">
        <v>13290</v>
      </c>
      <c r="C33">
        <v>4</v>
      </c>
      <c r="D33">
        <v>536365</v>
      </c>
      <c r="E33" t="s">
        <v>441</v>
      </c>
      <c r="F33" t="s">
        <v>13339</v>
      </c>
      <c r="G33">
        <v>8</v>
      </c>
      <c r="H33" s="6">
        <v>40513.351388888892</v>
      </c>
      <c r="I33">
        <v>2.75</v>
      </c>
      <c r="J33">
        <v>17850</v>
      </c>
      <c r="K33" t="s">
        <v>89</v>
      </c>
      <c r="L33" t="s">
        <v>13340</v>
      </c>
      <c r="M33" t="s">
        <v>13336</v>
      </c>
      <c r="N33" t="s">
        <v>441</v>
      </c>
      <c r="O33" t="s">
        <v>12952</v>
      </c>
      <c r="P33" t="s">
        <v>13339</v>
      </c>
      <c r="Q33">
        <v>8</v>
      </c>
      <c r="R33">
        <v>2.75</v>
      </c>
      <c r="S33" s="6">
        <v>40513.351388888892</v>
      </c>
      <c r="T33" t="s">
        <v>89</v>
      </c>
      <c r="U33" t="s">
        <v>6</v>
      </c>
      <c r="V33">
        <v>27500</v>
      </c>
      <c r="W33">
        <v>220000</v>
      </c>
      <c r="X33" s="4">
        <v>22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>
        <v>3</v>
      </c>
      <c r="AG33" t="b">
        <v>1</v>
      </c>
      <c r="AH33" t="s">
        <v>13292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s">
        <v>4056</v>
      </c>
      <c r="AQ33" t="b">
        <v>1</v>
      </c>
      <c r="AR33" t="b">
        <v>1</v>
      </c>
      <c r="AS33" t="b">
        <v>1</v>
      </c>
      <c r="AT33" t="s">
        <v>4104</v>
      </c>
      <c r="AU33" t="s">
        <v>4103</v>
      </c>
    </row>
    <row r="34" spans="1:47" x14ac:dyDescent="0.25">
      <c r="A34" t="s">
        <v>13289</v>
      </c>
      <c r="B34" t="s">
        <v>13290</v>
      </c>
      <c r="C34">
        <v>10</v>
      </c>
      <c r="D34">
        <v>536366</v>
      </c>
      <c r="E34">
        <v>22632</v>
      </c>
      <c r="F34" t="s">
        <v>13341</v>
      </c>
      <c r="G34">
        <v>6</v>
      </c>
      <c r="H34" s="6">
        <v>40513.352777777778</v>
      </c>
      <c r="I34">
        <v>1.85</v>
      </c>
      <c r="J34">
        <v>17850</v>
      </c>
      <c r="K34" t="s">
        <v>89</v>
      </c>
      <c r="L34" t="s">
        <v>13342</v>
      </c>
      <c r="M34" t="s">
        <v>13343</v>
      </c>
      <c r="N34" t="s">
        <v>392</v>
      </c>
      <c r="O34" t="s">
        <v>12952</v>
      </c>
      <c r="P34" t="s">
        <v>13341</v>
      </c>
      <c r="Q34">
        <v>6</v>
      </c>
      <c r="R34">
        <v>1.85</v>
      </c>
      <c r="S34" s="6">
        <v>40513.352777777778</v>
      </c>
      <c r="T34" t="s">
        <v>89</v>
      </c>
      <c r="U34" t="s">
        <v>6</v>
      </c>
      <c r="V34">
        <v>18500</v>
      </c>
      <c r="W34">
        <v>111000</v>
      </c>
      <c r="X34" s="4">
        <v>11.1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>
        <v>2</v>
      </c>
      <c r="AG34" t="b">
        <v>1</v>
      </c>
      <c r="AH34" t="s">
        <v>13292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s">
        <v>4056</v>
      </c>
      <c r="AQ34" t="b">
        <v>1</v>
      </c>
      <c r="AR34" t="b">
        <v>1</v>
      </c>
      <c r="AS34" t="b">
        <v>1</v>
      </c>
      <c r="AT34" t="s">
        <v>4104</v>
      </c>
      <c r="AU34" t="s">
        <v>4103</v>
      </c>
    </row>
    <row r="35" spans="1:47" x14ac:dyDescent="0.25">
      <c r="A35" t="s">
        <v>13289</v>
      </c>
      <c r="B35" t="s">
        <v>13290</v>
      </c>
      <c r="C35">
        <v>11</v>
      </c>
      <c r="D35">
        <v>536367</v>
      </c>
      <c r="E35">
        <v>84879</v>
      </c>
      <c r="F35" t="s">
        <v>13344</v>
      </c>
      <c r="G35">
        <v>32</v>
      </c>
      <c r="H35" s="6">
        <v>40513.356944444437</v>
      </c>
      <c r="I35">
        <v>1.69</v>
      </c>
      <c r="J35">
        <v>13047</v>
      </c>
      <c r="K35" t="s">
        <v>89</v>
      </c>
      <c r="L35" t="s">
        <v>13345</v>
      </c>
      <c r="M35" t="s">
        <v>13346</v>
      </c>
      <c r="N35" t="s">
        <v>136</v>
      </c>
      <c r="O35" t="s">
        <v>4215</v>
      </c>
      <c r="P35" t="s">
        <v>13344</v>
      </c>
      <c r="Q35">
        <v>32</v>
      </c>
      <c r="R35">
        <v>1.69</v>
      </c>
      <c r="S35" s="6">
        <v>40513.356944444437</v>
      </c>
      <c r="T35" t="s">
        <v>89</v>
      </c>
      <c r="U35" t="s">
        <v>6</v>
      </c>
      <c r="V35">
        <v>16900</v>
      </c>
      <c r="W35">
        <v>540800</v>
      </c>
      <c r="X35" s="4">
        <v>54.08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>
        <v>2</v>
      </c>
      <c r="AG35" t="b">
        <v>1</v>
      </c>
      <c r="AH35" t="s">
        <v>13292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s">
        <v>4056</v>
      </c>
      <c r="AQ35" t="b">
        <v>1</v>
      </c>
      <c r="AR35" t="b">
        <v>1</v>
      </c>
      <c r="AS35" t="b">
        <v>1</v>
      </c>
      <c r="AT35" t="s">
        <v>4104</v>
      </c>
      <c r="AU35" t="s">
        <v>4103</v>
      </c>
    </row>
    <row r="36" spans="1:47" x14ac:dyDescent="0.25">
      <c r="A36" t="s">
        <v>13289</v>
      </c>
      <c r="B36" t="s">
        <v>13290</v>
      </c>
      <c r="C36">
        <v>16</v>
      </c>
      <c r="D36">
        <v>536367</v>
      </c>
      <c r="E36">
        <v>84969</v>
      </c>
      <c r="F36" t="s">
        <v>13347</v>
      </c>
      <c r="G36">
        <v>6</v>
      </c>
      <c r="H36" s="6">
        <v>40513.356944444437</v>
      </c>
      <c r="I36">
        <v>4.25</v>
      </c>
      <c r="J36">
        <v>13047</v>
      </c>
      <c r="K36" t="s">
        <v>89</v>
      </c>
      <c r="L36" t="s">
        <v>13348</v>
      </c>
      <c r="M36" t="s">
        <v>13346</v>
      </c>
      <c r="N36" t="s">
        <v>1055</v>
      </c>
      <c r="O36" t="s">
        <v>4215</v>
      </c>
      <c r="P36" t="s">
        <v>13347</v>
      </c>
      <c r="Q36">
        <v>6</v>
      </c>
      <c r="R36">
        <v>4.25</v>
      </c>
      <c r="S36" s="6">
        <v>40513.356944444437</v>
      </c>
      <c r="T36" t="s">
        <v>89</v>
      </c>
      <c r="U36" t="s">
        <v>6</v>
      </c>
      <c r="V36">
        <v>42500</v>
      </c>
      <c r="W36">
        <v>255000</v>
      </c>
      <c r="X36" s="4">
        <v>25.5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>
        <v>2</v>
      </c>
      <c r="AG36" t="b">
        <v>1</v>
      </c>
      <c r="AH36" t="s">
        <v>13292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s">
        <v>4056</v>
      </c>
      <c r="AQ36" t="b">
        <v>1</v>
      </c>
      <c r="AR36" t="b">
        <v>1</v>
      </c>
      <c r="AS36" t="b">
        <v>1</v>
      </c>
      <c r="AT36" t="s">
        <v>4104</v>
      </c>
      <c r="AU36" t="s">
        <v>4103</v>
      </c>
    </row>
    <row r="37" spans="1:47" x14ac:dyDescent="0.25">
      <c r="A37" t="s">
        <v>13289</v>
      </c>
      <c r="B37" t="s">
        <v>13290</v>
      </c>
      <c r="C37">
        <v>42</v>
      </c>
      <c r="D37">
        <v>536370</v>
      </c>
      <c r="E37">
        <v>22900</v>
      </c>
      <c r="F37" t="s">
        <v>13323</v>
      </c>
      <c r="G37">
        <v>24</v>
      </c>
      <c r="H37" s="6">
        <v>40513.364583333343</v>
      </c>
      <c r="I37">
        <v>2.95</v>
      </c>
      <c r="J37">
        <v>12583</v>
      </c>
      <c r="K37" t="s">
        <v>93</v>
      </c>
      <c r="L37" t="s">
        <v>13349</v>
      </c>
      <c r="M37" t="s">
        <v>13350</v>
      </c>
      <c r="N37" t="s">
        <v>259</v>
      </c>
      <c r="O37" t="s">
        <v>9161</v>
      </c>
      <c r="P37" t="s">
        <v>6453</v>
      </c>
      <c r="Q37">
        <v>24</v>
      </c>
      <c r="R37">
        <v>2.95</v>
      </c>
      <c r="S37" s="6">
        <v>40513.364583333343</v>
      </c>
      <c r="T37" t="s">
        <v>93</v>
      </c>
      <c r="U37" t="s">
        <v>6</v>
      </c>
      <c r="V37">
        <v>29500</v>
      </c>
      <c r="W37">
        <v>708000</v>
      </c>
      <c r="X37" s="4">
        <v>70.8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b">
        <v>0</v>
      </c>
      <c r="AF37">
        <v>2</v>
      </c>
      <c r="AG37" t="b">
        <v>1</v>
      </c>
      <c r="AH37" t="s">
        <v>13292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s">
        <v>4056</v>
      </c>
      <c r="AQ37" t="b">
        <v>1</v>
      </c>
      <c r="AR37" t="b">
        <v>1</v>
      </c>
      <c r="AS37" t="b">
        <v>1</v>
      </c>
      <c r="AT37" t="s">
        <v>4104</v>
      </c>
      <c r="AU37" t="s">
        <v>4103</v>
      </c>
    </row>
    <row r="38" spans="1:47" x14ac:dyDescent="0.25">
      <c r="A38" t="s">
        <v>13289</v>
      </c>
      <c r="B38" t="s">
        <v>13290</v>
      </c>
      <c r="C38">
        <v>49</v>
      </c>
      <c r="D38">
        <v>536372</v>
      </c>
      <c r="E38">
        <v>22632</v>
      </c>
      <c r="F38" t="s">
        <v>13341</v>
      </c>
      <c r="G38">
        <v>6</v>
      </c>
      <c r="H38" s="6">
        <v>40513.375694444447</v>
      </c>
      <c r="I38">
        <v>1.85</v>
      </c>
      <c r="J38">
        <v>17850</v>
      </c>
      <c r="K38" t="s">
        <v>89</v>
      </c>
      <c r="L38" t="s">
        <v>13351</v>
      </c>
      <c r="M38" t="s">
        <v>13352</v>
      </c>
      <c r="N38" t="s">
        <v>392</v>
      </c>
      <c r="O38" t="s">
        <v>12952</v>
      </c>
      <c r="P38" t="s">
        <v>13341</v>
      </c>
      <c r="Q38">
        <v>6</v>
      </c>
      <c r="R38">
        <v>1.85</v>
      </c>
      <c r="S38" s="6">
        <v>40513.375694444447</v>
      </c>
      <c r="T38" t="s">
        <v>89</v>
      </c>
      <c r="U38" t="s">
        <v>6</v>
      </c>
      <c r="V38">
        <v>18500</v>
      </c>
      <c r="W38">
        <v>111000</v>
      </c>
      <c r="X38" s="4">
        <v>11.1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>
        <v>2</v>
      </c>
      <c r="AG38" t="b">
        <v>1</v>
      </c>
      <c r="AH38" t="s">
        <v>13292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s">
        <v>4056</v>
      </c>
      <c r="AQ38" t="b">
        <v>1</v>
      </c>
      <c r="AR38" t="b">
        <v>1</v>
      </c>
      <c r="AS38" t="b">
        <v>1</v>
      </c>
      <c r="AT38" t="s">
        <v>4104</v>
      </c>
      <c r="AU38" t="s">
        <v>4103</v>
      </c>
    </row>
    <row r="39" spans="1:47" x14ac:dyDescent="0.25">
      <c r="A39" t="s">
        <v>13289</v>
      </c>
      <c r="B39" t="s">
        <v>13290</v>
      </c>
      <c r="C39">
        <v>2408</v>
      </c>
      <c r="D39">
        <v>536589</v>
      </c>
      <c r="E39">
        <v>21777</v>
      </c>
      <c r="G39">
        <v>-10</v>
      </c>
      <c r="H39" s="6">
        <v>40513.701388888891</v>
      </c>
      <c r="I39">
        <v>0</v>
      </c>
      <c r="K39" t="s">
        <v>89</v>
      </c>
      <c r="L39" t="s">
        <v>13353</v>
      </c>
      <c r="M39" t="s">
        <v>13354</v>
      </c>
      <c r="N39" t="s">
        <v>3183</v>
      </c>
      <c r="Q39">
        <v>-10</v>
      </c>
      <c r="R39">
        <v>0</v>
      </c>
      <c r="S39" s="6">
        <v>40513.701388888891</v>
      </c>
      <c r="T39" t="s">
        <v>89</v>
      </c>
      <c r="U39" t="s">
        <v>6</v>
      </c>
      <c r="V39">
        <v>0</v>
      </c>
      <c r="W39">
        <v>0</v>
      </c>
      <c r="X39" s="4">
        <v>0</v>
      </c>
      <c r="Y39" t="b">
        <v>1</v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>
        <v>1</v>
      </c>
      <c r="AG39" t="b">
        <v>0</v>
      </c>
      <c r="AH39" t="s">
        <v>13292</v>
      </c>
      <c r="AI39" t="b">
        <v>0</v>
      </c>
      <c r="AJ39" t="b">
        <v>0</v>
      </c>
      <c r="AK39" t="b">
        <v>0</v>
      </c>
      <c r="AL39" t="b">
        <v>1</v>
      </c>
      <c r="AM39" t="b">
        <v>1</v>
      </c>
      <c r="AN39" t="b">
        <v>0</v>
      </c>
      <c r="AO39" t="b">
        <v>0</v>
      </c>
      <c r="AP39" t="s">
        <v>4059</v>
      </c>
      <c r="AQ39" t="b">
        <v>0</v>
      </c>
      <c r="AR39" t="b">
        <v>0</v>
      </c>
      <c r="AS39" t="b">
        <v>1</v>
      </c>
      <c r="AT39" t="s">
        <v>13355</v>
      </c>
      <c r="AU39" t="s">
        <v>4107</v>
      </c>
    </row>
    <row r="40" spans="1:47" x14ac:dyDescent="0.25">
      <c r="A40" t="s">
        <v>13289</v>
      </c>
      <c r="B40" t="s">
        <v>13290</v>
      </c>
      <c r="C40">
        <v>4349</v>
      </c>
      <c r="D40">
        <v>536764</v>
      </c>
      <c r="E40" t="s">
        <v>2734</v>
      </c>
      <c r="G40">
        <v>-38</v>
      </c>
      <c r="H40" s="6">
        <v>40514.612500000003</v>
      </c>
      <c r="I40">
        <v>0</v>
      </c>
      <c r="K40" t="s">
        <v>89</v>
      </c>
      <c r="L40" t="s">
        <v>13356</v>
      </c>
      <c r="M40" t="s">
        <v>13357</v>
      </c>
      <c r="N40" t="s">
        <v>2734</v>
      </c>
      <c r="Q40">
        <v>-38</v>
      </c>
      <c r="R40">
        <v>0</v>
      </c>
      <c r="S40" s="6">
        <v>40514.612500000003</v>
      </c>
      <c r="T40" t="s">
        <v>89</v>
      </c>
      <c r="U40" t="s">
        <v>6</v>
      </c>
      <c r="V40">
        <v>0</v>
      </c>
      <c r="W40">
        <v>0</v>
      </c>
      <c r="X40" s="4">
        <v>0</v>
      </c>
      <c r="Y40" t="b">
        <v>1</v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>
        <v>1</v>
      </c>
      <c r="AG40" t="b">
        <v>0</v>
      </c>
      <c r="AH40" t="s">
        <v>13292</v>
      </c>
      <c r="AI40" t="b">
        <v>0</v>
      </c>
      <c r="AJ40" t="b">
        <v>0</v>
      </c>
      <c r="AK40" t="b">
        <v>0</v>
      </c>
      <c r="AL40" t="b">
        <v>1</v>
      </c>
      <c r="AM40" t="b">
        <v>1</v>
      </c>
      <c r="AN40" t="b">
        <v>0</v>
      </c>
      <c r="AO40" t="b">
        <v>0</v>
      </c>
      <c r="AP40" t="s">
        <v>4059</v>
      </c>
      <c r="AQ40" t="b">
        <v>0</v>
      </c>
      <c r="AR40" t="b">
        <v>0</v>
      </c>
      <c r="AS40" t="b">
        <v>1</v>
      </c>
      <c r="AT40" t="s">
        <v>13355</v>
      </c>
      <c r="AU40" t="s">
        <v>4107</v>
      </c>
    </row>
    <row r="41" spans="1:47" x14ac:dyDescent="0.25">
      <c r="A41" t="s">
        <v>13289</v>
      </c>
      <c r="B41" t="s">
        <v>13290</v>
      </c>
      <c r="C41">
        <v>7190</v>
      </c>
      <c r="D41">
        <v>536996</v>
      </c>
      <c r="E41">
        <v>22712</v>
      </c>
      <c r="G41">
        <v>-20</v>
      </c>
      <c r="H41" s="6">
        <v>40515.645833333343</v>
      </c>
      <c r="I41">
        <v>0</v>
      </c>
      <c r="K41" t="s">
        <v>89</v>
      </c>
      <c r="L41" t="s">
        <v>13358</v>
      </c>
      <c r="M41" t="s">
        <v>13359</v>
      </c>
      <c r="N41" t="s">
        <v>1259</v>
      </c>
      <c r="Q41">
        <v>-20</v>
      </c>
      <c r="R41">
        <v>0</v>
      </c>
      <c r="S41" s="6">
        <v>40515.645833333343</v>
      </c>
      <c r="T41" t="s">
        <v>89</v>
      </c>
      <c r="U41" t="s">
        <v>6</v>
      </c>
      <c r="V41">
        <v>0</v>
      </c>
      <c r="W41">
        <v>0</v>
      </c>
      <c r="X41" s="4">
        <v>0</v>
      </c>
      <c r="Y41" t="b">
        <v>1</v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>
        <v>1</v>
      </c>
      <c r="AG41" t="b">
        <v>0</v>
      </c>
      <c r="AH41" t="s">
        <v>13292</v>
      </c>
      <c r="AI41" t="b">
        <v>0</v>
      </c>
      <c r="AJ41" t="b">
        <v>0</v>
      </c>
      <c r="AK41" t="b">
        <v>0</v>
      </c>
      <c r="AL41" t="b">
        <v>1</v>
      </c>
      <c r="AM41" t="b">
        <v>1</v>
      </c>
      <c r="AN41" t="b">
        <v>0</v>
      </c>
      <c r="AO41" t="b">
        <v>0</v>
      </c>
      <c r="AP41" t="s">
        <v>4059</v>
      </c>
      <c r="AQ41" t="b">
        <v>0</v>
      </c>
      <c r="AR41" t="b">
        <v>0</v>
      </c>
      <c r="AS41" t="b">
        <v>1</v>
      </c>
      <c r="AT41" t="s">
        <v>13355</v>
      </c>
      <c r="AU41" t="s">
        <v>4107</v>
      </c>
    </row>
    <row r="42" spans="1:47" x14ac:dyDescent="0.25">
      <c r="A42" t="s">
        <v>13289</v>
      </c>
      <c r="B42" t="s">
        <v>13290</v>
      </c>
      <c r="C42">
        <v>7191</v>
      </c>
      <c r="D42">
        <v>536997</v>
      </c>
      <c r="E42">
        <v>22028</v>
      </c>
      <c r="G42">
        <v>-20</v>
      </c>
      <c r="H42" s="6">
        <v>40515.645833333343</v>
      </c>
      <c r="I42">
        <v>0</v>
      </c>
      <c r="K42" t="s">
        <v>89</v>
      </c>
      <c r="L42" t="s">
        <v>13360</v>
      </c>
      <c r="M42" t="s">
        <v>13361</v>
      </c>
      <c r="N42" t="s">
        <v>1541</v>
      </c>
      <c r="Q42">
        <v>-20</v>
      </c>
      <c r="R42">
        <v>0</v>
      </c>
      <c r="S42" s="6">
        <v>40515.645833333343</v>
      </c>
      <c r="T42" t="s">
        <v>89</v>
      </c>
      <c r="U42" t="s">
        <v>6</v>
      </c>
      <c r="V42">
        <v>0</v>
      </c>
      <c r="W42">
        <v>0</v>
      </c>
      <c r="X42" s="4">
        <v>0</v>
      </c>
      <c r="Y42" t="b">
        <v>1</v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>
        <v>1</v>
      </c>
      <c r="AG42" t="b">
        <v>0</v>
      </c>
      <c r="AH42" t="s">
        <v>13292</v>
      </c>
      <c r="AI42" t="b">
        <v>0</v>
      </c>
      <c r="AJ42" t="b">
        <v>0</v>
      </c>
      <c r="AK42" t="b">
        <v>0</v>
      </c>
      <c r="AL42" t="b">
        <v>1</v>
      </c>
      <c r="AM42" t="b">
        <v>1</v>
      </c>
      <c r="AN42" t="b">
        <v>0</v>
      </c>
      <c r="AO42" t="b">
        <v>0</v>
      </c>
      <c r="AP42" t="s">
        <v>4059</v>
      </c>
      <c r="AQ42" t="b">
        <v>0</v>
      </c>
      <c r="AR42" t="b">
        <v>0</v>
      </c>
      <c r="AS42" t="b">
        <v>1</v>
      </c>
      <c r="AT42" t="s">
        <v>13355</v>
      </c>
      <c r="AU42" t="s">
        <v>4107</v>
      </c>
    </row>
    <row r="43" spans="1:47" x14ac:dyDescent="0.25">
      <c r="A43" t="s">
        <v>13289</v>
      </c>
      <c r="B43" t="s">
        <v>13290</v>
      </c>
      <c r="C43">
        <v>7192</v>
      </c>
      <c r="D43">
        <v>536998</v>
      </c>
      <c r="E43">
        <v>85067</v>
      </c>
      <c r="G43">
        <v>-6</v>
      </c>
      <c r="H43" s="6">
        <v>40515.645833333343</v>
      </c>
      <c r="I43">
        <v>0</v>
      </c>
      <c r="K43" t="s">
        <v>89</v>
      </c>
      <c r="L43" t="s">
        <v>13362</v>
      </c>
      <c r="M43" t="s">
        <v>13363</v>
      </c>
      <c r="N43" t="s">
        <v>3069</v>
      </c>
      <c r="Q43">
        <v>-6</v>
      </c>
      <c r="R43">
        <v>0</v>
      </c>
      <c r="S43" s="6">
        <v>40515.645833333343</v>
      </c>
      <c r="T43" t="s">
        <v>89</v>
      </c>
      <c r="U43" t="s">
        <v>6</v>
      </c>
      <c r="V43">
        <v>0</v>
      </c>
      <c r="W43">
        <v>0</v>
      </c>
      <c r="X43" s="4">
        <v>0</v>
      </c>
      <c r="Y43" t="b">
        <v>1</v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>
        <v>1</v>
      </c>
      <c r="AG43" t="b">
        <v>0</v>
      </c>
      <c r="AH43" t="s">
        <v>13292</v>
      </c>
      <c r="AI43" t="b">
        <v>0</v>
      </c>
      <c r="AJ43" t="b">
        <v>0</v>
      </c>
      <c r="AK43" t="b">
        <v>0</v>
      </c>
      <c r="AL43" t="b">
        <v>1</v>
      </c>
      <c r="AM43" t="b">
        <v>1</v>
      </c>
      <c r="AN43" t="b">
        <v>0</v>
      </c>
      <c r="AO43" t="b">
        <v>0</v>
      </c>
      <c r="AP43" t="s">
        <v>4059</v>
      </c>
      <c r="AQ43" t="b">
        <v>0</v>
      </c>
      <c r="AR43" t="b">
        <v>0</v>
      </c>
      <c r="AS43" t="b">
        <v>1</v>
      </c>
      <c r="AT43" t="s">
        <v>13355</v>
      </c>
      <c r="AU43" t="s">
        <v>4107</v>
      </c>
    </row>
    <row r="44" spans="1:47" x14ac:dyDescent="0.25">
      <c r="A44" t="s">
        <v>13289</v>
      </c>
      <c r="B44" t="s">
        <v>13290</v>
      </c>
      <c r="C44">
        <v>7194</v>
      </c>
      <c r="D44">
        <v>537000</v>
      </c>
      <c r="E44">
        <v>21414</v>
      </c>
      <c r="G44">
        <v>-22</v>
      </c>
      <c r="H44" s="6">
        <v>40515.647222222222</v>
      </c>
      <c r="I44">
        <v>0</v>
      </c>
      <c r="K44" t="s">
        <v>89</v>
      </c>
      <c r="L44" t="s">
        <v>13364</v>
      </c>
      <c r="M44" t="s">
        <v>13365</v>
      </c>
      <c r="N44" t="s">
        <v>4008</v>
      </c>
      <c r="Q44">
        <v>-22</v>
      </c>
      <c r="R44">
        <v>0</v>
      </c>
      <c r="S44" s="6">
        <v>40515.647222222222</v>
      </c>
      <c r="T44" t="s">
        <v>89</v>
      </c>
      <c r="U44" t="s">
        <v>6</v>
      </c>
      <c r="V44">
        <v>0</v>
      </c>
      <c r="W44">
        <v>0</v>
      </c>
      <c r="X44" s="4">
        <v>0</v>
      </c>
      <c r="Y44" t="b">
        <v>1</v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>
        <v>1</v>
      </c>
      <c r="AG44" t="b">
        <v>0</v>
      </c>
      <c r="AH44" t="s">
        <v>13292</v>
      </c>
      <c r="AI44" t="b">
        <v>0</v>
      </c>
      <c r="AJ44" t="b">
        <v>0</v>
      </c>
      <c r="AK44" t="b">
        <v>0</v>
      </c>
      <c r="AL44" t="b">
        <v>1</v>
      </c>
      <c r="AM44" t="b">
        <v>1</v>
      </c>
      <c r="AN44" t="b">
        <v>0</v>
      </c>
      <c r="AO44" t="b">
        <v>0</v>
      </c>
      <c r="AP44" t="s">
        <v>4059</v>
      </c>
      <c r="AQ44" t="b">
        <v>0</v>
      </c>
      <c r="AR44" t="b">
        <v>0</v>
      </c>
      <c r="AS44" t="b">
        <v>1</v>
      </c>
      <c r="AT44" t="s">
        <v>13355</v>
      </c>
      <c r="AU44" t="s">
        <v>4107</v>
      </c>
    </row>
    <row r="45" spans="1:47" x14ac:dyDescent="0.25">
      <c r="A45" t="s">
        <v>13289</v>
      </c>
      <c r="B45" t="s">
        <v>13290</v>
      </c>
      <c r="C45">
        <v>7195</v>
      </c>
      <c r="D45">
        <v>537001</v>
      </c>
      <c r="E45">
        <v>21653</v>
      </c>
      <c r="G45">
        <v>-6</v>
      </c>
      <c r="H45" s="6">
        <v>40515.647916666669</v>
      </c>
      <c r="I45">
        <v>0</v>
      </c>
      <c r="K45" t="s">
        <v>89</v>
      </c>
      <c r="L45" t="s">
        <v>13366</v>
      </c>
      <c r="M45" t="s">
        <v>13367</v>
      </c>
      <c r="N45" t="s">
        <v>5149</v>
      </c>
      <c r="Q45">
        <v>-6</v>
      </c>
      <c r="R45">
        <v>0</v>
      </c>
      <c r="S45" s="6">
        <v>40515.647916666669</v>
      </c>
      <c r="T45" t="s">
        <v>89</v>
      </c>
      <c r="U45" t="s">
        <v>6</v>
      </c>
      <c r="V45">
        <v>0</v>
      </c>
      <c r="W45">
        <v>0</v>
      </c>
      <c r="X45" s="4">
        <v>0</v>
      </c>
      <c r="Y45" t="b">
        <v>1</v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>
        <v>0</v>
      </c>
      <c r="AG45" t="b">
        <v>0</v>
      </c>
      <c r="AH45" t="s">
        <v>13292</v>
      </c>
      <c r="AI45" t="b">
        <v>0</v>
      </c>
      <c r="AJ45" t="b">
        <v>0</v>
      </c>
      <c r="AK45" t="b">
        <v>0</v>
      </c>
      <c r="AL45" t="b">
        <v>1</v>
      </c>
      <c r="AM45" t="b">
        <v>1</v>
      </c>
      <c r="AN45" t="b">
        <v>0</v>
      </c>
      <c r="AO45" t="b">
        <v>0</v>
      </c>
      <c r="AP45" t="s">
        <v>4059</v>
      </c>
      <c r="AQ45" t="b">
        <v>0</v>
      </c>
      <c r="AR45" t="b">
        <v>0</v>
      </c>
      <c r="AS45" t="b">
        <v>1</v>
      </c>
      <c r="AT45" t="s">
        <v>13355</v>
      </c>
      <c r="AU45" t="s">
        <v>4107</v>
      </c>
    </row>
    <row r="46" spans="1:47" x14ac:dyDescent="0.25">
      <c r="A46" t="s">
        <v>13289</v>
      </c>
      <c r="B46" t="s">
        <v>13290</v>
      </c>
      <c r="C46">
        <v>7197</v>
      </c>
      <c r="D46">
        <v>537003</v>
      </c>
      <c r="E46">
        <v>85126</v>
      </c>
      <c r="G46">
        <v>-2</v>
      </c>
      <c r="H46" s="6">
        <v>40515.647916666669</v>
      </c>
      <c r="I46">
        <v>0</v>
      </c>
      <c r="K46" t="s">
        <v>89</v>
      </c>
      <c r="L46" t="s">
        <v>13368</v>
      </c>
      <c r="M46" t="s">
        <v>13369</v>
      </c>
      <c r="N46" t="s">
        <v>3616</v>
      </c>
      <c r="Q46">
        <v>-2</v>
      </c>
      <c r="R46">
        <v>0</v>
      </c>
      <c r="S46" s="6">
        <v>40515.647916666669</v>
      </c>
      <c r="T46" t="s">
        <v>89</v>
      </c>
      <c r="U46" t="s">
        <v>6</v>
      </c>
      <c r="V46">
        <v>0</v>
      </c>
      <c r="W46">
        <v>0</v>
      </c>
      <c r="X46" s="4">
        <v>0</v>
      </c>
      <c r="Y46" t="b">
        <v>1</v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>
        <v>1</v>
      </c>
      <c r="AG46" t="b">
        <v>0</v>
      </c>
      <c r="AH46" t="s">
        <v>13292</v>
      </c>
      <c r="AI46" t="b">
        <v>0</v>
      </c>
      <c r="AJ46" t="b">
        <v>0</v>
      </c>
      <c r="AK46" t="b">
        <v>0</v>
      </c>
      <c r="AL46" t="b">
        <v>1</v>
      </c>
      <c r="AM46" t="b">
        <v>1</v>
      </c>
      <c r="AN46" t="b">
        <v>0</v>
      </c>
      <c r="AO46" t="b">
        <v>0</v>
      </c>
      <c r="AP46" t="s">
        <v>4059</v>
      </c>
      <c r="AQ46" t="b">
        <v>0</v>
      </c>
      <c r="AR46" t="b">
        <v>0</v>
      </c>
      <c r="AS46" t="b">
        <v>1</v>
      </c>
      <c r="AT46" t="s">
        <v>13355</v>
      </c>
      <c r="AU46" t="s">
        <v>4107</v>
      </c>
    </row>
    <row r="47" spans="1:47" x14ac:dyDescent="0.25">
      <c r="A47" t="s">
        <v>13289</v>
      </c>
      <c r="B47" t="s">
        <v>13290</v>
      </c>
      <c r="C47">
        <v>624</v>
      </c>
      <c r="D47">
        <v>536414</v>
      </c>
      <c r="E47">
        <v>22139</v>
      </c>
      <c r="G47">
        <v>56</v>
      </c>
      <c r="H47" s="6">
        <v>40513.494444444441</v>
      </c>
      <c r="I47">
        <v>0</v>
      </c>
      <c r="K47" t="s">
        <v>89</v>
      </c>
      <c r="L47" t="s">
        <v>4220</v>
      </c>
      <c r="M47" t="s">
        <v>13291</v>
      </c>
      <c r="N47" t="s">
        <v>195</v>
      </c>
      <c r="Q47">
        <v>56</v>
      </c>
      <c r="R47">
        <v>0</v>
      </c>
      <c r="S47" s="6">
        <v>40513.494444444441</v>
      </c>
      <c r="T47" t="s">
        <v>89</v>
      </c>
      <c r="U47" t="s">
        <v>6</v>
      </c>
      <c r="V47">
        <v>0</v>
      </c>
      <c r="W47">
        <v>0</v>
      </c>
      <c r="X47" s="4">
        <v>0</v>
      </c>
      <c r="Y47" t="b">
        <v>1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>
        <v>2</v>
      </c>
      <c r="AG47" t="b">
        <v>1</v>
      </c>
      <c r="AH47" t="s">
        <v>13292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b">
        <v>0</v>
      </c>
      <c r="AP47" t="s">
        <v>4060</v>
      </c>
      <c r="AQ47" t="b">
        <v>0</v>
      </c>
      <c r="AR47" t="b">
        <v>0</v>
      </c>
      <c r="AS47" t="b">
        <v>1</v>
      </c>
      <c r="AT47" t="s">
        <v>4221</v>
      </c>
      <c r="AU47" t="s">
        <v>4111</v>
      </c>
    </row>
    <row r="48" spans="1:47" x14ac:dyDescent="0.25">
      <c r="A48" t="s">
        <v>13289</v>
      </c>
      <c r="B48" t="s">
        <v>13290</v>
      </c>
      <c r="C48">
        <v>1972</v>
      </c>
      <c r="D48">
        <v>536545</v>
      </c>
      <c r="E48">
        <v>21134</v>
      </c>
      <c r="G48">
        <v>1</v>
      </c>
      <c r="H48" s="6">
        <v>40513.605555555558</v>
      </c>
      <c r="I48">
        <v>0</v>
      </c>
      <c r="K48" t="s">
        <v>89</v>
      </c>
      <c r="L48" t="s">
        <v>13303</v>
      </c>
      <c r="M48" t="s">
        <v>13304</v>
      </c>
      <c r="N48" t="s">
        <v>4727</v>
      </c>
      <c r="Q48">
        <v>1</v>
      </c>
      <c r="R48">
        <v>0</v>
      </c>
      <c r="S48" s="6">
        <v>40513.605555555558</v>
      </c>
      <c r="T48" t="s">
        <v>89</v>
      </c>
      <c r="U48" t="s">
        <v>6</v>
      </c>
      <c r="V48">
        <v>0</v>
      </c>
      <c r="W48">
        <v>0</v>
      </c>
      <c r="X48" s="4">
        <v>0</v>
      </c>
      <c r="Y48" t="b">
        <v>1</v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>
        <v>0</v>
      </c>
      <c r="AG48" t="b">
        <v>0</v>
      </c>
      <c r="AH48" t="s">
        <v>13292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b">
        <v>0</v>
      </c>
      <c r="AP48" t="s">
        <v>4060</v>
      </c>
      <c r="AQ48" t="b">
        <v>0</v>
      </c>
      <c r="AR48" t="b">
        <v>0</v>
      </c>
      <c r="AS48" t="b">
        <v>1</v>
      </c>
      <c r="AT48" t="s">
        <v>13305</v>
      </c>
      <c r="AU48" t="s">
        <v>4111</v>
      </c>
    </row>
    <row r="49" spans="1:47" x14ac:dyDescent="0.25">
      <c r="A49" t="s">
        <v>13289</v>
      </c>
      <c r="B49" t="s">
        <v>13290</v>
      </c>
      <c r="C49">
        <v>1973</v>
      </c>
      <c r="D49">
        <v>536546</v>
      </c>
      <c r="E49">
        <v>22145</v>
      </c>
      <c r="G49">
        <v>1</v>
      </c>
      <c r="H49" s="6">
        <v>40513.606249999997</v>
      </c>
      <c r="I49">
        <v>0</v>
      </c>
      <c r="K49" t="s">
        <v>89</v>
      </c>
      <c r="L49" t="s">
        <v>13306</v>
      </c>
      <c r="M49" t="s">
        <v>13307</v>
      </c>
      <c r="N49" t="s">
        <v>3341</v>
      </c>
      <c r="Q49">
        <v>1</v>
      </c>
      <c r="R49">
        <v>0</v>
      </c>
      <c r="S49" s="6">
        <v>40513.606249999997</v>
      </c>
      <c r="T49" t="s">
        <v>89</v>
      </c>
      <c r="U49" t="s">
        <v>6</v>
      </c>
      <c r="V49">
        <v>0</v>
      </c>
      <c r="W49">
        <v>0</v>
      </c>
      <c r="X49" s="4">
        <v>0</v>
      </c>
      <c r="Y49" t="b">
        <v>1</v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>
        <v>1</v>
      </c>
      <c r="AG49" t="b">
        <v>0</v>
      </c>
      <c r="AH49" t="s">
        <v>13292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b">
        <v>0</v>
      </c>
      <c r="AP49" t="s">
        <v>4060</v>
      </c>
      <c r="AQ49" t="b">
        <v>0</v>
      </c>
      <c r="AR49" t="b">
        <v>0</v>
      </c>
      <c r="AS49" t="b">
        <v>1</v>
      </c>
      <c r="AT49" t="s">
        <v>13305</v>
      </c>
      <c r="AU49" t="s">
        <v>4111</v>
      </c>
    </row>
    <row r="50" spans="1:47" x14ac:dyDescent="0.25">
      <c r="A50" t="s">
        <v>13289</v>
      </c>
      <c r="B50" t="s">
        <v>13290</v>
      </c>
      <c r="C50">
        <v>1974</v>
      </c>
      <c r="D50">
        <v>536547</v>
      </c>
      <c r="E50">
        <v>37509</v>
      </c>
      <c r="G50">
        <v>1</v>
      </c>
      <c r="H50" s="6">
        <v>40513.606249999997</v>
      </c>
      <c r="I50">
        <v>0</v>
      </c>
      <c r="K50" t="s">
        <v>89</v>
      </c>
      <c r="L50" t="s">
        <v>13308</v>
      </c>
      <c r="M50" t="s">
        <v>13309</v>
      </c>
      <c r="N50" t="s">
        <v>3932</v>
      </c>
      <c r="Q50">
        <v>1</v>
      </c>
      <c r="R50">
        <v>0</v>
      </c>
      <c r="S50" s="6">
        <v>40513.606249999997</v>
      </c>
      <c r="T50" t="s">
        <v>89</v>
      </c>
      <c r="U50" t="s">
        <v>6</v>
      </c>
      <c r="V50">
        <v>0</v>
      </c>
      <c r="W50">
        <v>0</v>
      </c>
      <c r="X50" s="4">
        <v>0</v>
      </c>
      <c r="Y50" t="b">
        <v>1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>
        <v>1</v>
      </c>
      <c r="AG50" t="b">
        <v>0</v>
      </c>
      <c r="AH50" t="s">
        <v>13292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b">
        <v>0</v>
      </c>
      <c r="AP50" t="s">
        <v>4060</v>
      </c>
      <c r="AQ50" t="b">
        <v>0</v>
      </c>
      <c r="AR50" t="b">
        <v>0</v>
      </c>
      <c r="AS50" t="b">
        <v>1</v>
      </c>
      <c r="AT50" t="s">
        <v>13305</v>
      </c>
      <c r="AU50" t="s">
        <v>4111</v>
      </c>
    </row>
    <row r="51" spans="1:47" x14ac:dyDescent="0.25">
      <c r="A51" t="s">
        <v>13289</v>
      </c>
      <c r="B51" t="s">
        <v>13290</v>
      </c>
      <c r="C51">
        <v>1989</v>
      </c>
      <c r="D51">
        <v>536549</v>
      </c>
      <c r="E51" t="s">
        <v>8513</v>
      </c>
      <c r="G51">
        <v>1</v>
      </c>
      <c r="H51" s="6">
        <v>40513.606944444437</v>
      </c>
      <c r="I51">
        <v>0</v>
      </c>
      <c r="K51" t="s">
        <v>89</v>
      </c>
      <c r="L51" t="s">
        <v>13310</v>
      </c>
      <c r="M51" t="s">
        <v>13311</v>
      </c>
      <c r="N51" t="s">
        <v>8513</v>
      </c>
      <c r="Q51">
        <v>1</v>
      </c>
      <c r="R51">
        <v>0</v>
      </c>
      <c r="S51" s="6">
        <v>40513.606944444437</v>
      </c>
      <c r="T51" t="s">
        <v>89</v>
      </c>
      <c r="U51" t="s">
        <v>6</v>
      </c>
      <c r="V51">
        <v>0</v>
      </c>
      <c r="W51">
        <v>0</v>
      </c>
      <c r="X51" s="4">
        <v>0</v>
      </c>
      <c r="Y51" t="b">
        <v>1</v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>
        <v>0</v>
      </c>
      <c r="AG51" t="b">
        <v>0</v>
      </c>
      <c r="AH51" t="s">
        <v>13292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0</v>
      </c>
      <c r="AO51" t="b">
        <v>0</v>
      </c>
      <c r="AP51" t="s">
        <v>4060</v>
      </c>
      <c r="AQ51" t="b">
        <v>0</v>
      </c>
      <c r="AR51" t="b">
        <v>0</v>
      </c>
      <c r="AS51" t="b">
        <v>1</v>
      </c>
      <c r="AT51" t="s">
        <v>13305</v>
      </c>
      <c r="AU51" t="s">
        <v>4111</v>
      </c>
    </row>
    <row r="52" spans="1:47" x14ac:dyDescent="0.25">
      <c r="A52" t="s">
        <v>13289</v>
      </c>
      <c r="B52" t="s">
        <v>13290</v>
      </c>
      <c r="C52">
        <v>1990</v>
      </c>
      <c r="D52">
        <v>536550</v>
      </c>
      <c r="E52">
        <v>85044</v>
      </c>
      <c r="G52">
        <v>1</v>
      </c>
      <c r="H52" s="6">
        <v>40513.606944444437</v>
      </c>
      <c r="I52">
        <v>0</v>
      </c>
      <c r="K52" t="s">
        <v>89</v>
      </c>
      <c r="L52" t="s">
        <v>13312</v>
      </c>
      <c r="M52" t="s">
        <v>13313</v>
      </c>
      <c r="N52" t="s">
        <v>8341</v>
      </c>
      <c r="Q52">
        <v>1</v>
      </c>
      <c r="R52">
        <v>0</v>
      </c>
      <c r="S52" s="6">
        <v>40513.606944444437</v>
      </c>
      <c r="T52" t="s">
        <v>89</v>
      </c>
      <c r="U52" t="s">
        <v>6</v>
      </c>
      <c r="V52">
        <v>0</v>
      </c>
      <c r="W52">
        <v>0</v>
      </c>
      <c r="X52" s="4">
        <v>0</v>
      </c>
      <c r="Y52" t="b">
        <v>1</v>
      </c>
      <c r="Z52" t="b">
        <v>1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>
        <v>0</v>
      </c>
      <c r="AG52" t="b">
        <v>0</v>
      </c>
      <c r="AH52" t="s">
        <v>13292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  <c r="AN52" t="b">
        <v>0</v>
      </c>
      <c r="AO52" t="b">
        <v>0</v>
      </c>
      <c r="AP52" t="s">
        <v>4060</v>
      </c>
      <c r="AQ52" t="b">
        <v>0</v>
      </c>
      <c r="AR52" t="b">
        <v>0</v>
      </c>
      <c r="AS52" t="b">
        <v>1</v>
      </c>
      <c r="AT52" t="s">
        <v>13305</v>
      </c>
      <c r="AU52" t="s">
        <v>4111</v>
      </c>
    </row>
    <row r="53" spans="1:47" x14ac:dyDescent="0.25">
      <c r="A53" t="s">
        <v>13289</v>
      </c>
      <c r="B53" t="s">
        <v>13290</v>
      </c>
      <c r="C53">
        <v>2026</v>
      </c>
      <c r="D53">
        <v>536552</v>
      </c>
      <c r="E53">
        <v>20950</v>
      </c>
      <c r="G53">
        <v>1</v>
      </c>
      <c r="H53" s="6">
        <v>40513.606944444437</v>
      </c>
      <c r="I53">
        <v>0</v>
      </c>
      <c r="K53" t="s">
        <v>89</v>
      </c>
      <c r="L53" t="s">
        <v>13314</v>
      </c>
      <c r="M53" t="s">
        <v>13315</v>
      </c>
      <c r="N53" t="s">
        <v>4600</v>
      </c>
      <c r="Q53">
        <v>1</v>
      </c>
      <c r="R53">
        <v>0</v>
      </c>
      <c r="S53" s="6">
        <v>40513.606944444437</v>
      </c>
      <c r="T53" t="s">
        <v>89</v>
      </c>
      <c r="U53" t="s">
        <v>6</v>
      </c>
      <c r="V53">
        <v>0</v>
      </c>
      <c r="W53">
        <v>0</v>
      </c>
      <c r="X53" s="4">
        <v>0</v>
      </c>
      <c r="Y53" t="b">
        <v>1</v>
      </c>
      <c r="Z53" t="b">
        <v>1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>
        <v>0</v>
      </c>
      <c r="AG53" t="b">
        <v>0</v>
      </c>
      <c r="AH53" t="s">
        <v>13292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  <c r="AN53" t="b">
        <v>0</v>
      </c>
      <c r="AO53" t="b">
        <v>0</v>
      </c>
      <c r="AP53" t="s">
        <v>4060</v>
      </c>
      <c r="AQ53" t="b">
        <v>0</v>
      </c>
      <c r="AR53" t="b">
        <v>0</v>
      </c>
      <c r="AS53" t="b">
        <v>1</v>
      </c>
      <c r="AT53" t="s">
        <v>13305</v>
      </c>
      <c r="AU53" t="s">
        <v>4111</v>
      </c>
    </row>
    <row r="54" spans="1:47" x14ac:dyDescent="0.25">
      <c r="A54" t="s">
        <v>13289</v>
      </c>
      <c r="B54" t="s">
        <v>13290</v>
      </c>
      <c r="C54">
        <v>2027</v>
      </c>
      <c r="D54">
        <v>536553</v>
      </c>
      <c r="E54">
        <v>37461</v>
      </c>
      <c r="G54">
        <v>3</v>
      </c>
      <c r="H54" s="6">
        <v>40513.607638888891</v>
      </c>
      <c r="I54">
        <v>0</v>
      </c>
      <c r="K54" t="s">
        <v>89</v>
      </c>
      <c r="L54" t="s">
        <v>13316</v>
      </c>
      <c r="M54" t="s">
        <v>13317</v>
      </c>
      <c r="N54" t="s">
        <v>4024</v>
      </c>
      <c r="Q54">
        <v>3</v>
      </c>
      <c r="R54">
        <v>0</v>
      </c>
      <c r="S54" s="6">
        <v>40513.607638888891</v>
      </c>
      <c r="T54" t="s">
        <v>89</v>
      </c>
      <c r="U54" t="s">
        <v>6</v>
      </c>
      <c r="V54">
        <v>0</v>
      </c>
      <c r="W54">
        <v>0</v>
      </c>
      <c r="X54" s="4">
        <v>0</v>
      </c>
      <c r="Y54" t="b">
        <v>1</v>
      </c>
      <c r="Z54" t="b">
        <v>1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>
        <v>1</v>
      </c>
      <c r="AG54" t="b">
        <v>0</v>
      </c>
      <c r="AH54" t="s">
        <v>13292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  <c r="AN54" t="b">
        <v>0</v>
      </c>
      <c r="AO54" t="b">
        <v>0</v>
      </c>
      <c r="AP54" t="s">
        <v>4060</v>
      </c>
      <c r="AQ54" t="b">
        <v>0</v>
      </c>
      <c r="AR54" t="b">
        <v>0</v>
      </c>
      <c r="AS54" t="b">
        <v>1</v>
      </c>
      <c r="AT54" t="s">
        <v>13305</v>
      </c>
      <c r="AU54" t="s">
        <v>4111</v>
      </c>
    </row>
    <row r="55" spans="1:47" x14ac:dyDescent="0.25">
      <c r="A55" t="s">
        <v>13289</v>
      </c>
      <c r="B55" t="s">
        <v>13290</v>
      </c>
      <c r="C55">
        <v>299985</v>
      </c>
      <c r="D55" t="s">
        <v>4236</v>
      </c>
      <c r="E55" t="s">
        <v>4237</v>
      </c>
      <c r="F55" t="s">
        <v>4238</v>
      </c>
      <c r="G55">
        <v>1</v>
      </c>
      <c r="H55" s="6">
        <v>40767.618750000001</v>
      </c>
      <c r="I55">
        <v>-11062.06</v>
      </c>
      <c r="K55" t="s">
        <v>89</v>
      </c>
      <c r="L55" t="s">
        <v>4235</v>
      </c>
      <c r="M55" t="s">
        <v>4236</v>
      </c>
      <c r="N55" t="s">
        <v>4237</v>
      </c>
      <c r="P55" t="s">
        <v>4238</v>
      </c>
      <c r="Q55">
        <v>1</v>
      </c>
      <c r="R55">
        <v>-11062.06</v>
      </c>
      <c r="S55" s="6">
        <v>40767.618750000001</v>
      </c>
      <c r="T55" t="s">
        <v>89</v>
      </c>
      <c r="U55" t="s">
        <v>75</v>
      </c>
      <c r="V55">
        <v>-110620600</v>
      </c>
      <c r="W55">
        <v>-110620600</v>
      </c>
      <c r="X55" s="4">
        <v>-11062.06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>
        <v>1</v>
      </c>
      <c r="AG55" t="b">
        <v>0</v>
      </c>
      <c r="AH55" t="s">
        <v>8966</v>
      </c>
      <c r="AI55" t="b">
        <v>0</v>
      </c>
      <c r="AJ55" t="b">
        <v>0</v>
      </c>
      <c r="AK55" t="b">
        <v>1</v>
      </c>
      <c r="AL55" t="b">
        <v>0</v>
      </c>
      <c r="AM55" t="b">
        <v>0</v>
      </c>
      <c r="AN55" t="b">
        <v>1</v>
      </c>
      <c r="AO55" t="b">
        <v>1</v>
      </c>
      <c r="AP55" t="s">
        <v>4058</v>
      </c>
      <c r="AQ55" t="b">
        <v>0</v>
      </c>
      <c r="AR55" t="b">
        <v>0</v>
      </c>
      <c r="AS55" t="b">
        <v>1</v>
      </c>
      <c r="AT55" t="s">
        <v>4239</v>
      </c>
      <c r="AU55" t="s">
        <v>4114</v>
      </c>
    </row>
    <row r="56" spans="1:47" x14ac:dyDescent="0.25">
      <c r="A56" t="s">
        <v>13289</v>
      </c>
      <c r="B56" t="s">
        <v>13290</v>
      </c>
      <c r="C56">
        <v>299986</v>
      </c>
      <c r="D56" t="s">
        <v>13370</v>
      </c>
      <c r="E56" t="s">
        <v>4237</v>
      </c>
      <c r="F56" t="s">
        <v>4238</v>
      </c>
      <c r="G56">
        <v>1</v>
      </c>
      <c r="H56" s="6">
        <v>40767.619444444441</v>
      </c>
      <c r="I56">
        <v>-11062.06</v>
      </c>
      <c r="K56" t="s">
        <v>89</v>
      </c>
      <c r="L56" t="s">
        <v>13371</v>
      </c>
      <c r="M56" t="s">
        <v>13370</v>
      </c>
      <c r="N56" t="s">
        <v>4237</v>
      </c>
      <c r="P56" t="s">
        <v>4238</v>
      </c>
      <c r="Q56">
        <v>1</v>
      </c>
      <c r="R56">
        <v>-11062.06</v>
      </c>
      <c r="S56" s="6">
        <v>40767.619444444441</v>
      </c>
      <c r="T56" t="s">
        <v>89</v>
      </c>
      <c r="U56" t="s">
        <v>75</v>
      </c>
      <c r="V56">
        <v>-110620600</v>
      </c>
      <c r="W56">
        <v>-110620600</v>
      </c>
      <c r="X56" s="4">
        <v>-11062.06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>
        <v>1</v>
      </c>
      <c r="AG56" t="b">
        <v>0</v>
      </c>
      <c r="AH56" t="s">
        <v>8966</v>
      </c>
      <c r="AI56" t="b">
        <v>0</v>
      </c>
      <c r="AJ56" t="b">
        <v>0</v>
      </c>
      <c r="AK56" t="b">
        <v>1</v>
      </c>
      <c r="AL56" t="b">
        <v>0</v>
      </c>
      <c r="AM56" t="b">
        <v>0</v>
      </c>
      <c r="AN56" t="b">
        <v>1</v>
      </c>
      <c r="AO56" t="b">
        <v>1</v>
      </c>
      <c r="AP56" t="s">
        <v>4058</v>
      </c>
      <c r="AQ56" t="b">
        <v>0</v>
      </c>
      <c r="AR56" t="b">
        <v>0</v>
      </c>
      <c r="AS56" t="b">
        <v>1</v>
      </c>
      <c r="AT56" t="s">
        <v>4239</v>
      </c>
      <c r="AU56" t="s">
        <v>4114</v>
      </c>
    </row>
    <row r="57" spans="1:47" x14ac:dyDescent="0.25">
      <c r="A57" t="s">
        <v>13289</v>
      </c>
      <c r="B57" t="s">
        <v>13290</v>
      </c>
      <c r="C57">
        <v>15018</v>
      </c>
      <c r="D57" t="s">
        <v>13372</v>
      </c>
      <c r="E57" t="s">
        <v>8915</v>
      </c>
      <c r="F57" t="s">
        <v>8916</v>
      </c>
      <c r="G57">
        <v>-1</v>
      </c>
      <c r="H57" s="6">
        <v>40519.62777777778</v>
      </c>
      <c r="I57">
        <v>13541.33</v>
      </c>
      <c r="K57" t="s">
        <v>89</v>
      </c>
      <c r="L57" t="s">
        <v>13373</v>
      </c>
      <c r="M57" t="s">
        <v>13372</v>
      </c>
      <c r="N57" t="s">
        <v>8915</v>
      </c>
      <c r="P57" t="s">
        <v>8916</v>
      </c>
      <c r="Q57">
        <v>-1</v>
      </c>
      <c r="R57">
        <v>13541.33</v>
      </c>
      <c r="S57" s="6">
        <v>40519.62777777778</v>
      </c>
      <c r="T57" t="s">
        <v>89</v>
      </c>
      <c r="U57" t="s">
        <v>6</v>
      </c>
      <c r="V57">
        <v>135413300</v>
      </c>
      <c r="W57">
        <v>-135413300</v>
      </c>
      <c r="X57" s="4">
        <v>-13541.33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>
        <v>1</v>
      </c>
      <c r="AG57" t="b">
        <v>0</v>
      </c>
      <c r="AH57" t="s">
        <v>8965</v>
      </c>
      <c r="AI57" t="b">
        <v>0</v>
      </c>
      <c r="AJ57" t="b">
        <v>1</v>
      </c>
      <c r="AK57" t="b">
        <v>0</v>
      </c>
      <c r="AL57" t="b">
        <v>0</v>
      </c>
      <c r="AM57" t="b">
        <v>0</v>
      </c>
      <c r="AN57" t="b">
        <v>0</v>
      </c>
      <c r="AO57" t="b">
        <v>1</v>
      </c>
      <c r="AP57" t="s">
        <v>4058</v>
      </c>
      <c r="AQ57" t="b">
        <v>0</v>
      </c>
      <c r="AR57" t="b">
        <v>0</v>
      </c>
      <c r="AS57" t="b">
        <v>1</v>
      </c>
      <c r="AT57" t="s">
        <v>13374</v>
      </c>
      <c r="AU57" t="s">
        <v>4118</v>
      </c>
    </row>
    <row r="58" spans="1:47" x14ac:dyDescent="0.25">
      <c r="A58" t="s">
        <v>13289</v>
      </c>
      <c r="B58" t="s">
        <v>13290</v>
      </c>
      <c r="C58">
        <v>15019</v>
      </c>
      <c r="D58">
        <v>537632</v>
      </c>
      <c r="E58" t="s">
        <v>8915</v>
      </c>
      <c r="F58" t="s">
        <v>8916</v>
      </c>
      <c r="G58">
        <v>1</v>
      </c>
      <c r="H58" s="6">
        <v>40519.630555555559</v>
      </c>
      <c r="I58">
        <v>13541.33</v>
      </c>
      <c r="K58" t="s">
        <v>89</v>
      </c>
      <c r="L58" t="s">
        <v>13375</v>
      </c>
      <c r="M58" t="s">
        <v>13376</v>
      </c>
      <c r="N58" t="s">
        <v>8915</v>
      </c>
      <c r="P58" t="s">
        <v>8916</v>
      </c>
      <c r="Q58">
        <v>1</v>
      </c>
      <c r="R58">
        <v>13541.33</v>
      </c>
      <c r="S58" s="6">
        <v>40519.630555555559</v>
      </c>
      <c r="T58" t="s">
        <v>89</v>
      </c>
      <c r="U58" t="s">
        <v>6</v>
      </c>
      <c r="V58">
        <v>135413300</v>
      </c>
      <c r="W58">
        <v>135413300</v>
      </c>
      <c r="X58" s="4">
        <v>13541.33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>
        <v>1</v>
      </c>
      <c r="AG58" t="b">
        <v>0</v>
      </c>
      <c r="AH58" t="s">
        <v>8965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1</v>
      </c>
      <c r="AP58" t="s">
        <v>4058</v>
      </c>
      <c r="AQ58" t="b">
        <v>0</v>
      </c>
      <c r="AR58" t="b">
        <v>0</v>
      </c>
      <c r="AS58" t="b">
        <v>1</v>
      </c>
      <c r="AT58" t="s">
        <v>13374</v>
      </c>
      <c r="AU58" t="s">
        <v>4118</v>
      </c>
    </row>
    <row r="59" spans="1:47" x14ac:dyDescent="0.25">
      <c r="A59" t="s">
        <v>13289</v>
      </c>
      <c r="B59" t="s">
        <v>13290</v>
      </c>
      <c r="C59">
        <v>16234</v>
      </c>
      <c r="D59" t="s">
        <v>13377</v>
      </c>
      <c r="E59" t="s">
        <v>8915</v>
      </c>
      <c r="F59" t="s">
        <v>8916</v>
      </c>
      <c r="G59">
        <v>-1</v>
      </c>
      <c r="H59" s="6">
        <v>40519.648611111108</v>
      </c>
      <c r="I59">
        <v>13474.79</v>
      </c>
      <c r="K59" t="s">
        <v>89</v>
      </c>
      <c r="L59" t="s">
        <v>13378</v>
      </c>
      <c r="M59" t="s">
        <v>13377</v>
      </c>
      <c r="N59" t="s">
        <v>8915</v>
      </c>
      <c r="P59" t="s">
        <v>8916</v>
      </c>
      <c r="Q59">
        <v>-1</v>
      </c>
      <c r="R59">
        <v>13474.79</v>
      </c>
      <c r="S59" s="6">
        <v>40519.648611111108</v>
      </c>
      <c r="T59" t="s">
        <v>89</v>
      </c>
      <c r="U59" t="s">
        <v>6</v>
      </c>
      <c r="V59">
        <v>134747900</v>
      </c>
      <c r="W59">
        <v>-134747900</v>
      </c>
      <c r="X59" s="4">
        <v>-13474.79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>
        <v>1</v>
      </c>
      <c r="AG59" t="b">
        <v>0</v>
      </c>
      <c r="AH59" t="s">
        <v>8965</v>
      </c>
      <c r="AI59" t="b">
        <v>0</v>
      </c>
      <c r="AJ59" t="b">
        <v>1</v>
      </c>
      <c r="AK59" t="b">
        <v>0</v>
      </c>
      <c r="AL59" t="b">
        <v>0</v>
      </c>
      <c r="AM59" t="b">
        <v>0</v>
      </c>
      <c r="AN59" t="b">
        <v>0</v>
      </c>
      <c r="AO59" t="b">
        <v>1</v>
      </c>
      <c r="AP59" t="s">
        <v>4058</v>
      </c>
      <c r="AQ59" t="b">
        <v>0</v>
      </c>
      <c r="AR59" t="b">
        <v>0</v>
      </c>
      <c r="AS59" t="b">
        <v>1</v>
      </c>
      <c r="AT59" t="s">
        <v>13374</v>
      </c>
      <c r="AU59" t="s">
        <v>4118</v>
      </c>
    </row>
    <row r="60" spans="1:47" x14ac:dyDescent="0.25">
      <c r="A60" t="s">
        <v>13289</v>
      </c>
      <c r="B60" t="s">
        <v>13290</v>
      </c>
      <c r="C60">
        <v>16358</v>
      </c>
      <c r="D60" t="s">
        <v>13379</v>
      </c>
      <c r="E60" t="s">
        <v>8915</v>
      </c>
      <c r="F60" t="s">
        <v>8916</v>
      </c>
      <c r="G60">
        <v>-1</v>
      </c>
      <c r="H60" s="6">
        <v>40519.65902777778</v>
      </c>
      <c r="I60">
        <v>13541.33</v>
      </c>
      <c r="K60" t="s">
        <v>89</v>
      </c>
      <c r="L60" t="s">
        <v>13380</v>
      </c>
      <c r="M60" t="s">
        <v>13379</v>
      </c>
      <c r="N60" t="s">
        <v>8915</v>
      </c>
      <c r="P60" t="s">
        <v>8916</v>
      </c>
      <c r="Q60">
        <v>-1</v>
      </c>
      <c r="R60">
        <v>13541.33</v>
      </c>
      <c r="S60" s="6">
        <v>40519.65902777778</v>
      </c>
      <c r="T60" t="s">
        <v>89</v>
      </c>
      <c r="U60" t="s">
        <v>6</v>
      </c>
      <c r="V60">
        <v>135413300</v>
      </c>
      <c r="W60">
        <v>-135413300</v>
      </c>
      <c r="X60" s="4">
        <v>-13541.33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>
        <v>1</v>
      </c>
      <c r="AG60" t="b">
        <v>0</v>
      </c>
      <c r="AH60" t="s">
        <v>8965</v>
      </c>
      <c r="AI60" t="b">
        <v>0</v>
      </c>
      <c r="AJ60" t="b">
        <v>1</v>
      </c>
      <c r="AK60" t="b">
        <v>0</v>
      </c>
      <c r="AL60" t="b">
        <v>0</v>
      </c>
      <c r="AM60" t="b">
        <v>0</v>
      </c>
      <c r="AN60" t="b">
        <v>0</v>
      </c>
      <c r="AO60" t="b">
        <v>1</v>
      </c>
      <c r="AP60" t="s">
        <v>4058</v>
      </c>
      <c r="AQ60" t="b">
        <v>0</v>
      </c>
      <c r="AR60" t="b">
        <v>0</v>
      </c>
      <c r="AS60" t="b">
        <v>1</v>
      </c>
      <c r="AT60" t="s">
        <v>13374</v>
      </c>
      <c r="AU60" t="s">
        <v>4118</v>
      </c>
    </row>
    <row r="61" spans="1:47" x14ac:dyDescent="0.25">
      <c r="A61" t="s">
        <v>13289</v>
      </c>
      <c r="B61" t="s">
        <v>13290</v>
      </c>
      <c r="C61">
        <v>43704</v>
      </c>
      <c r="D61" t="s">
        <v>13381</v>
      </c>
      <c r="E61" t="s">
        <v>8915</v>
      </c>
      <c r="F61" t="s">
        <v>8916</v>
      </c>
      <c r="G61">
        <v>-1</v>
      </c>
      <c r="H61" s="6">
        <v>40548.413194444453</v>
      </c>
      <c r="I61">
        <v>16888.02</v>
      </c>
      <c r="K61" t="s">
        <v>89</v>
      </c>
      <c r="L61" t="s">
        <v>13382</v>
      </c>
      <c r="M61" t="s">
        <v>13381</v>
      </c>
      <c r="N61" t="s">
        <v>8915</v>
      </c>
      <c r="P61" t="s">
        <v>8916</v>
      </c>
      <c r="Q61">
        <v>-1</v>
      </c>
      <c r="R61">
        <v>16888.02</v>
      </c>
      <c r="S61" s="6">
        <v>40548.413194444453</v>
      </c>
      <c r="T61" t="s">
        <v>89</v>
      </c>
      <c r="U61" t="s">
        <v>53</v>
      </c>
      <c r="V61">
        <v>168880200</v>
      </c>
      <c r="W61">
        <v>-168880200</v>
      </c>
      <c r="X61" s="4">
        <v>-16888.02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>
        <v>1</v>
      </c>
      <c r="AG61" t="b">
        <v>0</v>
      </c>
      <c r="AH61" t="s">
        <v>8965</v>
      </c>
      <c r="AI61" t="b">
        <v>0</v>
      </c>
      <c r="AJ61" t="b">
        <v>1</v>
      </c>
      <c r="AK61" t="b">
        <v>0</v>
      </c>
      <c r="AL61" t="b">
        <v>0</v>
      </c>
      <c r="AM61" t="b">
        <v>0</v>
      </c>
      <c r="AN61" t="b">
        <v>0</v>
      </c>
      <c r="AO61" t="b">
        <v>1</v>
      </c>
      <c r="AP61" t="s">
        <v>4058</v>
      </c>
      <c r="AQ61" t="b">
        <v>0</v>
      </c>
      <c r="AR61" t="b">
        <v>0</v>
      </c>
      <c r="AS61" t="b">
        <v>1</v>
      </c>
      <c r="AT61" t="s">
        <v>13374</v>
      </c>
      <c r="AU61" t="s">
        <v>4118</v>
      </c>
    </row>
    <row r="62" spans="1:47" x14ac:dyDescent="0.25">
      <c r="A62" t="s">
        <v>13289</v>
      </c>
      <c r="B62" t="s">
        <v>13290</v>
      </c>
      <c r="C62">
        <v>43705</v>
      </c>
      <c r="D62" t="s">
        <v>13383</v>
      </c>
      <c r="E62" t="s">
        <v>8915</v>
      </c>
      <c r="F62" t="s">
        <v>8916</v>
      </c>
      <c r="G62">
        <v>-1</v>
      </c>
      <c r="H62" s="6">
        <v>40548.414583333331</v>
      </c>
      <c r="I62">
        <v>16453.71</v>
      </c>
      <c r="K62" t="s">
        <v>89</v>
      </c>
      <c r="L62" t="s">
        <v>13384</v>
      </c>
      <c r="M62" t="s">
        <v>13383</v>
      </c>
      <c r="N62" t="s">
        <v>8915</v>
      </c>
      <c r="P62" t="s">
        <v>8916</v>
      </c>
      <c r="Q62">
        <v>-1</v>
      </c>
      <c r="R62">
        <v>16453.71</v>
      </c>
      <c r="S62" s="6">
        <v>40548.414583333331</v>
      </c>
      <c r="T62" t="s">
        <v>89</v>
      </c>
      <c r="U62" t="s">
        <v>53</v>
      </c>
      <c r="V62">
        <v>164537100</v>
      </c>
      <c r="W62">
        <v>-164537100</v>
      </c>
      <c r="X62" s="4">
        <v>-16453.71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>
        <v>1</v>
      </c>
      <c r="AG62" t="b">
        <v>0</v>
      </c>
      <c r="AH62" t="s">
        <v>8965</v>
      </c>
      <c r="AI62" t="b">
        <v>0</v>
      </c>
      <c r="AJ62" t="b">
        <v>1</v>
      </c>
      <c r="AK62" t="b">
        <v>0</v>
      </c>
      <c r="AL62" t="b">
        <v>0</v>
      </c>
      <c r="AM62" t="b">
        <v>0</v>
      </c>
      <c r="AN62" t="b">
        <v>0</v>
      </c>
      <c r="AO62" t="b">
        <v>1</v>
      </c>
      <c r="AP62" t="s">
        <v>4058</v>
      </c>
      <c r="AQ62" t="b">
        <v>0</v>
      </c>
      <c r="AR62" t="b">
        <v>0</v>
      </c>
      <c r="AS62" t="b">
        <v>1</v>
      </c>
      <c r="AT62" t="s">
        <v>13374</v>
      </c>
      <c r="AU62" t="s">
        <v>4118</v>
      </c>
    </row>
    <row r="63" spans="1:47" x14ac:dyDescent="0.25">
      <c r="A63" t="s">
        <v>13289</v>
      </c>
      <c r="B63" t="s">
        <v>13290</v>
      </c>
      <c r="C63">
        <v>61621</v>
      </c>
      <c r="D63">
        <v>541431</v>
      </c>
      <c r="E63">
        <v>23166</v>
      </c>
      <c r="F63" t="s">
        <v>6752</v>
      </c>
      <c r="G63">
        <v>74215</v>
      </c>
      <c r="H63" s="6">
        <v>40561.417361111111</v>
      </c>
      <c r="I63">
        <v>1.04</v>
      </c>
      <c r="J63">
        <v>12346</v>
      </c>
      <c r="K63" t="s">
        <v>89</v>
      </c>
      <c r="L63" t="s">
        <v>13385</v>
      </c>
      <c r="M63" t="s">
        <v>13386</v>
      </c>
      <c r="N63" t="s">
        <v>133</v>
      </c>
      <c r="O63" t="s">
        <v>8972</v>
      </c>
      <c r="P63" t="s">
        <v>6752</v>
      </c>
      <c r="Q63">
        <v>74215</v>
      </c>
      <c r="R63">
        <v>1.04</v>
      </c>
      <c r="S63" s="6">
        <v>40561.417361111111</v>
      </c>
      <c r="T63" t="s">
        <v>89</v>
      </c>
      <c r="U63" t="s">
        <v>53</v>
      </c>
      <c r="V63">
        <v>10400</v>
      </c>
      <c r="W63">
        <v>771836000</v>
      </c>
      <c r="X63" s="4">
        <v>77183.600000000006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>
        <v>1</v>
      </c>
      <c r="AG63" t="b">
        <v>0</v>
      </c>
      <c r="AH63" t="s">
        <v>13292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1</v>
      </c>
      <c r="AP63" t="s">
        <v>4056</v>
      </c>
      <c r="AQ63" t="b">
        <v>1</v>
      </c>
      <c r="AR63" t="b">
        <v>1</v>
      </c>
      <c r="AS63" t="b">
        <v>1</v>
      </c>
      <c r="AT63" t="s">
        <v>4119</v>
      </c>
      <c r="AU63" t="s">
        <v>4118</v>
      </c>
    </row>
    <row r="64" spans="1:47" x14ac:dyDescent="0.25">
      <c r="A64" t="s">
        <v>13289</v>
      </c>
      <c r="B64" t="s">
        <v>13290</v>
      </c>
      <c r="C64">
        <v>61626</v>
      </c>
      <c r="D64" t="s">
        <v>13387</v>
      </c>
      <c r="E64">
        <v>23166</v>
      </c>
      <c r="F64" t="s">
        <v>6752</v>
      </c>
      <c r="G64">
        <v>-74215</v>
      </c>
      <c r="H64" s="6">
        <v>40561.428472222222</v>
      </c>
      <c r="I64">
        <v>1.04</v>
      </c>
      <c r="J64">
        <v>12346</v>
      </c>
      <c r="K64" t="s">
        <v>89</v>
      </c>
      <c r="L64" t="s">
        <v>13388</v>
      </c>
      <c r="M64" t="s">
        <v>13387</v>
      </c>
      <c r="N64" t="s">
        <v>133</v>
      </c>
      <c r="O64" t="s">
        <v>8972</v>
      </c>
      <c r="P64" t="s">
        <v>6752</v>
      </c>
      <c r="Q64">
        <v>-74215</v>
      </c>
      <c r="R64">
        <v>1.04</v>
      </c>
      <c r="S64" s="6">
        <v>40561.428472222222</v>
      </c>
      <c r="T64" t="s">
        <v>89</v>
      </c>
      <c r="U64" t="s">
        <v>53</v>
      </c>
      <c r="V64">
        <v>10400</v>
      </c>
      <c r="W64">
        <v>-771836000</v>
      </c>
      <c r="X64" s="4">
        <v>-77183.600000000006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>
        <v>1</v>
      </c>
      <c r="AG64" t="b">
        <v>0</v>
      </c>
      <c r="AH64" t="s">
        <v>13292</v>
      </c>
      <c r="AI64" t="b">
        <v>0</v>
      </c>
      <c r="AJ64" t="b">
        <v>1</v>
      </c>
      <c r="AK64" t="b">
        <v>0</v>
      </c>
      <c r="AL64" t="b">
        <v>0</v>
      </c>
      <c r="AM64" t="b">
        <v>0</v>
      </c>
      <c r="AN64" t="b">
        <v>0</v>
      </c>
      <c r="AO64" t="b">
        <v>1</v>
      </c>
      <c r="AP64" t="s">
        <v>4057</v>
      </c>
      <c r="AQ64" t="b">
        <v>1</v>
      </c>
      <c r="AR64" t="b">
        <v>0</v>
      </c>
      <c r="AS64" t="b">
        <v>1</v>
      </c>
      <c r="AT64" t="s">
        <v>4119</v>
      </c>
      <c r="AU64" t="s">
        <v>4118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I315"/>
  <sheetViews>
    <sheetView showGridLines="0" workbookViewId="0" tabSelected="0">
      <pane ySplit="1" topLeftCell="A317" activePane="bottomLeft" state="frozen"/>
      <selection pane="bottomLeft"/>
    </sheetView>
  </sheetViews>
  <sheetFormatPr defaultRowHeight="15" x14ac:dyDescent="0.25"/>
  <cols>
    <col min="1" max="1" width="29.7109375" customWidth="1"/>
    <col min="2" max="6" width="18.7109375" customWidth="1"/>
    <col min="7" max="7" width="27.28515625" bestFit="1" customWidth="1"/>
    <col min="8" max="9" width="18.7109375" customWidth="1"/>
  </cols>
  <sheetData>
    <row r="1" spans="1:9" ht="27.95" customHeight="1" x14ac:dyDescent="0.25">
      <c r="A1" t="s">
        <v>2</v>
      </c>
      <c r="B1" t="s">
        <v>42</v>
      </c>
      <c r="C1" t="s">
        <v>13389</v>
      </c>
      <c r="D1" t="s">
        <v>44</v>
      </c>
      <c r="E1" t="s">
        <v>45</v>
      </c>
      <c r="F1" t="s">
        <v>33</v>
      </c>
      <c r="G1" t="s">
        <v>34</v>
      </c>
      <c r="H1" t="s">
        <v>43</v>
      </c>
      <c r="I1" t="s">
        <v>38</v>
      </c>
    </row>
    <row r="2" spans="1:9" x14ac:dyDescent="0.25">
      <c r="A2" t="s">
        <v>94</v>
      </c>
      <c r="B2" t="s">
        <v>6</v>
      </c>
      <c r="C2" s="5">
        <v>40513</v>
      </c>
      <c r="D2" s="4">
        <v>1032.8499999999999</v>
      </c>
      <c r="E2" s="4">
        <v>27.75</v>
      </c>
      <c r="F2">
        <v>32</v>
      </c>
      <c r="G2">
        <v>32</v>
      </c>
      <c r="H2">
        <v>3</v>
      </c>
      <c r="I2">
        <v>7</v>
      </c>
    </row>
    <row r="3" spans="1:9" x14ac:dyDescent="0.25">
      <c r="A3" t="s">
        <v>94</v>
      </c>
      <c r="B3" t="s">
        <v>53</v>
      </c>
      <c r="C3" s="5">
        <v>40544</v>
      </c>
      <c r="D3" s="4">
        <v>9017.7099999999991</v>
      </c>
      <c r="E3" s="4">
        <v>0</v>
      </c>
      <c r="F3">
        <v>127</v>
      </c>
      <c r="G3">
        <v>127</v>
      </c>
      <c r="H3">
        <v>9</v>
      </c>
      <c r="I3">
        <v>25</v>
      </c>
    </row>
    <row r="4" spans="1:9" x14ac:dyDescent="0.25">
      <c r="A4" t="s">
        <v>94</v>
      </c>
      <c r="B4" t="s">
        <v>57</v>
      </c>
      <c r="C4" s="5">
        <v>40575</v>
      </c>
      <c r="D4" s="4">
        <v>14695.42</v>
      </c>
      <c r="E4" s="4">
        <v>67.95</v>
      </c>
      <c r="F4">
        <v>89</v>
      </c>
      <c r="G4">
        <v>89</v>
      </c>
      <c r="H4">
        <v>5</v>
      </c>
      <c r="I4">
        <v>18</v>
      </c>
    </row>
    <row r="5" spans="1:9" x14ac:dyDescent="0.25">
      <c r="A5" t="s">
        <v>94</v>
      </c>
      <c r="B5" t="s">
        <v>60</v>
      </c>
      <c r="C5" s="5">
        <v>40603</v>
      </c>
      <c r="D5" s="4">
        <v>17223.990000000002</v>
      </c>
      <c r="E5" s="4">
        <v>168.7</v>
      </c>
      <c r="F5">
        <v>108</v>
      </c>
      <c r="G5">
        <v>108</v>
      </c>
      <c r="H5">
        <v>3</v>
      </c>
      <c r="I5">
        <v>15</v>
      </c>
    </row>
    <row r="6" spans="1:9" x14ac:dyDescent="0.25">
      <c r="A6" t="s">
        <v>94</v>
      </c>
      <c r="B6" t="s">
        <v>63</v>
      </c>
      <c r="C6" s="5">
        <v>40634</v>
      </c>
      <c r="D6" s="4">
        <v>421.6</v>
      </c>
      <c r="E6" s="4">
        <v>438.2</v>
      </c>
      <c r="F6">
        <v>17</v>
      </c>
      <c r="G6">
        <v>17</v>
      </c>
      <c r="H6">
        <v>1</v>
      </c>
      <c r="I6">
        <v>5</v>
      </c>
    </row>
    <row r="7" spans="1:9" x14ac:dyDescent="0.25">
      <c r="A7" t="s">
        <v>94</v>
      </c>
      <c r="B7" t="s">
        <v>66</v>
      </c>
      <c r="C7" s="5">
        <v>40664</v>
      </c>
      <c r="D7" s="4">
        <v>13638.41</v>
      </c>
      <c r="E7" s="4">
        <v>9.9</v>
      </c>
      <c r="F7">
        <v>116</v>
      </c>
      <c r="G7">
        <v>116</v>
      </c>
      <c r="H7">
        <v>4</v>
      </c>
      <c r="I7">
        <v>21</v>
      </c>
    </row>
    <row r="8" spans="1:9" x14ac:dyDescent="0.25">
      <c r="A8" t="s">
        <v>94</v>
      </c>
      <c r="B8" t="s">
        <v>69</v>
      </c>
      <c r="C8" s="5">
        <v>40695</v>
      </c>
      <c r="D8" s="4">
        <v>25187.77</v>
      </c>
      <c r="E8" s="4">
        <v>23</v>
      </c>
      <c r="F8">
        <v>169</v>
      </c>
      <c r="G8">
        <v>169</v>
      </c>
      <c r="H8">
        <v>4</v>
      </c>
      <c r="I8">
        <v>36</v>
      </c>
    </row>
    <row r="9" spans="1:9" x14ac:dyDescent="0.25">
      <c r="A9" t="s">
        <v>94</v>
      </c>
      <c r="B9" t="s">
        <v>72</v>
      </c>
      <c r="C9" s="5">
        <v>40725</v>
      </c>
      <c r="D9" s="4">
        <v>4964.38</v>
      </c>
      <c r="E9" s="4">
        <v>196.81</v>
      </c>
      <c r="F9">
        <v>159</v>
      </c>
      <c r="G9">
        <v>159</v>
      </c>
      <c r="H9">
        <v>7</v>
      </c>
      <c r="I9">
        <v>53</v>
      </c>
    </row>
    <row r="10" spans="1:9" x14ac:dyDescent="0.25">
      <c r="A10" t="s">
        <v>94</v>
      </c>
      <c r="B10" t="s">
        <v>75</v>
      </c>
      <c r="C10" s="5">
        <v>40756</v>
      </c>
      <c r="D10" s="4">
        <v>22489.200000000001</v>
      </c>
      <c r="E10" s="4">
        <v>0</v>
      </c>
      <c r="F10">
        <v>107</v>
      </c>
      <c r="G10">
        <v>107</v>
      </c>
      <c r="H10">
        <v>2</v>
      </c>
      <c r="I10">
        <v>28</v>
      </c>
    </row>
    <row r="11" spans="1:9" x14ac:dyDescent="0.25">
      <c r="A11" t="s">
        <v>94</v>
      </c>
      <c r="B11" t="s">
        <v>78</v>
      </c>
      <c r="C11" s="5">
        <v>40787</v>
      </c>
      <c r="D11" s="4">
        <v>5106.7299999999996</v>
      </c>
      <c r="E11" s="4">
        <v>75</v>
      </c>
      <c r="F11">
        <v>102</v>
      </c>
      <c r="G11">
        <v>102</v>
      </c>
      <c r="H11">
        <v>8</v>
      </c>
      <c r="I11">
        <v>21</v>
      </c>
    </row>
    <row r="12" spans="1:9" x14ac:dyDescent="0.25">
      <c r="A12" t="s">
        <v>94</v>
      </c>
      <c r="B12" t="s">
        <v>81</v>
      </c>
      <c r="C12" s="5">
        <v>40817</v>
      </c>
      <c r="D12" s="4">
        <v>17150.53</v>
      </c>
      <c r="E12" s="4">
        <v>0</v>
      </c>
      <c r="F12">
        <v>114</v>
      </c>
      <c r="G12">
        <v>114</v>
      </c>
      <c r="H12">
        <v>4</v>
      </c>
      <c r="I12">
        <v>31</v>
      </c>
    </row>
    <row r="13" spans="1:9" x14ac:dyDescent="0.25">
      <c r="A13" t="s">
        <v>94</v>
      </c>
      <c r="B13" t="s">
        <v>84</v>
      </c>
      <c r="C13" s="5">
        <v>40848</v>
      </c>
      <c r="D13" s="4">
        <v>7242.72</v>
      </c>
      <c r="E13" s="4">
        <v>174</v>
      </c>
      <c r="F13">
        <v>41</v>
      </c>
      <c r="G13">
        <v>41</v>
      </c>
      <c r="H13">
        <v>6</v>
      </c>
      <c r="I13">
        <v>12</v>
      </c>
    </row>
    <row r="14" spans="1:9" x14ac:dyDescent="0.25">
      <c r="A14" t="s">
        <v>109</v>
      </c>
      <c r="B14" t="s">
        <v>6</v>
      </c>
      <c r="C14" s="5">
        <v>40513</v>
      </c>
      <c r="D14" s="4">
        <v>157.19999999999999</v>
      </c>
      <c r="E14" s="4">
        <v>20.16</v>
      </c>
      <c r="F14">
        <v>7</v>
      </c>
      <c r="G14">
        <v>7</v>
      </c>
      <c r="H14">
        <v>1</v>
      </c>
      <c r="I14">
        <v>0</v>
      </c>
    </row>
    <row r="15" spans="1:9" x14ac:dyDescent="0.25">
      <c r="A15" t="s">
        <v>109</v>
      </c>
      <c r="B15" t="s">
        <v>57</v>
      </c>
      <c r="C15" s="5">
        <v>40575</v>
      </c>
      <c r="D15" s="4">
        <v>438.36</v>
      </c>
      <c r="E15" s="4">
        <v>0</v>
      </c>
      <c r="F15">
        <v>19</v>
      </c>
      <c r="G15">
        <v>19</v>
      </c>
      <c r="H15">
        <v>2</v>
      </c>
      <c r="I15">
        <v>1</v>
      </c>
    </row>
    <row r="16" spans="1:9" x14ac:dyDescent="0.25">
      <c r="A16" t="s">
        <v>109</v>
      </c>
      <c r="B16" t="s">
        <v>60</v>
      </c>
      <c r="C16" s="5">
        <v>40603</v>
      </c>
      <c r="D16" s="4">
        <v>1308.1199999999999</v>
      </c>
      <c r="E16" s="4">
        <v>0</v>
      </c>
      <c r="F16">
        <v>16</v>
      </c>
      <c r="G16">
        <v>16</v>
      </c>
      <c r="H16">
        <v>2</v>
      </c>
      <c r="I16">
        <v>6</v>
      </c>
    </row>
    <row r="17" spans="1:9" x14ac:dyDescent="0.25">
      <c r="A17" t="s">
        <v>109</v>
      </c>
      <c r="B17" t="s">
        <v>63</v>
      </c>
      <c r="C17" s="5">
        <v>40634</v>
      </c>
      <c r="D17" s="4">
        <v>584.78</v>
      </c>
      <c r="E17" s="4">
        <v>0</v>
      </c>
      <c r="F17">
        <v>24</v>
      </c>
      <c r="G17">
        <v>24</v>
      </c>
      <c r="H17">
        <v>2</v>
      </c>
      <c r="I17">
        <v>4</v>
      </c>
    </row>
    <row r="18" spans="1:9" x14ac:dyDescent="0.25">
      <c r="A18" t="s">
        <v>109</v>
      </c>
      <c r="B18" t="s">
        <v>66</v>
      </c>
      <c r="C18" s="5">
        <v>40664</v>
      </c>
      <c r="D18" s="4">
        <v>1049.43</v>
      </c>
      <c r="E18" s="4">
        <v>0</v>
      </c>
      <c r="F18">
        <v>49</v>
      </c>
      <c r="G18">
        <v>49</v>
      </c>
      <c r="H18">
        <v>2</v>
      </c>
      <c r="I18">
        <v>7</v>
      </c>
    </row>
    <row r="19" spans="1:9" x14ac:dyDescent="0.25">
      <c r="A19" t="s">
        <v>109</v>
      </c>
      <c r="B19" t="s">
        <v>69</v>
      </c>
      <c r="C19" s="5">
        <v>40695</v>
      </c>
      <c r="D19" s="4">
        <v>0</v>
      </c>
      <c r="E19" s="4">
        <v>24.2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109</v>
      </c>
      <c r="B20" t="s">
        <v>72</v>
      </c>
      <c r="C20" s="5">
        <v>40725</v>
      </c>
      <c r="D20" s="4">
        <v>1111.95</v>
      </c>
      <c r="E20" s="4">
        <v>0</v>
      </c>
      <c r="F20">
        <v>54</v>
      </c>
      <c r="G20">
        <v>54</v>
      </c>
      <c r="H20">
        <v>2</v>
      </c>
      <c r="I20">
        <v>12</v>
      </c>
    </row>
    <row r="21" spans="1:9" x14ac:dyDescent="0.25">
      <c r="A21" t="s">
        <v>109</v>
      </c>
      <c r="B21" t="s">
        <v>75</v>
      </c>
      <c r="C21" s="5">
        <v>40756</v>
      </c>
      <c r="D21" s="4">
        <v>1436.08</v>
      </c>
      <c r="E21" s="4">
        <v>0</v>
      </c>
      <c r="F21">
        <v>87</v>
      </c>
      <c r="G21">
        <v>87</v>
      </c>
      <c r="H21">
        <v>2</v>
      </c>
      <c r="I21">
        <v>18</v>
      </c>
    </row>
    <row r="22" spans="1:9" x14ac:dyDescent="0.25">
      <c r="A22" t="s">
        <v>109</v>
      </c>
      <c r="B22" t="s">
        <v>81</v>
      </c>
      <c r="C22" s="5">
        <v>40817</v>
      </c>
      <c r="D22" s="4">
        <v>923.78</v>
      </c>
      <c r="E22" s="4">
        <v>0</v>
      </c>
      <c r="F22">
        <v>53</v>
      </c>
      <c r="G22">
        <v>53</v>
      </c>
      <c r="H22">
        <v>1</v>
      </c>
      <c r="I22">
        <v>11</v>
      </c>
    </row>
    <row r="23" spans="1:9" x14ac:dyDescent="0.25">
      <c r="A23" t="s">
        <v>109</v>
      </c>
      <c r="B23" t="s">
        <v>84</v>
      </c>
      <c r="C23" s="5">
        <v>40848</v>
      </c>
      <c r="D23" s="4">
        <v>1209.78</v>
      </c>
      <c r="E23" s="4">
        <v>0</v>
      </c>
      <c r="F23">
        <v>69</v>
      </c>
      <c r="G23">
        <v>69</v>
      </c>
      <c r="H23">
        <v>2</v>
      </c>
      <c r="I23">
        <v>13</v>
      </c>
    </row>
    <row r="24" spans="1:9" x14ac:dyDescent="0.25">
      <c r="A24" t="s">
        <v>109</v>
      </c>
      <c r="B24" t="s">
        <v>7</v>
      </c>
      <c r="C24" s="5">
        <v>40878</v>
      </c>
      <c r="D24" s="4">
        <v>523.20000000000005</v>
      </c>
      <c r="E24" s="4">
        <v>0</v>
      </c>
      <c r="F24">
        <v>6</v>
      </c>
      <c r="G24">
        <v>6</v>
      </c>
      <c r="H24">
        <v>1</v>
      </c>
      <c r="I24">
        <v>0</v>
      </c>
    </row>
    <row r="25" spans="1:9" x14ac:dyDescent="0.25">
      <c r="A25" t="s">
        <v>125</v>
      </c>
      <c r="B25" t="s">
        <v>6</v>
      </c>
      <c r="C25" s="5">
        <v>40513</v>
      </c>
      <c r="D25" s="4">
        <v>205.74</v>
      </c>
      <c r="E25" s="4">
        <v>0</v>
      </c>
      <c r="F25">
        <v>1</v>
      </c>
      <c r="G25">
        <v>0</v>
      </c>
      <c r="H25">
        <v>1</v>
      </c>
      <c r="I25">
        <v>1</v>
      </c>
    </row>
    <row r="26" spans="1:9" x14ac:dyDescent="0.25">
      <c r="A26" t="s">
        <v>125</v>
      </c>
      <c r="B26" t="s">
        <v>53</v>
      </c>
      <c r="C26" s="5">
        <v>40544</v>
      </c>
      <c r="D26" s="4">
        <v>0</v>
      </c>
      <c r="E26" s="4">
        <v>205.74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t="s">
        <v>125</v>
      </c>
      <c r="B27" t="s">
        <v>66</v>
      </c>
      <c r="C27" s="5">
        <v>40664</v>
      </c>
      <c r="D27" s="4">
        <v>548.4</v>
      </c>
      <c r="E27" s="4">
        <v>0</v>
      </c>
      <c r="F27">
        <v>17</v>
      </c>
      <c r="G27">
        <v>17</v>
      </c>
      <c r="H27">
        <v>2</v>
      </c>
      <c r="I27">
        <v>4</v>
      </c>
    </row>
    <row r="28" spans="1:9" x14ac:dyDescent="0.25">
      <c r="A28" t="s">
        <v>98</v>
      </c>
      <c r="B28" t="s">
        <v>6</v>
      </c>
      <c r="C28" s="5">
        <v>40513</v>
      </c>
      <c r="D28" s="4">
        <v>1599.91</v>
      </c>
      <c r="E28" s="4">
        <v>0</v>
      </c>
      <c r="F28">
        <v>90</v>
      </c>
      <c r="G28">
        <v>90</v>
      </c>
      <c r="H28">
        <v>5</v>
      </c>
      <c r="I28">
        <v>14</v>
      </c>
    </row>
    <row r="29" spans="1:9" x14ac:dyDescent="0.25">
      <c r="A29" t="s">
        <v>98</v>
      </c>
      <c r="B29" t="s">
        <v>53</v>
      </c>
      <c r="C29" s="5">
        <v>40544</v>
      </c>
      <c r="D29" s="4">
        <v>1080.2</v>
      </c>
      <c r="E29" s="4">
        <v>46.15</v>
      </c>
      <c r="F29">
        <v>55</v>
      </c>
      <c r="G29">
        <v>55</v>
      </c>
      <c r="H29">
        <v>3</v>
      </c>
      <c r="I29">
        <v>9</v>
      </c>
    </row>
    <row r="30" spans="1:9" x14ac:dyDescent="0.25">
      <c r="A30" t="s">
        <v>98</v>
      </c>
      <c r="B30" t="s">
        <v>57</v>
      </c>
      <c r="C30" s="5">
        <v>40575</v>
      </c>
      <c r="D30" s="4">
        <v>1926.07</v>
      </c>
      <c r="E30" s="4">
        <v>19.75</v>
      </c>
      <c r="F30">
        <v>109</v>
      </c>
      <c r="G30">
        <v>109</v>
      </c>
      <c r="H30">
        <v>8</v>
      </c>
      <c r="I30">
        <v>17</v>
      </c>
    </row>
    <row r="31" spans="1:9" x14ac:dyDescent="0.25">
      <c r="A31" t="s">
        <v>98</v>
      </c>
      <c r="B31" t="s">
        <v>60</v>
      </c>
      <c r="C31" s="5">
        <v>40603</v>
      </c>
      <c r="D31" s="4">
        <v>2994.98</v>
      </c>
      <c r="E31" s="4">
        <v>18.399999999999999</v>
      </c>
      <c r="F31">
        <v>153</v>
      </c>
      <c r="G31">
        <v>153</v>
      </c>
      <c r="H31">
        <v>9</v>
      </c>
      <c r="I31">
        <v>27</v>
      </c>
    </row>
    <row r="32" spans="1:9" x14ac:dyDescent="0.25">
      <c r="A32" t="s">
        <v>98</v>
      </c>
      <c r="B32" t="s">
        <v>63</v>
      </c>
      <c r="C32" s="5">
        <v>40634</v>
      </c>
      <c r="D32" s="4">
        <v>1788.48</v>
      </c>
      <c r="E32" s="4">
        <v>29.33</v>
      </c>
      <c r="F32">
        <v>110</v>
      </c>
      <c r="G32">
        <v>110</v>
      </c>
      <c r="H32">
        <v>6</v>
      </c>
      <c r="I32">
        <v>15</v>
      </c>
    </row>
    <row r="33" spans="1:9" x14ac:dyDescent="0.25">
      <c r="A33" t="s">
        <v>98</v>
      </c>
      <c r="B33" t="s">
        <v>66</v>
      </c>
      <c r="C33" s="5">
        <v>40664</v>
      </c>
      <c r="D33" s="4">
        <v>2486.4</v>
      </c>
      <c r="E33" s="4">
        <v>5.4</v>
      </c>
      <c r="F33">
        <v>139</v>
      </c>
      <c r="G33">
        <v>139</v>
      </c>
      <c r="H33">
        <v>9</v>
      </c>
      <c r="I33">
        <v>33</v>
      </c>
    </row>
    <row r="34" spans="1:9" x14ac:dyDescent="0.25">
      <c r="A34" t="s">
        <v>98</v>
      </c>
      <c r="B34" t="s">
        <v>69</v>
      </c>
      <c r="C34" s="5">
        <v>40695</v>
      </c>
      <c r="D34" s="4">
        <v>3848.82</v>
      </c>
      <c r="E34" s="4">
        <v>1.65</v>
      </c>
      <c r="F34">
        <v>219</v>
      </c>
      <c r="G34">
        <v>219</v>
      </c>
      <c r="H34">
        <v>11</v>
      </c>
      <c r="I34">
        <v>44</v>
      </c>
    </row>
    <row r="35" spans="1:9" x14ac:dyDescent="0.25">
      <c r="A35" t="s">
        <v>98</v>
      </c>
      <c r="B35" t="s">
        <v>72</v>
      </c>
      <c r="C35" s="5">
        <v>40725</v>
      </c>
      <c r="D35" s="4">
        <v>2205.5700000000002</v>
      </c>
      <c r="E35" s="4">
        <v>1.95</v>
      </c>
      <c r="F35">
        <v>123</v>
      </c>
      <c r="G35">
        <v>123</v>
      </c>
      <c r="H35">
        <v>5</v>
      </c>
      <c r="I35">
        <v>19</v>
      </c>
    </row>
    <row r="36" spans="1:9" x14ac:dyDescent="0.25">
      <c r="A36" t="s">
        <v>98</v>
      </c>
      <c r="B36" t="s">
        <v>75</v>
      </c>
      <c r="C36" s="5">
        <v>40756</v>
      </c>
      <c r="D36" s="4">
        <v>3140.02</v>
      </c>
      <c r="E36" s="4">
        <v>17.899999999999999</v>
      </c>
      <c r="F36">
        <v>185</v>
      </c>
      <c r="G36">
        <v>185</v>
      </c>
      <c r="H36">
        <v>9</v>
      </c>
      <c r="I36">
        <v>30</v>
      </c>
    </row>
    <row r="37" spans="1:9" x14ac:dyDescent="0.25">
      <c r="A37" t="s">
        <v>98</v>
      </c>
      <c r="B37" t="s">
        <v>78</v>
      </c>
      <c r="C37" s="5">
        <v>40787</v>
      </c>
      <c r="D37" s="4">
        <v>3779.02</v>
      </c>
      <c r="E37" s="4">
        <v>10.199999999999999</v>
      </c>
      <c r="F37">
        <v>177</v>
      </c>
      <c r="G37">
        <v>177</v>
      </c>
      <c r="H37">
        <v>7</v>
      </c>
      <c r="I37">
        <v>30</v>
      </c>
    </row>
    <row r="38" spans="1:9" x14ac:dyDescent="0.25">
      <c r="A38" t="s">
        <v>98</v>
      </c>
      <c r="B38" t="s">
        <v>81</v>
      </c>
      <c r="C38" s="5">
        <v>40817</v>
      </c>
      <c r="D38" s="4">
        <v>5169.38</v>
      </c>
      <c r="E38" s="4">
        <v>34</v>
      </c>
      <c r="F38">
        <v>253</v>
      </c>
      <c r="G38">
        <v>253</v>
      </c>
      <c r="H38">
        <v>11</v>
      </c>
      <c r="I38">
        <v>51</v>
      </c>
    </row>
    <row r="39" spans="1:9" x14ac:dyDescent="0.25">
      <c r="A39" t="s">
        <v>98</v>
      </c>
      <c r="B39" t="s">
        <v>84</v>
      </c>
      <c r="C39" s="5">
        <v>40848</v>
      </c>
      <c r="D39" s="4">
        <v>5619.76</v>
      </c>
      <c r="E39" s="4">
        <v>71.349999999999994</v>
      </c>
      <c r="F39">
        <v>232</v>
      </c>
      <c r="G39">
        <v>232</v>
      </c>
      <c r="H39">
        <v>11</v>
      </c>
      <c r="I39">
        <v>42</v>
      </c>
    </row>
    <row r="40" spans="1:9" x14ac:dyDescent="0.25">
      <c r="A40" t="s">
        <v>98</v>
      </c>
      <c r="B40" t="s">
        <v>7</v>
      </c>
      <c r="C40" s="5">
        <v>40878</v>
      </c>
      <c r="D40" s="4">
        <v>1288.73</v>
      </c>
      <c r="E40" s="4">
        <v>8.3000000000000007</v>
      </c>
      <c r="F40">
        <v>90</v>
      </c>
      <c r="G40">
        <v>90</v>
      </c>
      <c r="H40">
        <v>4</v>
      </c>
      <c r="I40">
        <v>22</v>
      </c>
    </row>
    <row r="41" spans="1:9" x14ac:dyDescent="0.25">
      <c r="A41" t="s">
        <v>122</v>
      </c>
      <c r="B41" t="s">
        <v>63</v>
      </c>
      <c r="C41" s="5">
        <v>40634</v>
      </c>
      <c r="D41" s="4">
        <v>1143.5999999999999</v>
      </c>
      <c r="E41" s="4">
        <v>0</v>
      </c>
      <c r="F41">
        <v>32</v>
      </c>
      <c r="G41">
        <v>32</v>
      </c>
      <c r="H41">
        <v>1</v>
      </c>
      <c r="I41">
        <v>3</v>
      </c>
    </row>
    <row r="42" spans="1:9" x14ac:dyDescent="0.25">
      <c r="A42" t="s">
        <v>116</v>
      </c>
      <c r="B42" t="s">
        <v>60</v>
      </c>
      <c r="C42" s="5">
        <v>40603</v>
      </c>
      <c r="D42" s="4">
        <v>140.54</v>
      </c>
      <c r="E42" s="4">
        <v>0</v>
      </c>
      <c r="F42">
        <v>10</v>
      </c>
      <c r="G42">
        <v>10</v>
      </c>
      <c r="H42">
        <v>1</v>
      </c>
      <c r="I42">
        <v>5</v>
      </c>
    </row>
    <row r="43" spans="1:9" x14ac:dyDescent="0.25">
      <c r="A43" t="s">
        <v>116</v>
      </c>
      <c r="B43" t="s">
        <v>66</v>
      </c>
      <c r="C43" s="5">
        <v>40664</v>
      </c>
      <c r="D43" s="4">
        <v>534.24</v>
      </c>
      <c r="E43" s="4">
        <v>0</v>
      </c>
      <c r="F43">
        <v>1</v>
      </c>
      <c r="G43">
        <v>1</v>
      </c>
      <c r="H43">
        <v>1</v>
      </c>
      <c r="I43">
        <v>1</v>
      </c>
    </row>
    <row r="44" spans="1:9" x14ac:dyDescent="0.25">
      <c r="A44" t="s">
        <v>116</v>
      </c>
      <c r="B44" t="s">
        <v>69</v>
      </c>
      <c r="C44" s="5">
        <v>40695</v>
      </c>
      <c r="D44" s="4">
        <v>1171.46</v>
      </c>
      <c r="E44" s="4">
        <v>0</v>
      </c>
      <c r="F44">
        <v>57</v>
      </c>
      <c r="G44">
        <v>57</v>
      </c>
      <c r="H44">
        <v>1</v>
      </c>
      <c r="I44">
        <v>10</v>
      </c>
    </row>
    <row r="45" spans="1:9" x14ac:dyDescent="0.25">
      <c r="A45" t="s">
        <v>116</v>
      </c>
      <c r="B45" t="s">
        <v>72</v>
      </c>
      <c r="C45" s="5">
        <v>40725</v>
      </c>
      <c r="D45" s="4">
        <v>1217.6400000000001</v>
      </c>
      <c r="E45" s="4">
        <v>0</v>
      </c>
      <c r="F45">
        <v>77</v>
      </c>
      <c r="G45">
        <v>77</v>
      </c>
      <c r="H45">
        <v>1</v>
      </c>
      <c r="I45">
        <v>11</v>
      </c>
    </row>
    <row r="46" spans="1:9" x14ac:dyDescent="0.25">
      <c r="A46" t="s">
        <v>116</v>
      </c>
      <c r="B46" t="s">
        <v>75</v>
      </c>
      <c r="C46" s="5">
        <v>40756</v>
      </c>
      <c r="D46" s="4">
        <v>51.56</v>
      </c>
      <c r="E46" s="4">
        <v>0</v>
      </c>
      <c r="F46">
        <v>5</v>
      </c>
      <c r="G46">
        <v>5</v>
      </c>
      <c r="H46">
        <v>1</v>
      </c>
      <c r="I46">
        <v>0</v>
      </c>
    </row>
    <row r="47" spans="1:9" x14ac:dyDescent="0.25">
      <c r="A47" t="s">
        <v>102</v>
      </c>
      <c r="B47" t="s">
        <v>6</v>
      </c>
      <c r="C47" s="5">
        <v>40513</v>
      </c>
      <c r="D47" s="4">
        <v>313.52999999999997</v>
      </c>
      <c r="E47" s="4">
        <v>0</v>
      </c>
      <c r="F47">
        <v>16</v>
      </c>
      <c r="G47">
        <v>16</v>
      </c>
      <c r="H47">
        <v>1</v>
      </c>
      <c r="I47">
        <v>2</v>
      </c>
    </row>
    <row r="48" spans="1:9" x14ac:dyDescent="0.25">
      <c r="A48" t="s">
        <v>102</v>
      </c>
      <c r="B48" t="s">
        <v>53</v>
      </c>
      <c r="C48" s="5">
        <v>40544</v>
      </c>
      <c r="D48" s="4">
        <v>675.58</v>
      </c>
      <c r="E48" s="4">
        <v>30.5</v>
      </c>
      <c r="F48">
        <v>30</v>
      </c>
      <c r="G48">
        <v>30</v>
      </c>
      <c r="H48">
        <v>1</v>
      </c>
      <c r="I48">
        <v>5</v>
      </c>
    </row>
    <row r="49" spans="1:9" x14ac:dyDescent="0.25">
      <c r="A49" t="s">
        <v>102</v>
      </c>
      <c r="B49" t="s">
        <v>57</v>
      </c>
      <c r="C49" s="5">
        <v>40575</v>
      </c>
      <c r="D49" s="4">
        <v>1784.71</v>
      </c>
      <c r="E49" s="4">
        <v>0</v>
      </c>
      <c r="F49">
        <v>10</v>
      </c>
      <c r="G49">
        <v>10</v>
      </c>
      <c r="H49">
        <v>1</v>
      </c>
      <c r="I49">
        <v>0</v>
      </c>
    </row>
    <row r="50" spans="1:9" x14ac:dyDescent="0.25">
      <c r="A50" t="s">
        <v>102</v>
      </c>
      <c r="B50" t="s">
        <v>60</v>
      </c>
      <c r="C50" s="5">
        <v>40603</v>
      </c>
      <c r="D50" s="4">
        <v>3509.33</v>
      </c>
      <c r="E50" s="4">
        <v>0</v>
      </c>
      <c r="F50">
        <v>182</v>
      </c>
      <c r="G50">
        <v>182</v>
      </c>
      <c r="H50">
        <v>3</v>
      </c>
      <c r="I50">
        <v>40</v>
      </c>
    </row>
    <row r="51" spans="1:9" x14ac:dyDescent="0.25">
      <c r="A51" t="s">
        <v>102</v>
      </c>
      <c r="B51" t="s">
        <v>63</v>
      </c>
      <c r="C51" s="5">
        <v>40634</v>
      </c>
      <c r="D51" s="4">
        <v>243</v>
      </c>
      <c r="E51" s="4">
        <v>0</v>
      </c>
      <c r="F51">
        <v>8</v>
      </c>
      <c r="G51">
        <v>8</v>
      </c>
      <c r="H51">
        <v>1</v>
      </c>
      <c r="I51">
        <v>2</v>
      </c>
    </row>
    <row r="52" spans="1:9" x14ac:dyDescent="0.25">
      <c r="A52" t="s">
        <v>102</v>
      </c>
      <c r="B52" t="s">
        <v>66</v>
      </c>
      <c r="C52" s="5">
        <v>40664</v>
      </c>
      <c r="D52" s="4">
        <v>914.24</v>
      </c>
      <c r="E52" s="4">
        <v>10.45</v>
      </c>
      <c r="F52">
        <v>33</v>
      </c>
      <c r="G52">
        <v>33</v>
      </c>
      <c r="H52">
        <v>1</v>
      </c>
      <c r="I52">
        <v>12</v>
      </c>
    </row>
    <row r="53" spans="1:9" x14ac:dyDescent="0.25">
      <c r="A53" t="s">
        <v>102</v>
      </c>
      <c r="B53" t="s">
        <v>69</v>
      </c>
      <c r="C53" s="5">
        <v>40695</v>
      </c>
      <c r="D53" s="4">
        <v>2060.0300000000002</v>
      </c>
      <c r="E53" s="4">
        <v>0</v>
      </c>
      <c r="F53">
        <v>81</v>
      </c>
      <c r="G53">
        <v>81</v>
      </c>
      <c r="H53">
        <v>1</v>
      </c>
      <c r="I53">
        <v>13</v>
      </c>
    </row>
    <row r="54" spans="1:9" x14ac:dyDescent="0.25">
      <c r="A54" t="s">
        <v>102</v>
      </c>
      <c r="B54" t="s">
        <v>75</v>
      </c>
      <c r="C54" s="5">
        <v>40756</v>
      </c>
      <c r="D54" s="4">
        <v>4896.78</v>
      </c>
      <c r="E54" s="4">
        <v>4.25</v>
      </c>
      <c r="F54">
        <v>140</v>
      </c>
      <c r="G54">
        <v>140</v>
      </c>
      <c r="H54">
        <v>5</v>
      </c>
      <c r="I54">
        <v>33</v>
      </c>
    </row>
    <row r="55" spans="1:9" x14ac:dyDescent="0.25">
      <c r="A55" t="s">
        <v>102</v>
      </c>
      <c r="B55" t="s">
        <v>78</v>
      </c>
      <c r="C55" s="5">
        <v>40787</v>
      </c>
      <c r="D55" s="4">
        <v>1323.75</v>
      </c>
      <c r="E55" s="4">
        <v>2.1</v>
      </c>
      <c r="F55">
        <v>65</v>
      </c>
      <c r="G55">
        <v>65</v>
      </c>
      <c r="H55">
        <v>2</v>
      </c>
      <c r="I55">
        <v>18</v>
      </c>
    </row>
    <row r="56" spans="1:9" x14ac:dyDescent="0.25">
      <c r="A56" t="s">
        <v>102</v>
      </c>
      <c r="B56" t="s">
        <v>81</v>
      </c>
      <c r="C56" s="5">
        <v>40817</v>
      </c>
      <c r="D56" s="4">
        <v>2623.32</v>
      </c>
      <c r="E56" s="4">
        <v>0</v>
      </c>
      <c r="F56">
        <v>102</v>
      </c>
      <c r="G56">
        <v>102</v>
      </c>
      <c r="H56">
        <v>5</v>
      </c>
      <c r="I56">
        <v>35</v>
      </c>
    </row>
    <row r="57" spans="1:9" x14ac:dyDescent="0.25">
      <c r="A57" t="s">
        <v>102</v>
      </c>
      <c r="B57" t="s">
        <v>84</v>
      </c>
      <c r="C57" s="5">
        <v>40848</v>
      </c>
      <c r="D57" s="4">
        <v>1464.77</v>
      </c>
      <c r="E57" s="4">
        <v>19.600000000000001</v>
      </c>
      <c r="F57">
        <v>72</v>
      </c>
      <c r="G57">
        <v>72</v>
      </c>
      <c r="H57">
        <v>3</v>
      </c>
      <c r="I57">
        <v>10</v>
      </c>
    </row>
    <row r="58" spans="1:9" x14ac:dyDescent="0.25">
      <c r="A58" t="s">
        <v>102</v>
      </c>
      <c r="B58" t="s">
        <v>7</v>
      </c>
      <c r="C58" s="5">
        <v>40878</v>
      </c>
      <c r="D58" s="4">
        <v>198.4</v>
      </c>
      <c r="E58" s="4">
        <v>4.25</v>
      </c>
      <c r="F58">
        <v>5</v>
      </c>
      <c r="G58">
        <v>5</v>
      </c>
      <c r="H58">
        <v>1</v>
      </c>
      <c r="I58">
        <v>1</v>
      </c>
    </row>
    <row r="59" spans="1:9" x14ac:dyDescent="0.25">
      <c r="A59" t="s">
        <v>106</v>
      </c>
      <c r="B59" t="s">
        <v>6</v>
      </c>
      <c r="C59" s="5">
        <v>40513</v>
      </c>
      <c r="D59" s="4">
        <v>1590.82</v>
      </c>
      <c r="E59" s="4">
        <v>0</v>
      </c>
      <c r="F59">
        <v>83</v>
      </c>
      <c r="G59">
        <v>83</v>
      </c>
      <c r="H59">
        <v>1</v>
      </c>
      <c r="I59">
        <v>18</v>
      </c>
    </row>
    <row r="60" spans="1:9" x14ac:dyDescent="0.25">
      <c r="A60" t="s">
        <v>106</v>
      </c>
      <c r="B60" t="s">
        <v>53</v>
      </c>
      <c r="C60" s="5">
        <v>40544</v>
      </c>
      <c r="D60" s="4">
        <v>547.5</v>
      </c>
      <c r="E60" s="4">
        <v>0</v>
      </c>
      <c r="F60">
        <v>16</v>
      </c>
      <c r="G60">
        <v>16</v>
      </c>
      <c r="H60">
        <v>1</v>
      </c>
      <c r="I60">
        <v>3</v>
      </c>
    </row>
    <row r="61" spans="1:9" x14ac:dyDescent="0.25">
      <c r="A61" t="s">
        <v>106</v>
      </c>
      <c r="B61" t="s">
        <v>57</v>
      </c>
      <c r="C61" s="5">
        <v>40575</v>
      </c>
      <c r="D61" s="4">
        <v>3998.55</v>
      </c>
      <c r="E61" s="4">
        <v>0</v>
      </c>
      <c r="F61">
        <v>154</v>
      </c>
      <c r="G61">
        <v>154</v>
      </c>
      <c r="H61">
        <v>4</v>
      </c>
      <c r="I61">
        <v>34</v>
      </c>
    </row>
    <row r="62" spans="1:9" x14ac:dyDescent="0.25">
      <c r="A62" t="s">
        <v>106</v>
      </c>
      <c r="B62" t="s">
        <v>60</v>
      </c>
      <c r="C62" s="5">
        <v>40603</v>
      </c>
      <c r="D62" s="4">
        <v>938.39</v>
      </c>
      <c r="E62" s="4">
        <v>0</v>
      </c>
      <c r="F62">
        <v>48</v>
      </c>
      <c r="G62">
        <v>48</v>
      </c>
      <c r="H62">
        <v>1</v>
      </c>
      <c r="I62">
        <v>12</v>
      </c>
    </row>
    <row r="63" spans="1:9" x14ac:dyDescent="0.25">
      <c r="A63" t="s">
        <v>106</v>
      </c>
      <c r="B63" t="s">
        <v>63</v>
      </c>
      <c r="C63" s="5">
        <v>40634</v>
      </c>
      <c r="D63" s="4">
        <v>0</v>
      </c>
      <c r="E63" s="4">
        <v>35.799999999999997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t="s">
        <v>106</v>
      </c>
      <c r="B64" t="s">
        <v>69</v>
      </c>
      <c r="C64" s="5">
        <v>40695</v>
      </c>
      <c r="D64" s="4">
        <v>1109.32</v>
      </c>
      <c r="E64" s="4">
        <v>0</v>
      </c>
      <c r="F64">
        <v>47</v>
      </c>
      <c r="G64">
        <v>47</v>
      </c>
      <c r="H64">
        <v>1</v>
      </c>
      <c r="I64">
        <v>11</v>
      </c>
    </row>
    <row r="65" spans="1:9" x14ac:dyDescent="0.25">
      <c r="A65" t="s">
        <v>106</v>
      </c>
      <c r="B65" t="s">
        <v>78</v>
      </c>
      <c r="C65" s="5">
        <v>40787</v>
      </c>
      <c r="D65" s="4">
        <v>196.35</v>
      </c>
      <c r="E65" s="4">
        <v>0</v>
      </c>
      <c r="F65">
        <v>1</v>
      </c>
      <c r="G65">
        <v>1</v>
      </c>
      <c r="H65">
        <v>1</v>
      </c>
      <c r="I65">
        <v>0</v>
      </c>
    </row>
    <row r="66" spans="1:9" x14ac:dyDescent="0.25">
      <c r="A66" t="s">
        <v>106</v>
      </c>
      <c r="B66" t="s">
        <v>81</v>
      </c>
      <c r="C66" s="5">
        <v>40817</v>
      </c>
      <c r="D66" s="4">
        <v>4412.87</v>
      </c>
      <c r="E66" s="4">
        <v>196.35</v>
      </c>
      <c r="F66">
        <v>163</v>
      </c>
      <c r="G66">
        <v>163</v>
      </c>
      <c r="H66">
        <v>4</v>
      </c>
      <c r="I66">
        <v>54</v>
      </c>
    </row>
    <row r="67" spans="1:9" x14ac:dyDescent="0.25">
      <c r="A67" t="s">
        <v>106</v>
      </c>
      <c r="B67" t="s">
        <v>84</v>
      </c>
      <c r="C67" s="5">
        <v>40848</v>
      </c>
      <c r="D67" s="4">
        <v>460.89</v>
      </c>
      <c r="E67" s="4">
        <v>0</v>
      </c>
      <c r="F67">
        <v>100</v>
      </c>
      <c r="G67">
        <v>100</v>
      </c>
      <c r="H67">
        <v>1</v>
      </c>
      <c r="I67">
        <v>31</v>
      </c>
    </row>
    <row r="68" spans="1:9" x14ac:dyDescent="0.25">
      <c r="A68" t="s">
        <v>106</v>
      </c>
      <c r="B68" t="s">
        <v>7</v>
      </c>
      <c r="C68" s="5">
        <v>40878</v>
      </c>
      <c r="D68" s="4">
        <v>0</v>
      </c>
      <c r="E68" s="4">
        <v>91.25</v>
      </c>
      <c r="F68">
        <v>0</v>
      </c>
      <c r="G68">
        <v>0</v>
      </c>
      <c r="H68">
        <v>0</v>
      </c>
      <c r="I68">
        <v>1</v>
      </c>
    </row>
    <row r="69" spans="1:9" x14ac:dyDescent="0.25">
      <c r="A69" t="s">
        <v>124</v>
      </c>
      <c r="B69" t="s">
        <v>57</v>
      </c>
      <c r="C69" s="5">
        <v>40575</v>
      </c>
      <c r="D69" s="4">
        <v>549.26</v>
      </c>
      <c r="E69" s="4">
        <v>0</v>
      </c>
      <c r="F69">
        <v>15</v>
      </c>
      <c r="G69">
        <v>15</v>
      </c>
      <c r="H69">
        <v>1</v>
      </c>
      <c r="I69">
        <v>1</v>
      </c>
    </row>
    <row r="70" spans="1:9" x14ac:dyDescent="0.25">
      <c r="A70" t="s">
        <v>124</v>
      </c>
      <c r="B70" t="s">
        <v>63</v>
      </c>
      <c r="C70" s="5">
        <v>40634</v>
      </c>
      <c r="D70" s="4">
        <v>0</v>
      </c>
      <c r="E70" s="4">
        <v>57.51</v>
      </c>
      <c r="F70">
        <v>0</v>
      </c>
      <c r="G70">
        <v>0</v>
      </c>
      <c r="H70">
        <v>0</v>
      </c>
      <c r="I70">
        <v>0</v>
      </c>
    </row>
    <row r="71" spans="1:9" x14ac:dyDescent="0.25">
      <c r="A71" t="s">
        <v>124</v>
      </c>
      <c r="B71" t="s">
        <v>81</v>
      </c>
      <c r="C71" s="5">
        <v>40817</v>
      </c>
      <c r="D71" s="4">
        <v>237.48</v>
      </c>
      <c r="E71" s="4">
        <v>0</v>
      </c>
      <c r="F71">
        <v>9</v>
      </c>
      <c r="G71">
        <v>9</v>
      </c>
      <c r="H71">
        <v>1</v>
      </c>
      <c r="I71">
        <v>3</v>
      </c>
    </row>
    <row r="72" spans="1:9" x14ac:dyDescent="0.25">
      <c r="A72" t="s">
        <v>124</v>
      </c>
      <c r="B72" t="s">
        <v>84</v>
      </c>
      <c r="C72" s="5">
        <v>40848</v>
      </c>
      <c r="D72" s="4">
        <v>0</v>
      </c>
      <c r="E72" s="4">
        <v>57.51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t="s">
        <v>104</v>
      </c>
      <c r="B73" t="s">
        <v>6</v>
      </c>
      <c r="C73" s="5">
        <v>40513</v>
      </c>
      <c r="D73" s="4">
        <v>1137.5</v>
      </c>
      <c r="E73" s="4">
        <v>0</v>
      </c>
      <c r="F73">
        <v>19</v>
      </c>
      <c r="G73">
        <v>19</v>
      </c>
      <c r="H73">
        <v>1</v>
      </c>
      <c r="I73">
        <v>2</v>
      </c>
    </row>
    <row r="74" spans="1:9" x14ac:dyDescent="0.25">
      <c r="A74" t="s">
        <v>104</v>
      </c>
      <c r="B74" t="s">
        <v>57</v>
      </c>
      <c r="C74" s="5">
        <v>40575</v>
      </c>
      <c r="D74" s="4">
        <v>363.22</v>
      </c>
      <c r="E74" s="4">
        <v>0</v>
      </c>
      <c r="F74">
        <v>19</v>
      </c>
      <c r="G74">
        <v>19</v>
      </c>
      <c r="H74">
        <v>1</v>
      </c>
      <c r="I74">
        <v>1</v>
      </c>
    </row>
    <row r="75" spans="1:9" x14ac:dyDescent="0.25">
      <c r="A75" t="s">
        <v>104</v>
      </c>
      <c r="B75" t="s">
        <v>60</v>
      </c>
      <c r="C75" s="5">
        <v>40603</v>
      </c>
      <c r="D75" s="4">
        <v>3978.99</v>
      </c>
      <c r="E75" s="4">
        <v>0</v>
      </c>
      <c r="F75">
        <v>19</v>
      </c>
      <c r="G75">
        <v>19</v>
      </c>
      <c r="H75">
        <v>1</v>
      </c>
      <c r="I75">
        <v>5</v>
      </c>
    </row>
    <row r="76" spans="1:9" x14ac:dyDescent="0.25">
      <c r="A76" t="s">
        <v>104</v>
      </c>
      <c r="B76" t="s">
        <v>66</v>
      </c>
      <c r="C76" s="5">
        <v>40664</v>
      </c>
      <c r="D76" s="4">
        <v>479.7</v>
      </c>
      <c r="E76" s="4">
        <v>0</v>
      </c>
      <c r="F76">
        <v>18</v>
      </c>
      <c r="G76">
        <v>18</v>
      </c>
      <c r="H76">
        <v>1</v>
      </c>
      <c r="I76">
        <v>2</v>
      </c>
    </row>
    <row r="77" spans="1:9" x14ac:dyDescent="0.25">
      <c r="A77" t="s">
        <v>104</v>
      </c>
      <c r="B77" t="s">
        <v>69</v>
      </c>
      <c r="C77" s="5">
        <v>40695</v>
      </c>
      <c r="D77" s="4">
        <v>3063.15</v>
      </c>
      <c r="E77" s="4">
        <v>0</v>
      </c>
      <c r="F77">
        <v>104</v>
      </c>
      <c r="G77">
        <v>104</v>
      </c>
      <c r="H77">
        <v>3</v>
      </c>
      <c r="I77">
        <v>31</v>
      </c>
    </row>
    <row r="78" spans="1:9" x14ac:dyDescent="0.25">
      <c r="A78" t="s">
        <v>104</v>
      </c>
      <c r="B78" t="s">
        <v>72</v>
      </c>
      <c r="C78" s="5">
        <v>40725</v>
      </c>
      <c r="D78" s="4">
        <v>358.24</v>
      </c>
      <c r="E78" s="4">
        <v>0</v>
      </c>
      <c r="F78">
        <v>16</v>
      </c>
      <c r="G78">
        <v>16</v>
      </c>
      <c r="H78">
        <v>1</v>
      </c>
      <c r="I78">
        <v>5</v>
      </c>
    </row>
    <row r="79" spans="1:9" x14ac:dyDescent="0.25">
      <c r="A79" t="s">
        <v>104</v>
      </c>
      <c r="B79" t="s">
        <v>75</v>
      </c>
      <c r="C79" s="5">
        <v>40756</v>
      </c>
      <c r="D79" s="4">
        <v>195.15</v>
      </c>
      <c r="E79" s="4">
        <v>134.55000000000001</v>
      </c>
      <c r="F79">
        <v>15</v>
      </c>
      <c r="G79">
        <v>15</v>
      </c>
      <c r="H79">
        <v>1</v>
      </c>
      <c r="I79">
        <v>3</v>
      </c>
    </row>
    <row r="80" spans="1:9" x14ac:dyDescent="0.25">
      <c r="A80" t="s">
        <v>104</v>
      </c>
      <c r="B80" t="s">
        <v>78</v>
      </c>
      <c r="C80" s="5">
        <v>40787</v>
      </c>
      <c r="D80" s="4">
        <v>4510.16</v>
      </c>
      <c r="E80" s="4">
        <v>0</v>
      </c>
      <c r="F80">
        <v>44</v>
      </c>
      <c r="G80">
        <v>44</v>
      </c>
      <c r="H80">
        <v>3</v>
      </c>
      <c r="I80">
        <v>8</v>
      </c>
    </row>
    <row r="81" spans="1:9" x14ac:dyDescent="0.25">
      <c r="A81" t="s">
        <v>104</v>
      </c>
      <c r="B81" t="s">
        <v>81</v>
      </c>
      <c r="C81" s="5">
        <v>40817</v>
      </c>
      <c r="D81" s="4">
        <v>1274.76</v>
      </c>
      <c r="E81" s="4">
        <v>34.65</v>
      </c>
      <c r="F81">
        <v>20</v>
      </c>
      <c r="G81">
        <v>20</v>
      </c>
      <c r="H81">
        <v>3</v>
      </c>
      <c r="I81">
        <v>5</v>
      </c>
    </row>
    <row r="82" spans="1:9" x14ac:dyDescent="0.25">
      <c r="A82" t="s">
        <v>104</v>
      </c>
      <c r="B82" t="s">
        <v>84</v>
      </c>
      <c r="C82" s="5">
        <v>40848</v>
      </c>
      <c r="D82" s="4">
        <v>2699.57</v>
      </c>
      <c r="E82" s="4">
        <v>0</v>
      </c>
      <c r="F82">
        <v>83</v>
      </c>
      <c r="G82">
        <v>83</v>
      </c>
      <c r="H82">
        <v>2</v>
      </c>
      <c r="I82">
        <v>20</v>
      </c>
    </row>
    <row r="83" spans="1:9" x14ac:dyDescent="0.25">
      <c r="A83" t="s">
        <v>104</v>
      </c>
      <c r="B83" t="s">
        <v>7</v>
      </c>
      <c r="C83" s="5">
        <v>40878</v>
      </c>
      <c r="D83" s="4">
        <v>150.9</v>
      </c>
      <c r="E83" s="4">
        <v>0</v>
      </c>
      <c r="F83">
        <v>10</v>
      </c>
      <c r="G83">
        <v>10</v>
      </c>
      <c r="H83">
        <v>1</v>
      </c>
      <c r="I83">
        <v>0</v>
      </c>
    </row>
    <row r="84" spans="1:9" x14ac:dyDescent="0.25">
      <c r="A84" t="s">
        <v>91</v>
      </c>
      <c r="B84" t="s">
        <v>6</v>
      </c>
      <c r="C84" s="5">
        <v>40513</v>
      </c>
      <c r="D84" s="4">
        <v>9683.26</v>
      </c>
      <c r="E84" s="4">
        <v>1003.31</v>
      </c>
      <c r="F84">
        <v>366</v>
      </c>
      <c r="G84">
        <v>327</v>
      </c>
      <c r="H84">
        <v>17</v>
      </c>
      <c r="I84">
        <v>139</v>
      </c>
    </row>
    <row r="85" spans="1:9" x14ac:dyDescent="0.25">
      <c r="A85" t="s">
        <v>91</v>
      </c>
      <c r="B85" t="s">
        <v>53</v>
      </c>
      <c r="C85" s="5">
        <v>40544</v>
      </c>
      <c r="D85" s="4">
        <v>21704.19</v>
      </c>
      <c r="E85" s="4">
        <v>197.67</v>
      </c>
      <c r="F85">
        <v>169</v>
      </c>
      <c r="G85">
        <v>169</v>
      </c>
      <c r="H85">
        <v>7</v>
      </c>
      <c r="I85">
        <v>43</v>
      </c>
    </row>
    <row r="86" spans="1:9" x14ac:dyDescent="0.25">
      <c r="A86" t="s">
        <v>91</v>
      </c>
      <c r="B86" t="s">
        <v>57</v>
      </c>
      <c r="C86" s="5">
        <v>40575</v>
      </c>
      <c r="D86" s="4">
        <v>12083.74</v>
      </c>
      <c r="E86" s="4">
        <v>2574.6</v>
      </c>
      <c r="F86">
        <v>428</v>
      </c>
      <c r="G86">
        <v>343</v>
      </c>
      <c r="H86">
        <v>13</v>
      </c>
      <c r="I86">
        <v>146</v>
      </c>
    </row>
    <row r="87" spans="1:9" x14ac:dyDescent="0.25">
      <c r="A87" t="s">
        <v>91</v>
      </c>
      <c r="B87" t="s">
        <v>60</v>
      </c>
      <c r="C87" s="5">
        <v>40603</v>
      </c>
      <c r="D87" s="4">
        <v>18323.169999999998</v>
      </c>
      <c r="E87" s="4">
        <v>39.94</v>
      </c>
      <c r="F87">
        <v>546</v>
      </c>
      <c r="G87">
        <v>520</v>
      </c>
      <c r="H87">
        <v>21</v>
      </c>
      <c r="I87">
        <v>118</v>
      </c>
    </row>
    <row r="88" spans="1:9" x14ac:dyDescent="0.25">
      <c r="A88" t="s">
        <v>91</v>
      </c>
      <c r="B88" t="s">
        <v>63</v>
      </c>
      <c r="C88" s="5">
        <v>40634</v>
      </c>
      <c r="D88" s="4">
        <v>7270.5</v>
      </c>
      <c r="E88" s="4">
        <v>0</v>
      </c>
      <c r="F88">
        <v>300</v>
      </c>
      <c r="G88">
        <v>300</v>
      </c>
      <c r="H88">
        <v>11</v>
      </c>
      <c r="I88">
        <v>61</v>
      </c>
    </row>
    <row r="89" spans="1:9" x14ac:dyDescent="0.25">
      <c r="A89" t="s">
        <v>91</v>
      </c>
      <c r="B89" t="s">
        <v>66</v>
      </c>
      <c r="C89" s="5">
        <v>40664</v>
      </c>
      <c r="D89" s="4">
        <v>17758.759999999998</v>
      </c>
      <c r="E89" s="4">
        <v>87.41</v>
      </c>
      <c r="F89">
        <v>604</v>
      </c>
      <c r="G89">
        <v>520</v>
      </c>
      <c r="H89">
        <v>22</v>
      </c>
      <c r="I89">
        <v>214</v>
      </c>
    </row>
    <row r="90" spans="1:9" x14ac:dyDescent="0.25">
      <c r="A90" t="s">
        <v>91</v>
      </c>
      <c r="B90" t="s">
        <v>69</v>
      </c>
      <c r="C90" s="5">
        <v>40695</v>
      </c>
      <c r="D90" s="4">
        <v>20713.29</v>
      </c>
      <c r="E90" s="4">
        <v>1113.04</v>
      </c>
      <c r="F90">
        <v>611</v>
      </c>
      <c r="G90">
        <v>530</v>
      </c>
      <c r="H90">
        <v>26</v>
      </c>
      <c r="I90">
        <v>271</v>
      </c>
    </row>
    <row r="91" spans="1:9" x14ac:dyDescent="0.25">
      <c r="A91" t="s">
        <v>91</v>
      </c>
      <c r="B91" t="s">
        <v>72</v>
      </c>
      <c r="C91" s="5">
        <v>40725</v>
      </c>
      <c r="D91" s="4">
        <v>42289.85</v>
      </c>
      <c r="E91" s="4">
        <v>49.2</v>
      </c>
      <c r="F91">
        <v>698</v>
      </c>
      <c r="G91">
        <v>607</v>
      </c>
      <c r="H91">
        <v>27</v>
      </c>
      <c r="I91">
        <v>228</v>
      </c>
    </row>
    <row r="92" spans="1:9" x14ac:dyDescent="0.25">
      <c r="A92" t="s">
        <v>91</v>
      </c>
      <c r="B92" t="s">
        <v>75</v>
      </c>
      <c r="C92" s="5">
        <v>40756</v>
      </c>
      <c r="D92" s="4">
        <v>18053.75</v>
      </c>
      <c r="E92" s="4">
        <v>4640.59</v>
      </c>
      <c r="F92">
        <v>646</v>
      </c>
      <c r="G92">
        <v>587</v>
      </c>
      <c r="H92">
        <v>18</v>
      </c>
      <c r="I92">
        <v>219</v>
      </c>
    </row>
    <row r="93" spans="1:9" x14ac:dyDescent="0.25">
      <c r="A93" t="s">
        <v>91</v>
      </c>
      <c r="B93" t="s">
        <v>78</v>
      </c>
      <c r="C93" s="5">
        <v>40787</v>
      </c>
      <c r="D93" s="4">
        <v>42486.55</v>
      </c>
      <c r="E93" s="4">
        <v>441.55</v>
      </c>
      <c r="F93">
        <v>1169</v>
      </c>
      <c r="G93">
        <v>1063</v>
      </c>
      <c r="H93">
        <v>37</v>
      </c>
      <c r="I93">
        <v>391</v>
      </c>
    </row>
    <row r="94" spans="1:9" x14ac:dyDescent="0.25">
      <c r="A94" t="s">
        <v>91</v>
      </c>
      <c r="B94" t="s">
        <v>81</v>
      </c>
      <c r="C94" s="5">
        <v>40817</v>
      </c>
      <c r="D94" s="4">
        <v>23817.919999999998</v>
      </c>
      <c r="E94" s="4">
        <v>1010.3</v>
      </c>
      <c r="F94">
        <v>861</v>
      </c>
      <c r="G94">
        <v>861</v>
      </c>
      <c r="H94">
        <v>31</v>
      </c>
      <c r="I94">
        <v>230</v>
      </c>
    </row>
    <row r="95" spans="1:9" x14ac:dyDescent="0.25">
      <c r="A95" t="s">
        <v>91</v>
      </c>
      <c r="B95" t="s">
        <v>84</v>
      </c>
      <c r="C95" s="5">
        <v>40848</v>
      </c>
      <c r="D95" s="4">
        <v>29838.43</v>
      </c>
      <c r="E95" s="4">
        <v>325.38</v>
      </c>
      <c r="F95">
        <v>1052</v>
      </c>
      <c r="G95">
        <v>993</v>
      </c>
      <c r="H95">
        <v>42</v>
      </c>
      <c r="I95">
        <v>289</v>
      </c>
    </row>
    <row r="96" spans="1:9" x14ac:dyDescent="0.25">
      <c r="A96" t="s">
        <v>91</v>
      </c>
      <c r="B96" t="s">
        <v>7</v>
      </c>
      <c r="C96" s="5">
        <v>40878</v>
      </c>
      <c r="D96" s="4">
        <v>7140.89</v>
      </c>
      <c r="E96" s="4">
        <v>17.850000000000001</v>
      </c>
      <c r="F96">
        <v>329</v>
      </c>
      <c r="G96">
        <v>316</v>
      </c>
      <c r="H96">
        <v>10</v>
      </c>
      <c r="I96">
        <v>65</v>
      </c>
    </row>
    <row r="97" spans="1:9" x14ac:dyDescent="0.25">
      <c r="A97" t="s">
        <v>121</v>
      </c>
      <c r="B97" t="s">
        <v>63</v>
      </c>
      <c r="C97" s="5">
        <v>40634</v>
      </c>
      <c r="D97" s="4">
        <v>155.4</v>
      </c>
      <c r="E97" s="4">
        <v>0</v>
      </c>
      <c r="F97">
        <v>10</v>
      </c>
      <c r="G97">
        <v>10</v>
      </c>
      <c r="H97">
        <v>1</v>
      </c>
      <c r="I97">
        <v>0</v>
      </c>
    </row>
    <row r="98" spans="1:9" x14ac:dyDescent="0.25">
      <c r="A98" t="s">
        <v>121</v>
      </c>
      <c r="B98" t="s">
        <v>69</v>
      </c>
      <c r="C98" s="5">
        <v>40695</v>
      </c>
      <c r="D98" s="4">
        <v>387.05</v>
      </c>
      <c r="E98" s="4">
        <v>8.5</v>
      </c>
      <c r="F98">
        <v>19</v>
      </c>
      <c r="G98">
        <v>19</v>
      </c>
      <c r="H98">
        <v>1</v>
      </c>
      <c r="I98">
        <v>0</v>
      </c>
    </row>
    <row r="99" spans="1:9" x14ac:dyDescent="0.25">
      <c r="A99" t="s">
        <v>121</v>
      </c>
      <c r="B99" t="s">
        <v>72</v>
      </c>
      <c r="C99" s="5">
        <v>40725</v>
      </c>
      <c r="D99" s="4">
        <v>616.79999999999995</v>
      </c>
      <c r="E99" s="4">
        <v>0</v>
      </c>
      <c r="F99">
        <v>28</v>
      </c>
      <c r="G99">
        <v>28</v>
      </c>
      <c r="H99">
        <v>1</v>
      </c>
      <c r="I99">
        <v>11</v>
      </c>
    </row>
    <row r="100" spans="1:9" x14ac:dyDescent="0.25">
      <c r="A100" t="s">
        <v>103</v>
      </c>
      <c r="B100" t="s">
        <v>6</v>
      </c>
      <c r="C100" s="5">
        <v>40513</v>
      </c>
      <c r="D100" s="4">
        <v>652.79999999999995</v>
      </c>
      <c r="E100" s="4">
        <v>0</v>
      </c>
      <c r="F100">
        <v>16</v>
      </c>
      <c r="G100">
        <v>16</v>
      </c>
      <c r="H100">
        <v>1</v>
      </c>
      <c r="I100">
        <v>3</v>
      </c>
    </row>
    <row r="101" spans="1:9" x14ac:dyDescent="0.25">
      <c r="A101" t="s">
        <v>103</v>
      </c>
      <c r="B101" t="s">
        <v>53</v>
      </c>
      <c r="C101" s="5">
        <v>40544</v>
      </c>
      <c r="D101" s="4">
        <v>769.02</v>
      </c>
      <c r="E101" s="4">
        <v>0</v>
      </c>
      <c r="F101">
        <v>9</v>
      </c>
      <c r="G101">
        <v>9</v>
      </c>
      <c r="H101">
        <v>2</v>
      </c>
      <c r="I101">
        <v>4</v>
      </c>
    </row>
    <row r="102" spans="1:9" x14ac:dyDescent="0.25">
      <c r="A102" t="s">
        <v>103</v>
      </c>
      <c r="B102" t="s">
        <v>57</v>
      </c>
      <c r="C102" s="5">
        <v>40575</v>
      </c>
      <c r="D102" s="4">
        <v>165.16</v>
      </c>
      <c r="E102" s="4">
        <v>0</v>
      </c>
      <c r="F102">
        <v>11</v>
      </c>
      <c r="G102">
        <v>11</v>
      </c>
      <c r="H102">
        <v>1</v>
      </c>
      <c r="I102">
        <v>2</v>
      </c>
    </row>
    <row r="103" spans="1:9" x14ac:dyDescent="0.25">
      <c r="A103" t="s">
        <v>103</v>
      </c>
      <c r="B103" t="s">
        <v>60</v>
      </c>
      <c r="C103" s="5">
        <v>40603</v>
      </c>
      <c r="D103" s="4">
        <v>4865.62</v>
      </c>
      <c r="E103" s="4">
        <v>12.2</v>
      </c>
      <c r="F103">
        <v>211</v>
      </c>
      <c r="G103">
        <v>211</v>
      </c>
      <c r="H103">
        <v>4</v>
      </c>
      <c r="I103">
        <v>38</v>
      </c>
    </row>
    <row r="104" spans="1:9" x14ac:dyDescent="0.25">
      <c r="A104" t="s">
        <v>103</v>
      </c>
      <c r="B104" t="s">
        <v>63</v>
      </c>
      <c r="C104" s="5">
        <v>40634</v>
      </c>
      <c r="D104" s="4">
        <v>1368.92</v>
      </c>
      <c r="E104" s="4">
        <v>22.11</v>
      </c>
      <c r="F104">
        <v>36</v>
      </c>
      <c r="G104">
        <v>36</v>
      </c>
      <c r="H104">
        <v>4</v>
      </c>
      <c r="I104">
        <v>9</v>
      </c>
    </row>
    <row r="105" spans="1:9" x14ac:dyDescent="0.25">
      <c r="A105" t="s">
        <v>103</v>
      </c>
      <c r="B105" t="s">
        <v>69</v>
      </c>
      <c r="C105" s="5">
        <v>40695</v>
      </c>
      <c r="D105" s="4">
        <v>289.56</v>
      </c>
      <c r="E105" s="4">
        <v>0</v>
      </c>
      <c r="F105">
        <v>12</v>
      </c>
      <c r="G105">
        <v>12</v>
      </c>
      <c r="H105">
        <v>1</v>
      </c>
      <c r="I105">
        <v>2</v>
      </c>
    </row>
    <row r="106" spans="1:9" x14ac:dyDescent="0.25">
      <c r="A106" t="s">
        <v>103</v>
      </c>
      <c r="B106" t="s">
        <v>72</v>
      </c>
      <c r="C106" s="5">
        <v>40725</v>
      </c>
      <c r="D106" s="4">
        <v>2436.73</v>
      </c>
      <c r="E106" s="4">
        <v>0</v>
      </c>
      <c r="F106">
        <v>80</v>
      </c>
      <c r="G106">
        <v>80</v>
      </c>
      <c r="H106">
        <v>3</v>
      </c>
      <c r="I106">
        <v>18</v>
      </c>
    </row>
    <row r="107" spans="1:9" x14ac:dyDescent="0.25">
      <c r="A107" t="s">
        <v>103</v>
      </c>
      <c r="B107" t="s">
        <v>75</v>
      </c>
      <c r="C107" s="5">
        <v>40756</v>
      </c>
      <c r="D107" s="4">
        <v>1096.5</v>
      </c>
      <c r="E107" s="4">
        <v>4.95</v>
      </c>
      <c r="F107">
        <v>58</v>
      </c>
      <c r="G107">
        <v>58</v>
      </c>
      <c r="H107">
        <v>3</v>
      </c>
      <c r="I107">
        <v>9</v>
      </c>
    </row>
    <row r="108" spans="1:9" x14ac:dyDescent="0.25">
      <c r="A108" t="s">
        <v>103</v>
      </c>
      <c r="B108" t="s">
        <v>78</v>
      </c>
      <c r="C108" s="5">
        <v>40787</v>
      </c>
      <c r="D108" s="4">
        <v>905.45</v>
      </c>
      <c r="E108" s="4">
        <v>0</v>
      </c>
      <c r="F108">
        <v>29</v>
      </c>
      <c r="G108">
        <v>29</v>
      </c>
      <c r="H108">
        <v>4</v>
      </c>
      <c r="I108">
        <v>10</v>
      </c>
    </row>
    <row r="109" spans="1:9" x14ac:dyDescent="0.25">
      <c r="A109" t="s">
        <v>103</v>
      </c>
      <c r="B109" t="s">
        <v>81</v>
      </c>
      <c r="C109" s="5">
        <v>40817</v>
      </c>
      <c r="D109" s="4">
        <v>2266.12</v>
      </c>
      <c r="E109" s="4">
        <v>0</v>
      </c>
      <c r="F109">
        <v>108</v>
      </c>
      <c r="G109">
        <v>108</v>
      </c>
      <c r="H109">
        <v>6</v>
      </c>
      <c r="I109">
        <v>34</v>
      </c>
    </row>
    <row r="110" spans="1:9" x14ac:dyDescent="0.25">
      <c r="A110" t="s">
        <v>103</v>
      </c>
      <c r="B110" t="s">
        <v>84</v>
      </c>
      <c r="C110" s="5">
        <v>40848</v>
      </c>
      <c r="D110" s="4">
        <v>2456.2399999999998</v>
      </c>
      <c r="E110" s="4">
        <v>0</v>
      </c>
      <c r="F110">
        <v>67</v>
      </c>
      <c r="G110">
        <v>67</v>
      </c>
      <c r="H110">
        <v>8</v>
      </c>
      <c r="I110">
        <v>17</v>
      </c>
    </row>
    <row r="111" spans="1:9" x14ac:dyDescent="0.25">
      <c r="A111" t="s">
        <v>103</v>
      </c>
      <c r="B111" t="s">
        <v>7</v>
      </c>
      <c r="C111" s="5">
        <v>40878</v>
      </c>
      <c r="D111" s="4">
        <v>1072.76</v>
      </c>
      <c r="E111" s="4">
        <v>2.08</v>
      </c>
      <c r="F111">
        <v>10</v>
      </c>
      <c r="G111">
        <v>10</v>
      </c>
      <c r="H111">
        <v>3</v>
      </c>
      <c r="I111">
        <v>6</v>
      </c>
    </row>
    <row r="112" spans="1:9" x14ac:dyDescent="0.25">
      <c r="A112" t="s">
        <v>93</v>
      </c>
      <c r="B112" t="s">
        <v>6</v>
      </c>
      <c r="C112" s="5">
        <v>40513</v>
      </c>
      <c r="D112" s="4">
        <v>8530.31</v>
      </c>
      <c r="E112" s="4">
        <v>40.950000000000003</v>
      </c>
      <c r="F112">
        <v>416</v>
      </c>
      <c r="G112">
        <v>416</v>
      </c>
      <c r="H112">
        <v>20</v>
      </c>
      <c r="I112">
        <v>70</v>
      </c>
    </row>
    <row r="113" spans="1:9" x14ac:dyDescent="0.25">
      <c r="A113" t="s">
        <v>93</v>
      </c>
      <c r="B113" t="s">
        <v>53</v>
      </c>
      <c r="C113" s="5">
        <v>40544</v>
      </c>
      <c r="D113" s="4">
        <v>16174.12</v>
      </c>
      <c r="E113" s="4">
        <v>183.05</v>
      </c>
      <c r="F113">
        <v>636</v>
      </c>
      <c r="G113">
        <v>636</v>
      </c>
      <c r="H113">
        <v>28</v>
      </c>
      <c r="I113">
        <v>90</v>
      </c>
    </row>
    <row r="114" spans="1:9" x14ac:dyDescent="0.25">
      <c r="A114" t="s">
        <v>93</v>
      </c>
      <c r="B114" t="s">
        <v>57</v>
      </c>
      <c r="C114" s="5">
        <v>40575</v>
      </c>
      <c r="D114" s="4">
        <v>7687.96</v>
      </c>
      <c r="E114" s="4">
        <v>41.05</v>
      </c>
      <c r="F114">
        <v>401</v>
      </c>
      <c r="G114">
        <v>401</v>
      </c>
      <c r="H114">
        <v>21</v>
      </c>
      <c r="I114">
        <v>58</v>
      </c>
    </row>
    <row r="115" spans="1:9" x14ac:dyDescent="0.25">
      <c r="A115" t="s">
        <v>93</v>
      </c>
      <c r="B115" t="s">
        <v>60</v>
      </c>
      <c r="C115" s="5">
        <v>40603</v>
      </c>
      <c r="D115" s="4">
        <v>13689.55</v>
      </c>
      <c r="E115" s="4">
        <v>72.650000000000006</v>
      </c>
      <c r="F115">
        <v>527</v>
      </c>
      <c r="G115">
        <v>527</v>
      </c>
      <c r="H115">
        <v>25</v>
      </c>
      <c r="I115">
        <v>82</v>
      </c>
    </row>
    <row r="116" spans="1:9" x14ac:dyDescent="0.25">
      <c r="A116" t="s">
        <v>93</v>
      </c>
      <c r="B116" t="s">
        <v>63</v>
      </c>
      <c r="C116" s="5">
        <v>40634</v>
      </c>
      <c r="D116" s="4">
        <v>3899.31</v>
      </c>
      <c r="E116" s="4">
        <v>133.1</v>
      </c>
      <c r="F116">
        <v>217</v>
      </c>
      <c r="G116">
        <v>217</v>
      </c>
      <c r="H116">
        <v>12</v>
      </c>
      <c r="I116">
        <v>36</v>
      </c>
    </row>
    <row r="117" spans="1:9" x14ac:dyDescent="0.25">
      <c r="A117" t="s">
        <v>93</v>
      </c>
      <c r="B117" t="s">
        <v>66</v>
      </c>
      <c r="C117" s="5">
        <v>40664</v>
      </c>
      <c r="D117" s="4">
        <v>16174.88</v>
      </c>
      <c r="E117" s="4">
        <v>51.8</v>
      </c>
      <c r="F117">
        <v>690</v>
      </c>
      <c r="G117">
        <v>690</v>
      </c>
      <c r="H117">
        <v>37</v>
      </c>
      <c r="I117">
        <v>169</v>
      </c>
    </row>
    <row r="118" spans="1:9" x14ac:dyDescent="0.25">
      <c r="A118" t="s">
        <v>93</v>
      </c>
      <c r="B118" t="s">
        <v>69</v>
      </c>
      <c r="C118" s="5">
        <v>40695</v>
      </c>
      <c r="D118" s="4">
        <v>14962.41</v>
      </c>
      <c r="E118" s="4">
        <v>356.54</v>
      </c>
      <c r="F118">
        <v>565</v>
      </c>
      <c r="G118">
        <v>548</v>
      </c>
      <c r="H118">
        <v>31</v>
      </c>
      <c r="I118">
        <v>115</v>
      </c>
    </row>
    <row r="119" spans="1:9" x14ac:dyDescent="0.25">
      <c r="A119" t="s">
        <v>93</v>
      </c>
      <c r="B119" t="s">
        <v>72</v>
      </c>
      <c r="C119" s="5">
        <v>40725</v>
      </c>
      <c r="D119" s="4">
        <v>9171.19</v>
      </c>
      <c r="E119" s="4">
        <v>111.2</v>
      </c>
      <c r="F119">
        <v>429</v>
      </c>
      <c r="G119">
        <v>429</v>
      </c>
      <c r="H119">
        <v>22</v>
      </c>
      <c r="I119">
        <v>92</v>
      </c>
    </row>
    <row r="120" spans="1:9" x14ac:dyDescent="0.25">
      <c r="A120" t="s">
        <v>93</v>
      </c>
      <c r="B120" t="s">
        <v>75</v>
      </c>
      <c r="C120" s="5">
        <v>40756</v>
      </c>
      <c r="D120" s="4">
        <v>12630.96</v>
      </c>
      <c r="E120" s="4">
        <v>21.7</v>
      </c>
      <c r="F120">
        <v>548</v>
      </c>
      <c r="G120">
        <v>548</v>
      </c>
      <c r="H120">
        <v>27</v>
      </c>
      <c r="I120">
        <v>98</v>
      </c>
    </row>
    <row r="121" spans="1:9" x14ac:dyDescent="0.25">
      <c r="A121" t="s">
        <v>93</v>
      </c>
      <c r="B121" t="s">
        <v>78</v>
      </c>
      <c r="C121" s="5">
        <v>40787</v>
      </c>
      <c r="D121" s="4">
        <v>21898.04</v>
      </c>
      <c r="E121" s="4">
        <v>211.17</v>
      </c>
      <c r="F121">
        <v>1004</v>
      </c>
      <c r="G121">
        <v>1004</v>
      </c>
      <c r="H121">
        <v>45</v>
      </c>
      <c r="I121">
        <v>194</v>
      </c>
    </row>
    <row r="122" spans="1:9" x14ac:dyDescent="0.25">
      <c r="A122" t="s">
        <v>93</v>
      </c>
      <c r="B122" t="s">
        <v>81</v>
      </c>
      <c r="C122" s="5">
        <v>40817</v>
      </c>
      <c r="D122" s="4">
        <v>24008.33</v>
      </c>
      <c r="E122" s="4">
        <v>131.29</v>
      </c>
      <c r="F122">
        <v>865</v>
      </c>
      <c r="G122">
        <v>865</v>
      </c>
      <c r="H122">
        <v>33</v>
      </c>
      <c r="I122">
        <v>183</v>
      </c>
    </row>
    <row r="123" spans="1:9" x14ac:dyDescent="0.25">
      <c r="A123" t="s">
        <v>93</v>
      </c>
      <c r="B123" t="s">
        <v>84</v>
      </c>
      <c r="C123" s="5">
        <v>40848</v>
      </c>
      <c r="D123" s="4">
        <v>29216.76</v>
      </c>
      <c r="E123" s="4">
        <v>917.2</v>
      </c>
      <c r="F123">
        <v>1494</v>
      </c>
      <c r="G123">
        <v>1445</v>
      </c>
      <c r="H123">
        <v>64</v>
      </c>
      <c r="I123">
        <v>359</v>
      </c>
    </row>
    <row r="124" spans="1:9" x14ac:dyDescent="0.25">
      <c r="A124" t="s">
        <v>93</v>
      </c>
      <c r="B124" t="s">
        <v>7</v>
      </c>
      <c r="C124" s="5">
        <v>40878</v>
      </c>
      <c r="D124" s="4">
        <v>6538.92</v>
      </c>
      <c r="E124" s="4">
        <v>147.65</v>
      </c>
      <c r="F124">
        <v>308</v>
      </c>
      <c r="G124">
        <v>308</v>
      </c>
      <c r="H124">
        <v>17</v>
      </c>
      <c r="I124">
        <v>57</v>
      </c>
    </row>
    <row r="125" spans="1:9" x14ac:dyDescent="0.25">
      <c r="A125" t="s">
        <v>92</v>
      </c>
      <c r="B125" t="s">
        <v>6</v>
      </c>
      <c r="C125" s="5">
        <v>40513</v>
      </c>
      <c r="D125" s="4">
        <v>13279.14</v>
      </c>
      <c r="E125" s="4">
        <v>660.3</v>
      </c>
      <c r="F125">
        <v>486</v>
      </c>
      <c r="G125">
        <v>486</v>
      </c>
      <c r="H125">
        <v>29</v>
      </c>
      <c r="I125">
        <v>114</v>
      </c>
    </row>
    <row r="126" spans="1:9" x14ac:dyDescent="0.25">
      <c r="A126" t="s">
        <v>92</v>
      </c>
      <c r="B126" t="s">
        <v>53</v>
      </c>
      <c r="C126" s="5">
        <v>40544</v>
      </c>
      <c r="D126" s="4">
        <v>15326.84</v>
      </c>
      <c r="E126" s="4">
        <v>459.41</v>
      </c>
      <c r="F126">
        <v>749</v>
      </c>
      <c r="G126">
        <v>749</v>
      </c>
      <c r="H126">
        <v>31</v>
      </c>
      <c r="I126">
        <v>144</v>
      </c>
    </row>
    <row r="127" spans="1:9" x14ac:dyDescent="0.25">
      <c r="A127" t="s">
        <v>92</v>
      </c>
      <c r="B127" t="s">
        <v>57</v>
      </c>
      <c r="C127" s="5">
        <v>40575</v>
      </c>
      <c r="D127" s="4">
        <v>8825.0499999999993</v>
      </c>
      <c r="E127" s="4">
        <v>575.80999999999995</v>
      </c>
      <c r="F127">
        <v>281</v>
      </c>
      <c r="G127">
        <v>281</v>
      </c>
      <c r="H127">
        <v>19</v>
      </c>
      <c r="I127">
        <v>51</v>
      </c>
    </row>
    <row r="128" spans="1:9" x14ac:dyDescent="0.25">
      <c r="A128" t="s">
        <v>92</v>
      </c>
      <c r="B128" t="s">
        <v>60</v>
      </c>
      <c r="C128" s="5">
        <v>40603</v>
      </c>
      <c r="D128" s="4">
        <v>12862.69</v>
      </c>
      <c r="E128" s="4">
        <v>222.67</v>
      </c>
      <c r="F128">
        <v>550</v>
      </c>
      <c r="G128">
        <v>550</v>
      </c>
      <c r="H128">
        <v>31</v>
      </c>
      <c r="I128">
        <v>108</v>
      </c>
    </row>
    <row r="129" spans="1:9" x14ac:dyDescent="0.25">
      <c r="A129" t="s">
        <v>92</v>
      </c>
      <c r="B129" t="s">
        <v>63</v>
      </c>
      <c r="C129" s="5">
        <v>40634</v>
      </c>
      <c r="D129" s="4">
        <v>10994.79</v>
      </c>
      <c r="E129" s="4">
        <v>129.41999999999999</v>
      </c>
      <c r="F129">
        <v>421</v>
      </c>
      <c r="G129">
        <v>421</v>
      </c>
      <c r="H129">
        <v>22</v>
      </c>
      <c r="I129">
        <v>89</v>
      </c>
    </row>
    <row r="130" spans="1:9" x14ac:dyDescent="0.25">
      <c r="A130" t="s">
        <v>92</v>
      </c>
      <c r="B130" t="s">
        <v>66</v>
      </c>
      <c r="C130" s="5">
        <v>40664</v>
      </c>
      <c r="D130" s="4">
        <v>23518.2</v>
      </c>
      <c r="E130" s="4">
        <v>161.85</v>
      </c>
      <c r="F130">
        <v>733</v>
      </c>
      <c r="G130">
        <v>733</v>
      </c>
      <c r="H130">
        <v>41</v>
      </c>
      <c r="I130">
        <v>164</v>
      </c>
    </row>
    <row r="131" spans="1:9" x14ac:dyDescent="0.25">
      <c r="A131" t="s">
        <v>92</v>
      </c>
      <c r="B131" t="s">
        <v>69</v>
      </c>
      <c r="C131" s="5">
        <v>40695</v>
      </c>
      <c r="D131" s="4">
        <v>12122.1</v>
      </c>
      <c r="E131" s="4">
        <v>157.08000000000001</v>
      </c>
      <c r="F131">
        <v>633</v>
      </c>
      <c r="G131">
        <v>633</v>
      </c>
      <c r="H131">
        <v>24</v>
      </c>
      <c r="I131">
        <v>137</v>
      </c>
    </row>
    <row r="132" spans="1:9" x14ac:dyDescent="0.25">
      <c r="A132" t="s">
        <v>92</v>
      </c>
      <c r="B132" t="s">
        <v>72</v>
      </c>
      <c r="C132" s="5">
        <v>40725</v>
      </c>
      <c r="D132" s="4">
        <v>14743.3</v>
      </c>
      <c r="E132" s="4">
        <v>327.99</v>
      </c>
      <c r="F132">
        <v>730</v>
      </c>
      <c r="G132">
        <v>730</v>
      </c>
      <c r="H132">
        <v>31</v>
      </c>
      <c r="I132">
        <v>163</v>
      </c>
    </row>
    <row r="133" spans="1:9" x14ac:dyDescent="0.25">
      <c r="A133" t="s">
        <v>92</v>
      </c>
      <c r="B133" t="s">
        <v>75</v>
      </c>
      <c r="C133" s="5">
        <v>40756</v>
      </c>
      <c r="D133" s="4">
        <v>17636.77</v>
      </c>
      <c r="E133" s="4">
        <v>179.12</v>
      </c>
      <c r="F133">
        <v>763</v>
      </c>
      <c r="G133">
        <v>763</v>
      </c>
      <c r="H133">
        <v>37</v>
      </c>
      <c r="I133">
        <v>153</v>
      </c>
    </row>
    <row r="134" spans="1:9" x14ac:dyDescent="0.25">
      <c r="A134" t="s">
        <v>92</v>
      </c>
      <c r="B134" t="s">
        <v>78</v>
      </c>
      <c r="C134" s="5">
        <v>40787</v>
      </c>
      <c r="D134" s="4">
        <v>16561.22</v>
      </c>
      <c r="E134" s="4">
        <v>352.91</v>
      </c>
      <c r="F134">
        <v>739</v>
      </c>
      <c r="G134">
        <v>739</v>
      </c>
      <c r="H134">
        <v>41</v>
      </c>
      <c r="I134">
        <v>155</v>
      </c>
    </row>
    <row r="135" spans="1:9" x14ac:dyDescent="0.25">
      <c r="A135" t="s">
        <v>92</v>
      </c>
      <c r="B135" t="s">
        <v>81</v>
      </c>
      <c r="C135" s="5">
        <v>40817</v>
      </c>
      <c r="D135" s="4">
        <v>28422.92</v>
      </c>
      <c r="E135" s="4">
        <v>406.65</v>
      </c>
      <c r="F135">
        <v>1237</v>
      </c>
      <c r="G135">
        <v>1237</v>
      </c>
      <c r="H135">
        <v>56</v>
      </c>
      <c r="I135">
        <v>276</v>
      </c>
    </row>
    <row r="136" spans="1:9" x14ac:dyDescent="0.25">
      <c r="A136" t="s">
        <v>92</v>
      </c>
      <c r="B136" t="s">
        <v>84</v>
      </c>
      <c r="C136" s="5">
        <v>40848</v>
      </c>
      <c r="D136" s="4">
        <v>24252.7</v>
      </c>
      <c r="E136" s="4">
        <v>948.81</v>
      </c>
      <c r="F136">
        <v>1036</v>
      </c>
      <c r="G136">
        <v>1036</v>
      </c>
      <c r="H136">
        <v>64</v>
      </c>
      <c r="I136">
        <v>190</v>
      </c>
    </row>
    <row r="137" spans="1:9" x14ac:dyDescent="0.25">
      <c r="A137" t="s">
        <v>92</v>
      </c>
      <c r="B137" t="s">
        <v>7</v>
      </c>
      <c r="C137" s="5">
        <v>40878</v>
      </c>
      <c r="D137" s="4">
        <v>7024.17</v>
      </c>
      <c r="E137" s="4">
        <v>179.47</v>
      </c>
      <c r="F137">
        <v>300</v>
      </c>
      <c r="G137">
        <v>300</v>
      </c>
      <c r="H137">
        <v>17</v>
      </c>
      <c r="I137">
        <v>60</v>
      </c>
    </row>
    <row r="138" spans="1:9" x14ac:dyDescent="0.25">
      <c r="A138" t="s">
        <v>113</v>
      </c>
      <c r="B138" t="s">
        <v>53</v>
      </c>
      <c r="C138" s="5">
        <v>40544</v>
      </c>
      <c r="D138" s="4">
        <v>2661.24</v>
      </c>
      <c r="E138" s="4">
        <v>0</v>
      </c>
      <c r="F138">
        <v>32</v>
      </c>
      <c r="G138">
        <v>32</v>
      </c>
      <c r="H138">
        <v>1</v>
      </c>
      <c r="I138">
        <v>4</v>
      </c>
    </row>
    <row r="139" spans="1:9" x14ac:dyDescent="0.25">
      <c r="A139" t="s">
        <v>113</v>
      </c>
      <c r="B139" t="s">
        <v>60</v>
      </c>
      <c r="C139" s="5">
        <v>40603</v>
      </c>
      <c r="D139" s="4">
        <v>387.31</v>
      </c>
      <c r="E139" s="4">
        <v>0</v>
      </c>
      <c r="F139">
        <v>22</v>
      </c>
      <c r="G139">
        <v>22</v>
      </c>
      <c r="H139">
        <v>1</v>
      </c>
      <c r="I139">
        <v>3</v>
      </c>
    </row>
    <row r="140" spans="1:9" x14ac:dyDescent="0.25">
      <c r="A140" t="s">
        <v>113</v>
      </c>
      <c r="B140" t="s">
        <v>63</v>
      </c>
      <c r="C140" s="5">
        <v>40634</v>
      </c>
      <c r="D140" s="4">
        <v>509.74</v>
      </c>
      <c r="E140" s="4">
        <v>0</v>
      </c>
      <c r="F140">
        <v>30</v>
      </c>
      <c r="G140">
        <v>30</v>
      </c>
      <c r="H140">
        <v>1</v>
      </c>
      <c r="I140">
        <v>5</v>
      </c>
    </row>
    <row r="141" spans="1:9" x14ac:dyDescent="0.25">
      <c r="A141" t="s">
        <v>113</v>
      </c>
      <c r="B141" t="s">
        <v>72</v>
      </c>
      <c r="C141" s="5">
        <v>40725</v>
      </c>
      <c r="D141" s="4">
        <v>321.24</v>
      </c>
      <c r="E141" s="4">
        <v>0</v>
      </c>
      <c r="F141">
        <v>23</v>
      </c>
      <c r="G141">
        <v>23</v>
      </c>
      <c r="H141">
        <v>1</v>
      </c>
      <c r="I141">
        <v>11</v>
      </c>
    </row>
    <row r="142" spans="1:9" x14ac:dyDescent="0.25">
      <c r="A142" t="s">
        <v>113</v>
      </c>
      <c r="B142" t="s">
        <v>7</v>
      </c>
      <c r="C142" s="5">
        <v>40878</v>
      </c>
      <c r="D142" s="4">
        <v>545.99</v>
      </c>
      <c r="E142" s="4">
        <v>0</v>
      </c>
      <c r="F142">
        <v>35</v>
      </c>
      <c r="G142">
        <v>35</v>
      </c>
      <c r="H142">
        <v>1</v>
      </c>
      <c r="I142">
        <v>10</v>
      </c>
    </row>
    <row r="143" spans="1:9" x14ac:dyDescent="0.25">
      <c r="A143" t="s">
        <v>107</v>
      </c>
      <c r="B143" t="s">
        <v>53</v>
      </c>
      <c r="C143" s="5">
        <v>40544</v>
      </c>
      <c r="D143" s="4">
        <v>2439.7600000000002</v>
      </c>
      <c r="E143" s="4">
        <v>0</v>
      </c>
      <c r="F143">
        <v>57</v>
      </c>
      <c r="G143">
        <v>0</v>
      </c>
      <c r="H143">
        <v>1</v>
      </c>
      <c r="I143">
        <v>57</v>
      </c>
    </row>
    <row r="144" spans="1:9" x14ac:dyDescent="0.25">
      <c r="A144" t="s">
        <v>107</v>
      </c>
      <c r="B144" t="s">
        <v>60</v>
      </c>
      <c r="C144" s="5">
        <v>40603</v>
      </c>
      <c r="D144" s="4">
        <v>0</v>
      </c>
      <c r="E144" s="4">
        <v>0</v>
      </c>
      <c r="F144">
        <v>0</v>
      </c>
      <c r="G144">
        <v>0</v>
      </c>
      <c r="H144">
        <v>0</v>
      </c>
      <c r="I144">
        <v>2</v>
      </c>
    </row>
    <row r="145" spans="1:9" x14ac:dyDescent="0.25">
      <c r="A145" t="s">
        <v>107</v>
      </c>
      <c r="B145" t="s">
        <v>63</v>
      </c>
      <c r="C145" s="5">
        <v>40634</v>
      </c>
      <c r="D145" s="4">
        <v>1539.64</v>
      </c>
      <c r="E145" s="4">
        <v>0</v>
      </c>
      <c r="F145">
        <v>32</v>
      </c>
      <c r="G145">
        <v>0</v>
      </c>
      <c r="H145">
        <v>1</v>
      </c>
      <c r="I145">
        <v>32</v>
      </c>
    </row>
    <row r="146" spans="1:9" x14ac:dyDescent="0.25">
      <c r="A146" t="s">
        <v>107</v>
      </c>
      <c r="B146" t="s">
        <v>66</v>
      </c>
      <c r="C146" s="5">
        <v>40664</v>
      </c>
      <c r="D146" s="4">
        <v>1966.16</v>
      </c>
      <c r="E146" s="4">
        <v>0</v>
      </c>
      <c r="F146">
        <v>93</v>
      </c>
      <c r="G146">
        <v>0</v>
      </c>
      <c r="H146">
        <v>1</v>
      </c>
      <c r="I146">
        <v>93</v>
      </c>
    </row>
    <row r="147" spans="1:9" x14ac:dyDescent="0.25">
      <c r="A147" t="s">
        <v>107</v>
      </c>
      <c r="B147" t="s">
        <v>69</v>
      </c>
      <c r="C147" s="5">
        <v>40695</v>
      </c>
      <c r="D147" s="4">
        <v>618.96</v>
      </c>
      <c r="E147" s="4">
        <v>0</v>
      </c>
      <c r="F147">
        <v>15</v>
      </c>
      <c r="G147">
        <v>0</v>
      </c>
      <c r="H147">
        <v>1</v>
      </c>
      <c r="I147">
        <v>16</v>
      </c>
    </row>
    <row r="148" spans="1:9" x14ac:dyDescent="0.25">
      <c r="A148" t="s">
        <v>107</v>
      </c>
      <c r="B148" t="s">
        <v>75</v>
      </c>
      <c r="C148" s="5">
        <v>40756</v>
      </c>
      <c r="D148" s="4">
        <v>2653.95</v>
      </c>
      <c r="E148" s="4">
        <v>0</v>
      </c>
      <c r="F148">
        <v>48</v>
      </c>
      <c r="G148">
        <v>0</v>
      </c>
      <c r="H148">
        <v>1</v>
      </c>
      <c r="I148">
        <v>49</v>
      </c>
    </row>
    <row r="149" spans="1:9" x14ac:dyDescent="0.25">
      <c r="A149" t="s">
        <v>107</v>
      </c>
      <c r="B149" t="s">
        <v>78</v>
      </c>
      <c r="C149" s="5">
        <v>40787</v>
      </c>
      <c r="D149" s="4">
        <v>0</v>
      </c>
      <c r="E149" s="4">
        <v>0</v>
      </c>
      <c r="F149">
        <v>0</v>
      </c>
      <c r="G149">
        <v>0</v>
      </c>
      <c r="H149">
        <v>0</v>
      </c>
      <c r="I149">
        <v>2</v>
      </c>
    </row>
    <row r="150" spans="1:9" x14ac:dyDescent="0.25">
      <c r="A150" t="s">
        <v>107</v>
      </c>
      <c r="B150" t="s">
        <v>81</v>
      </c>
      <c r="C150" s="5">
        <v>40817</v>
      </c>
      <c r="D150" s="4">
        <v>734.52</v>
      </c>
      <c r="E150" s="4">
        <v>10.95</v>
      </c>
      <c r="F150">
        <v>34</v>
      </c>
      <c r="G150">
        <v>0</v>
      </c>
      <c r="H150">
        <v>2</v>
      </c>
      <c r="I150">
        <v>35</v>
      </c>
    </row>
    <row r="151" spans="1:9" x14ac:dyDescent="0.25">
      <c r="A151" t="s">
        <v>107</v>
      </c>
      <c r="B151" t="s">
        <v>84</v>
      </c>
      <c r="C151" s="5">
        <v>40848</v>
      </c>
      <c r="D151" s="4">
        <v>0</v>
      </c>
      <c r="E151" s="4">
        <v>0</v>
      </c>
      <c r="F151">
        <v>0</v>
      </c>
      <c r="G151">
        <v>0</v>
      </c>
      <c r="H151">
        <v>0</v>
      </c>
      <c r="I151">
        <v>2</v>
      </c>
    </row>
    <row r="152" spans="1:9" x14ac:dyDescent="0.25">
      <c r="A152" t="s">
        <v>114</v>
      </c>
      <c r="B152" t="s">
        <v>6</v>
      </c>
      <c r="C152" s="5">
        <v>40513</v>
      </c>
      <c r="D152" s="4">
        <v>711.79</v>
      </c>
      <c r="E152" s="4">
        <v>0</v>
      </c>
      <c r="F152">
        <v>31</v>
      </c>
      <c r="G152">
        <v>31</v>
      </c>
      <c r="H152">
        <v>1</v>
      </c>
      <c r="I152">
        <v>7</v>
      </c>
    </row>
    <row r="153" spans="1:9" x14ac:dyDescent="0.25">
      <c r="A153" t="s">
        <v>114</v>
      </c>
      <c r="B153" t="s">
        <v>53</v>
      </c>
      <c r="C153" s="5">
        <v>40544</v>
      </c>
      <c r="D153" s="4">
        <v>475.39</v>
      </c>
      <c r="E153" s="4">
        <v>0</v>
      </c>
      <c r="F153">
        <v>29</v>
      </c>
      <c r="G153">
        <v>29</v>
      </c>
      <c r="H153">
        <v>1</v>
      </c>
      <c r="I153">
        <v>3</v>
      </c>
    </row>
    <row r="154" spans="1:9" x14ac:dyDescent="0.25">
      <c r="A154" t="s">
        <v>114</v>
      </c>
      <c r="B154" t="s">
        <v>63</v>
      </c>
      <c r="C154" s="5">
        <v>40634</v>
      </c>
      <c r="D154" s="4">
        <v>636.25</v>
      </c>
      <c r="E154" s="4">
        <v>0</v>
      </c>
      <c r="F154">
        <v>24</v>
      </c>
      <c r="G154">
        <v>24</v>
      </c>
      <c r="H154">
        <v>1</v>
      </c>
      <c r="I154">
        <v>3</v>
      </c>
    </row>
    <row r="155" spans="1:9" x14ac:dyDescent="0.25">
      <c r="A155" t="s">
        <v>114</v>
      </c>
      <c r="B155" t="s">
        <v>69</v>
      </c>
      <c r="C155" s="5">
        <v>40695</v>
      </c>
      <c r="D155" s="4">
        <v>382.52</v>
      </c>
      <c r="E155" s="4">
        <v>0</v>
      </c>
      <c r="F155">
        <v>18</v>
      </c>
      <c r="G155">
        <v>18</v>
      </c>
      <c r="H155">
        <v>1</v>
      </c>
      <c r="I155">
        <v>1</v>
      </c>
    </row>
    <row r="156" spans="1:9" x14ac:dyDescent="0.25">
      <c r="A156" t="s">
        <v>114</v>
      </c>
      <c r="B156" t="s">
        <v>75</v>
      </c>
      <c r="C156" s="5">
        <v>40756</v>
      </c>
      <c r="D156" s="4">
        <v>584.91</v>
      </c>
      <c r="E156" s="4">
        <v>0</v>
      </c>
      <c r="F156">
        <v>22</v>
      </c>
      <c r="G156">
        <v>22</v>
      </c>
      <c r="H156">
        <v>1</v>
      </c>
      <c r="I156">
        <v>2</v>
      </c>
    </row>
    <row r="157" spans="1:9" x14ac:dyDescent="0.25">
      <c r="A157" t="s">
        <v>114</v>
      </c>
      <c r="B157" t="s">
        <v>81</v>
      </c>
      <c r="C157" s="5">
        <v>40817</v>
      </c>
      <c r="D157" s="4">
        <v>1294.32</v>
      </c>
      <c r="E157" s="4">
        <v>0</v>
      </c>
      <c r="F157">
        <v>47</v>
      </c>
      <c r="G157">
        <v>47</v>
      </c>
      <c r="H157">
        <v>1</v>
      </c>
      <c r="I157">
        <v>4</v>
      </c>
    </row>
    <row r="158" spans="1:9" x14ac:dyDescent="0.25">
      <c r="A158" t="s">
        <v>114</v>
      </c>
      <c r="B158" t="s">
        <v>7</v>
      </c>
      <c r="C158" s="5">
        <v>40878</v>
      </c>
      <c r="D158" s="4">
        <v>224.82</v>
      </c>
      <c r="E158" s="4">
        <v>0</v>
      </c>
      <c r="F158">
        <v>11</v>
      </c>
      <c r="G158">
        <v>11</v>
      </c>
      <c r="H158">
        <v>1</v>
      </c>
      <c r="I158">
        <v>3</v>
      </c>
    </row>
    <row r="159" spans="1:9" x14ac:dyDescent="0.25">
      <c r="A159" t="s">
        <v>110</v>
      </c>
      <c r="B159" t="s">
        <v>6</v>
      </c>
      <c r="C159" s="5">
        <v>40513</v>
      </c>
      <c r="D159" s="4">
        <v>0</v>
      </c>
      <c r="E159" s="4">
        <v>227.44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t="s">
        <v>110</v>
      </c>
      <c r="B160" t="s">
        <v>53</v>
      </c>
      <c r="C160" s="5">
        <v>40544</v>
      </c>
      <c r="D160" s="4">
        <v>379.84</v>
      </c>
      <c r="E160" s="4">
        <v>0</v>
      </c>
      <c r="F160">
        <v>14</v>
      </c>
      <c r="G160">
        <v>0</v>
      </c>
      <c r="H160">
        <v>1</v>
      </c>
      <c r="I160">
        <v>14</v>
      </c>
    </row>
    <row r="161" spans="1:9" x14ac:dyDescent="0.25">
      <c r="A161" t="s">
        <v>110</v>
      </c>
      <c r="B161" t="s">
        <v>57</v>
      </c>
      <c r="C161" s="5">
        <v>40575</v>
      </c>
      <c r="D161" s="4">
        <v>779.1</v>
      </c>
      <c r="E161" s="4">
        <v>0</v>
      </c>
      <c r="F161">
        <v>16</v>
      </c>
      <c r="G161">
        <v>16</v>
      </c>
      <c r="H161">
        <v>1</v>
      </c>
      <c r="I161">
        <v>1</v>
      </c>
    </row>
    <row r="162" spans="1:9" x14ac:dyDescent="0.25">
      <c r="A162" t="s">
        <v>110</v>
      </c>
      <c r="B162" t="s">
        <v>63</v>
      </c>
      <c r="C162" s="5">
        <v>40634</v>
      </c>
      <c r="D162" s="4">
        <v>110</v>
      </c>
      <c r="E162" s="4">
        <v>0</v>
      </c>
      <c r="F162">
        <v>6</v>
      </c>
      <c r="G162">
        <v>0</v>
      </c>
      <c r="H162">
        <v>1</v>
      </c>
      <c r="I162">
        <v>6</v>
      </c>
    </row>
    <row r="163" spans="1:9" x14ac:dyDescent="0.25">
      <c r="A163" t="s">
        <v>110</v>
      </c>
      <c r="B163" t="s">
        <v>72</v>
      </c>
      <c r="C163" s="5">
        <v>40725</v>
      </c>
      <c r="D163" s="4">
        <v>1430.75</v>
      </c>
      <c r="E163" s="4">
        <v>0</v>
      </c>
      <c r="F163">
        <v>27</v>
      </c>
      <c r="G163">
        <v>27</v>
      </c>
      <c r="H163">
        <v>1</v>
      </c>
      <c r="I163">
        <v>11</v>
      </c>
    </row>
    <row r="164" spans="1:9" x14ac:dyDescent="0.25">
      <c r="A164" t="s">
        <v>110</v>
      </c>
      <c r="B164" t="s">
        <v>75</v>
      </c>
      <c r="C164" s="5">
        <v>40756</v>
      </c>
      <c r="D164" s="4">
        <v>4873.8100000000004</v>
      </c>
      <c r="E164" s="4">
        <v>0</v>
      </c>
      <c r="F164">
        <v>171</v>
      </c>
      <c r="G164">
        <v>171</v>
      </c>
      <c r="H164">
        <v>1</v>
      </c>
      <c r="I164">
        <v>29</v>
      </c>
    </row>
    <row r="165" spans="1:9" x14ac:dyDescent="0.25">
      <c r="A165" t="s">
        <v>110</v>
      </c>
      <c r="B165" t="s">
        <v>78</v>
      </c>
      <c r="C165" s="5">
        <v>40787</v>
      </c>
      <c r="D165" s="4">
        <v>423.73</v>
      </c>
      <c r="E165" s="4">
        <v>0</v>
      </c>
      <c r="F165">
        <v>27</v>
      </c>
      <c r="G165">
        <v>0</v>
      </c>
      <c r="H165">
        <v>1</v>
      </c>
      <c r="I165">
        <v>27</v>
      </c>
    </row>
    <row r="166" spans="1:9" x14ac:dyDescent="0.25">
      <c r="A166" t="s">
        <v>110</v>
      </c>
      <c r="B166" t="s">
        <v>81</v>
      </c>
      <c r="C166" s="5">
        <v>40817</v>
      </c>
      <c r="D166" s="4">
        <v>138.03</v>
      </c>
      <c r="E166" s="4">
        <v>0</v>
      </c>
      <c r="F166">
        <v>34</v>
      </c>
      <c r="G166">
        <v>34</v>
      </c>
      <c r="H166">
        <v>2</v>
      </c>
      <c r="I166">
        <v>11</v>
      </c>
    </row>
    <row r="167" spans="1:9" x14ac:dyDescent="0.25">
      <c r="A167" t="s">
        <v>105</v>
      </c>
      <c r="B167" t="s">
        <v>6</v>
      </c>
      <c r="C167" s="5">
        <v>40513</v>
      </c>
      <c r="D167" s="4">
        <v>650.5</v>
      </c>
      <c r="E167" s="4">
        <v>17</v>
      </c>
      <c r="F167">
        <v>38</v>
      </c>
      <c r="G167">
        <v>38</v>
      </c>
      <c r="H167">
        <v>2</v>
      </c>
      <c r="I167">
        <v>14</v>
      </c>
    </row>
    <row r="168" spans="1:9" x14ac:dyDescent="0.25">
      <c r="A168" t="s">
        <v>105</v>
      </c>
      <c r="B168" t="s">
        <v>53</v>
      </c>
      <c r="C168" s="5">
        <v>40544</v>
      </c>
      <c r="D168" s="4">
        <v>2066.5100000000002</v>
      </c>
      <c r="E168" s="4">
        <v>41.15</v>
      </c>
      <c r="F168">
        <v>105</v>
      </c>
      <c r="G168">
        <v>105</v>
      </c>
      <c r="H168">
        <v>3</v>
      </c>
      <c r="I168">
        <v>18</v>
      </c>
    </row>
    <row r="169" spans="1:9" x14ac:dyDescent="0.25">
      <c r="A169" t="s">
        <v>105</v>
      </c>
      <c r="B169" t="s">
        <v>57</v>
      </c>
      <c r="C169" s="5">
        <v>40575</v>
      </c>
      <c r="D169" s="4">
        <v>228</v>
      </c>
      <c r="E169" s="4">
        <v>0</v>
      </c>
      <c r="F169">
        <v>12</v>
      </c>
      <c r="G169">
        <v>12</v>
      </c>
      <c r="H169">
        <v>1</v>
      </c>
      <c r="I169">
        <v>3</v>
      </c>
    </row>
    <row r="170" spans="1:9" x14ac:dyDescent="0.25">
      <c r="A170" t="s">
        <v>105</v>
      </c>
      <c r="B170" t="s">
        <v>60</v>
      </c>
      <c r="C170" s="5">
        <v>40603</v>
      </c>
      <c r="D170" s="4">
        <v>1676.81</v>
      </c>
      <c r="E170" s="4">
        <v>9.9</v>
      </c>
      <c r="F170">
        <v>80</v>
      </c>
      <c r="G170">
        <v>80</v>
      </c>
      <c r="H170">
        <v>3</v>
      </c>
      <c r="I170">
        <v>15</v>
      </c>
    </row>
    <row r="171" spans="1:9" x14ac:dyDescent="0.25">
      <c r="A171" t="s">
        <v>105</v>
      </c>
      <c r="B171" t="s">
        <v>63</v>
      </c>
      <c r="C171" s="5">
        <v>40634</v>
      </c>
      <c r="D171" s="4">
        <v>737.83</v>
      </c>
      <c r="E171" s="4">
        <v>0</v>
      </c>
      <c r="F171">
        <v>22</v>
      </c>
      <c r="G171">
        <v>22</v>
      </c>
      <c r="H171">
        <v>2</v>
      </c>
      <c r="I171">
        <v>4</v>
      </c>
    </row>
    <row r="172" spans="1:9" x14ac:dyDescent="0.25">
      <c r="A172" t="s">
        <v>105</v>
      </c>
      <c r="B172" t="s">
        <v>66</v>
      </c>
      <c r="C172" s="5">
        <v>40664</v>
      </c>
      <c r="D172" s="4">
        <v>587.45000000000005</v>
      </c>
      <c r="E172" s="4">
        <v>0</v>
      </c>
      <c r="F172">
        <v>23</v>
      </c>
      <c r="G172">
        <v>23</v>
      </c>
      <c r="H172">
        <v>1</v>
      </c>
      <c r="I172">
        <v>3</v>
      </c>
    </row>
    <row r="173" spans="1:9" x14ac:dyDescent="0.25">
      <c r="A173" t="s">
        <v>105</v>
      </c>
      <c r="B173" t="s">
        <v>69</v>
      </c>
      <c r="C173" s="5">
        <v>40695</v>
      </c>
      <c r="D173" s="4">
        <v>202.07</v>
      </c>
      <c r="E173" s="4">
        <v>39.799999999999997</v>
      </c>
      <c r="F173">
        <v>10</v>
      </c>
      <c r="G173">
        <v>10</v>
      </c>
      <c r="H173">
        <v>2</v>
      </c>
      <c r="I173">
        <v>8</v>
      </c>
    </row>
    <row r="174" spans="1:9" x14ac:dyDescent="0.25">
      <c r="A174" t="s">
        <v>105</v>
      </c>
      <c r="B174" t="s">
        <v>72</v>
      </c>
      <c r="C174" s="5">
        <v>40725</v>
      </c>
      <c r="D174" s="4">
        <v>147.1</v>
      </c>
      <c r="E174" s="4">
        <v>0</v>
      </c>
      <c r="F174">
        <v>6</v>
      </c>
      <c r="G174">
        <v>6</v>
      </c>
      <c r="H174">
        <v>1</v>
      </c>
      <c r="I174">
        <v>1</v>
      </c>
    </row>
    <row r="175" spans="1:9" x14ac:dyDescent="0.25">
      <c r="A175" t="s">
        <v>105</v>
      </c>
      <c r="B175" t="s">
        <v>75</v>
      </c>
      <c r="C175" s="5">
        <v>40756</v>
      </c>
      <c r="D175" s="4">
        <v>1838.95</v>
      </c>
      <c r="E175" s="4">
        <v>56.15</v>
      </c>
      <c r="F175">
        <v>93</v>
      </c>
      <c r="G175">
        <v>93</v>
      </c>
      <c r="H175">
        <v>4</v>
      </c>
      <c r="I175">
        <v>25</v>
      </c>
    </row>
    <row r="176" spans="1:9" x14ac:dyDescent="0.25">
      <c r="A176" t="s">
        <v>105</v>
      </c>
      <c r="B176" t="s">
        <v>78</v>
      </c>
      <c r="C176" s="5">
        <v>40787</v>
      </c>
      <c r="D176" s="4">
        <v>279.8</v>
      </c>
      <c r="E176" s="4">
        <v>0</v>
      </c>
      <c r="F176">
        <v>15</v>
      </c>
      <c r="G176">
        <v>15</v>
      </c>
      <c r="H176">
        <v>1</v>
      </c>
      <c r="I176">
        <v>3</v>
      </c>
    </row>
    <row r="177" spans="1:9" x14ac:dyDescent="0.25">
      <c r="A177" t="s">
        <v>105</v>
      </c>
      <c r="B177" t="s">
        <v>81</v>
      </c>
      <c r="C177" s="5">
        <v>40817</v>
      </c>
      <c r="D177" s="4">
        <v>3329.69</v>
      </c>
      <c r="E177" s="4">
        <v>78.900000000000006</v>
      </c>
      <c r="F177">
        <v>158</v>
      </c>
      <c r="G177">
        <v>158</v>
      </c>
      <c r="H177">
        <v>6</v>
      </c>
      <c r="I177">
        <v>27</v>
      </c>
    </row>
    <row r="178" spans="1:9" x14ac:dyDescent="0.25">
      <c r="A178" t="s">
        <v>105</v>
      </c>
      <c r="B178" t="s">
        <v>84</v>
      </c>
      <c r="C178" s="5">
        <v>40848</v>
      </c>
      <c r="D178" s="4">
        <v>3875.08</v>
      </c>
      <c r="E178" s="4">
        <v>301</v>
      </c>
      <c r="F178">
        <v>171</v>
      </c>
      <c r="G178">
        <v>171</v>
      </c>
      <c r="H178">
        <v>8</v>
      </c>
      <c r="I178">
        <v>42</v>
      </c>
    </row>
    <row r="179" spans="1:9" x14ac:dyDescent="0.25">
      <c r="A179" t="s">
        <v>105</v>
      </c>
      <c r="B179" t="s">
        <v>7</v>
      </c>
      <c r="C179" s="5">
        <v>40878</v>
      </c>
      <c r="D179" s="4">
        <v>200.45</v>
      </c>
      <c r="E179" s="4">
        <v>0</v>
      </c>
      <c r="F179">
        <v>8</v>
      </c>
      <c r="G179">
        <v>8</v>
      </c>
      <c r="H179">
        <v>1</v>
      </c>
      <c r="I179">
        <v>3</v>
      </c>
    </row>
    <row r="180" spans="1:9" x14ac:dyDescent="0.25">
      <c r="A180" t="s">
        <v>97</v>
      </c>
      <c r="B180" t="s">
        <v>6</v>
      </c>
      <c r="C180" s="5">
        <v>40513</v>
      </c>
      <c r="D180" s="4">
        <v>7705.07</v>
      </c>
      <c r="E180" s="4">
        <v>0</v>
      </c>
      <c r="F180">
        <v>65</v>
      </c>
      <c r="G180">
        <v>65</v>
      </c>
      <c r="H180">
        <v>3</v>
      </c>
      <c r="I180">
        <v>7</v>
      </c>
    </row>
    <row r="181" spans="1:9" x14ac:dyDescent="0.25">
      <c r="A181" t="s">
        <v>97</v>
      </c>
      <c r="B181" t="s">
        <v>53</v>
      </c>
      <c r="C181" s="5">
        <v>40544</v>
      </c>
      <c r="D181" s="4">
        <v>0</v>
      </c>
      <c r="E181" s="4">
        <v>109.8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 t="s">
        <v>97</v>
      </c>
      <c r="B182" t="s">
        <v>57</v>
      </c>
      <c r="C182" s="5">
        <v>40575</v>
      </c>
      <c r="D182" s="4">
        <v>5780.81</v>
      </c>
      <c r="E182" s="4">
        <v>0</v>
      </c>
      <c r="F182">
        <v>85</v>
      </c>
      <c r="G182">
        <v>85</v>
      </c>
      <c r="H182">
        <v>2</v>
      </c>
      <c r="I182">
        <v>12</v>
      </c>
    </row>
    <row r="183" spans="1:9" x14ac:dyDescent="0.25">
      <c r="A183" t="s">
        <v>97</v>
      </c>
      <c r="B183" t="s">
        <v>60</v>
      </c>
      <c r="C183" s="5">
        <v>40603</v>
      </c>
      <c r="D183" s="4">
        <v>48.9</v>
      </c>
      <c r="E183" s="4">
        <v>43.39</v>
      </c>
      <c r="F183">
        <v>16</v>
      </c>
      <c r="G183">
        <v>16</v>
      </c>
      <c r="H183">
        <v>3</v>
      </c>
      <c r="I183">
        <v>5</v>
      </c>
    </row>
    <row r="184" spans="1:9" x14ac:dyDescent="0.25">
      <c r="A184" t="s">
        <v>97</v>
      </c>
      <c r="B184" t="s">
        <v>63</v>
      </c>
      <c r="C184" s="5">
        <v>40634</v>
      </c>
      <c r="D184" s="4">
        <v>6548.5</v>
      </c>
      <c r="E184" s="4">
        <v>1676.67</v>
      </c>
      <c r="F184">
        <v>46</v>
      </c>
      <c r="G184">
        <v>46</v>
      </c>
      <c r="H184">
        <v>2</v>
      </c>
      <c r="I184">
        <v>7</v>
      </c>
    </row>
    <row r="185" spans="1:9" x14ac:dyDescent="0.25">
      <c r="A185" t="s">
        <v>97</v>
      </c>
      <c r="B185" t="s">
        <v>66</v>
      </c>
      <c r="C185" s="5">
        <v>40664</v>
      </c>
      <c r="D185" s="4">
        <v>1351.45</v>
      </c>
      <c r="E185" s="4">
        <v>0</v>
      </c>
      <c r="F185">
        <v>12</v>
      </c>
      <c r="G185">
        <v>12</v>
      </c>
      <c r="H185">
        <v>1</v>
      </c>
      <c r="I185">
        <v>2</v>
      </c>
    </row>
    <row r="186" spans="1:9" x14ac:dyDescent="0.25">
      <c r="A186" t="s">
        <v>97</v>
      </c>
      <c r="B186" t="s">
        <v>69</v>
      </c>
      <c r="C186" s="5">
        <v>40695</v>
      </c>
      <c r="D186" s="4">
        <v>1607.04</v>
      </c>
      <c r="E186" s="4">
        <v>0</v>
      </c>
      <c r="F186">
        <v>6</v>
      </c>
      <c r="G186">
        <v>6</v>
      </c>
      <c r="H186">
        <v>1</v>
      </c>
      <c r="I186">
        <v>2</v>
      </c>
    </row>
    <row r="187" spans="1:9" x14ac:dyDescent="0.25">
      <c r="A187" t="s">
        <v>97</v>
      </c>
      <c r="B187" t="s">
        <v>72</v>
      </c>
      <c r="C187" s="5">
        <v>40725</v>
      </c>
      <c r="D187" s="4">
        <v>3854.4</v>
      </c>
      <c r="E187" s="4">
        <v>0</v>
      </c>
      <c r="F187">
        <v>39</v>
      </c>
      <c r="G187">
        <v>39</v>
      </c>
      <c r="H187">
        <v>2</v>
      </c>
      <c r="I187">
        <v>12</v>
      </c>
    </row>
    <row r="188" spans="1:9" x14ac:dyDescent="0.25">
      <c r="A188" t="s">
        <v>97</v>
      </c>
      <c r="B188" t="s">
        <v>75</v>
      </c>
      <c r="C188" s="5">
        <v>40756</v>
      </c>
      <c r="D188" s="4">
        <v>0</v>
      </c>
      <c r="E188" s="4">
        <v>49.79</v>
      </c>
      <c r="F188">
        <v>0</v>
      </c>
      <c r="G188">
        <v>0</v>
      </c>
      <c r="H188">
        <v>0</v>
      </c>
      <c r="I188">
        <v>3</v>
      </c>
    </row>
    <row r="189" spans="1:9" x14ac:dyDescent="0.25">
      <c r="A189" t="s">
        <v>97</v>
      </c>
      <c r="B189" t="s">
        <v>78</v>
      </c>
      <c r="C189" s="5">
        <v>40787</v>
      </c>
      <c r="D189" s="4">
        <v>112.08</v>
      </c>
      <c r="E189" s="4">
        <v>0</v>
      </c>
      <c r="F189">
        <v>4</v>
      </c>
      <c r="G189">
        <v>4</v>
      </c>
      <c r="H189">
        <v>1</v>
      </c>
      <c r="I189">
        <v>1</v>
      </c>
    </row>
    <row r="190" spans="1:9" x14ac:dyDescent="0.25">
      <c r="A190" t="s">
        <v>97</v>
      </c>
      <c r="B190" t="s">
        <v>81</v>
      </c>
      <c r="C190" s="5">
        <v>40817</v>
      </c>
      <c r="D190" s="4">
        <v>1948.04</v>
      </c>
      <c r="E190" s="4">
        <v>0</v>
      </c>
      <c r="F190">
        <v>16</v>
      </c>
      <c r="G190">
        <v>16</v>
      </c>
      <c r="H190">
        <v>2</v>
      </c>
      <c r="I190">
        <v>1</v>
      </c>
    </row>
    <row r="191" spans="1:9" x14ac:dyDescent="0.25">
      <c r="A191" t="s">
        <v>97</v>
      </c>
      <c r="B191" t="s">
        <v>84</v>
      </c>
      <c r="C191" s="5">
        <v>40848</v>
      </c>
      <c r="D191" s="4">
        <v>8460.08</v>
      </c>
      <c r="E191" s="4">
        <v>0</v>
      </c>
      <c r="F191">
        <v>32</v>
      </c>
      <c r="G191">
        <v>32</v>
      </c>
      <c r="H191">
        <v>2</v>
      </c>
      <c r="I191">
        <v>8</v>
      </c>
    </row>
    <row r="192" spans="1:9" x14ac:dyDescent="0.25">
      <c r="A192" t="s">
        <v>97</v>
      </c>
      <c r="B192" t="s">
        <v>7</v>
      </c>
      <c r="C192" s="5">
        <v>40878</v>
      </c>
      <c r="D192" s="4">
        <v>0</v>
      </c>
      <c r="E192" s="4">
        <v>116.93</v>
      </c>
      <c r="F192">
        <v>0</v>
      </c>
      <c r="G192">
        <v>0</v>
      </c>
      <c r="H192">
        <v>0</v>
      </c>
      <c r="I192">
        <v>4</v>
      </c>
    </row>
    <row r="193" spans="1:9" x14ac:dyDescent="0.25">
      <c r="A193" t="s">
        <v>119</v>
      </c>
      <c r="B193" t="s">
        <v>53</v>
      </c>
      <c r="C193" s="5">
        <v>40544</v>
      </c>
      <c r="D193" s="4">
        <v>1693.88</v>
      </c>
      <c r="E193" s="4">
        <v>0</v>
      </c>
      <c r="F193">
        <v>45</v>
      </c>
      <c r="G193">
        <v>45</v>
      </c>
      <c r="H193">
        <v>1</v>
      </c>
      <c r="I193">
        <v>10</v>
      </c>
    </row>
    <row r="194" spans="1:9" x14ac:dyDescent="0.25">
      <c r="A194" t="s">
        <v>120</v>
      </c>
      <c r="B194" t="s">
        <v>6</v>
      </c>
      <c r="C194" s="5">
        <v>40513</v>
      </c>
      <c r="D194" s="4">
        <v>1661.06</v>
      </c>
      <c r="E194" s="4">
        <v>0</v>
      </c>
      <c r="F194">
        <v>35</v>
      </c>
      <c r="G194">
        <v>35</v>
      </c>
      <c r="H194">
        <v>4</v>
      </c>
      <c r="I194">
        <v>9</v>
      </c>
    </row>
    <row r="195" spans="1:9" x14ac:dyDescent="0.25">
      <c r="A195" t="s">
        <v>117</v>
      </c>
      <c r="B195" t="s">
        <v>69</v>
      </c>
      <c r="C195" s="5">
        <v>40695</v>
      </c>
      <c r="D195" s="4">
        <v>703.16</v>
      </c>
      <c r="E195" s="4">
        <v>12.75</v>
      </c>
      <c r="F195">
        <v>44</v>
      </c>
      <c r="G195">
        <v>44</v>
      </c>
      <c r="H195">
        <v>2</v>
      </c>
      <c r="I195">
        <v>12</v>
      </c>
    </row>
    <row r="196" spans="1:9" x14ac:dyDescent="0.25">
      <c r="A196" t="s">
        <v>117</v>
      </c>
      <c r="B196" t="s">
        <v>75</v>
      </c>
      <c r="C196" s="5">
        <v>40756</v>
      </c>
      <c r="D196" s="4">
        <v>1079</v>
      </c>
      <c r="E196" s="4">
        <v>15.75</v>
      </c>
      <c r="F196">
        <v>54</v>
      </c>
      <c r="G196">
        <v>54</v>
      </c>
      <c r="H196">
        <v>2</v>
      </c>
      <c r="I196">
        <v>14</v>
      </c>
    </row>
    <row r="197" spans="1:9" x14ac:dyDescent="0.25">
      <c r="A197" t="s">
        <v>117</v>
      </c>
      <c r="B197" t="s">
        <v>84</v>
      </c>
      <c r="C197" s="5">
        <v>40848</v>
      </c>
      <c r="D197" s="4">
        <v>288.43</v>
      </c>
      <c r="E197" s="4">
        <v>30.81</v>
      </c>
      <c r="F197">
        <v>11</v>
      </c>
      <c r="G197">
        <v>11</v>
      </c>
      <c r="H197">
        <v>1</v>
      </c>
      <c r="I197">
        <v>3</v>
      </c>
    </row>
    <row r="198" spans="1:9" x14ac:dyDescent="0.25">
      <c r="A198" t="s">
        <v>117</v>
      </c>
      <c r="B198" t="s">
        <v>7</v>
      </c>
      <c r="C198" s="5">
        <v>40878</v>
      </c>
      <c r="D198" s="4">
        <v>0</v>
      </c>
      <c r="E198" s="4">
        <v>30.81</v>
      </c>
      <c r="F198">
        <v>0</v>
      </c>
      <c r="G198">
        <v>0</v>
      </c>
      <c r="H198">
        <v>0</v>
      </c>
      <c r="I198">
        <v>1</v>
      </c>
    </row>
    <row r="199" spans="1:9" x14ac:dyDescent="0.25">
      <c r="A199" t="s">
        <v>90</v>
      </c>
      <c r="B199" t="s">
        <v>6</v>
      </c>
      <c r="C199" s="5">
        <v>40513</v>
      </c>
      <c r="D199" s="4">
        <v>8754.48</v>
      </c>
      <c r="E199" s="4">
        <v>0</v>
      </c>
      <c r="F199">
        <v>70</v>
      </c>
      <c r="G199">
        <v>70</v>
      </c>
      <c r="H199">
        <v>3</v>
      </c>
      <c r="I199">
        <v>14</v>
      </c>
    </row>
    <row r="200" spans="1:9" x14ac:dyDescent="0.25">
      <c r="A200" t="s">
        <v>90</v>
      </c>
      <c r="B200" t="s">
        <v>53</v>
      </c>
      <c r="C200" s="5">
        <v>40544</v>
      </c>
      <c r="D200" s="4">
        <v>26596.16</v>
      </c>
      <c r="E200" s="4">
        <v>0</v>
      </c>
      <c r="F200">
        <v>228</v>
      </c>
      <c r="G200">
        <v>228</v>
      </c>
      <c r="H200">
        <v>5</v>
      </c>
      <c r="I200">
        <v>33</v>
      </c>
    </row>
    <row r="201" spans="1:9" x14ac:dyDescent="0.25">
      <c r="A201" t="s">
        <v>90</v>
      </c>
      <c r="B201" t="s">
        <v>57</v>
      </c>
      <c r="C201" s="5">
        <v>40575</v>
      </c>
      <c r="D201" s="4">
        <v>22831.91</v>
      </c>
      <c r="E201" s="4">
        <v>34.799999999999997</v>
      </c>
      <c r="F201">
        <v>187</v>
      </c>
      <c r="G201">
        <v>187</v>
      </c>
      <c r="H201">
        <v>5</v>
      </c>
      <c r="I201">
        <v>22</v>
      </c>
    </row>
    <row r="202" spans="1:9" x14ac:dyDescent="0.25">
      <c r="A202" t="s">
        <v>90</v>
      </c>
      <c r="B202" t="s">
        <v>60</v>
      </c>
      <c r="C202" s="5">
        <v>40603</v>
      </c>
      <c r="D202" s="4">
        <v>22206.49</v>
      </c>
      <c r="E202" s="4">
        <v>0</v>
      </c>
      <c r="F202">
        <v>184</v>
      </c>
      <c r="G202">
        <v>184</v>
      </c>
      <c r="H202">
        <v>8</v>
      </c>
      <c r="I202">
        <v>31</v>
      </c>
    </row>
    <row r="203" spans="1:9" x14ac:dyDescent="0.25">
      <c r="A203" t="s">
        <v>90</v>
      </c>
      <c r="B203" t="s">
        <v>63</v>
      </c>
      <c r="C203" s="5">
        <v>40634</v>
      </c>
      <c r="D203" s="4">
        <v>2886.56</v>
      </c>
      <c r="E203" s="4">
        <v>0</v>
      </c>
      <c r="F203">
        <v>23</v>
      </c>
      <c r="G203">
        <v>23</v>
      </c>
      <c r="H203">
        <v>3</v>
      </c>
      <c r="I203">
        <v>1</v>
      </c>
    </row>
    <row r="204" spans="1:9" x14ac:dyDescent="0.25">
      <c r="A204" t="s">
        <v>90</v>
      </c>
      <c r="B204" t="s">
        <v>66</v>
      </c>
      <c r="C204" s="5">
        <v>40664</v>
      </c>
      <c r="D204" s="4">
        <v>28942.880000000001</v>
      </c>
      <c r="E204" s="4">
        <v>0</v>
      </c>
      <c r="F204">
        <v>209</v>
      </c>
      <c r="G204">
        <v>209</v>
      </c>
      <c r="H204">
        <v>11</v>
      </c>
      <c r="I204">
        <v>48</v>
      </c>
    </row>
    <row r="205" spans="1:9" x14ac:dyDescent="0.25">
      <c r="A205" t="s">
        <v>90</v>
      </c>
      <c r="B205" t="s">
        <v>69</v>
      </c>
      <c r="C205" s="5">
        <v>40695</v>
      </c>
      <c r="D205" s="4">
        <v>26753.09</v>
      </c>
      <c r="E205" s="4">
        <v>15</v>
      </c>
      <c r="F205">
        <v>320</v>
      </c>
      <c r="G205">
        <v>320</v>
      </c>
      <c r="H205">
        <v>11</v>
      </c>
      <c r="I205">
        <v>66</v>
      </c>
    </row>
    <row r="206" spans="1:9" x14ac:dyDescent="0.25">
      <c r="A206" t="s">
        <v>90</v>
      </c>
      <c r="B206" t="s">
        <v>72</v>
      </c>
      <c r="C206" s="5">
        <v>40725</v>
      </c>
      <c r="D206" s="4">
        <v>11.02</v>
      </c>
      <c r="E206" s="4">
        <v>0</v>
      </c>
      <c r="F206">
        <v>9</v>
      </c>
      <c r="G206">
        <v>9</v>
      </c>
      <c r="H206">
        <v>1</v>
      </c>
      <c r="I206">
        <v>1</v>
      </c>
    </row>
    <row r="207" spans="1:9" x14ac:dyDescent="0.25">
      <c r="A207" t="s">
        <v>90</v>
      </c>
      <c r="B207" t="s">
        <v>75</v>
      </c>
      <c r="C207" s="5">
        <v>40756</v>
      </c>
      <c r="D207" s="4">
        <v>40327.81</v>
      </c>
      <c r="E207" s="4">
        <v>360</v>
      </c>
      <c r="F207">
        <v>276</v>
      </c>
      <c r="G207">
        <v>276</v>
      </c>
      <c r="H207">
        <v>7</v>
      </c>
      <c r="I207">
        <v>63</v>
      </c>
    </row>
    <row r="208" spans="1:9" x14ac:dyDescent="0.25">
      <c r="A208" t="s">
        <v>90</v>
      </c>
      <c r="B208" t="s">
        <v>78</v>
      </c>
      <c r="C208" s="5">
        <v>40787</v>
      </c>
      <c r="D208" s="4">
        <v>26832.26</v>
      </c>
      <c r="E208" s="4">
        <v>0</v>
      </c>
      <c r="F208">
        <v>240</v>
      </c>
      <c r="G208">
        <v>240</v>
      </c>
      <c r="H208">
        <v>7</v>
      </c>
      <c r="I208">
        <v>42</v>
      </c>
    </row>
    <row r="209" spans="1:9" x14ac:dyDescent="0.25">
      <c r="A209" t="s">
        <v>90</v>
      </c>
      <c r="B209" t="s">
        <v>81</v>
      </c>
      <c r="C209" s="5">
        <v>40817</v>
      </c>
      <c r="D209" s="4">
        <v>40378.65</v>
      </c>
      <c r="E209" s="4">
        <v>0</v>
      </c>
      <c r="F209">
        <v>272</v>
      </c>
      <c r="G209">
        <v>272</v>
      </c>
      <c r="H209">
        <v>14</v>
      </c>
      <c r="I209">
        <v>46</v>
      </c>
    </row>
    <row r="210" spans="1:9" x14ac:dyDescent="0.25">
      <c r="A210" t="s">
        <v>90</v>
      </c>
      <c r="B210" t="s">
        <v>84</v>
      </c>
      <c r="C210" s="5">
        <v>40848</v>
      </c>
      <c r="D210" s="4">
        <v>25640.01</v>
      </c>
      <c r="E210" s="4">
        <v>0</v>
      </c>
      <c r="F210">
        <v>218</v>
      </c>
      <c r="G210">
        <v>218</v>
      </c>
      <c r="H210">
        <v>15</v>
      </c>
      <c r="I210">
        <v>38</v>
      </c>
    </row>
    <row r="211" spans="1:9" x14ac:dyDescent="0.25">
      <c r="A211" t="s">
        <v>90</v>
      </c>
      <c r="B211" t="s">
        <v>7</v>
      </c>
      <c r="C211" s="5">
        <v>40878</v>
      </c>
      <c r="D211" s="4">
        <v>11728.02</v>
      </c>
      <c r="E211" s="4">
        <v>0</v>
      </c>
      <c r="F211">
        <v>86</v>
      </c>
      <c r="G211">
        <v>86</v>
      </c>
      <c r="H211">
        <v>3</v>
      </c>
      <c r="I211">
        <v>13</v>
      </c>
    </row>
    <row r="212" spans="1:9" x14ac:dyDescent="0.25">
      <c r="A212" t="s">
        <v>100</v>
      </c>
      <c r="B212" t="s">
        <v>6</v>
      </c>
      <c r="C212" s="5">
        <v>40513</v>
      </c>
      <c r="D212" s="4">
        <v>3787.12</v>
      </c>
      <c r="E212" s="4">
        <v>0</v>
      </c>
      <c r="F212">
        <v>147</v>
      </c>
      <c r="G212">
        <v>147</v>
      </c>
      <c r="H212">
        <v>2</v>
      </c>
      <c r="I212">
        <v>15</v>
      </c>
    </row>
    <row r="213" spans="1:9" x14ac:dyDescent="0.25">
      <c r="A213" t="s">
        <v>100</v>
      </c>
      <c r="B213" t="s">
        <v>57</v>
      </c>
      <c r="C213" s="5">
        <v>40575</v>
      </c>
      <c r="D213" s="4">
        <v>590.9</v>
      </c>
      <c r="E213" s="4">
        <v>0</v>
      </c>
      <c r="F213">
        <v>31</v>
      </c>
      <c r="G213">
        <v>31</v>
      </c>
      <c r="H213">
        <v>2</v>
      </c>
      <c r="I213">
        <v>5</v>
      </c>
    </row>
    <row r="214" spans="1:9" x14ac:dyDescent="0.25">
      <c r="A214" t="s">
        <v>100</v>
      </c>
      <c r="B214" t="s">
        <v>60</v>
      </c>
      <c r="C214" s="5">
        <v>40603</v>
      </c>
      <c r="D214" s="4">
        <v>345.01</v>
      </c>
      <c r="E214" s="4">
        <v>120.33</v>
      </c>
      <c r="F214">
        <v>18</v>
      </c>
      <c r="G214">
        <v>18</v>
      </c>
      <c r="H214">
        <v>3</v>
      </c>
      <c r="I214">
        <v>7</v>
      </c>
    </row>
    <row r="215" spans="1:9" x14ac:dyDescent="0.25">
      <c r="A215" t="s">
        <v>100</v>
      </c>
      <c r="B215" t="s">
        <v>69</v>
      </c>
      <c r="C215" s="5">
        <v>40695</v>
      </c>
      <c r="D215" s="4">
        <v>5186.8599999999997</v>
      </c>
      <c r="E215" s="4">
        <v>0</v>
      </c>
      <c r="F215">
        <v>165</v>
      </c>
      <c r="G215">
        <v>165</v>
      </c>
      <c r="H215">
        <v>3</v>
      </c>
      <c r="I215">
        <v>37</v>
      </c>
    </row>
    <row r="216" spans="1:9" x14ac:dyDescent="0.25">
      <c r="A216" t="s">
        <v>100</v>
      </c>
      <c r="B216" t="s">
        <v>72</v>
      </c>
      <c r="C216" s="5">
        <v>40725</v>
      </c>
      <c r="D216" s="4">
        <v>770.07</v>
      </c>
      <c r="E216" s="4">
        <v>0</v>
      </c>
      <c r="F216">
        <v>48</v>
      </c>
      <c r="G216">
        <v>48</v>
      </c>
      <c r="H216">
        <v>1</v>
      </c>
      <c r="I216">
        <v>9</v>
      </c>
    </row>
    <row r="217" spans="1:9" x14ac:dyDescent="0.25">
      <c r="A217" t="s">
        <v>100</v>
      </c>
      <c r="B217" t="s">
        <v>75</v>
      </c>
      <c r="C217" s="5">
        <v>40756</v>
      </c>
      <c r="D217" s="4">
        <v>1505.81</v>
      </c>
      <c r="E217" s="4">
        <v>41.35</v>
      </c>
      <c r="F217">
        <v>75</v>
      </c>
      <c r="G217">
        <v>75</v>
      </c>
      <c r="H217">
        <v>2</v>
      </c>
      <c r="I217">
        <v>15</v>
      </c>
    </row>
    <row r="218" spans="1:9" x14ac:dyDescent="0.25">
      <c r="A218" t="s">
        <v>100</v>
      </c>
      <c r="B218" t="s">
        <v>78</v>
      </c>
      <c r="C218" s="5">
        <v>40787</v>
      </c>
      <c r="D218" s="4">
        <v>8398.94</v>
      </c>
      <c r="E218" s="4">
        <v>0</v>
      </c>
      <c r="F218">
        <v>198</v>
      </c>
      <c r="G218">
        <v>198</v>
      </c>
      <c r="H218">
        <v>6</v>
      </c>
      <c r="I218">
        <v>40</v>
      </c>
    </row>
    <row r="219" spans="1:9" x14ac:dyDescent="0.25">
      <c r="A219" t="s">
        <v>100</v>
      </c>
      <c r="B219" t="s">
        <v>81</v>
      </c>
      <c r="C219" s="5">
        <v>40817</v>
      </c>
      <c r="D219" s="4">
        <v>3316.73</v>
      </c>
      <c r="E219" s="4">
        <v>0</v>
      </c>
      <c r="F219">
        <v>116</v>
      </c>
      <c r="G219">
        <v>116</v>
      </c>
      <c r="H219">
        <v>5</v>
      </c>
      <c r="I219">
        <v>31</v>
      </c>
    </row>
    <row r="220" spans="1:9" x14ac:dyDescent="0.25">
      <c r="A220" t="s">
        <v>100</v>
      </c>
      <c r="B220" t="s">
        <v>84</v>
      </c>
      <c r="C220" s="5">
        <v>40848</v>
      </c>
      <c r="D220" s="4">
        <v>5807.5</v>
      </c>
      <c r="E220" s="4">
        <v>0</v>
      </c>
      <c r="F220">
        <v>178</v>
      </c>
      <c r="G220">
        <v>178</v>
      </c>
      <c r="H220">
        <v>5</v>
      </c>
      <c r="I220">
        <v>35</v>
      </c>
    </row>
    <row r="221" spans="1:9" x14ac:dyDescent="0.25">
      <c r="A221" t="s">
        <v>100</v>
      </c>
      <c r="B221" t="s">
        <v>7</v>
      </c>
      <c r="C221" s="5">
        <v>40878</v>
      </c>
      <c r="D221" s="4">
        <v>2745.7</v>
      </c>
      <c r="E221" s="4">
        <v>0</v>
      </c>
      <c r="F221">
        <v>72</v>
      </c>
      <c r="G221">
        <v>72</v>
      </c>
      <c r="H221">
        <v>3</v>
      </c>
      <c r="I221">
        <v>14</v>
      </c>
    </row>
    <row r="222" spans="1:9" x14ac:dyDescent="0.25">
      <c r="A222" t="s">
        <v>111</v>
      </c>
      <c r="B222" t="s">
        <v>6</v>
      </c>
      <c r="C222" s="5">
        <v>40513</v>
      </c>
      <c r="D222" s="4">
        <v>248.16</v>
      </c>
      <c r="E222" s="4">
        <v>0</v>
      </c>
      <c r="F222">
        <v>8</v>
      </c>
      <c r="G222">
        <v>8</v>
      </c>
      <c r="H222">
        <v>1</v>
      </c>
      <c r="I222">
        <v>2</v>
      </c>
    </row>
    <row r="223" spans="1:9" x14ac:dyDescent="0.25">
      <c r="A223" t="s">
        <v>111</v>
      </c>
      <c r="B223" t="s">
        <v>53</v>
      </c>
      <c r="C223" s="5">
        <v>40544</v>
      </c>
      <c r="D223" s="4">
        <v>613.22</v>
      </c>
      <c r="E223" s="4">
        <v>0</v>
      </c>
      <c r="F223">
        <v>25</v>
      </c>
      <c r="G223">
        <v>25</v>
      </c>
      <c r="H223">
        <v>1</v>
      </c>
      <c r="I223">
        <v>3</v>
      </c>
    </row>
    <row r="224" spans="1:9" x14ac:dyDescent="0.25">
      <c r="A224" t="s">
        <v>111</v>
      </c>
      <c r="B224" t="s">
        <v>57</v>
      </c>
      <c r="C224" s="5">
        <v>40575</v>
      </c>
      <c r="D224" s="4">
        <v>604.04999999999995</v>
      </c>
      <c r="E224" s="4">
        <v>0</v>
      </c>
      <c r="F224">
        <v>28</v>
      </c>
      <c r="G224">
        <v>28</v>
      </c>
      <c r="H224">
        <v>2</v>
      </c>
      <c r="I224">
        <v>4</v>
      </c>
    </row>
    <row r="225" spans="1:9" x14ac:dyDescent="0.25">
      <c r="A225" t="s">
        <v>111</v>
      </c>
      <c r="B225" t="s">
        <v>60</v>
      </c>
      <c r="C225" s="5">
        <v>40603</v>
      </c>
      <c r="D225" s="4">
        <v>317.77999999999997</v>
      </c>
      <c r="E225" s="4">
        <v>14.39</v>
      </c>
      <c r="F225">
        <v>9</v>
      </c>
      <c r="G225">
        <v>9</v>
      </c>
      <c r="H225">
        <v>1</v>
      </c>
      <c r="I225">
        <v>1</v>
      </c>
    </row>
    <row r="226" spans="1:9" x14ac:dyDescent="0.25">
      <c r="A226" t="s">
        <v>111</v>
      </c>
      <c r="B226" t="s">
        <v>63</v>
      </c>
      <c r="C226" s="5">
        <v>40634</v>
      </c>
      <c r="D226" s="4">
        <v>705.84</v>
      </c>
      <c r="E226" s="4">
        <v>0</v>
      </c>
      <c r="F226">
        <v>25</v>
      </c>
      <c r="G226">
        <v>25</v>
      </c>
      <c r="H226">
        <v>1</v>
      </c>
      <c r="I226">
        <v>1</v>
      </c>
    </row>
    <row r="227" spans="1:9" x14ac:dyDescent="0.25">
      <c r="A227" t="s">
        <v>111</v>
      </c>
      <c r="B227" t="s">
        <v>66</v>
      </c>
      <c r="C227" s="5">
        <v>40664</v>
      </c>
      <c r="D227" s="4">
        <v>1402.37</v>
      </c>
      <c r="E227" s="4">
        <v>0</v>
      </c>
      <c r="F227">
        <v>68</v>
      </c>
      <c r="G227">
        <v>68</v>
      </c>
      <c r="H227">
        <v>3</v>
      </c>
      <c r="I227">
        <v>10</v>
      </c>
    </row>
    <row r="228" spans="1:9" x14ac:dyDescent="0.25">
      <c r="A228" t="s">
        <v>111</v>
      </c>
      <c r="B228" t="s">
        <v>69</v>
      </c>
      <c r="C228" s="5">
        <v>40695</v>
      </c>
      <c r="D228" s="4">
        <v>263.64999999999998</v>
      </c>
      <c r="E228" s="4">
        <v>78.91</v>
      </c>
      <c r="F228">
        <v>15</v>
      </c>
      <c r="G228">
        <v>15</v>
      </c>
      <c r="H228">
        <v>2</v>
      </c>
      <c r="I228">
        <v>3</v>
      </c>
    </row>
    <row r="229" spans="1:9" x14ac:dyDescent="0.25">
      <c r="A229" t="s">
        <v>111</v>
      </c>
      <c r="B229" t="s">
        <v>72</v>
      </c>
      <c r="C229" s="5">
        <v>40725</v>
      </c>
      <c r="D229" s="4">
        <v>607.29999999999995</v>
      </c>
      <c r="E229" s="4">
        <v>8.85</v>
      </c>
      <c r="F229">
        <v>31</v>
      </c>
      <c r="G229">
        <v>31</v>
      </c>
      <c r="H229">
        <v>2</v>
      </c>
      <c r="I229">
        <v>3</v>
      </c>
    </row>
    <row r="230" spans="1:9" x14ac:dyDescent="0.25">
      <c r="A230" t="s">
        <v>111</v>
      </c>
      <c r="B230" t="s">
        <v>75</v>
      </c>
      <c r="C230" s="5">
        <v>40756</v>
      </c>
      <c r="D230" s="4">
        <v>361.8</v>
      </c>
      <c r="E230" s="4">
        <v>0</v>
      </c>
      <c r="F230">
        <v>16</v>
      </c>
      <c r="G230">
        <v>16</v>
      </c>
      <c r="H230">
        <v>2</v>
      </c>
      <c r="I230">
        <v>4</v>
      </c>
    </row>
    <row r="231" spans="1:9" x14ac:dyDescent="0.25">
      <c r="A231" t="s">
        <v>111</v>
      </c>
      <c r="B231" t="s">
        <v>78</v>
      </c>
      <c r="C231" s="5">
        <v>40787</v>
      </c>
      <c r="D231" s="4">
        <v>489.25</v>
      </c>
      <c r="E231" s="4">
        <v>0</v>
      </c>
      <c r="F231">
        <v>29</v>
      </c>
      <c r="G231">
        <v>29</v>
      </c>
      <c r="H231">
        <v>2</v>
      </c>
      <c r="I231">
        <v>5</v>
      </c>
    </row>
    <row r="232" spans="1:9" x14ac:dyDescent="0.25">
      <c r="A232" t="s">
        <v>111</v>
      </c>
      <c r="B232" t="s">
        <v>84</v>
      </c>
      <c r="C232" s="5">
        <v>40848</v>
      </c>
      <c r="D232" s="4">
        <v>1361.23</v>
      </c>
      <c r="E232" s="4">
        <v>19.36</v>
      </c>
      <c r="F232">
        <v>71</v>
      </c>
      <c r="G232">
        <v>71</v>
      </c>
      <c r="H232">
        <v>2</v>
      </c>
      <c r="I232">
        <v>14</v>
      </c>
    </row>
    <row r="233" spans="1:9" x14ac:dyDescent="0.25">
      <c r="A233" t="s">
        <v>101</v>
      </c>
      <c r="B233" t="s">
        <v>6</v>
      </c>
      <c r="C233" s="5">
        <v>40513</v>
      </c>
      <c r="D233" s="4">
        <v>2047.97</v>
      </c>
      <c r="E233" s="4">
        <v>59.85</v>
      </c>
      <c r="F233">
        <v>110</v>
      </c>
      <c r="G233">
        <v>110</v>
      </c>
      <c r="H233">
        <v>6</v>
      </c>
      <c r="I233">
        <v>25</v>
      </c>
    </row>
    <row r="234" spans="1:9" x14ac:dyDescent="0.25">
      <c r="A234" t="s">
        <v>101</v>
      </c>
      <c r="B234" t="s">
        <v>53</v>
      </c>
      <c r="C234" s="5">
        <v>40544</v>
      </c>
      <c r="D234" s="4">
        <v>3479.71</v>
      </c>
      <c r="E234" s="4">
        <v>57.6</v>
      </c>
      <c r="F234">
        <v>114</v>
      </c>
      <c r="G234">
        <v>114</v>
      </c>
      <c r="H234">
        <v>4</v>
      </c>
      <c r="I234">
        <v>23</v>
      </c>
    </row>
    <row r="235" spans="1:9" x14ac:dyDescent="0.25">
      <c r="A235" t="s">
        <v>101</v>
      </c>
      <c r="B235" t="s">
        <v>57</v>
      </c>
      <c r="C235" s="5">
        <v>40575</v>
      </c>
      <c r="D235" s="4">
        <v>1017.9</v>
      </c>
      <c r="E235" s="4">
        <v>0</v>
      </c>
      <c r="F235">
        <v>55</v>
      </c>
      <c r="G235">
        <v>55</v>
      </c>
      <c r="H235">
        <v>2</v>
      </c>
      <c r="I235">
        <v>9</v>
      </c>
    </row>
    <row r="236" spans="1:9" x14ac:dyDescent="0.25">
      <c r="A236" t="s">
        <v>101</v>
      </c>
      <c r="B236" t="s">
        <v>60</v>
      </c>
      <c r="C236" s="5">
        <v>40603</v>
      </c>
      <c r="D236" s="4">
        <v>2520.85</v>
      </c>
      <c r="E236" s="4">
        <v>0</v>
      </c>
      <c r="F236">
        <v>110</v>
      </c>
      <c r="G236">
        <v>110</v>
      </c>
      <c r="H236">
        <v>4</v>
      </c>
      <c r="I236">
        <v>28</v>
      </c>
    </row>
    <row r="237" spans="1:9" x14ac:dyDescent="0.25">
      <c r="A237" t="s">
        <v>101</v>
      </c>
      <c r="B237" t="s">
        <v>63</v>
      </c>
      <c r="C237" s="5">
        <v>40634</v>
      </c>
      <c r="D237" s="4">
        <v>1687.75</v>
      </c>
      <c r="E237" s="4">
        <v>0</v>
      </c>
      <c r="F237">
        <v>77</v>
      </c>
      <c r="G237">
        <v>77</v>
      </c>
      <c r="H237">
        <v>2</v>
      </c>
      <c r="I237">
        <v>13</v>
      </c>
    </row>
    <row r="238" spans="1:9" x14ac:dyDescent="0.25">
      <c r="A238" t="s">
        <v>101</v>
      </c>
      <c r="B238" t="s">
        <v>66</v>
      </c>
      <c r="C238" s="5">
        <v>40664</v>
      </c>
      <c r="D238" s="4">
        <v>602.83000000000004</v>
      </c>
      <c r="E238" s="4">
        <v>0</v>
      </c>
      <c r="F238">
        <v>76</v>
      </c>
      <c r="G238">
        <v>76</v>
      </c>
      <c r="H238">
        <v>1</v>
      </c>
      <c r="I238">
        <v>17</v>
      </c>
    </row>
    <row r="239" spans="1:9" x14ac:dyDescent="0.25">
      <c r="A239" t="s">
        <v>101</v>
      </c>
      <c r="B239" t="s">
        <v>69</v>
      </c>
      <c r="C239" s="5">
        <v>40695</v>
      </c>
      <c r="D239" s="4">
        <v>800.46</v>
      </c>
      <c r="E239" s="4">
        <v>4.95</v>
      </c>
      <c r="F239">
        <v>47</v>
      </c>
      <c r="G239">
        <v>47</v>
      </c>
      <c r="H239">
        <v>3</v>
      </c>
      <c r="I239">
        <v>10</v>
      </c>
    </row>
    <row r="240" spans="1:9" x14ac:dyDescent="0.25">
      <c r="A240" t="s">
        <v>101</v>
      </c>
      <c r="B240" t="s">
        <v>72</v>
      </c>
      <c r="C240" s="5">
        <v>40725</v>
      </c>
      <c r="D240" s="4">
        <v>2175.85</v>
      </c>
      <c r="E240" s="4">
        <v>0</v>
      </c>
      <c r="F240">
        <v>88</v>
      </c>
      <c r="G240">
        <v>88</v>
      </c>
      <c r="H240">
        <v>3</v>
      </c>
      <c r="I240">
        <v>28</v>
      </c>
    </row>
    <row r="241" spans="1:9" x14ac:dyDescent="0.25">
      <c r="A241" t="s">
        <v>101</v>
      </c>
      <c r="B241" t="s">
        <v>75</v>
      </c>
      <c r="C241" s="5">
        <v>40756</v>
      </c>
      <c r="D241" s="4">
        <v>1221.4000000000001</v>
      </c>
      <c r="E241" s="4">
        <v>15</v>
      </c>
      <c r="F241">
        <v>41</v>
      </c>
      <c r="G241">
        <v>41</v>
      </c>
      <c r="H241">
        <v>1</v>
      </c>
      <c r="I241">
        <v>13</v>
      </c>
    </row>
    <row r="242" spans="1:9" x14ac:dyDescent="0.25">
      <c r="A242" t="s">
        <v>101</v>
      </c>
      <c r="B242" t="s">
        <v>78</v>
      </c>
      <c r="C242" s="5">
        <v>40787</v>
      </c>
      <c r="D242" s="4">
        <v>1377.22</v>
      </c>
      <c r="E242" s="4">
        <v>0</v>
      </c>
      <c r="F242">
        <v>73</v>
      </c>
      <c r="G242">
        <v>73</v>
      </c>
      <c r="H242">
        <v>3</v>
      </c>
      <c r="I242">
        <v>14</v>
      </c>
    </row>
    <row r="243" spans="1:9" x14ac:dyDescent="0.25">
      <c r="A243" t="s">
        <v>101</v>
      </c>
      <c r="B243" t="s">
        <v>81</v>
      </c>
      <c r="C243" s="5">
        <v>40817</v>
      </c>
      <c r="D243" s="4">
        <v>5330.13</v>
      </c>
      <c r="E243" s="4">
        <v>0</v>
      </c>
      <c r="F243">
        <v>436</v>
      </c>
      <c r="G243">
        <v>397</v>
      </c>
      <c r="H243">
        <v>8</v>
      </c>
      <c r="I243">
        <v>140</v>
      </c>
    </row>
    <row r="244" spans="1:9" x14ac:dyDescent="0.25">
      <c r="A244" t="s">
        <v>101</v>
      </c>
      <c r="B244" t="s">
        <v>84</v>
      </c>
      <c r="C244" s="5">
        <v>40848</v>
      </c>
      <c r="D244" s="4">
        <v>2336.9</v>
      </c>
      <c r="E244" s="4">
        <v>0</v>
      </c>
      <c r="F244">
        <v>140</v>
      </c>
      <c r="G244">
        <v>140</v>
      </c>
      <c r="H244">
        <v>9</v>
      </c>
      <c r="I244">
        <v>39</v>
      </c>
    </row>
    <row r="245" spans="1:9" x14ac:dyDescent="0.25">
      <c r="A245" t="s">
        <v>101</v>
      </c>
      <c r="B245" t="s">
        <v>7</v>
      </c>
      <c r="C245" s="5">
        <v>40878</v>
      </c>
      <c r="D245" s="4">
        <v>2416.19</v>
      </c>
      <c r="E245" s="4">
        <v>6.24</v>
      </c>
      <c r="F245">
        <v>97</v>
      </c>
      <c r="G245">
        <v>97</v>
      </c>
      <c r="H245">
        <v>4</v>
      </c>
      <c r="I245">
        <v>23</v>
      </c>
    </row>
    <row r="246" spans="1:9" x14ac:dyDescent="0.25">
      <c r="A246" t="s">
        <v>123</v>
      </c>
      <c r="B246" t="s">
        <v>81</v>
      </c>
      <c r="C246" s="5">
        <v>40817</v>
      </c>
      <c r="D246" s="4">
        <v>1002.31</v>
      </c>
      <c r="E246" s="4">
        <v>0</v>
      </c>
      <c r="F246">
        <v>57</v>
      </c>
      <c r="G246">
        <v>57</v>
      </c>
      <c r="H246">
        <v>1</v>
      </c>
      <c r="I246">
        <v>19</v>
      </c>
    </row>
    <row r="247" spans="1:9" x14ac:dyDescent="0.25">
      <c r="A247" t="s">
        <v>126</v>
      </c>
      <c r="B247" t="s">
        <v>57</v>
      </c>
      <c r="C247" s="5">
        <v>40575</v>
      </c>
      <c r="D247" s="4">
        <v>145.91999999999999</v>
      </c>
      <c r="E247" s="4">
        <v>0</v>
      </c>
      <c r="F247">
        <v>9</v>
      </c>
      <c r="G247">
        <v>9</v>
      </c>
      <c r="H247">
        <v>1</v>
      </c>
      <c r="I247">
        <v>1</v>
      </c>
    </row>
    <row r="248" spans="1:9" x14ac:dyDescent="0.25">
      <c r="A248" t="s">
        <v>126</v>
      </c>
      <c r="B248" t="s">
        <v>60</v>
      </c>
      <c r="C248" s="5">
        <v>40603</v>
      </c>
      <c r="D248" s="4">
        <v>0</v>
      </c>
      <c r="E248" s="4">
        <v>14.75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 t="s">
        <v>108</v>
      </c>
      <c r="B249" t="s">
        <v>53</v>
      </c>
      <c r="C249" s="5">
        <v>40544</v>
      </c>
      <c r="D249" s="4">
        <v>2053.0700000000002</v>
      </c>
      <c r="E249" s="4">
        <v>0</v>
      </c>
      <c r="F249">
        <v>56</v>
      </c>
      <c r="G249">
        <v>56</v>
      </c>
      <c r="H249">
        <v>1</v>
      </c>
      <c r="I249">
        <v>9</v>
      </c>
    </row>
    <row r="250" spans="1:9" x14ac:dyDescent="0.25">
      <c r="A250" t="s">
        <v>108</v>
      </c>
      <c r="B250" t="s">
        <v>63</v>
      </c>
      <c r="C250" s="5">
        <v>40634</v>
      </c>
      <c r="D250" s="4">
        <v>2118.7399999999998</v>
      </c>
      <c r="E250" s="4">
        <v>0</v>
      </c>
      <c r="F250">
        <v>52</v>
      </c>
      <c r="G250">
        <v>52</v>
      </c>
      <c r="H250">
        <v>1</v>
      </c>
      <c r="I250">
        <v>13</v>
      </c>
    </row>
    <row r="251" spans="1:9" x14ac:dyDescent="0.25">
      <c r="A251" t="s">
        <v>108</v>
      </c>
      <c r="B251" t="s">
        <v>72</v>
      </c>
      <c r="C251" s="5">
        <v>40725</v>
      </c>
      <c r="D251" s="4">
        <v>3949.32</v>
      </c>
      <c r="E251" s="4">
        <v>0</v>
      </c>
      <c r="F251">
        <v>75</v>
      </c>
      <c r="G251">
        <v>75</v>
      </c>
      <c r="H251">
        <v>1</v>
      </c>
      <c r="I251">
        <v>28</v>
      </c>
    </row>
    <row r="252" spans="1:9" x14ac:dyDescent="0.25">
      <c r="A252" t="s">
        <v>108</v>
      </c>
      <c r="B252" t="s">
        <v>81</v>
      </c>
      <c r="C252" s="5">
        <v>40817</v>
      </c>
      <c r="D252" s="4">
        <v>999.26</v>
      </c>
      <c r="E252" s="4">
        <v>0</v>
      </c>
      <c r="F252">
        <v>32</v>
      </c>
      <c r="G252">
        <v>32</v>
      </c>
      <c r="H252">
        <v>1</v>
      </c>
      <c r="I252">
        <v>17</v>
      </c>
    </row>
    <row r="253" spans="1:9" x14ac:dyDescent="0.25">
      <c r="A253" t="s">
        <v>95</v>
      </c>
      <c r="B253" t="s">
        <v>6</v>
      </c>
      <c r="C253" s="5">
        <v>40513</v>
      </c>
      <c r="D253" s="4">
        <v>1703.73</v>
      </c>
      <c r="E253" s="4">
        <v>0</v>
      </c>
      <c r="F253">
        <v>74</v>
      </c>
      <c r="G253">
        <v>74</v>
      </c>
      <c r="H253">
        <v>4</v>
      </c>
      <c r="I253">
        <v>16</v>
      </c>
    </row>
    <row r="254" spans="1:9" x14ac:dyDescent="0.25">
      <c r="A254" t="s">
        <v>95</v>
      </c>
      <c r="B254" t="s">
        <v>53</v>
      </c>
      <c r="C254" s="5">
        <v>40544</v>
      </c>
      <c r="D254" s="4">
        <v>9694.09</v>
      </c>
      <c r="E254" s="4">
        <v>65.7</v>
      </c>
      <c r="F254">
        <v>378</v>
      </c>
      <c r="G254">
        <v>378</v>
      </c>
      <c r="H254">
        <v>8</v>
      </c>
      <c r="I254">
        <v>75</v>
      </c>
    </row>
    <row r="255" spans="1:9" x14ac:dyDescent="0.25">
      <c r="A255" t="s">
        <v>95</v>
      </c>
      <c r="B255" t="s">
        <v>57</v>
      </c>
      <c r="C255" s="5">
        <v>40575</v>
      </c>
      <c r="D255" s="4">
        <v>1722.5</v>
      </c>
      <c r="E255" s="4">
        <v>20.8</v>
      </c>
      <c r="F255">
        <v>92</v>
      </c>
      <c r="G255">
        <v>92</v>
      </c>
      <c r="H255">
        <v>4</v>
      </c>
      <c r="I255">
        <v>22</v>
      </c>
    </row>
    <row r="256" spans="1:9" x14ac:dyDescent="0.25">
      <c r="A256" t="s">
        <v>95</v>
      </c>
      <c r="B256" t="s">
        <v>60</v>
      </c>
      <c r="C256" s="5">
        <v>40603</v>
      </c>
      <c r="D256" s="4">
        <v>4775.1499999999996</v>
      </c>
      <c r="E256" s="4">
        <v>36.5</v>
      </c>
      <c r="F256">
        <v>195</v>
      </c>
      <c r="G256">
        <v>195</v>
      </c>
      <c r="H256">
        <v>8</v>
      </c>
      <c r="I256">
        <v>39</v>
      </c>
    </row>
    <row r="257" spans="1:9" x14ac:dyDescent="0.25">
      <c r="A257" t="s">
        <v>95</v>
      </c>
      <c r="B257" t="s">
        <v>63</v>
      </c>
      <c r="C257" s="5">
        <v>40634</v>
      </c>
      <c r="D257" s="4">
        <v>1645.65</v>
      </c>
      <c r="E257" s="4">
        <v>0</v>
      </c>
      <c r="F257">
        <v>94</v>
      </c>
      <c r="G257">
        <v>94</v>
      </c>
      <c r="H257">
        <v>3</v>
      </c>
      <c r="I257">
        <v>16</v>
      </c>
    </row>
    <row r="258" spans="1:9" x14ac:dyDescent="0.25">
      <c r="A258" t="s">
        <v>95</v>
      </c>
      <c r="B258" t="s">
        <v>66</v>
      </c>
      <c r="C258" s="5">
        <v>40664</v>
      </c>
      <c r="D258" s="4">
        <v>2697.6</v>
      </c>
      <c r="E258" s="4">
        <v>0</v>
      </c>
      <c r="F258">
        <v>101</v>
      </c>
      <c r="G258">
        <v>101</v>
      </c>
      <c r="H258">
        <v>4</v>
      </c>
      <c r="I258">
        <v>16</v>
      </c>
    </row>
    <row r="259" spans="1:9" x14ac:dyDescent="0.25">
      <c r="A259" t="s">
        <v>95</v>
      </c>
      <c r="B259" t="s">
        <v>69</v>
      </c>
      <c r="C259" s="5">
        <v>40695</v>
      </c>
      <c r="D259" s="4">
        <v>2717.21</v>
      </c>
      <c r="E259" s="4">
        <v>0</v>
      </c>
      <c r="F259">
        <v>174</v>
      </c>
      <c r="G259">
        <v>174</v>
      </c>
      <c r="H259">
        <v>8</v>
      </c>
      <c r="I259">
        <v>53</v>
      </c>
    </row>
    <row r="260" spans="1:9" x14ac:dyDescent="0.25">
      <c r="A260" t="s">
        <v>95</v>
      </c>
      <c r="B260" t="s">
        <v>72</v>
      </c>
      <c r="C260" s="5">
        <v>40725</v>
      </c>
      <c r="D260" s="4">
        <v>7120.92</v>
      </c>
      <c r="E260" s="4">
        <v>46.75</v>
      </c>
      <c r="F260">
        <v>174</v>
      </c>
      <c r="G260">
        <v>174</v>
      </c>
      <c r="H260">
        <v>9</v>
      </c>
      <c r="I260">
        <v>51</v>
      </c>
    </row>
    <row r="261" spans="1:9" x14ac:dyDescent="0.25">
      <c r="A261" t="s">
        <v>95</v>
      </c>
      <c r="B261" t="s">
        <v>75</v>
      </c>
      <c r="C261" s="5">
        <v>40756</v>
      </c>
      <c r="D261" s="4">
        <v>2898.91</v>
      </c>
      <c r="E261" s="4">
        <v>16.5</v>
      </c>
      <c r="F261">
        <v>247</v>
      </c>
      <c r="G261">
        <v>247</v>
      </c>
      <c r="H261">
        <v>9</v>
      </c>
      <c r="I261">
        <v>49</v>
      </c>
    </row>
    <row r="262" spans="1:9" x14ac:dyDescent="0.25">
      <c r="A262" t="s">
        <v>95</v>
      </c>
      <c r="B262" t="s">
        <v>78</v>
      </c>
      <c r="C262" s="5">
        <v>40787</v>
      </c>
      <c r="D262" s="4">
        <v>4461.24</v>
      </c>
      <c r="E262" s="4">
        <v>25.5</v>
      </c>
      <c r="F262">
        <v>234</v>
      </c>
      <c r="G262">
        <v>234</v>
      </c>
      <c r="H262">
        <v>8</v>
      </c>
      <c r="I262">
        <v>39</v>
      </c>
    </row>
    <row r="263" spans="1:9" x14ac:dyDescent="0.25">
      <c r="A263" t="s">
        <v>95</v>
      </c>
      <c r="B263" t="s">
        <v>81</v>
      </c>
      <c r="C263" s="5">
        <v>40817</v>
      </c>
      <c r="D263" s="4">
        <v>7964.94</v>
      </c>
      <c r="E263" s="4">
        <v>3558.29</v>
      </c>
      <c r="F263">
        <v>300</v>
      </c>
      <c r="G263">
        <v>300</v>
      </c>
      <c r="H263">
        <v>8</v>
      </c>
      <c r="I263">
        <v>102</v>
      </c>
    </row>
    <row r="264" spans="1:9" x14ac:dyDescent="0.25">
      <c r="A264" t="s">
        <v>95</v>
      </c>
      <c r="B264" t="s">
        <v>84</v>
      </c>
      <c r="C264" s="5">
        <v>40848</v>
      </c>
      <c r="D264" s="4">
        <v>8034.96</v>
      </c>
      <c r="E264" s="4">
        <v>145.09</v>
      </c>
      <c r="F264">
        <v>295</v>
      </c>
      <c r="G264">
        <v>295</v>
      </c>
      <c r="H264">
        <v>13</v>
      </c>
      <c r="I264">
        <v>70</v>
      </c>
    </row>
    <row r="265" spans="1:9" x14ac:dyDescent="0.25">
      <c r="A265" t="s">
        <v>95</v>
      </c>
      <c r="B265" t="s">
        <v>7</v>
      </c>
      <c r="C265" s="5">
        <v>40878</v>
      </c>
      <c r="D265" s="4">
        <v>288.20999999999998</v>
      </c>
      <c r="E265" s="4">
        <v>44.78</v>
      </c>
      <c r="F265">
        <v>64</v>
      </c>
      <c r="G265">
        <v>64</v>
      </c>
      <c r="H265">
        <v>2</v>
      </c>
      <c r="I265">
        <v>10</v>
      </c>
    </row>
    <row r="266" spans="1:9" x14ac:dyDescent="0.25">
      <c r="A266" t="s">
        <v>99</v>
      </c>
      <c r="B266" t="s">
        <v>6</v>
      </c>
      <c r="C266" s="5">
        <v>40513</v>
      </c>
      <c r="D266" s="4">
        <v>3834.3</v>
      </c>
      <c r="E266" s="4">
        <v>1188</v>
      </c>
      <c r="F266">
        <v>26</v>
      </c>
      <c r="G266">
        <v>26</v>
      </c>
      <c r="H266">
        <v>2</v>
      </c>
      <c r="I266">
        <v>2</v>
      </c>
    </row>
    <row r="267" spans="1:9" x14ac:dyDescent="0.25">
      <c r="A267" t="s">
        <v>99</v>
      </c>
      <c r="B267" t="s">
        <v>53</v>
      </c>
      <c r="C267" s="5">
        <v>40544</v>
      </c>
      <c r="D267" s="4">
        <v>3286.32</v>
      </c>
      <c r="E267" s="4">
        <v>0</v>
      </c>
      <c r="F267">
        <v>33</v>
      </c>
      <c r="G267">
        <v>33</v>
      </c>
      <c r="H267">
        <v>2</v>
      </c>
      <c r="I267">
        <v>3</v>
      </c>
    </row>
    <row r="268" spans="1:9" x14ac:dyDescent="0.25">
      <c r="A268" t="s">
        <v>99</v>
      </c>
      <c r="B268" t="s">
        <v>57</v>
      </c>
      <c r="C268" s="5">
        <v>40575</v>
      </c>
      <c r="D268" s="4">
        <v>469.5</v>
      </c>
      <c r="E268" s="4">
        <v>0</v>
      </c>
      <c r="F268">
        <v>11</v>
      </c>
      <c r="G268">
        <v>11</v>
      </c>
      <c r="H268">
        <v>1</v>
      </c>
      <c r="I268">
        <v>2</v>
      </c>
    </row>
    <row r="269" spans="1:9" x14ac:dyDescent="0.25">
      <c r="A269" t="s">
        <v>99</v>
      </c>
      <c r="B269" t="s">
        <v>60</v>
      </c>
      <c r="C269" s="5">
        <v>40603</v>
      </c>
      <c r="D269" s="4">
        <v>4680.58</v>
      </c>
      <c r="E269" s="4">
        <v>180</v>
      </c>
      <c r="F269">
        <v>34</v>
      </c>
      <c r="G269">
        <v>34</v>
      </c>
      <c r="H269">
        <v>3</v>
      </c>
      <c r="I269">
        <v>9</v>
      </c>
    </row>
    <row r="270" spans="1:9" x14ac:dyDescent="0.25">
      <c r="A270" t="s">
        <v>99</v>
      </c>
      <c r="B270" t="s">
        <v>63</v>
      </c>
      <c r="C270" s="5">
        <v>40634</v>
      </c>
      <c r="D270" s="4">
        <v>649.1</v>
      </c>
      <c r="E270" s="4">
        <v>0</v>
      </c>
      <c r="F270">
        <v>32</v>
      </c>
      <c r="G270">
        <v>32</v>
      </c>
      <c r="H270">
        <v>2</v>
      </c>
      <c r="I270">
        <v>7</v>
      </c>
    </row>
    <row r="271" spans="1:9" x14ac:dyDescent="0.25">
      <c r="A271" t="s">
        <v>99</v>
      </c>
      <c r="B271" t="s">
        <v>66</v>
      </c>
      <c r="C271" s="5">
        <v>40664</v>
      </c>
      <c r="D271" s="4">
        <v>2641.98</v>
      </c>
      <c r="E271" s="4">
        <v>17</v>
      </c>
      <c r="F271">
        <v>18</v>
      </c>
      <c r="G271">
        <v>18</v>
      </c>
      <c r="H271">
        <v>3</v>
      </c>
      <c r="I271">
        <v>3</v>
      </c>
    </row>
    <row r="272" spans="1:9" x14ac:dyDescent="0.25">
      <c r="A272" t="s">
        <v>99</v>
      </c>
      <c r="B272" t="s">
        <v>69</v>
      </c>
      <c r="C272" s="5">
        <v>40695</v>
      </c>
      <c r="D272" s="4">
        <v>676</v>
      </c>
      <c r="E272" s="4">
        <v>0</v>
      </c>
      <c r="F272">
        <v>32</v>
      </c>
      <c r="G272">
        <v>32</v>
      </c>
      <c r="H272">
        <v>3</v>
      </c>
      <c r="I272">
        <v>8</v>
      </c>
    </row>
    <row r="273" spans="1:9" x14ac:dyDescent="0.25">
      <c r="A273" t="s">
        <v>99</v>
      </c>
      <c r="B273" t="s">
        <v>72</v>
      </c>
      <c r="C273" s="5">
        <v>40725</v>
      </c>
      <c r="D273" s="4">
        <v>6692.09</v>
      </c>
      <c r="E273" s="4">
        <v>0</v>
      </c>
      <c r="F273">
        <v>52</v>
      </c>
      <c r="G273">
        <v>52</v>
      </c>
      <c r="H273">
        <v>3</v>
      </c>
      <c r="I273">
        <v>10</v>
      </c>
    </row>
    <row r="274" spans="1:9" x14ac:dyDescent="0.25">
      <c r="A274" t="s">
        <v>99</v>
      </c>
      <c r="B274" t="s">
        <v>75</v>
      </c>
      <c r="C274" s="5">
        <v>40756</v>
      </c>
      <c r="D274" s="4">
        <v>1160.8599999999999</v>
      </c>
      <c r="E274" s="4">
        <v>9.9</v>
      </c>
      <c r="F274">
        <v>36</v>
      </c>
      <c r="G274">
        <v>36</v>
      </c>
      <c r="H274">
        <v>4</v>
      </c>
      <c r="I274">
        <v>6</v>
      </c>
    </row>
    <row r="275" spans="1:9" x14ac:dyDescent="0.25">
      <c r="A275" t="s">
        <v>99</v>
      </c>
      <c r="B275" t="s">
        <v>78</v>
      </c>
      <c r="C275" s="5">
        <v>40787</v>
      </c>
      <c r="D275" s="4">
        <v>4517.21</v>
      </c>
      <c r="E275" s="4">
        <v>0</v>
      </c>
      <c r="F275">
        <v>36</v>
      </c>
      <c r="G275">
        <v>36</v>
      </c>
      <c r="H275">
        <v>3</v>
      </c>
      <c r="I275">
        <v>4</v>
      </c>
    </row>
    <row r="276" spans="1:9" x14ac:dyDescent="0.25">
      <c r="A276" t="s">
        <v>99</v>
      </c>
      <c r="B276" t="s">
        <v>81</v>
      </c>
      <c r="C276" s="5">
        <v>40817</v>
      </c>
      <c r="D276" s="4">
        <v>5671.16</v>
      </c>
      <c r="E276" s="4">
        <v>0</v>
      </c>
      <c r="F276">
        <v>45</v>
      </c>
      <c r="G276">
        <v>45</v>
      </c>
      <c r="H276">
        <v>2</v>
      </c>
      <c r="I276">
        <v>14</v>
      </c>
    </row>
    <row r="277" spans="1:9" x14ac:dyDescent="0.25">
      <c r="A277" t="s">
        <v>99</v>
      </c>
      <c r="B277" t="s">
        <v>84</v>
      </c>
      <c r="C277" s="5">
        <v>40848</v>
      </c>
      <c r="D277" s="4">
        <v>2322.23</v>
      </c>
      <c r="E277" s="4">
        <v>29.52</v>
      </c>
      <c r="F277">
        <v>72</v>
      </c>
      <c r="G277">
        <v>72</v>
      </c>
      <c r="H277">
        <v>5</v>
      </c>
      <c r="I277">
        <v>18</v>
      </c>
    </row>
    <row r="278" spans="1:9" x14ac:dyDescent="0.25">
      <c r="A278" t="s">
        <v>99</v>
      </c>
      <c r="B278" t="s">
        <v>7</v>
      </c>
      <c r="C278" s="5">
        <v>40878</v>
      </c>
      <c r="D278" s="4">
        <v>238</v>
      </c>
      <c r="E278" s="4">
        <v>238</v>
      </c>
      <c r="F278">
        <v>1</v>
      </c>
      <c r="G278">
        <v>1</v>
      </c>
      <c r="H278">
        <v>1</v>
      </c>
      <c r="I278">
        <v>0</v>
      </c>
    </row>
    <row r="279" spans="1:9" x14ac:dyDescent="0.25">
      <c r="A279" t="s">
        <v>96</v>
      </c>
      <c r="B279" t="s">
        <v>6</v>
      </c>
      <c r="C279" s="5">
        <v>40513</v>
      </c>
      <c r="D279" s="4">
        <v>1224.92</v>
      </c>
      <c r="E279" s="4">
        <v>0</v>
      </c>
      <c r="F279">
        <v>48</v>
      </c>
      <c r="G279">
        <v>48</v>
      </c>
      <c r="H279">
        <v>2</v>
      </c>
      <c r="I279">
        <v>4</v>
      </c>
    </row>
    <row r="280" spans="1:9" x14ac:dyDescent="0.25">
      <c r="A280" t="s">
        <v>96</v>
      </c>
      <c r="B280" t="s">
        <v>53</v>
      </c>
      <c r="C280" s="5">
        <v>40544</v>
      </c>
      <c r="D280" s="4">
        <v>4031.23</v>
      </c>
      <c r="E280" s="4">
        <v>0</v>
      </c>
      <c r="F280">
        <v>158</v>
      </c>
      <c r="G280">
        <v>158</v>
      </c>
      <c r="H280">
        <v>3</v>
      </c>
      <c r="I280">
        <v>20</v>
      </c>
    </row>
    <row r="281" spans="1:9" x14ac:dyDescent="0.25">
      <c r="A281" t="s">
        <v>96</v>
      </c>
      <c r="B281" t="s">
        <v>57</v>
      </c>
      <c r="C281" s="5">
        <v>40575</v>
      </c>
      <c r="D281" s="4">
        <v>2374.92</v>
      </c>
      <c r="E281" s="4">
        <v>12.25</v>
      </c>
      <c r="F281">
        <v>98</v>
      </c>
      <c r="G281">
        <v>98</v>
      </c>
      <c r="H281">
        <v>5</v>
      </c>
      <c r="I281">
        <v>12</v>
      </c>
    </row>
    <row r="282" spans="1:9" x14ac:dyDescent="0.25">
      <c r="A282" t="s">
        <v>96</v>
      </c>
      <c r="B282" t="s">
        <v>60</v>
      </c>
      <c r="C282" s="5">
        <v>40603</v>
      </c>
      <c r="D282" s="4">
        <v>1590.23</v>
      </c>
      <c r="E282" s="4">
        <v>0</v>
      </c>
      <c r="F282">
        <v>55</v>
      </c>
      <c r="G282">
        <v>55</v>
      </c>
      <c r="H282">
        <v>3</v>
      </c>
      <c r="I282">
        <v>15</v>
      </c>
    </row>
    <row r="283" spans="1:9" x14ac:dyDescent="0.25">
      <c r="A283" t="s">
        <v>96</v>
      </c>
      <c r="B283" t="s">
        <v>63</v>
      </c>
      <c r="C283" s="5">
        <v>40634</v>
      </c>
      <c r="D283" s="4">
        <v>1756.94</v>
      </c>
      <c r="E283" s="4">
        <v>254.75</v>
      </c>
      <c r="F283">
        <v>76</v>
      </c>
      <c r="G283">
        <v>76</v>
      </c>
      <c r="H283">
        <v>4</v>
      </c>
      <c r="I283">
        <v>16</v>
      </c>
    </row>
    <row r="284" spans="1:9" x14ac:dyDescent="0.25">
      <c r="A284" t="s">
        <v>96</v>
      </c>
      <c r="B284" t="s">
        <v>66</v>
      </c>
      <c r="C284" s="5">
        <v>40664</v>
      </c>
      <c r="D284" s="4">
        <v>3450.01</v>
      </c>
      <c r="E284" s="4">
        <v>42.8</v>
      </c>
      <c r="F284">
        <v>150</v>
      </c>
      <c r="G284">
        <v>150</v>
      </c>
      <c r="H284">
        <v>3</v>
      </c>
      <c r="I284">
        <v>33</v>
      </c>
    </row>
    <row r="285" spans="1:9" x14ac:dyDescent="0.25">
      <c r="A285" t="s">
        <v>96</v>
      </c>
      <c r="B285" t="s">
        <v>69</v>
      </c>
      <c r="C285" s="5">
        <v>40695</v>
      </c>
      <c r="D285" s="4">
        <v>7544.15</v>
      </c>
      <c r="E285" s="4">
        <v>21.95</v>
      </c>
      <c r="F285">
        <v>122</v>
      </c>
      <c r="G285">
        <v>122</v>
      </c>
      <c r="H285">
        <v>4</v>
      </c>
      <c r="I285">
        <v>26</v>
      </c>
    </row>
    <row r="286" spans="1:9" x14ac:dyDescent="0.25">
      <c r="A286" t="s">
        <v>96</v>
      </c>
      <c r="B286" t="s">
        <v>72</v>
      </c>
      <c r="C286" s="5">
        <v>40725</v>
      </c>
      <c r="D286" s="4">
        <v>3518.61</v>
      </c>
      <c r="E286" s="4">
        <v>102</v>
      </c>
      <c r="F286">
        <v>176</v>
      </c>
      <c r="G286">
        <v>124</v>
      </c>
      <c r="H286">
        <v>6</v>
      </c>
      <c r="I286">
        <v>80</v>
      </c>
    </row>
    <row r="287" spans="1:9" x14ac:dyDescent="0.25">
      <c r="A287" t="s">
        <v>96</v>
      </c>
      <c r="B287" t="s">
        <v>75</v>
      </c>
      <c r="C287" s="5">
        <v>40756</v>
      </c>
      <c r="D287" s="4">
        <v>4889.8900000000003</v>
      </c>
      <c r="E287" s="4">
        <v>87.7</v>
      </c>
      <c r="F287">
        <v>266</v>
      </c>
      <c r="G287">
        <v>266</v>
      </c>
      <c r="H287">
        <v>3</v>
      </c>
      <c r="I287">
        <v>53</v>
      </c>
    </row>
    <row r="288" spans="1:9" x14ac:dyDescent="0.25">
      <c r="A288" t="s">
        <v>96</v>
      </c>
      <c r="B288" t="s">
        <v>78</v>
      </c>
      <c r="C288" s="5">
        <v>40787</v>
      </c>
      <c r="D288" s="4">
        <v>7524.86</v>
      </c>
      <c r="E288" s="4">
        <v>29.9</v>
      </c>
      <c r="F288">
        <v>188</v>
      </c>
      <c r="G288">
        <v>188</v>
      </c>
      <c r="H288">
        <v>5</v>
      </c>
      <c r="I288">
        <v>41</v>
      </c>
    </row>
    <row r="289" spans="1:9" x14ac:dyDescent="0.25">
      <c r="A289" t="s">
        <v>96</v>
      </c>
      <c r="B289" t="s">
        <v>81</v>
      </c>
      <c r="C289" s="5">
        <v>40817</v>
      </c>
      <c r="D289" s="4">
        <v>7265.18</v>
      </c>
      <c r="E289" s="4">
        <v>31.2</v>
      </c>
      <c r="F289">
        <v>377</v>
      </c>
      <c r="G289">
        <v>304</v>
      </c>
      <c r="H289">
        <v>7</v>
      </c>
      <c r="I289">
        <v>160</v>
      </c>
    </row>
    <row r="290" spans="1:9" x14ac:dyDescent="0.25">
      <c r="A290" t="s">
        <v>96</v>
      </c>
      <c r="B290" t="s">
        <v>84</v>
      </c>
      <c r="C290" s="5">
        <v>40848</v>
      </c>
      <c r="D290" s="4">
        <v>7916.96</v>
      </c>
      <c r="E290" s="4">
        <v>0</v>
      </c>
      <c r="F290">
        <v>221</v>
      </c>
      <c r="G290">
        <v>221</v>
      </c>
      <c r="H290">
        <v>5</v>
      </c>
      <c r="I290">
        <v>25</v>
      </c>
    </row>
    <row r="291" spans="1:9" x14ac:dyDescent="0.25">
      <c r="A291" t="s">
        <v>115</v>
      </c>
      <c r="B291" t="s">
        <v>63</v>
      </c>
      <c r="C291" s="5">
        <v>40634</v>
      </c>
      <c r="D291" s="4">
        <v>383.95</v>
      </c>
      <c r="E291" s="4">
        <v>0</v>
      </c>
      <c r="F291">
        <v>22</v>
      </c>
      <c r="G291">
        <v>22</v>
      </c>
      <c r="H291">
        <v>1</v>
      </c>
      <c r="I291">
        <v>8</v>
      </c>
    </row>
    <row r="292" spans="1:9" x14ac:dyDescent="0.25">
      <c r="A292" t="s">
        <v>115</v>
      </c>
      <c r="B292" t="s">
        <v>81</v>
      </c>
      <c r="C292" s="5">
        <v>40817</v>
      </c>
      <c r="D292" s="4">
        <v>2311.1999999999998</v>
      </c>
      <c r="E292" s="4">
        <v>1579.51</v>
      </c>
      <c r="F292">
        <v>125</v>
      </c>
      <c r="G292">
        <v>125</v>
      </c>
      <c r="H292">
        <v>2</v>
      </c>
      <c r="I292">
        <v>38</v>
      </c>
    </row>
    <row r="293" spans="1:9" x14ac:dyDescent="0.25">
      <c r="A293" t="s">
        <v>115</v>
      </c>
      <c r="B293" t="s">
        <v>7</v>
      </c>
      <c r="C293" s="5">
        <v>40878</v>
      </c>
      <c r="D293" s="4">
        <v>885.24</v>
      </c>
      <c r="E293" s="4">
        <v>269.95999999999998</v>
      </c>
      <c r="F293">
        <v>32</v>
      </c>
      <c r="G293">
        <v>32</v>
      </c>
      <c r="H293">
        <v>2</v>
      </c>
      <c r="I293">
        <v>12</v>
      </c>
    </row>
    <row r="294" spans="1:9" x14ac:dyDescent="0.25">
      <c r="A294" t="s">
        <v>118</v>
      </c>
      <c r="B294" t="s">
        <v>57</v>
      </c>
      <c r="C294" s="5">
        <v>40575</v>
      </c>
      <c r="D294" s="4">
        <v>889.24</v>
      </c>
      <c r="E294" s="4">
        <v>0</v>
      </c>
      <c r="F294">
        <v>30</v>
      </c>
      <c r="G294">
        <v>30</v>
      </c>
      <c r="H294">
        <v>1</v>
      </c>
      <c r="I294">
        <v>10</v>
      </c>
    </row>
    <row r="295" spans="1:9" x14ac:dyDescent="0.25">
      <c r="A295" t="s">
        <v>118</v>
      </c>
      <c r="B295" t="s">
        <v>78</v>
      </c>
      <c r="C295" s="5">
        <v>40787</v>
      </c>
      <c r="D295" s="4">
        <v>975.54</v>
      </c>
      <c r="E295" s="4">
        <v>0</v>
      </c>
      <c r="F295">
        <v>37</v>
      </c>
      <c r="G295">
        <v>37</v>
      </c>
      <c r="H295">
        <v>1</v>
      </c>
      <c r="I295">
        <v>6</v>
      </c>
    </row>
    <row r="296" spans="1:9" x14ac:dyDescent="0.25">
      <c r="A296" t="s">
        <v>89</v>
      </c>
      <c r="B296" t="s">
        <v>6</v>
      </c>
      <c r="C296" s="5">
        <v>40513</v>
      </c>
      <c r="D296" s="4">
        <v>707419.61</v>
      </c>
      <c r="E296" s="4">
        <v>14363.1</v>
      </c>
      <c r="F296">
        <v>39131</v>
      </c>
      <c r="G296">
        <v>23912</v>
      </c>
      <c r="H296">
        <v>1440</v>
      </c>
      <c r="I296">
        <v>21744</v>
      </c>
    </row>
    <row r="297" spans="1:9" x14ac:dyDescent="0.25">
      <c r="A297" t="s">
        <v>89</v>
      </c>
      <c r="B297" t="s">
        <v>53</v>
      </c>
      <c r="C297" s="5">
        <v>40544</v>
      </c>
      <c r="D297" s="4">
        <v>547167.61</v>
      </c>
      <c r="E297" s="4">
        <v>90129.53</v>
      </c>
      <c r="F297">
        <v>31083</v>
      </c>
      <c r="G297">
        <v>18143</v>
      </c>
      <c r="H297">
        <v>967</v>
      </c>
      <c r="I297">
        <v>17264</v>
      </c>
    </row>
    <row r="298" spans="1:9" x14ac:dyDescent="0.25">
      <c r="A298" t="s">
        <v>89</v>
      </c>
      <c r="B298" t="s">
        <v>57</v>
      </c>
      <c r="C298" s="5">
        <v>40575</v>
      </c>
      <c r="D298" s="4">
        <v>418933.95</v>
      </c>
      <c r="E298" s="4">
        <v>5028.8599999999997</v>
      </c>
      <c r="F298">
        <v>24774</v>
      </c>
      <c r="G298">
        <v>17746</v>
      </c>
      <c r="H298">
        <v>990</v>
      </c>
      <c r="I298">
        <v>11222</v>
      </c>
    </row>
    <row r="299" spans="1:9" x14ac:dyDescent="0.25">
      <c r="A299" t="s">
        <v>89</v>
      </c>
      <c r="B299" t="s">
        <v>60</v>
      </c>
      <c r="C299" s="5">
        <v>40603</v>
      </c>
      <c r="D299" s="4">
        <v>572873.13</v>
      </c>
      <c r="E299" s="4">
        <v>9721.48</v>
      </c>
      <c r="F299">
        <v>32514</v>
      </c>
      <c r="G299">
        <v>23988</v>
      </c>
      <c r="H299">
        <v>1302</v>
      </c>
      <c r="I299">
        <v>14263</v>
      </c>
    </row>
    <row r="300" spans="1:9" x14ac:dyDescent="0.25">
      <c r="A300" t="s">
        <v>89</v>
      </c>
      <c r="B300" t="s">
        <v>63</v>
      </c>
      <c r="C300" s="5">
        <v>40634</v>
      </c>
      <c r="D300" s="4">
        <v>466132.15100000001</v>
      </c>
      <c r="E300" s="4">
        <v>30540.02</v>
      </c>
      <c r="F300">
        <v>27205</v>
      </c>
      <c r="G300">
        <v>20841</v>
      </c>
      <c r="H300">
        <v>1148</v>
      </c>
      <c r="I300">
        <v>11456</v>
      </c>
    </row>
    <row r="301" spans="1:9" x14ac:dyDescent="0.25">
      <c r="A301" t="s">
        <v>89</v>
      </c>
      <c r="B301" t="s">
        <v>66</v>
      </c>
      <c r="C301" s="5">
        <v>40664</v>
      </c>
      <c r="D301" s="4">
        <v>619391.15</v>
      </c>
      <c r="E301" s="4">
        <v>8561.6200000000008</v>
      </c>
      <c r="F301">
        <v>32771</v>
      </c>
      <c r="G301">
        <v>25187</v>
      </c>
      <c r="H301">
        <v>1518</v>
      </c>
      <c r="I301">
        <v>14442</v>
      </c>
    </row>
    <row r="302" spans="1:9" x14ac:dyDescent="0.25">
      <c r="A302" t="s">
        <v>89</v>
      </c>
      <c r="B302" t="s">
        <v>69</v>
      </c>
      <c r="C302" s="5">
        <v>40695</v>
      </c>
      <c r="D302" s="4">
        <v>606195.96</v>
      </c>
      <c r="E302" s="4">
        <v>11903.47</v>
      </c>
      <c r="F302">
        <v>32279</v>
      </c>
      <c r="G302">
        <v>23698</v>
      </c>
      <c r="H302">
        <v>1379</v>
      </c>
      <c r="I302">
        <v>15052</v>
      </c>
    </row>
    <row r="303" spans="1:9" x14ac:dyDescent="0.25">
      <c r="A303" t="s">
        <v>89</v>
      </c>
      <c r="B303" t="s">
        <v>72</v>
      </c>
      <c r="C303" s="5">
        <v>40725</v>
      </c>
      <c r="D303" s="4">
        <v>578224.68099999998</v>
      </c>
      <c r="E303" s="4">
        <v>10564.46</v>
      </c>
      <c r="F303">
        <v>35081</v>
      </c>
      <c r="G303">
        <v>23572</v>
      </c>
      <c r="H303">
        <v>1317</v>
      </c>
      <c r="I303">
        <v>17755</v>
      </c>
    </row>
    <row r="304" spans="1:9" x14ac:dyDescent="0.25">
      <c r="A304" t="s">
        <v>89</v>
      </c>
      <c r="B304" t="s">
        <v>75</v>
      </c>
      <c r="C304" s="5">
        <v>40756</v>
      </c>
      <c r="D304" s="4">
        <v>579958.6</v>
      </c>
      <c r="E304" s="4">
        <v>17274.32</v>
      </c>
      <c r="F304">
        <v>30404</v>
      </c>
      <c r="G304">
        <v>23085</v>
      </c>
      <c r="H304">
        <v>1195</v>
      </c>
      <c r="I304">
        <v>13240</v>
      </c>
    </row>
    <row r="305" spans="1:9" x14ac:dyDescent="0.25">
      <c r="A305" t="s">
        <v>89</v>
      </c>
      <c r="B305" t="s">
        <v>78</v>
      </c>
      <c r="C305" s="5">
        <v>40787</v>
      </c>
      <c r="D305" s="4">
        <v>878029.11100000003</v>
      </c>
      <c r="E305" s="4">
        <v>15896.35</v>
      </c>
      <c r="F305">
        <v>44580</v>
      </c>
      <c r="G305">
        <v>35592</v>
      </c>
      <c r="H305">
        <v>1631</v>
      </c>
      <c r="I305">
        <v>18333</v>
      </c>
    </row>
    <row r="306" spans="1:9" x14ac:dyDescent="0.25">
      <c r="A306" t="s">
        <v>89</v>
      </c>
      <c r="B306" t="s">
        <v>81</v>
      </c>
      <c r="C306" s="5">
        <v>40817</v>
      </c>
      <c r="D306" s="4">
        <v>914678.25</v>
      </c>
      <c r="E306" s="4">
        <v>36920.07</v>
      </c>
      <c r="F306">
        <v>53234</v>
      </c>
      <c r="G306">
        <v>43679</v>
      </c>
      <c r="H306">
        <v>1789</v>
      </c>
      <c r="I306">
        <v>21744</v>
      </c>
    </row>
    <row r="307" spans="1:9" x14ac:dyDescent="0.25">
      <c r="A307" t="s">
        <v>89</v>
      </c>
      <c r="B307" t="s">
        <v>84</v>
      </c>
      <c r="C307" s="5">
        <v>40848</v>
      </c>
      <c r="D307" s="4">
        <v>1286274.78</v>
      </c>
      <c r="E307" s="4">
        <v>21970.91</v>
      </c>
      <c r="F307">
        <v>77384</v>
      </c>
      <c r="G307">
        <v>58754</v>
      </c>
      <c r="H307">
        <v>2481</v>
      </c>
      <c r="I307">
        <v>33960</v>
      </c>
    </row>
    <row r="308" spans="1:9" x14ac:dyDescent="0.25">
      <c r="A308" t="s">
        <v>89</v>
      </c>
      <c r="B308" t="s">
        <v>7</v>
      </c>
      <c r="C308" s="5">
        <v>40878</v>
      </c>
      <c r="D308" s="4">
        <v>572282.68000000005</v>
      </c>
      <c r="E308" s="4">
        <v>172969.19</v>
      </c>
      <c r="F308">
        <v>23567</v>
      </c>
      <c r="G308">
        <v>15791</v>
      </c>
      <c r="H308">
        <v>744</v>
      </c>
      <c r="I308">
        <v>11235</v>
      </c>
    </row>
    <row r="309" spans="1:9" x14ac:dyDescent="0.25">
      <c r="A309" t="s">
        <v>112</v>
      </c>
      <c r="B309" t="s">
        <v>63</v>
      </c>
      <c r="C309" s="5">
        <v>40634</v>
      </c>
      <c r="D309" s="4">
        <v>299.10000000000002</v>
      </c>
      <c r="E309" s="4">
        <v>0</v>
      </c>
      <c r="F309">
        <v>16</v>
      </c>
      <c r="G309">
        <v>16</v>
      </c>
      <c r="H309">
        <v>1</v>
      </c>
      <c r="I309">
        <v>0</v>
      </c>
    </row>
    <row r="310" spans="1:9" x14ac:dyDescent="0.25">
      <c r="A310" t="s">
        <v>112</v>
      </c>
      <c r="B310" t="s">
        <v>66</v>
      </c>
      <c r="C310" s="5">
        <v>40664</v>
      </c>
      <c r="D310" s="4">
        <v>1055.8699999999999</v>
      </c>
      <c r="E310" s="4">
        <v>0</v>
      </c>
      <c r="F310">
        <v>58</v>
      </c>
      <c r="G310">
        <v>47</v>
      </c>
      <c r="H310">
        <v>2</v>
      </c>
      <c r="I310">
        <v>27</v>
      </c>
    </row>
    <row r="311" spans="1:9" x14ac:dyDescent="0.25">
      <c r="A311" t="s">
        <v>112</v>
      </c>
      <c r="B311" t="s">
        <v>69</v>
      </c>
      <c r="C311" s="5">
        <v>40695</v>
      </c>
      <c r="D311" s="4">
        <v>185.78</v>
      </c>
      <c r="E311" s="4">
        <v>0</v>
      </c>
      <c r="F311">
        <v>9</v>
      </c>
      <c r="G311">
        <v>9</v>
      </c>
      <c r="H311">
        <v>1</v>
      </c>
      <c r="I311">
        <v>2</v>
      </c>
    </row>
    <row r="312" spans="1:9" x14ac:dyDescent="0.25">
      <c r="A312" t="s">
        <v>112</v>
      </c>
      <c r="B312" t="s">
        <v>72</v>
      </c>
      <c r="C312" s="5">
        <v>40725</v>
      </c>
      <c r="D312" s="4">
        <v>1425.41</v>
      </c>
      <c r="E312" s="4">
        <v>0</v>
      </c>
      <c r="F312">
        <v>221</v>
      </c>
      <c r="G312">
        <v>149</v>
      </c>
      <c r="H312">
        <v>4</v>
      </c>
      <c r="I312">
        <v>109</v>
      </c>
    </row>
    <row r="313" spans="1:9" x14ac:dyDescent="0.25">
      <c r="A313" t="s">
        <v>112</v>
      </c>
      <c r="B313" t="s">
        <v>75</v>
      </c>
      <c r="C313" s="5">
        <v>40756</v>
      </c>
      <c r="D313" s="4">
        <v>531.03</v>
      </c>
      <c r="E313" s="4">
        <v>0</v>
      </c>
      <c r="F313">
        <v>23</v>
      </c>
      <c r="G313">
        <v>23</v>
      </c>
      <c r="H313">
        <v>2</v>
      </c>
      <c r="I313">
        <v>6</v>
      </c>
    </row>
    <row r="314" spans="1:9" x14ac:dyDescent="0.25">
      <c r="A314" t="s">
        <v>112</v>
      </c>
      <c r="B314" t="s">
        <v>78</v>
      </c>
      <c r="C314" s="5">
        <v>40787</v>
      </c>
      <c r="D314" s="4">
        <v>286.85000000000002</v>
      </c>
      <c r="E314" s="4">
        <v>0</v>
      </c>
      <c r="F314">
        <v>66</v>
      </c>
      <c r="G314">
        <v>0</v>
      </c>
      <c r="H314">
        <v>1</v>
      </c>
      <c r="I314">
        <v>66</v>
      </c>
    </row>
    <row r="315" spans="1:9" x14ac:dyDescent="0.25">
      <c r="A315" t="s">
        <v>112</v>
      </c>
      <c r="B315" t="s">
        <v>84</v>
      </c>
      <c r="C315" s="5">
        <v>40848</v>
      </c>
      <c r="D315" s="4">
        <v>965.75</v>
      </c>
      <c r="E315" s="4">
        <v>0</v>
      </c>
      <c r="F315">
        <v>53</v>
      </c>
      <c r="G315">
        <v>0</v>
      </c>
      <c r="H315">
        <v>2</v>
      </c>
      <c r="I315">
        <v>53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"/>
  <sheetViews>
    <sheetView workbookViewId="0" tabSelected="0"/>
  </sheetViews>
  <sheetFormatPr defaultRowHeight="15" x14ac:dyDescent="0.25"/>
  <cols>
    <col min="1" max="2" width="65.7109375" customWidth="1"/>
  </cols>
  <sheetData>
    <row r="1" spans="1:2" x14ac:dyDescent="0.25">
      <c r="A1" t="s">
        <v>13390</v>
      </c>
      <c r="B1" t="s">
        <v>13391</v>
      </c>
    </row>
    <row r="2" spans="1:2" x14ac:dyDescent="0.25">
      <c r="A2" t="s">
        <v>13392</v>
      </c>
      <c r="B2" t="inlineStr">
        <is>
          <t>Reference dashboard | Embedded audit queries refreshed in Excel 2021; full-model integration pending</t>
        </is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000"/>
  <sheetViews>
    <sheetView workbookViewId="0" tabSelected="0"/>
  </sheetViews>
  <sheetFormatPr defaultRowHeight="15" x14ac:dyDescent="0.25"/>
  <sheetData>
    <row r="1" spans="1:2" x14ac:dyDescent="0.25">
      <c r="A1" t="s">
        <v>5</v>
      </c>
      <c r="B1" t="str">
        <f>IF(Monthly!A2="","",Monthly!A2)</f>
        <v>2010-12</v>
      </c>
    </row>
    <row r="2" spans="1:2" x14ac:dyDescent="0.25">
      <c r="A2" t="str">
        <f>IF(Country!A2="","",Country!A2)</f>
        <v>United Kingdom</v>
      </c>
      <c r="B2" t="str">
        <f>IF(Monthly!A3="","",Monthly!A3)</f>
        <v>2011-01</v>
      </c>
    </row>
    <row r="3" spans="1:2" x14ac:dyDescent="0.25">
      <c r="A3" t="str">
        <f>IF(Country!A3="","",Country!A3)</f>
        <v>Netherlands</v>
      </c>
      <c r="B3" t="str">
        <f>IF(Monthly!A4="","",Monthly!A4)</f>
        <v>2011-02</v>
      </c>
    </row>
    <row r="4" spans="1:2" x14ac:dyDescent="0.25">
      <c r="A4" t="str">
        <f>IF(Country!A4="","",Country!A4)</f>
        <v>EIRE</v>
      </c>
      <c r="B4" t="str">
        <f>IF(Monthly!A5="","",Monthly!A5)</f>
        <v>2011-03</v>
      </c>
    </row>
    <row r="5" spans="1:2" x14ac:dyDescent="0.25">
      <c r="A5" t="str">
        <f>IF(Country!A5="","",Country!A5)</f>
        <v>Germany</v>
      </c>
      <c r="B5" t="str">
        <f>IF(Monthly!A6="","",Monthly!A6)</f>
        <v>2011-04</v>
      </c>
    </row>
    <row r="6" spans="1:2" x14ac:dyDescent="0.25">
      <c r="A6" t="str">
        <f>IF(Country!A6="","",Country!A6)</f>
        <v>France</v>
      </c>
      <c r="B6" t="str">
        <f>IF(Monthly!A7="","",Monthly!A7)</f>
        <v>2011-05</v>
      </c>
    </row>
    <row r="7" spans="1:2" x14ac:dyDescent="0.25">
      <c r="A7" t="str">
        <f>IF(Country!A7="","",Country!A7)</f>
        <v>Australia</v>
      </c>
      <c r="B7" t="str">
        <f>IF(Monthly!A8="","",Monthly!A8)</f>
        <v>2011-06</v>
      </c>
    </row>
    <row r="8" spans="1:2" x14ac:dyDescent="0.25">
      <c r="A8" t="str">
        <f>IF(Country!A8="","",Country!A8)</f>
        <v>Spain</v>
      </c>
      <c r="B8" t="str">
        <f>IF(Monthly!A9="","",Monthly!A9)</f>
        <v>2011-07</v>
      </c>
    </row>
    <row r="9" spans="1:2" x14ac:dyDescent="0.25">
      <c r="A9" t="str">
        <f>IF(Country!A9="","",Country!A9)</f>
        <v>Switzerland</v>
      </c>
      <c r="B9" t="str">
        <f>IF(Monthly!A10="","",Monthly!A10)</f>
        <v>2011-08</v>
      </c>
    </row>
    <row r="10" spans="1:2" x14ac:dyDescent="0.25">
      <c r="A10" t="str">
        <f>IF(Country!A10="","",Country!A10)</f>
        <v>Japan</v>
      </c>
      <c r="B10" t="str">
        <f>IF(Monthly!A11="","",Monthly!A11)</f>
        <v>2011-09</v>
      </c>
    </row>
    <row r="11" spans="1:2" x14ac:dyDescent="0.25">
      <c r="A11" t="str">
        <f>IF(Country!A11="","",Country!A11)</f>
        <v>Belgium</v>
      </c>
      <c r="B11" t="str">
        <f>IF(Monthly!A12="","",Monthly!A12)</f>
        <v>2011-10</v>
      </c>
    </row>
    <row r="12" spans="1:2" x14ac:dyDescent="0.25">
      <c r="A12" t="str">
        <f>IF(Country!A12="","",Country!A12)</f>
        <v>Sweden</v>
      </c>
      <c r="B12" t="str">
        <f>IF(Monthly!A13="","",Monthly!A13)</f>
        <v>2011-11</v>
      </c>
    </row>
    <row r="13" spans="1:2" x14ac:dyDescent="0.25">
      <c r="A13" t="str">
        <f>IF(Country!A13="","",Country!A13)</f>
        <v>Norway</v>
      </c>
      <c r="B13" t="str">
        <f>IF(Monthly!A14="","",Monthly!A14)</f>
        <v>2011-12</v>
      </c>
    </row>
    <row r="14" spans="1:2" x14ac:dyDescent="0.25">
      <c r="A14" t="str">
        <f>IF(Country!A14="","",Country!A14)</f>
        <v>Portugal</v>
      </c>
      <c r="B14" t="str">
        <f>IF(Monthly!A15="","",Monthly!A15)</f>
        <v/>
      </c>
    </row>
    <row r="15" spans="1:2" x14ac:dyDescent="0.25">
      <c r="A15" t="str">
        <f>IF(Country!A15="","",Country!A15)</f>
        <v>Channel Islands</v>
      </c>
      <c r="B15" t="str">
        <f>IF(Monthly!A16="","",Monthly!A16)</f>
        <v/>
      </c>
    </row>
    <row r="16" spans="1:2" x14ac:dyDescent="0.25">
      <c r="A16" t="str">
        <f>IF(Country!A16="","",Country!A16)</f>
        <v>Finland</v>
      </c>
      <c r="B16" t="str">
        <f>IF(Monthly!A17="","",Monthly!A17)</f>
        <v/>
      </c>
    </row>
    <row r="17" spans="1:2" x14ac:dyDescent="0.25">
      <c r="A17" t="str">
        <f>IF(Country!A17="","",Country!A17)</f>
        <v>Denmark</v>
      </c>
      <c r="B17" t="str">
        <f>IF(Monthly!A18="","",Monthly!A18)</f>
        <v/>
      </c>
    </row>
    <row r="18" spans="1:2" x14ac:dyDescent="0.25">
      <c r="A18" t="str">
        <f>IF(Country!A18="","",Country!A18)</f>
        <v>Italy</v>
      </c>
      <c r="B18" t="str">
        <f>IF(Monthly!A19="","",Monthly!A19)</f>
        <v/>
      </c>
    </row>
    <row r="19" spans="1:2" x14ac:dyDescent="0.25">
      <c r="A19" t="str">
        <f>IF(Country!A19="","",Country!A19)</f>
        <v>Cyprus</v>
      </c>
      <c r="B19" t="str">
        <f>IF(Monthly!A20="","",Monthly!A20)</f>
        <v/>
      </c>
    </row>
    <row r="20" spans="1:2" x14ac:dyDescent="0.25">
      <c r="A20" t="str">
        <f>IF(Country!A20="","",Country!A20)</f>
        <v>Hong Kong</v>
      </c>
      <c r="B20" t="str">
        <f>IF(Monthly!A21="","",Monthly!A21)</f>
        <v/>
      </c>
    </row>
    <row r="21" spans="1:2" x14ac:dyDescent="0.25">
      <c r="A21" t="str">
        <f>IF(Country!A21="","",Country!A21)</f>
        <v>Singapore</v>
      </c>
      <c r="B21" t="str">
        <f>IF(Monthly!A22="","",Monthly!A22)</f>
        <v/>
      </c>
    </row>
    <row r="22" spans="1:2" x14ac:dyDescent="0.25">
      <c r="A22" t="str">
        <f>IF(Country!A22="","",Country!A22)</f>
        <v>Austria</v>
      </c>
      <c r="B22" t="str">
        <f>IF(Monthly!A23="","",Monthly!A23)</f>
        <v/>
      </c>
    </row>
    <row r="23" spans="1:2" x14ac:dyDescent="0.25">
      <c r="A23" t="str">
        <f>IF(Country!A23="","",Country!A23)</f>
        <v>Israel</v>
      </c>
      <c r="B23" t="str">
        <f>IF(Monthly!A24="","",Monthly!A24)</f>
        <v/>
      </c>
    </row>
    <row r="24" spans="1:2" x14ac:dyDescent="0.25">
      <c r="A24" t="str">
        <f>IF(Country!A24="","",Country!A24)</f>
        <v>Poland</v>
      </c>
      <c r="B24" t="str">
        <f>IF(Monthly!A25="","",Monthly!A25)</f>
        <v/>
      </c>
    </row>
    <row r="25" spans="1:2" x14ac:dyDescent="0.25">
      <c r="A25" t="str">
        <f>IF(Country!A25="","",Country!A25)</f>
        <v>Unspecified</v>
      </c>
      <c r="B25" t="str">
        <f>IF(Monthly!A26="","",Monthly!A26)</f>
        <v/>
      </c>
    </row>
    <row r="26" spans="1:2" x14ac:dyDescent="0.25">
      <c r="A26" t="str">
        <f>IF(Country!A26="","",Country!A26)</f>
        <v>Greece</v>
      </c>
      <c r="B26" t="str">
        <f>IF(Monthly!A27="","",Monthly!A27)</f>
        <v/>
      </c>
    </row>
    <row r="27" spans="1:2" x14ac:dyDescent="0.25">
      <c r="A27" t="str">
        <f>IF(Country!A27="","",Country!A27)</f>
        <v>Iceland</v>
      </c>
      <c r="B27" t="str">
        <f>IF(Monthly!A28="","",Monthly!A28)</f>
        <v/>
      </c>
    </row>
    <row r="28" spans="1:2" x14ac:dyDescent="0.25">
      <c r="A28" t="str">
        <f>IF(Country!A28="","",Country!A28)</f>
        <v>USA</v>
      </c>
      <c r="B28" t="str">
        <f>IF(Monthly!A29="","",Monthly!A29)</f>
        <v/>
      </c>
    </row>
    <row r="29" spans="1:2" x14ac:dyDescent="0.25">
      <c r="A29" t="str">
        <f>IF(Country!A29="","",Country!A29)</f>
        <v>Canada</v>
      </c>
      <c r="B29" t="str">
        <f>IF(Monthly!A30="","",Monthly!A30)</f>
        <v/>
      </c>
    </row>
    <row r="30" spans="1:2" x14ac:dyDescent="0.25">
      <c r="A30" t="str">
        <f>IF(Country!A30="","",Country!A30)</f>
        <v>Malta</v>
      </c>
      <c r="B30" t="str">
        <f>IF(Monthly!A31="","",Monthly!A31)</f>
        <v/>
      </c>
    </row>
    <row r="31" spans="1:2" x14ac:dyDescent="0.25">
      <c r="A31" t="str">
        <f>IF(Country!A31="","",Country!A31)</f>
        <v>United Arab Emirates</v>
      </c>
      <c r="B31" t="str">
        <f>IF(Monthly!A32="","",Monthly!A32)</f>
        <v/>
      </c>
    </row>
    <row r="32" spans="1:2" x14ac:dyDescent="0.25">
      <c r="A32" t="str">
        <f>IF(Country!A32="","",Country!A32)</f>
        <v>Lebanon</v>
      </c>
      <c r="B32" t="str">
        <f>IF(Monthly!A33="","",Monthly!A33)</f>
        <v/>
      </c>
    </row>
    <row r="33" spans="1:2" x14ac:dyDescent="0.25">
      <c r="A33" t="str">
        <f>IF(Country!A33="","",Country!A33)</f>
        <v>Lithuania</v>
      </c>
      <c r="B33" t="str">
        <f>IF(Monthly!A34="","",Monthly!A34)</f>
        <v/>
      </c>
    </row>
    <row r="34" spans="1:2" x14ac:dyDescent="0.25">
      <c r="A34" t="str">
        <f>IF(Country!A34="","",Country!A34)</f>
        <v>European Community</v>
      </c>
      <c r="B34" t="str">
        <f>IF(Monthly!A35="","",Monthly!A35)</f>
        <v/>
      </c>
    </row>
    <row r="35" spans="1:2" x14ac:dyDescent="0.25">
      <c r="A35" t="str">
        <f>IF(Country!A35="","",Country!A35)</f>
        <v>Brazil</v>
      </c>
      <c r="B35" t="str">
        <f>IF(Monthly!A36="","",Monthly!A36)</f>
        <v/>
      </c>
    </row>
    <row r="36" spans="1:2" x14ac:dyDescent="0.25">
      <c r="A36" t="str">
        <f>IF(Country!A36="","",Country!A36)</f>
        <v>RSA</v>
      </c>
      <c r="B36" t="str">
        <f>IF(Monthly!A37="","",Monthly!A37)</f>
        <v/>
      </c>
    </row>
    <row r="37" spans="1:2" x14ac:dyDescent="0.25">
      <c r="A37" t="str">
        <f>IF(Country!A37="","",Country!A37)</f>
        <v>Czech Republic</v>
      </c>
      <c r="B37" t="str">
        <f>IF(Monthly!A38="","",Monthly!A38)</f>
        <v/>
      </c>
    </row>
    <row r="38" spans="1:2" x14ac:dyDescent="0.25">
      <c r="A38" t="str">
        <f>IF(Country!A38="","",Country!A38)</f>
        <v>Bahrain</v>
      </c>
      <c r="B38" t="str">
        <f>IF(Monthly!A39="","",Monthly!A39)</f>
        <v/>
      </c>
    </row>
    <row r="39" spans="1:2" x14ac:dyDescent="0.25">
      <c r="A39" t="str">
        <f>IF(Country!A39="","",Country!A39)</f>
        <v>Saudi Arabia</v>
      </c>
      <c r="B39" t="str">
        <f>IF(Monthly!A40="","",Monthly!A40)</f>
        <v/>
      </c>
    </row>
    <row r="40" spans="1:2" x14ac:dyDescent="0.25">
      <c r="A40" t="str">
        <f>IF(Country!A40="","",Country!A40)</f>
        <v/>
      </c>
      <c r="B40" t="str">
        <f>IF(Monthly!A41="","",Monthly!A41)</f>
        <v/>
      </c>
    </row>
    <row r="41" spans="1:2" x14ac:dyDescent="0.25">
      <c r="A41" t="str">
        <f>IF(Country!A41="","",Country!A41)</f>
        <v/>
      </c>
      <c r="B41" t="str">
        <f>IF(Monthly!A42="","",Monthly!A42)</f>
        <v/>
      </c>
    </row>
    <row r="42" spans="1:2" x14ac:dyDescent="0.25">
      <c r="A42" t="str">
        <f>IF(Country!A42="","",Country!A42)</f>
        <v/>
      </c>
      <c r="B42" t="str">
        <f>IF(Monthly!A43="","",Monthly!A43)</f>
        <v/>
      </c>
    </row>
    <row r="43" spans="1:2" x14ac:dyDescent="0.25">
      <c r="A43" t="str">
        <f>IF(Country!A43="","",Country!A43)</f>
        <v/>
      </c>
      <c r="B43" t="str">
        <f>IF(Monthly!A44="","",Monthly!A44)</f>
        <v/>
      </c>
    </row>
    <row r="44" spans="1:2" x14ac:dyDescent="0.25">
      <c r="A44" t="str">
        <f>IF(Country!A44="","",Country!A44)</f>
        <v/>
      </c>
      <c r="B44" t="str">
        <f>IF(Monthly!A45="","",Monthly!A45)</f>
        <v/>
      </c>
    </row>
    <row r="45" spans="1:2" x14ac:dyDescent="0.25">
      <c r="A45" t="str">
        <f>IF(Country!A45="","",Country!A45)</f>
        <v/>
      </c>
      <c r="B45" t="str">
        <f>IF(Monthly!A46="","",Monthly!A46)</f>
        <v/>
      </c>
    </row>
    <row r="46" spans="1:2" x14ac:dyDescent="0.25">
      <c r="A46" t="str">
        <f>IF(Country!A46="","",Country!A46)</f>
        <v/>
      </c>
      <c r="B46" t="str">
        <f>IF(Monthly!A47="","",Monthly!A47)</f>
        <v/>
      </c>
    </row>
    <row r="47" spans="1:2" x14ac:dyDescent="0.25">
      <c r="A47" t="str">
        <f>IF(Country!A47="","",Country!A47)</f>
        <v/>
      </c>
      <c r="B47" t="str">
        <f>IF(Monthly!A48="","",Monthly!A48)</f>
        <v/>
      </c>
    </row>
    <row r="48" spans="1:2" x14ac:dyDescent="0.25">
      <c r="A48" t="str">
        <f>IF(Country!A48="","",Country!A48)</f>
        <v/>
      </c>
      <c r="B48" t="str">
        <f>IF(Monthly!A49="","",Monthly!A49)</f>
        <v/>
      </c>
    </row>
    <row r="49" spans="1:2" x14ac:dyDescent="0.25">
      <c r="A49" t="str">
        <f>IF(Country!A49="","",Country!A49)</f>
        <v/>
      </c>
      <c r="B49" t="str">
        <f>IF(Monthly!A50="","",Monthly!A50)</f>
        <v/>
      </c>
    </row>
    <row r="50" spans="1:2" x14ac:dyDescent="0.25">
      <c r="A50" t="str">
        <f>IF(Country!A50="","",Country!A50)</f>
        <v/>
      </c>
      <c r="B50" t="str">
        <f>IF(Monthly!A51="","",Monthly!A51)</f>
        <v/>
      </c>
    </row>
    <row r="51" spans="1:2" x14ac:dyDescent="0.25">
      <c r="A51" t="str">
        <f>IF(Country!A51="","",Country!A51)</f>
        <v/>
      </c>
      <c r="B51" t="str">
        <f>IF(Monthly!A52="","",Monthly!A52)</f>
        <v/>
      </c>
    </row>
    <row r="52" spans="1:2" x14ac:dyDescent="0.25">
      <c r="A52" t="str">
        <f>IF(Country!A52="","",Country!A52)</f>
        <v/>
      </c>
      <c r="B52" t="str">
        <f>IF(Monthly!A53="","",Monthly!A53)</f>
        <v/>
      </c>
    </row>
    <row r="53" spans="1:2" x14ac:dyDescent="0.25">
      <c r="A53" t="str">
        <f>IF(Country!A53="","",Country!A53)</f>
        <v/>
      </c>
      <c r="B53" t="str">
        <f>IF(Monthly!A54="","",Monthly!A54)</f>
        <v/>
      </c>
    </row>
    <row r="54" spans="1:2" x14ac:dyDescent="0.25">
      <c r="A54" t="str">
        <f>IF(Country!A54="","",Country!A54)</f>
        <v/>
      </c>
      <c r="B54" t="str">
        <f>IF(Monthly!A55="","",Monthly!A55)</f>
        <v/>
      </c>
    </row>
    <row r="55" spans="1:2" x14ac:dyDescent="0.25">
      <c r="A55" t="str">
        <f>IF(Country!A55="","",Country!A55)</f>
        <v/>
      </c>
      <c r="B55" t="str">
        <f>IF(Monthly!A56="","",Monthly!A56)</f>
        <v/>
      </c>
    </row>
    <row r="56" spans="1:2" x14ac:dyDescent="0.25">
      <c r="A56" t="str">
        <f>IF(Country!A56="","",Country!A56)</f>
        <v/>
      </c>
      <c r="B56" t="str">
        <f>IF(Monthly!A57="","",Monthly!A57)</f>
        <v/>
      </c>
    </row>
    <row r="57" spans="1:2" x14ac:dyDescent="0.25">
      <c r="A57" t="str">
        <f>IF(Country!A57="","",Country!A57)</f>
        <v/>
      </c>
      <c r="B57" t="str">
        <f>IF(Monthly!A58="","",Monthly!A58)</f>
        <v/>
      </c>
    </row>
    <row r="58" spans="1:2" x14ac:dyDescent="0.25">
      <c r="A58" t="str">
        <f>IF(Country!A58="","",Country!A58)</f>
        <v/>
      </c>
      <c r="B58" t="str">
        <f>IF(Monthly!A59="","",Monthly!A59)</f>
        <v/>
      </c>
    </row>
    <row r="59" spans="1:2" x14ac:dyDescent="0.25">
      <c r="A59" t="str">
        <f>IF(Country!A59="","",Country!A59)</f>
        <v/>
      </c>
      <c r="B59" t="str">
        <f>IF(Monthly!A60="","",Monthly!A60)</f>
        <v/>
      </c>
    </row>
    <row r="60" spans="1:2" x14ac:dyDescent="0.25">
      <c r="A60" t="str">
        <f>IF(Country!A60="","",Country!A60)</f>
        <v/>
      </c>
      <c r="B60" t="str">
        <f>IF(Monthly!A61="","",Monthly!A61)</f>
        <v/>
      </c>
    </row>
    <row r="61" spans="1:2" x14ac:dyDescent="0.25">
      <c r="A61" t="str">
        <f>IF(Country!A61="","",Country!A61)</f>
        <v/>
      </c>
      <c r="B61" t="str">
        <f>IF(Monthly!A62="","",Monthly!A62)</f>
        <v/>
      </c>
    </row>
    <row r="62" spans="1:2" x14ac:dyDescent="0.25">
      <c r="A62" t="str">
        <f>IF(Country!A62="","",Country!A62)</f>
        <v/>
      </c>
      <c r="B62" t="str">
        <f>IF(Monthly!A63="","",Monthly!A63)</f>
        <v/>
      </c>
    </row>
    <row r="63" spans="1:2" x14ac:dyDescent="0.25">
      <c r="A63" t="str">
        <f>IF(Country!A63="","",Country!A63)</f>
        <v/>
      </c>
      <c r="B63" t="str">
        <f>IF(Monthly!A64="","",Monthly!A64)</f>
        <v/>
      </c>
    </row>
    <row r="64" spans="1:2" x14ac:dyDescent="0.25">
      <c r="A64" t="str">
        <f>IF(Country!A64="","",Country!A64)</f>
        <v/>
      </c>
      <c r="B64" t="str">
        <f>IF(Monthly!A65="","",Monthly!A65)</f>
        <v/>
      </c>
    </row>
    <row r="65" spans="1:2" x14ac:dyDescent="0.25">
      <c r="A65" t="str">
        <f>IF(Country!A65="","",Country!A65)</f>
        <v/>
      </c>
      <c r="B65" t="str">
        <f>IF(Monthly!A66="","",Monthly!A66)</f>
        <v/>
      </c>
    </row>
    <row r="66" spans="1:2" x14ac:dyDescent="0.25">
      <c r="A66" t="str">
        <f>IF(Country!A66="","",Country!A66)</f>
        <v/>
      </c>
      <c r="B66" t="str">
        <f>IF(Monthly!A67="","",Monthly!A67)</f>
        <v/>
      </c>
    </row>
    <row r="67" spans="1:2" x14ac:dyDescent="0.25">
      <c r="A67" t="str">
        <f>IF(Country!A67="","",Country!A67)</f>
        <v/>
      </c>
      <c r="B67" t="str">
        <f>IF(Monthly!A68="","",Monthly!A68)</f>
        <v/>
      </c>
    </row>
    <row r="68" spans="1:2" x14ac:dyDescent="0.25">
      <c r="A68" t="str">
        <f>IF(Country!A68="","",Country!A68)</f>
        <v/>
      </c>
      <c r="B68" t="str">
        <f>IF(Monthly!A69="","",Monthly!A69)</f>
        <v/>
      </c>
    </row>
    <row r="69" spans="1:2" x14ac:dyDescent="0.25">
      <c r="A69" t="str">
        <f>IF(Country!A69="","",Country!A69)</f>
        <v/>
      </c>
      <c r="B69" t="str">
        <f>IF(Monthly!A70="","",Monthly!A70)</f>
        <v/>
      </c>
    </row>
    <row r="70" spans="1:2" x14ac:dyDescent="0.25">
      <c r="A70" t="str">
        <f>IF(Country!A70="","",Country!A70)</f>
        <v/>
      </c>
      <c r="B70" t="str">
        <f>IF(Monthly!A71="","",Monthly!A71)</f>
        <v/>
      </c>
    </row>
    <row r="71" spans="1:2" x14ac:dyDescent="0.25">
      <c r="A71" t="str">
        <f>IF(Country!A71="","",Country!A71)</f>
        <v/>
      </c>
      <c r="B71" t="str">
        <f>IF(Monthly!A72="","",Monthly!A72)</f>
        <v/>
      </c>
    </row>
    <row r="72" spans="1:2" x14ac:dyDescent="0.25">
      <c r="A72" t="str">
        <f>IF(Country!A72="","",Country!A72)</f>
        <v/>
      </c>
      <c r="B72" t="str">
        <f>IF(Monthly!A73="","",Monthly!A73)</f>
        <v/>
      </c>
    </row>
    <row r="73" spans="1:2" x14ac:dyDescent="0.25">
      <c r="A73" t="str">
        <f>IF(Country!A73="","",Country!A73)</f>
        <v/>
      </c>
      <c r="B73" t="str">
        <f>IF(Monthly!A74="","",Monthly!A74)</f>
        <v/>
      </c>
    </row>
    <row r="74" spans="1:2" x14ac:dyDescent="0.25">
      <c r="A74" t="str">
        <f>IF(Country!A74="","",Country!A74)</f>
        <v/>
      </c>
      <c r="B74" t="str">
        <f>IF(Monthly!A75="","",Monthly!A75)</f>
        <v/>
      </c>
    </row>
    <row r="75" spans="1:2" x14ac:dyDescent="0.25">
      <c r="A75" t="str">
        <f>IF(Country!A75="","",Country!A75)</f>
        <v/>
      </c>
      <c r="B75" t="str">
        <f>IF(Monthly!A76="","",Monthly!A76)</f>
        <v/>
      </c>
    </row>
    <row r="76" spans="1:2" x14ac:dyDescent="0.25">
      <c r="A76" t="str">
        <f>IF(Country!A76="","",Country!A76)</f>
        <v/>
      </c>
      <c r="B76" t="str">
        <f>IF(Monthly!A77="","",Monthly!A77)</f>
        <v/>
      </c>
    </row>
    <row r="77" spans="1:2" x14ac:dyDescent="0.25">
      <c r="A77" t="str">
        <f>IF(Country!A77="","",Country!A77)</f>
        <v/>
      </c>
      <c r="B77" t="str">
        <f>IF(Monthly!A78="","",Monthly!A78)</f>
        <v/>
      </c>
    </row>
    <row r="78" spans="1:2" x14ac:dyDescent="0.25">
      <c r="A78" t="str">
        <f>IF(Country!A78="","",Country!A78)</f>
        <v/>
      </c>
      <c r="B78" t="str">
        <f>IF(Monthly!A79="","",Monthly!A79)</f>
        <v/>
      </c>
    </row>
    <row r="79" spans="1:2" x14ac:dyDescent="0.25">
      <c r="A79" t="str">
        <f>IF(Country!A79="","",Country!A79)</f>
        <v/>
      </c>
      <c r="B79" t="str">
        <f>IF(Monthly!A80="","",Monthly!A80)</f>
        <v/>
      </c>
    </row>
    <row r="80" spans="1:2" x14ac:dyDescent="0.25">
      <c r="A80" t="str">
        <f>IF(Country!A80="","",Country!A80)</f>
        <v/>
      </c>
      <c r="B80" t="str">
        <f>IF(Monthly!A81="","",Monthly!A81)</f>
        <v/>
      </c>
    </row>
    <row r="81" spans="1:2" x14ac:dyDescent="0.25">
      <c r="A81" t="str">
        <f>IF(Country!A81="","",Country!A81)</f>
        <v/>
      </c>
      <c r="B81" t="str">
        <f>IF(Monthly!A82="","",Monthly!A82)</f>
        <v/>
      </c>
    </row>
    <row r="82" spans="1:2" x14ac:dyDescent="0.25">
      <c r="A82" t="str">
        <f>IF(Country!A82="","",Country!A82)</f>
        <v/>
      </c>
      <c r="B82" t="str">
        <f>IF(Monthly!A83="","",Monthly!A83)</f>
        <v/>
      </c>
    </row>
    <row r="83" spans="1:2" x14ac:dyDescent="0.25">
      <c r="A83" t="str">
        <f>IF(Country!A83="","",Country!A83)</f>
        <v/>
      </c>
      <c r="B83" t="str">
        <f>IF(Monthly!A84="","",Monthly!A84)</f>
        <v/>
      </c>
    </row>
    <row r="84" spans="1:2" x14ac:dyDescent="0.25">
      <c r="A84" t="str">
        <f>IF(Country!A84="","",Country!A84)</f>
        <v/>
      </c>
      <c r="B84" t="str">
        <f>IF(Monthly!A85="","",Monthly!A85)</f>
        <v/>
      </c>
    </row>
    <row r="85" spans="1:2" x14ac:dyDescent="0.25">
      <c r="A85" t="str">
        <f>IF(Country!A85="","",Country!A85)</f>
        <v/>
      </c>
      <c r="B85" t="str">
        <f>IF(Monthly!A86="","",Monthly!A86)</f>
        <v/>
      </c>
    </row>
    <row r="86" spans="1:2" x14ac:dyDescent="0.25">
      <c r="A86" t="str">
        <f>IF(Country!A86="","",Country!A86)</f>
        <v/>
      </c>
      <c r="B86" t="str">
        <f>IF(Monthly!A87="","",Monthly!A87)</f>
        <v/>
      </c>
    </row>
    <row r="87" spans="1:2" x14ac:dyDescent="0.25">
      <c r="A87" t="str">
        <f>IF(Country!A87="","",Country!A87)</f>
        <v/>
      </c>
      <c r="B87" t="str">
        <f>IF(Monthly!A88="","",Monthly!A88)</f>
        <v/>
      </c>
    </row>
    <row r="88" spans="1:2" x14ac:dyDescent="0.25">
      <c r="A88" t="str">
        <f>IF(Country!A88="","",Country!A88)</f>
        <v/>
      </c>
      <c r="B88" t="str">
        <f>IF(Monthly!A89="","",Monthly!A89)</f>
        <v/>
      </c>
    </row>
    <row r="89" spans="1:2" x14ac:dyDescent="0.25">
      <c r="A89" t="str">
        <f>IF(Country!A89="","",Country!A89)</f>
        <v/>
      </c>
      <c r="B89" t="str">
        <f>IF(Monthly!A90="","",Monthly!A90)</f>
        <v/>
      </c>
    </row>
    <row r="90" spans="1:2" x14ac:dyDescent="0.25">
      <c r="A90" t="str">
        <f>IF(Country!A90="","",Country!A90)</f>
        <v/>
      </c>
      <c r="B90" t="str">
        <f>IF(Monthly!A91="","",Monthly!A91)</f>
        <v/>
      </c>
    </row>
    <row r="91" spans="1:2" x14ac:dyDescent="0.25">
      <c r="A91" t="str">
        <f>IF(Country!A91="","",Country!A91)</f>
        <v/>
      </c>
      <c r="B91" t="str">
        <f>IF(Monthly!A92="","",Monthly!A92)</f>
        <v/>
      </c>
    </row>
    <row r="92" spans="1:2" x14ac:dyDescent="0.25">
      <c r="A92" t="str">
        <f>IF(Country!A92="","",Country!A92)</f>
        <v/>
      </c>
      <c r="B92" t="str">
        <f>IF(Monthly!A93="","",Monthly!A93)</f>
        <v/>
      </c>
    </row>
    <row r="93" spans="1:2" x14ac:dyDescent="0.25">
      <c r="A93" t="str">
        <f>IF(Country!A93="","",Country!A93)</f>
        <v/>
      </c>
      <c r="B93" t="str">
        <f>IF(Monthly!A94="","",Monthly!A94)</f>
        <v/>
      </c>
    </row>
    <row r="94" spans="1:2" x14ac:dyDescent="0.25">
      <c r="A94" t="str">
        <f>IF(Country!A94="","",Country!A94)</f>
        <v/>
      </c>
      <c r="B94" t="str">
        <f>IF(Monthly!A95="","",Monthly!A95)</f>
        <v/>
      </c>
    </row>
    <row r="95" spans="1:2" x14ac:dyDescent="0.25">
      <c r="A95" t="str">
        <f>IF(Country!A95="","",Country!A95)</f>
        <v/>
      </c>
      <c r="B95" t="str">
        <f>IF(Monthly!A96="","",Monthly!A96)</f>
        <v/>
      </c>
    </row>
    <row r="96" spans="1:2" x14ac:dyDescent="0.25">
      <c r="A96" t="str">
        <f>IF(Country!A96="","",Country!A96)</f>
        <v/>
      </c>
      <c r="B96" t="str">
        <f>IF(Monthly!A97="","",Monthly!A97)</f>
        <v/>
      </c>
    </row>
    <row r="97" spans="1:2" x14ac:dyDescent="0.25">
      <c r="A97" t="str">
        <f>IF(Country!A97="","",Country!A97)</f>
        <v/>
      </c>
      <c r="B97" t="str">
        <f>IF(Monthly!A98="","",Monthly!A98)</f>
        <v/>
      </c>
    </row>
    <row r="98" spans="1:2" x14ac:dyDescent="0.25">
      <c r="A98" t="str">
        <f>IF(Country!A98="","",Country!A98)</f>
        <v/>
      </c>
      <c r="B98" t="str">
        <f>IF(Monthly!A99="","",Monthly!A99)</f>
        <v/>
      </c>
    </row>
    <row r="99" spans="1:2" x14ac:dyDescent="0.25">
      <c r="A99" t="str">
        <f>IF(Country!A99="","",Country!A99)</f>
        <v/>
      </c>
      <c r="B99" t="str">
        <f>IF(Monthly!A100="","",Monthly!A100)</f>
        <v/>
      </c>
    </row>
    <row r="100" spans="1:2" x14ac:dyDescent="0.25">
      <c r="A100" t="str">
        <f>IF(Country!A100="","",Country!A100)</f>
        <v/>
      </c>
      <c r="B100" t="str">
        <f>IF(Monthly!A101="","",Monthly!A101)</f>
        <v/>
      </c>
    </row>
    <row r="101" spans="1:2" x14ac:dyDescent="0.25">
      <c r="A101" t="str">
        <f>IF(Country!A101="","",Country!A101)</f>
        <v/>
      </c>
      <c r="B101" t="str">
        <f>IF(Monthly!A102="","",Monthly!A102)</f>
        <v/>
      </c>
    </row>
    <row r="102" spans="1:2" x14ac:dyDescent="0.25">
      <c r="A102" t="str">
        <f>IF(Country!A102="","",Country!A102)</f>
        <v/>
      </c>
      <c r="B102" t="str">
        <f>IF(Monthly!A103="","",Monthly!A103)</f>
        <v/>
      </c>
    </row>
    <row r="103" spans="1:2" x14ac:dyDescent="0.25">
      <c r="A103" t="str">
        <f>IF(Country!A103="","",Country!A103)</f>
        <v/>
      </c>
      <c r="B103" t="str">
        <f>IF(Monthly!A104="","",Monthly!A104)</f>
        <v/>
      </c>
    </row>
    <row r="104" spans="1:2" x14ac:dyDescent="0.25">
      <c r="A104" t="str">
        <f>IF(Country!A104="","",Country!A104)</f>
        <v/>
      </c>
      <c r="B104" t="str">
        <f>IF(Monthly!A105="","",Monthly!A105)</f>
        <v/>
      </c>
    </row>
    <row r="105" spans="1:2" x14ac:dyDescent="0.25">
      <c r="A105" t="str">
        <f>IF(Country!A105="","",Country!A105)</f>
        <v/>
      </c>
      <c r="B105" t="str">
        <f>IF(Monthly!A106="","",Monthly!A106)</f>
        <v/>
      </c>
    </row>
    <row r="106" spans="1:2" x14ac:dyDescent="0.25">
      <c r="A106" t="str">
        <f>IF(Country!A106="","",Country!A106)</f>
        <v/>
      </c>
      <c r="B106" t="str">
        <f>IF(Monthly!A107="","",Monthly!A107)</f>
        <v/>
      </c>
    </row>
    <row r="107" spans="1:2" x14ac:dyDescent="0.25">
      <c r="A107" t="str">
        <f>IF(Country!A107="","",Country!A107)</f>
        <v/>
      </c>
      <c r="B107" t="str">
        <f>IF(Monthly!A108="","",Monthly!A108)</f>
        <v/>
      </c>
    </row>
    <row r="108" spans="1:2" x14ac:dyDescent="0.25">
      <c r="A108" t="str">
        <f>IF(Country!A108="","",Country!A108)</f>
        <v/>
      </c>
      <c r="B108" t="str">
        <f>IF(Monthly!A109="","",Monthly!A109)</f>
        <v/>
      </c>
    </row>
    <row r="109" spans="1:2" x14ac:dyDescent="0.25">
      <c r="A109" t="str">
        <f>IF(Country!A109="","",Country!A109)</f>
        <v/>
      </c>
      <c r="B109" t="str">
        <f>IF(Monthly!A110="","",Monthly!A110)</f>
        <v/>
      </c>
    </row>
    <row r="110" spans="1:2" x14ac:dyDescent="0.25">
      <c r="A110" t="str">
        <f>IF(Country!A110="","",Country!A110)</f>
        <v/>
      </c>
      <c r="B110" t="str">
        <f>IF(Monthly!A111="","",Monthly!A111)</f>
        <v/>
      </c>
    </row>
    <row r="111" spans="1:2" x14ac:dyDescent="0.25">
      <c r="A111" t="str">
        <f>IF(Country!A111="","",Country!A111)</f>
        <v/>
      </c>
      <c r="B111" t="str">
        <f>IF(Monthly!A112="","",Monthly!A112)</f>
        <v/>
      </c>
    </row>
    <row r="112" spans="1:2" x14ac:dyDescent="0.25">
      <c r="A112" t="str">
        <f>IF(Country!A112="","",Country!A112)</f>
        <v/>
      </c>
      <c r="B112" t="str">
        <f>IF(Monthly!A113="","",Monthly!A113)</f>
        <v/>
      </c>
    </row>
    <row r="113" spans="1:2" x14ac:dyDescent="0.25">
      <c r="A113" t="str">
        <f>IF(Country!A113="","",Country!A113)</f>
        <v/>
      </c>
      <c r="B113" t="str">
        <f>IF(Monthly!A114="","",Monthly!A114)</f>
        <v/>
      </c>
    </row>
    <row r="114" spans="1:2" x14ac:dyDescent="0.25">
      <c r="A114" t="str">
        <f>IF(Country!A114="","",Country!A114)</f>
        <v/>
      </c>
      <c r="B114" t="str">
        <f>IF(Monthly!A115="","",Monthly!A115)</f>
        <v/>
      </c>
    </row>
    <row r="115" spans="1:2" x14ac:dyDescent="0.25">
      <c r="A115" t="str">
        <f>IF(Country!A115="","",Country!A115)</f>
        <v/>
      </c>
      <c r="B115" t="str">
        <f>IF(Monthly!A116="","",Monthly!A116)</f>
        <v/>
      </c>
    </row>
    <row r="116" spans="1:2" x14ac:dyDescent="0.25">
      <c r="A116" t="str">
        <f>IF(Country!A116="","",Country!A116)</f>
        <v/>
      </c>
      <c r="B116" t="str">
        <f>IF(Monthly!A117="","",Monthly!A117)</f>
        <v/>
      </c>
    </row>
    <row r="117" spans="1:2" x14ac:dyDescent="0.25">
      <c r="A117" t="str">
        <f>IF(Country!A117="","",Country!A117)</f>
        <v/>
      </c>
      <c r="B117" t="str">
        <f>IF(Monthly!A118="","",Monthly!A118)</f>
        <v/>
      </c>
    </row>
    <row r="118" spans="1:2" x14ac:dyDescent="0.25">
      <c r="A118" t="str">
        <f>IF(Country!A118="","",Country!A118)</f>
        <v/>
      </c>
      <c r="B118" t="str">
        <f>IF(Monthly!A119="","",Monthly!A119)</f>
        <v/>
      </c>
    </row>
    <row r="119" spans="1:2" x14ac:dyDescent="0.25">
      <c r="A119" t="str">
        <f>IF(Country!A119="","",Country!A119)</f>
        <v/>
      </c>
      <c r="B119" t="str">
        <f>IF(Monthly!A120="","",Monthly!A120)</f>
        <v/>
      </c>
    </row>
    <row r="120" spans="1:2" x14ac:dyDescent="0.25">
      <c r="A120" t="str">
        <f>IF(Country!A120="","",Country!A120)</f>
        <v/>
      </c>
      <c r="B120" t="str">
        <f>IF(Monthly!A121="","",Monthly!A121)</f>
        <v/>
      </c>
    </row>
    <row r="121" spans="1:2" x14ac:dyDescent="0.25">
      <c r="A121" t="str">
        <f>IF(Country!A121="","",Country!A121)</f>
        <v/>
      </c>
      <c r="B121" t="str">
        <f>IF(Monthly!A122="","",Monthly!A122)</f>
        <v/>
      </c>
    </row>
    <row r="122" spans="1:2" x14ac:dyDescent="0.25">
      <c r="A122" t="str">
        <f>IF(Country!A122="","",Country!A122)</f>
        <v/>
      </c>
      <c r="B122" t="str">
        <f>IF(Monthly!A123="","",Monthly!A123)</f>
        <v/>
      </c>
    </row>
    <row r="123" spans="1:2" x14ac:dyDescent="0.25">
      <c r="A123" t="str">
        <f>IF(Country!A123="","",Country!A123)</f>
        <v/>
      </c>
      <c r="B123" t="str">
        <f>IF(Monthly!A124="","",Monthly!A124)</f>
        <v/>
      </c>
    </row>
    <row r="124" spans="1:2" x14ac:dyDescent="0.25">
      <c r="A124" t="str">
        <f>IF(Country!A124="","",Country!A124)</f>
        <v/>
      </c>
      <c r="B124" t="str">
        <f>IF(Monthly!A125="","",Monthly!A125)</f>
        <v/>
      </c>
    </row>
    <row r="125" spans="1:2" x14ac:dyDescent="0.25">
      <c r="A125" t="str">
        <f>IF(Country!A125="","",Country!A125)</f>
        <v/>
      </c>
      <c r="B125" t="str">
        <f>IF(Monthly!A126="","",Monthly!A126)</f>
        <v/>
      </c>
    </row>
    <row r="126" spans="1:2" x14ac:dyDescent="0.25">
      <c r="A126" t="str">
        <f>IF(Country!A126="","",Country!A126)</f>
        <v/>
      </c>
      <c r="B126" t="str">
        <f>IF(Monthly!A127="","",Monthly!A127)</f>
        <v/>
      </c>
    </row>
    <row r="127" spans="1:2" x14ac:dyDescent="0.25">
      <c r="A127" t="str">
        <f>IF(Country!A127="","",Country!A127)</f>
        <v/>
      </c>
      <c r="B127" t="str">
        <f>IF(Monthly!A128="","",Monthly!A128)</f>
        <v/>
      </c>
    </row>
    <row r="128" spans="1:2" x14ac:dyDescent="0.25">
      <c r="A128" t="str">
        <f>IF(Country!A128="","",Country!A128)</f>
        <v/>
      </c>
      <c r="B128" t="str">
        <f>IF(Monthly!A129="","",Monthly!A129)</f>
        <v/>
      </c>
    </row>
    <row r="129" spans="1:2" x14ac:dyDescent="0.25">
      <c r="A129" t="str">
        <f>IF(Country!A129="","",Country!A129)</f>
        <v/>
      </c>
      <c r="B129" t="str">
        <f>IF(Monthly!A130="","",Monthly!A130)</f>
        <v/>
      </c>
    </row>
    <row r="130" spans="1:2" x14ac:dyDescent="0.25">
      <c r="A130" t="str">
        <f>IF(Country!A130="","",Country!A130)</f>
        <v/>
      </c>
      <c r="B130" t="str">
        <f>IF(Monthly!A131="","",Monthly!A131)</f>
        <v/>
      </c>
    </row>
    <row r="131" spans="1:2" x14ac:dyDescent="0.25">
      <c r="A131" t="str">
        <f>IF(Country!A131="","",Country!A131)</f>
        <v/>
      </c>
      <c r="B131" t="str">
        <f>IF(Monthly!A132="","",Monthly!A132)</f>
        <v/>
      </c>
    </row>
    <row r="132" spans="1:2" x14ac:dyDescent="0.25">
      <c r="A132" t="str">
        <f>IF(Country!A132="","",Country!A132)</f>
        <v/>
      </c>
      <c r="B132" t="str">
        <f>IF(Monthly!A133="","",Monthly!A133)</f>
        <v/>
      </c>
    </row>
    <row r="133" spans="1:2" x14ac:dyDescent="0.25">
      <c r="A133" t="str">
        <f>IF(Country!A133="","",Country!A133)</f>
        <v/>
      </c>
      <c r="B133" t="str">
        <f>IF(Monthly!A134="","",Monthly!A134)</f>
        <v/>
      </c>
    </row>
    <row r="134" spans="1:2" x14ac:dyDescent="0.25">
      <c r="A134" t="str">
        <f>IF(Country!A134="","",Country!A134)</f>
        <v/>
      </c>
      <c r="B134" t="str">
        <f>IF(Monthly!A135="","",Monthly!A135)</f>
        <v/>
      </c>
    </row>
    <row r="135" spans="1:2" x14ac:dyDescent="0.25">
      <c r="A135" t="str">
        <f>IF(Country!A135="","",Country!A135)</f>
        <v/>
      </c>
      <c r="B135" t="str">
        <f>IF(Monthly!A136="","",Monthly!A136)</f>
        <v/>
      </c>
    </row>
    <row r="136" spans="1:2" x14ac:dyDescent="0.25">
      <c r="A136" t="str">
        <f>IF(Country!A136="","",Country!A136)</f>
        <v/>
      </c>
      <c r="B136" t="str">
        <f>IF(Monthly!A137="","",Monthly!A137)</f>
        <v/>
      </c>
    </row>
    <row r="137" spans="1:2" x14ac:dyDescent="0.25">
      <c r="A137" t="str">
        <f>IF(Country!A137="","",Country!A137)</f>
        <v/>
      </c>
      <c r="B137" t="str">
        <f>IF(Monthly!A138="","",Monthly!A138)</f>
        <v/>
      </c>
    </row>
    <row r="138" spans="1:2" x14ac:dyDescent="0.25">
      <c r="A138" t="str">
        <f>IF(Country!A138="","",Country!A138)</f>
        <v/>
      </c>
      <c r="B138" t="str">
        <f>IF(Monthly!A139="","",Monthly!A139)</f>
        <v/>
      </c>
    </row>
    <row r="139" spans="1:2" x14ac:dyDescent="0.25">
      <c r="A139" t="str">
        <f>IF(Country!A139="","",Country!A139)</f>
        <v/>
      </c>
      <c r="B139" t="str">
        <f>IF(Monthly!A140="","",Monthly!A140)</f>
        <v/>
      </c>
    </row>
    <row r="140" spans="1:2" x14ac:dyDescent="0.25">
      <c r="A140" t="str">
        <f>IF(Country!A140="","",Country!A140)</f>
        <v/>
      </c>
      <c r="B140" t="str">
        <f>IF(Monthly!A141="","",Monthly!A141)</f>
        <v/>
      </c>
    </row>
    <row r="141" spans="1:2" x14ac:dyDescent="0.25">
      <c r="A141" t="str">
        <f>IF(Country!A141="","",Country!A141)</f>
        <v/>
      </c>
      <c r="B141" t="str">
        <f>IF(Monthly!A142="","",Monthly!A142)</f>
        <v/>
      </c>
    </row>
    <row r="142" spans="1:2" x14ac:dyDescent="0.25">
      <c r="A142" t="str">
        <f>IF(Country!A142="","",Country!A142)</f>
        <v/>
      </c>
      <c r="B142" t="str">
        <f>IF(Monthly!A143="","",Monthly!A143)</f>
        <v/>
      </c>
    </row>
    <row r="143" spans="1:2" x14ac:dyDescent="0.25">
      <c r="A143" t="str">
        <f>IF(Country!A143="","",Country!A143)</f>
        <v/>
      </c>
      <c r="B143" t="str">
        <f>IF(Monthly!A144="","",Monthly!A144)</f>
        <v/>
      </c>
    </row>
    <row r="144" spans="1:2" x14ac:dyDescent="0.25">
      <c r="A144" t="str">
        <f>IF(Country!A144="","",Country!A144)</f>
        <v/>
      </c>
      <c r="B144" t="str">
        <f>IF(Monthly!A145="","",Monthly!A145)</f>
        <v/>
      </c>
    </row>
    <row r="145" spans="1:2" x14ac:dyDescent="0.25">
      <c r="A145" t="str">
        <f>IF(Country!A145="","",Country!A145)</f>
        <v/>
      </c>
      <c r="B145" t="str">
        <f>IF(Monthly!A146="","",Monthly!A146)</f>
        <v/>
      </c>
    </row>
    <row r="146" spans="1:2" x14ac:dyDescent="0.25">
      <c r="A146" t="str">
        <f>IF(Country!A146="","",Country!A146)</f>
        <v/>
      </c>
      <c r="B146" t="str">
        <f>IF(Monthly!A147="","",Monthly!A147)</f>
        <v/>
      </c>
    </row>
    <row r="147" spans="1:2" x14ac:dyDescent="0.25">
      <c r="A147" t="str">
        <f>IF(Country!A147="","",Country!A147)</f>
        <v/>
      </c>
      <c r="B147" t="str">
        <f>IF(Monthly!A148="","",Monthly!A148)</f>
        <v/>
      </c>
    </row>
    <row r="148" spans="1:2" x14ac:dyDescent="0.25">
      <c r="A148" t="str">
        <f>IF(Country!A148="","",Country!A148)</f>
        <v/>
      </c>
      <c r="B148" t="str">
        <f>IF(Monthly!A149="","",Monthly!A149)</f>
        <v/>
      </c>
    </row>
    <row r="149" spans="1:2" x14ac:dyDescent="0.25">
      <c r="A149" t="str">
        <f>IF(Country!A149="","",Country!A149)</f>
        <v/>
      </c>
      <c r="B149" t="str">
        <f>IF(Monthly!A150="","",Monthly!A150)</f>
        <v/>
      </c>
    </row>
    <row r="150" spans="1:2" x14ac:dyDescent="0.25">
      <c r="A150" t="str">
        <f>IF(Country!A150="","",Country!A150)</f>
        <v/>
      </c>
      <c r="B150" t="str">
        <f>IF(Monthly!A151="","",Monthly!A151)</f>
        <v/>
      </c>
    </row>
    <row r="151" spans="1:2" x14ac:dyDescent="0.25">
      <c r="A151" t="str">
        <f>IF(Country!A151="","",Country!A151)</f>
        <v/>
      </c>
      <c r="B151" t="str">
        <f>IF(Monthly!A152="","",Monthly!A152)</f>
        <v/>
      </c>
    </row>
    <row r="152" spans="1:2" x14ac:dyDescent="0.25">
      <c r="A152" t="str">
        <f>IF(Country!A152="","",Country!A152)</f>
        <v/>
      </c>
      <c r="B152" t="str">
        <f>IF(Monthly!A153="","",Monthly!A153)</f>
        <v/>
      </c>
    </row>
    <row r="153" spans="1:2" x14ac:dyDescent="0.25">
      <c r="A153" t="str">
        <f>IF(Country!A153="","",Country!A153)</f>
        <v/>
      </c>
      <c r="B153" t="str">
        <f>IF(Monthly!A154="","",Monthly!A154)</f>
        <v/>
      </c>
    </row>
    <row r="154" spans="1:2" x14ac:dyDescent="0.25">
      <c r="A154" t="str">
        <f>IF(Country!A154="","",Country!A154)</f>
        <v/>
      </c>
      <c r="B154" t="str">
        <f>IF(Monthly!A155="","",Monthly!A155)</f>
        <v/>
      </c>
    </row>
    <row r="155" spans="1:2" x14ac:dyDescent="0.25">
      <c r="A155" t="str">
        <f>IF(Country!A155="","",Country!A155)</f>
        <v/>
      </c>
      <c r="B155" t="str">
        <f>IF(Monthly!A156="","",Monthly!A156)</f>
        <v/>
      </c>
    </row>
    <row r="156" spans="1:2" x14ac:dyDescent="0.25">
      <c r="A156" t="str">
        <f>IF(Country!A156="","",Country!A156)</f>
        <v/>
      </c>
      <c r="B156" t="str">
        <f>IF(Monthly!A157="","",Monthly!A157)</f>
        <v/>
      </c>
    </row>
    <row r="157" spans="1:2" x14ac:dyDescent="0.25">
      <c r="A157" t="str">
        <f>IF(Country!A157="","",Country!A157)</f>
        <v/>
      </c>
      <c r="B157" t="str">
        <f>IF(Monthly!A158="","",Monthly!A158)</f>
        <v/>
      </c>
    </row>
    <row r="158" spans="1:2" x14ac:dyDescent="0.25">
      <c r="A158" t="str">
        <f>IF(Country!A158="","",Country!A158)</f>
        <v/>
      </c>
      <c r="B158" t="str">
        <f>IF(Monthly!A159="","",Monthly!A159)</f>
        <v/>
      </c>
    </row>
    <row r="159" spans="1:2" x14ac:dyDescent="0.25">
      <c r="A159" t="str">
        <f>IF(Country!A159="","",Country!A159)</f>
        <v/>
      </c>
      <c r="B159" t="str">
        <f>IF(Monthly!A160="","",Monthly!A160)</f>
        <v/>
      </c>
    </row>
    <row r="160" spans="1:2" x14ac:dyDescent="0.25">
      <c r="A160" t="str">
        <f>IF(Country!A160="","",Country!A160)</f>
        <v/>
      </c>
      <c r="B160" t="str">
        <f>IF(Monthly!A161="","",Monthly!A161)</f>
        <v/>
      </c>
    </row>
    <row r="161" spans="1:2" x14ac:dyDescent="0.25">
      <c r="A161" t="str">
        <f>IF(Country!A161="","",Country!A161)</f>
        <v/>
      </c>
      <c r="B161" t="str">
        <f>IF(Monthly!A162="","",Monthly!A162)</f>
        <v/>
      </c>
    </row>
    <row r="162" spans="1:2" x14ac:dyDescent="0.25">
      <c r="A162" t="str">
        <f>IF(Country!A162="","",Country!A162)</f>
        <v/>
      </c>
      <c r="B162" t="str">
        <f>IF(Monthly!A163="","",Monthly!A163)</f>
        <v/>
      </c>
    </row>
    <row r="163" spans="1:2" x14ac:dyDescent="0.25">
      <c r="A163" t="str">
        <f>IF(Country!A163="","",Country!A163)</f>
        <v/>
      </c>
      <c r="B163" t="str">
        <f>IF(Monthly!A164="","",Monthly!A164)</f>
        <v/>
      </c>
    </row>
    <row r="164" spans="1:2" x14ac:dyDescent="0.25">
      <c r="A164" t="str">
        <f>IF(Country!A164="","",Country!A164)</f>
        <v/>
      </c>
      <c r="B164" t="str">
        <f>IF(Monthly!A165="","",Monthly!A165)</f>
        <v/>
      </c>
    </row>
    <row r="165" spans="1:2" x14ac:dyDescent="0.25">
      <c r="A165" t="str">
        <f>IF(Country!A165="","",Country!A165)</f>
        <v/>
      </c>
      <c r="B165" t="str">
        <f>IF(Monthly!A166="","",Monthly!A166)</f>
        <v/>
      </c>
    </row>
    <row r="166" spans="1:2" x14ac:dyDescent="0.25">
      <c r="A166" t="str">
        <f>IF(Country!A166="","",Country!A166)</f>
        <v/>
      </c>
      <c r="B166" t="str">
        <f>IF(Monthly!A167="","",Monthly!A167)</f>
        <v/>
      </c>
    </row>
    <row r="167" spans="1:2" x14ac:dyDescent="0.25">
      <c r="A167" t="str">
        <f>IF(Country!A167="","",Country!A167)</f>
        <v/>
      </c>
      <c r="B167" t="str">
        <f>IF(Monthly!A168="","",Monthly!A168)</f>
        <v/>
      </c>
    </row>
    <row r="168" spans="1:2" x14ac:dyDescent="0.25">
      <c r="A168" t="str">
        <f>IF(Country!A168="","",Country!A168)</f>
        <v/>
      </c>
      <c r="B168" t="str">
        <f>IF(Monthly!A169="","",Monthly!A169)</f>
        <v/>
      </c>
    </row>
    <row r="169" spans="1:2" x14ac:dyDescent="0.25">
      <c r="A169" t="str">
        <f>IF(Country!A169="","",Country!A169)</f>
        <v/>
      </c>
      <c r="B169" t="str">
        <f>IF(Monthly!A170="","",Monthly!A170)</f>
        <v/>
      </c>
    </row>
    <row r="170" spans="1:2" x14ac:dyDescent="0.25">
      <c r="A170" t="str">
        <f>IF(Country!A170="","",Country!A170)</f>
        <v/>
      </c>
      <c r="B170" t="str">
        <f>IF(Monthly!A171="","",Monthly!A171)</f>
        <v/>
      </c>
    </row>
    <row r="171" spans="1:2" x14ac:dyDescent="0.25">
      <c r="A171" t="str">
        <f>IF(Country!A171="","",Country!A171)</f>
        <v/>
      </c>
      <c r="B171" t="str">
        <f>IF(Monthly!A172="","",Monthly!A172)</f>
        <v/>
      </c>
    </row>
    <row r="172" spans="1:2" x14ac:dyDescent="0.25">
      <c r="A172" t="str">
        <f>IF(Country!A172="","",Country!A172)</f>
        <v/>
      </c>
      <c r="B172" t="str">
        <f>IF(Monthly!A173="","",Monthly!A173)</f>
        <v/>
      </c>
    </row>
    <row r="173" spans="1:2" x14ac:dyDescent="0.25">
      <c r="A173" t="str">
        <f>IF(Country!A173="","",Country!A173)</f>
        <v/>
      </c>
      <c r="B173" t="str">
        <f>IF(Monthly!A174="","",Monthly!A174)</f>
        <v/>
      </c>
    </row>
    <row r="174" spans="1:2" x14ac:dyDescent="0.25">
      <c r="A174" t="str">
        <f>IF(Country!A174="","",Country!A174)</f>
        <v/>
      </c>
      <c r="B174" t="str">
        <f>IF(Monthly!A175="","",Monthly!A175)</f>
        <v/>
      </c>
    </row>
    <row r="175" spans="1:2" x14ac:dyDescent="0.25">
      <c r="A175" t="str">
        <f>IF(Country!A175="","",Country!A175)</f>
        <v/>
      </c>
      <c r="B175" t="str">
        <f>IF(Monthly!A176="","",Monthly!A176)</f>
        <v/>
      </c>
    </row>
    <row r="176" spans="1:2" x14ac:dyDescent="0.25">
      <c r="A176" t="str">
        <f>IF(Country!A176="","",Country!A176)</f>
        <v/>
      </c>
      <c r="B176" t="str">
        <f>IF(Monthly!A177="","",Monthly!A177)</f>
        <v/>
      </c>
    </row>
    <row r="177" spans="1:2" x14ac:dyDescent="0.25">
      <c r="A177" t="str">
        <f>IF(Country!A177="","",Country!A177)</f>
        <v/>
      </c>
      <c r="B177" t="str">
        <f>IF(Monthly!A178="","",Monthly!A178)</f>
        <v/>
      </c>
    </row>
    <row r="178" spans="1:2" x14ac:dyDescent="0.25">
      <c r="A178" t="str">
        <f>IF(Country!A178="","",Country!A178)</f>
        <v/>
      </c>
      <c r="B178" t="str">
        <f>IF(Monthly!A179="","",Monthly!A179)</f>
        <v/>
      </c>
    </row>
    <row r="179" spans="1:2" x14ac:dyDescent="0.25">
      <c r="A179" t="str">
        <f>IF(Country!A179="","",Country!A179)</f>
        <v/>
      </c>
      <c r="B179" t="str">
        <f>IF(Monthly!A180="","",Monthly!A180)</f>
        <v/>
      </c>
    </row>
    <row r="180" spans="1:2" x14ac:dyDescent="0.25">
      <c r="A180" t="str">
        <f>IF(Country!A180="","",Country!A180)</f>
        <v/>
      </c>
      <c r="B180" t="str">
        <f>IF(Monthly!A181="","",Monthly!A181)</f>
        <v/>
      </c>
    </row>
    <row r="181" spans="1:2" x14ac:dyDescent="0.25">
      <c r="A181" t="str">
        <f>IF(Country!A181="","",Country!A181)</f>
        <v/>
      </c>
      <c r="B181" t="str">
        <f>IF(Monthly!A182="","",Monthly!A182)</f>
        <v/>
      </c>
    </row>
    <row r="182" spans="1:2" x14ac:dyDescent="0.25">
      <c r="A182" t="str">
        <f>IF(Country!A182="","",Country!A182)</f>
        <v/>
      </c>
      <c r="B182" t="str">
        <f>IF(Monthly!A183="","",Monthly!A183)</f>
        <v/>
      </c>
    </row>
    <row r="183" spans="1:2" x14ac:dyDescent="0.25">
      <c r="A183" t="str">
        <f>IF(Country!A183="","",Country!A183)</f>
        <v/>
      </c>
      <c r="B183" t="str">
        <f>IF(Monthly!A184="","",Monthly!A184)</f>
        <v/>
      </c>
    </row>
    <row r="184" spans="1:2" x14ac:dyDescent="0.25">
      <c r="A184" t="str">
        <f>IF(Country!A184="","",Country!A184)</f>
        <v/>
      </c>
      <c r="B184" t="str">
        <f>IF(Monthly!A185="","",Monthly!A185)</f>
        <v/>
      </c>
    </row>
    <row r="185" spans="1:2" x14ac:dyDescent="0.25">
      <c r="A185" t="str">
        <f>IF(Country!A185="","",Country!A185)</f>
        <v/>
      </c>
      <c r="B185" t="str">
        <f>IF(Monthly!A186="","",Monthly!A186)</f>
        <v/>
      </c>
    </row>
    <row r="186" spans="1:2" x14ac:dyDescent="0.25">
      <c r="A186" t="str">
        <f>IF(Country!A186="","",Country!A186)</f>
        <v/>
      </c>
      <c r="B186" t="str">
        <f>IF(Monthly!A187="","",Monthly!A187)</f>
        <v/>
      </c>
    </row>
    <row r="187" spans="1:2" x14ac:dyDescent="0.25">
      <c r="A187" t="str">
        <f>IF(Country!A187="","",Country!A187)</f>
        <v/>
      </c>
      <c r="B187" t="str">
        <f>IF(Monthly!A188="","",Monthly!A188)</f>
        <v/>
      </c>
    </row>
    <row r="188" spans="1:2" x14ac:dyDescent="0.25">
      <c r="A188" t="str">
        <f>IF(Country!A188="","",Country!A188)</f>
        <v/>
      </c>
      <c r="B188" t="str">
        <f>IF(Monthly!A189="","",Monthly!A189)</f>
        <v/>
      </c>
    </row>
    <row r="189" spans="1:2" x14ac:dyDescent="0.25">
      <c r="A189" t="str">
        <f>IF(Country!A189="","",Country!A189)</f>
        <v/>
      </c>
      <c r="B189" t="str">
        <f>IF(Monthly!A190="","",Monthly!A190)</f>
        <v/>
      </c>
    </row>
    <row r="190" spans="1:2" x14ac:dyDescent="0.25">
      <c r="A190" t="str">
        <f>IF(Country!A190="","",Country!A190)</f>
        <v/>
      </c>
      <c r="B190" t="str">
        <f>IF(Monthly!A191="","",Monthly!A191)</f>
        <v/>
      </c>
    </row>
    <row r="191" spans="1:2" x14ac:dyDescent="0.25">
      <c r="A191" t="str">
        <f>IF(Country!A191="","",Country!A191)</f>
        <v/>
      </c>
      <c r="B191" t="str">
        <f>IF(Monthly!A192="","",Monthly!A192)</f>
        <v/>
      </c>
    </row>
    <row r="192" spans="1:2" x14ac:dyDescent="0.25">
      <c r="A192" t="str">
        <f>IF(Country!A192="","",Country!A192)</f>
        <v/>
      </c>
      <c r="B192" t="str">
        <f>IF(Monthly!A193="","",Monthly!A193)</f>
        <v/>
      </c>
    </row>
    <row r="193" spans="1:2" x14ac:dyDescent="0.25">
      <c r="A193" t="str">
        <f>IF(Country!A193="","",Country!A193)</f>
        <v/>
      </c>
      <c r="B193" t="str">
        <f>IF(Monthly!A194="","",Monthly!A194)</f>
        <v/>
      </c>
    </row>
    <row r="194" spans="1:2" x14ac:dyDescent="0.25">
      <c r="A194" t="str">
        <f>IF(Country!A194="","",Country!A194)</f>
        <v/>
      </c>
      <c r="B194" t="str">
        <f>IF(Monthly!A195="","",Monthly!A195)</f>
        <v/>
      </c>
    </row>
    <row r="195" spans="1:2" x14ac:dyDescent="0.25">
      <c r="A195" t="str">
        <f>IF(Country!A195="","",Country!A195)</f>
        <v/>
      </c>
      <c r="B195" t="str">
        <f>IF(Monthly!A196="","",Monthly!A196)</f>
        <v/>
      </c>
    </row>
    <row r="196" spans="1:2" x14ac:dyDescent="0.25">
      <c r="A196" t="str">
        <f>IF(Country!A196="","",Country!A196)</f>
        <v/>
      </c>
      <c r="B196" t="str">
        <f>IF(Monthly!A197="","",Monthly!A197)</f>
        <v/>
      </c>
    </row>
    <row r="197" spans="1:2" x14ac:dyDescent="0.25">
      <c r="A197" t="str">
        <f>IF(Country!A197="","",Country!A197)</f>
        <v/>
      </c>
      <c r="B197" t="str">
        <f>IF(Monthly!A198="","",Monthly!A198)</f>
        <v/>
      </c>
    </row>
    <row r="198" spans="1:2" x14ac:dyDescent="0.25">
      <c r="A198" t="str">
        <f>IF(Country!A198="","",Country!A198)</f>
        <v/>
      </c>
      <c r="B198" t="str">
        <f>IF(Monthly!A199="","",Monthly!A199)</f>
        <v/>
      </c>
    </row>
    <row r="199" spans="1:2" x14ac:dyDescent="0.25">
      <c r="A199" t="str">
        <f>IF(Country!A199="","",Country!A199)</f>
        <v/>
      </c>
      <c r="B199" t="str">
        <f>IF(Monthly!A200="","",Monthly!A200)</f>
        <v/>
      </c>
    </row>
    <row r="200" spans="1:2" x14ac:dyDescent="0.25">
      <c r="A200" t="str">
        <f>IF(Country!A200="","",Country!A200)</f>
        <v/>
      </c>
      <c r="B200" t="str">
        <f>IF(Monthly!A201="","",Monthly!A201)</f>
        <v/>
      </c>
    </row>
    <row r="201" spans="1:2" x14ac:dyDescent="0.25">
      <c r="A201" t="str">
        <f>IF(Country!A201="","",Country!A201)</f>
        <v/>
      </c>
      <c r="B201" t="str">
        <f>IF(Monthly!A202="","",Monthly!A202)</f>
        <v/>
      </c>
    </row>
    <row r="202" spans="1:2" x14ac:dyDescent="0.25">
      <c r="A202" t="str">
        <f>IF(Country!A202="","",Country!A202)</f>
        <v/>
      </c>
      <c r="B202" t="str">
        <f>IF(Monthly!A203="","",Monthly!A203)</f>
        <v/>
      </c>
    </row>
    <row r="203" spans="1:2" x14ac:dyDescent="0.25">
      <c r="A203" t="str">
        <f>IF(Country!A203="","",Country!A203)</f>
        <v/>
      </c>
      <c r="B203" t="str">
        <f>IF(Monthly!A204="","",Monthly!A204)</f>
        <v/>
      </c>
    </row>
    <row r="204" spans="1:2" x14ac:dyDescent="0.25">
      <c r="A204" t="str">
        <f>IF(Country!A204="","",Country!A204)</f>
        <v/>
      </c>
      <c r="B204" t="str">
        <f>IF(Monthly!A205="","",Monthly!A205)</f>
        <v/>
      </c>
    </row>
    <row r="205" spans="1:2" x14ac:dyDescent="0.25">
      <c r="A205" t="str">
        <f>IF(Country!A205="","",Country!A205)</f>
        <v/>
      </c>
      <c r="B205" t="str">
        <f>IF(Monthly!A206="","",Monthly!A206)</f>
        <v/>
      </c>
    </row>
    <row r="206" spans="1:2" x14ac:dyDescent="0.25">
      <c r="A206" t="str">
        <f>IF(Country!A206="","",Country!A206)</f>
        <v/>
      </c>
      <c r="B206" t="str">
        <f>IF(Monthly!A207="","",Monthly!A207)</f>
        <v/>
      </c>
    </row>
    <row r="207" spans="1:2" x14ac:dyDescent="0.25">
      <c r="A207" t="str">
        <f>IF(Country!A207="","",Country!A207)</f>
        <v/>
      </c>
      <c r="B207" t="str">
        <f>IF(Monthly!A208="","",Monthly!A208)</f>
        <v/>
      </c>
    </row>
    <row r="208" spans="1:2" x14ac:dyDescent="0.25">
      <c r="A208" t="str">
        <f>IF(Country!A208="","",Country!A208)</f>
        <v/>
      </c>
      <c r="B208" t="str">
        <f>IF(Monthly!A209="","",Monthly!A209)</f>
        <v/>
      </c>
    </row>
    <row r="209" spans="1:2" x14ac:dyDescent="0.25">
      <c r="A209" t="str">
        <f>IF(Country!A209="","",Country!A209)</f>
        <v/>
      </c>
      <c r="B209" t="str">
        <f>IF(Monthly!A210="","",Monthly!A210)</f>
        <v/>
      </c>
    </row>
    <row r="210" spans="1:2" x14ac:dyDescent="0.25">
      <c r="A210" t="str">
        <f>IF(Country!A210="","",Country!A210)</f>
        <v/>
      </c>
      <c r="B210" t="str">
        <f>IF(Monthly!A211="","",Monthly!A211)</f>
        <v/>
      </c>
    </row>
    <row r="211" spans="1:2" x14ac:dyDescent="0.25">
      <c r="A211" t="str">
        <f>IF(Country!A211="","",Country!A211)</f>
        <v/>
      </c>
      <c r="B211" t="str">
        <f>IF(Monthly!A212="","",Monthly!A212)</f>
        <v/>
      </c>
    </row>
    <row r="212" spans="1:2" x14ac:dyDescent="0.25">
      <c r="A212" t="str">
        <f>IF(Country!A212="","",Country!A212)</f>
        <v/>
      </c>
      <c r="B212" t="str">
        <f>IF(Monthly!A213="","",Monthly!A213)</f>
        <v/>
      </c>
    </row>
    <row r="213" spans="1:2" x14ac:dyDescent="0.25">
      <c r="A213" t="str">
        <f>IF(Country!A213="","",Country!A213)</f>
        <v/>
      </c>
      <c r="B213" t="str">
        <f>IF(Monthly!A214="","",Monthly!A214)</f>
        <v/>
      </c>
    </row>
    <row r="214" spans="1:2" x14ac:dyDescent="0.25">
      <c r="A214" t="str">
        <f>IF(Country!A214="","",Country!A214)</f>
        <v/>
      </c>
      <c r="B214" t="str">
        <f>IF(Monthly!A215="","",Monthly!A215)</f>
        <v/>
      </c>
    </row>
    <row r="215" spans="1:2" x14ac:dyDescent="0.25">
      <c r="A215" t="str">
        <f>IF(Country!A215="","",Country!A215)</f>
        <v/>
      </c>
      <c r="B215" t="str">
        <f>IF(Monthly!A216="","",Monthly!A216)</f>
        <v/>
      </c>
    </row>
    <row r="216" spans="1:2" x14ac:dyDescent="0.25">
      <c r="A216" t="str">
        <f>IF(Country!A216="","",Country!A216)</f>
        <v/>
      </c>
      <c r="B216" t="str">
        <f>IF(Monthly!A217="","",Monthly!A217)</f>
        <v/>
      </c>
    </row>
    <row r="217" spans="1:2" x14ac:dyDescent="0.25">
      <c r="A217" t="str">
        <f>IF(Country!A217="","",Country!A217)</f>
        <v/>
      </c>
      <c r="B217" t="str">
        <f>IF(Monthly!A218="","",Monthly!A218)</f>
        <v/>
      </c>
    </row>
    <row r="218" spans="1:2" x14ac:dyDescent="0.25">
      <c r="A218" t="str">
        <f>IF(Country!A218="","",Country!A218)</f>
        <v/>
      </c>
      <c r="B218" t="str">
        <f>IF(Monthly!A219="","",Monthly!A219)</f>
        <v/>
      </c>
    </row>
    <row r="219" spans="1:2" x14ac:dyDescent="0.25">
      <c r="A219" t="str">
        <f>IF(Country!A219="","",Country!A219)</f>
        <v/>
      </c>
      <c r="B219" t="str">
        <f>IF(Monthly!A220="","",Monthly!A220)</f>
        <v/>
      </c>
    </row>
    <row r="220" spans="1:2" x14ac:dyDescent="0.25">
      <c r="A220" t="str">
        <f>IF(Country!A220="","",Country!A220)</f>
        <v/>
      </c>
      <c r="B220" t="str">
        <f>IF(Monthly!A221="","",Monthly!A221)</f>
        <v/>
      </c>
    </row>
    <row r="221" spans="1:2" x14ac:dyDescent="0.25">
      <c r="A221" t="str">
        <f>IF(Country!A221="","",Country!A221)</f>
        <v/>
      </c>
      <c r="B221" t="str">
        <f>IF(Monthly!A222="","",Monthly!A222)</f>
        <v/>
      </c>
    </row>
    <row r="222" spans="1:2" x14ac:dyDescent="0.25">
      <c r="A222" t="str">
        <f>IF(Country!A222="","",Country!A222)</f>
        <v/>
      </c>
      <c r="B222" t="str">
        <f>IF(Monthly!A223="","",Monthly!A223)</f>
        <v/>
      </c>
    </row>
    <row r="223" spans="1:2" x14ac:dyDescent="0.25">
      <c r="A223" t="str">
        <f>IF(Country!A223="","",Country!A223)</f>
        <v/>
      </c>
      <c r="B223" t="str">
        <f>IF(Monthly!A224="","",Monthly!A224)</f>
        <v/>
      </c>
    </row>
    <row r="224" spans="1:2" x14ac:dyDescent="0.25">
      <c r="A224" t="str">
        <f>IF(Country!A224="","",Country!A224)</f>
        <v/>
      </c>
      <c r="B224" t="str">
        <f>IF(Monthly!A225="","",Monthly!A225)</f>
        <v/>
      </c>
    </row>
    <row r="225" spans="1:2" x14ac:dyDescent="0.25">
      <c r="A225" t="str">
        <f>IF(Country!A225="","",Country!A225)</f>
        <v/>
      </c>
      <c r="B225" t="str">
        <f>IF(Monthly!A226="","",Monthly!A226)</f>
        <v/>
      </c>
    </row>
    <row r="226" spans="1:2" x14ac:dyDescent="0.25">
      <c r="A226" t="str">
        <f>IF(Country!A226="","",Country!A226)</f>
        <v/>
      </c>
      <c r="B226" t="str">
        <f>IF(Monthly!A227="","",Monthly!A227)</f>
        <v/>
      </c>
    </row>
    <row r="227" spans="1:2" x14ac:dyDescent="0.25">
      <c r="A227" t="str">
        <f>IF(Country!A227="","",Country!A227)</f>
        <v/>
      </c>
      <c r="B227" t="str">
        <f>IF(Monthly!A228="","",Monthly!A228)</f>
        <v/>
      </c>
    </row>
    <row r="228" spans="1:2" x14ac:dyDescent="0.25">
      <c r="A228" t="str">
        <f>IF(Country!A228="","",Country!A228)</f>
        <v/>
      </c>
      <c r="B228" t="str">
        <f>IF(Monthly!A229="","",Monthly!A229)</f>
        <v/>
      </c>
    </row>
    <row r="229" spans="1:2" x14ac:dyDescent="0.25">
      <c r="A229" t="str">
        <f>IF(Country!A229="","",Country!A229)</f>
        <v/>
      </c>
      <c r="B229" t="str">
        <f>IF(Monthly!A230="","",Monthly!A230)</f>
        <v/>
      </c>
    </row>
    <row r="230" spans="1:2" x14ac:dyDescent="0.25">
      <c r="A230" t="str">
        <f>IF(Country!A230="","",Country!A230)</f>
        <v/>
      </c>
      <c r="B230" t="str">
        <f>IF(Monthly!A231="","",Monthly!A231)</f>
        <v/>
      </c>
    </row>
    <row r="231" spans="1:2" x14ac:dyDescent="0.25">
      <c r="A231" t="str">
        <f>IF(Country!A231="","",Country!A231)</f>
        <v/>
      </c>
      <c r="B231" t="str">
        <f>IF(Monthly!A232="","",Monthly!A232)</f>
        <v/>
      </c>
    </row>
    <row r="232" spans="1:2" x14ac:dyDescent="0.25">
      <c r="A232" t="str">
        <f>IF(Country!A232="","",Country!A232)</f>
        <v/>
      </c>
      <c r="B232" t="str">
        <f>IF(Monthly!A233="","",Monthly!A233)</f>
        <v/>
      </c>
    </row>
    <row r="233" spans="1:2" x14ac:dyDescent="0.25">
      <c r="A233" t="str">
        <f>IF(Country!A233="","",Country!A233)</f>
        <v/>
      </c>
      <c r="B233" t="str">
        <f>IF(Monthly!A234="","",Monthly!A234)</f>
        <v/>
      </c>
    </row>
    <row r="234" spans="1:2" x14ac:dyDescent="0.25">
      <c r="A234" t="str">
        <f>IF(Country!A234="","",Country!A234)</f>
        <v/>
      </c>
      <c r="B234" t="str">
        <f>IF(Monthly!A235="","",Monthly!A235)</f>
        <v/>
      </c>
    </row>
    <row r="235" spans="1:2" x14ac:dyDescent="0.25">
      <c r="A235" t="str">
        <f>IF(Country!A235="","",Country!A235)</f>
        <v/>
      </c>
      <c r="B235" t="str">
        <f>IF(Monthly!A236="","",Monthly!A236)</f>
        <v/>
      </c>
    </row>
    <row r="236" spans="1:2" x14ac:dyDescent="0.25">
      <c r="A236" t="str">
        <f>IF(Country!A236="","",Country!A236)</f>
        <v/>
      </c>
      <c r="B236" t="str">
        <f>IF(Monthly!A237="","",Monthly!A237)</f>
        <v/>
      </c>
    </row>
    <row r="237" spans="1:2" x14ac:dyDescent="0.25">
      <c r="A237" t="str">
        <f>IF(Country!A237="","",Country!A237)</f>
        <v/>
      </c>
      <c r="B237" t="str">
        <f>IF(Monthly!A238="","",Monthly!A238)</f>
        <v/>
      </c>
    </row>
    <row r="238" spans="1:2" x14ac:dyDescent="0.25">
      <c r="A238" t="str">
        <f>IF(Country!A238="","",Country!A238)</f>
        <v/>
      </c>
      <c r="B238" t="str">
        <f>IF(Monthly!A239="","",Monthly!A239)</f>
        <v/>
      </c>
    </row>
    <row r="239" spans="1:2" x14ac:dyDescent="0.25">
      <c r="A239" t="str">
        <f>IF(Country!A239="","",Country!A239)</f>
        <v/>
      </c>
      <c r="B239" t="str">
        <f>IF(Monthly!A240="","",Monthly!A240)</f>
        <v/>
      </c>
    </row>
    <row r="240" spans="1:2" x14ac:dyDescent="0.25">
      <c r="A240" t="str">
        <f>IF(Country!A240="","",Country!A240)</f>
        <v/>
      </c>
      <c r="B240" t="str">
        <f>IF(Monthly!A241="","",Monthly!A241)</f>
        <v/>
      </c>
    </row>
    <row r="241" spans="1:2" x14ac:dyDescent="0.25">
      <c r="A241" t="str">
        <f>IF(Country!A241="","",Country!A241)</f>
        <v/>
      </c>
      <c r="B241" t="str">
        <f>IF(Monthly!A242="","",Monthly!A242)</f>
        <v/>
      </c>
    </row>
    <row r="242" spans="1:2" x14ac:dyDescent="0.25">
      <c r="A242" t="str">
        <f>IF(Country!A242="","",Country!A242)</f>
        <v/>
      </c>
      <c r="B242" t="str">
        <f>IF(Monthly!A243="","",Monthly!A243)</f>
        <v/>
      </c>
    </row>
    <row r="243" spans="1:2" x14ac:dyDescent="0.25">
      <c r="A243" t="str">
        <f>IF(Country!A243="","",Country!A243)</f>
        <v/>
      </c>
      <c r="B243" t="str">
        <f>IF(Monthly!A244="","",Monthly!A244)</f>
        <v/>
      </c>
    </row>
    <row r="244" spans="1:2" x14ac:dyDescent="0.25">
      <c r="A244" t="str">
        <f>IF(Country!A244="","",Country!A244)</f>
        <v/>
      </c>
      <c r="B244" t="str">
        <f>IF(Monthly!A245="","",Monthly!A245)</f>
        <v/>
      </c>
    </row>
    <row r="245" spans="1:2" x14ac:dyDescent="0.25">
      <c r="A245" t="str">
        <f>IF(Country!A245="","",Country!A245)</f>
        <v/>
      </c>
      <c r="B245" t="str">
        <f>IF(Monthly!A246="","",Monthly!A246)</f>
        <v/>
      </c>
    </row>
    <row r="246" spans="1:2" x14ac:dyDescent="0.25">
      <c r="A246" t="str">
        <f>IF(Country!A246="","",Country!A246)</f>
        <v/>
      </c>
      <c r="B246" t="str">
        <f>IF(Monthly!A247="","",Monthly!A247)</f>
        <v/>
      </c>
    </row>
    <row r="247" spans="1:2" x14ac:dyDescent="0.25">
      <c r="A247" t="str">
        <f>IF(Country!A247="","",Country!A247)</f>
        <v/>
      </c>
      <c r="B247" t="str">
        <f>IF(Monthly!A248="","",Monthly!A248)</f>
        <v/>
      </c>
    </row>
    <row r="248" spans="1:2" x14ac:dyDescent="0.25">
      <c r="A248" t="str">
        <f>IF(Country!A248="","",Country!A248)</f>
        <v/>
      </c>
      <c r="B248" t="str">
        <f>IF(Monthly!A249="","",Monthly!A249)</f>
        <v/>
      </c>
    </row>
    <row r="249" spans="1:2" x14ac:dyDescent="0.25">
      <c r="A249" t="str">
        <f>IF(Country!A249="","",Country!A249)</f>
        <v/>
      </c>
      <c r="B249" t="str">
        <f>IF(Monthly!A250="","",Monthly!A250)</f>
        <v/>
      </c>
    </row>
    <row r="250" spans="1:2" x14ac:dyDescent="0.25">
      <c r="A250" t="str">
        <f>IF(Country!A250="","",Country!A250)</f>
        <v/>
      </c>
      <c r="B250" t="str">
        <f>IF(Monthly!A251="","",Monthly!A251)</f>
        <v/>
      </c>
    </row>
    <row r="251" spans="1:2" x14ac:dyDescent="0.25">
      <c r="A251" t="str">
        <f>IF(Country!A251="","",Country!A251)</f>
        <v/>
      </c>
      <c r="B251" t="str">
        <f>IF(Monthly!A252="","",Monthly!A252)</f>
        <v/>
      </c>
    </row>
    <row r="252" spans="1:2" x14ac:dyDescent="0.25">
      <c r="A252" t="str">
        <f>IF(Country!A252="","",Country!A252)</f>
        <v/>
      </c>
      <c r="B252" t="str">
        <f>IF(Monthly!A253="","",Monthly!A253)</f>
        <v/>
      </c>
    </row>
    <row r="253" spans="1:2" x14ac:dyDescent="0.25">
      <c r="A253" t="str">
        <f>IF(Country!A253="","",Country!A253)</f>
        <v/>
      </c>
      <c r="B253" t="str">
        <f>IF(Monthly!A254="","",Monthly!A254)</f>
        <v/>
      </c>
    </row>
    <row r="254" spans="1:2" x14ac:dyDescent="0.25">
      <c r="A254" t="str">
        <f>IF(Country!A254="","",Country!A254)</f>
        <v/>
      </c>
      <c r="B254" t="str">
        <f>IF(Monthly!A255="","",Monthly!A255)</f>
        <v/>
      </c>
    </row>
    <row r="255" spans="1:2" x14ac:dyDescent="0.25">
      <c r="A255" t="str">
        <f>IF(Country!A255="","",Country!A255)</f>
        <v/>
      </c>
      <c r="B255" t="str">
        <f>IF(Monthly!A256="","",Monthly!A256)</f>
        <v/>
      </c>
    </row>
    <row r="256" spans="1:2" x14ac:dyDescent="0.25">
      <c r="A256" t="str">
        <f>IF(Country!A256="","",Country!A256)</f>
        <v/>
      </c>
      <c r="B256" t="str">
        <f>IF(Monthly!A257="","",Monthly!A257)</f>
        <v/>
      </c>
    </row>
    <row r="257" spans="1:2" x14ac:dyDescent="0.25">
      <c r="A257" t="str">
        <f>IF(Country!A257="","",Country!A257)</f>
        <v/>
      </c>
      <c r="B257" t="str">
        <f>IF(Monthly!A258="","",Monthly!A258)</f>
        <v/>
      </c>
    </row>
    <row r="258" spans="1:2" x14ac:dyDescent="0.25">
      <c r="A258" t="str">
        <f>IF(Country!A258="","",Country!A258)</f>
        <v/>
      </c>
      <c r="B258" t="str">
        <f>IF(Monthly!A259="","",Monthly!A259)</f>
        <v/>
      </c>
    </row>
    <row r="259" spans="1:2" x14ac:dyDescent="0.25">
      <c r="A259" t="str">
        <f>IF(Country!A259="","",Country!A259)</f>
        <v/>
      </c>
      <c r="B259" t="str">
        <f>IF(Monthly!A260="","",Monthly!A260)</f>
        <v/>
      </c>
    </row>
    <row r="260" spans="1:2" x14ac:dyDescent="0.25">
      <c r="A260" t="str">
        <f>IF(Country!A260="","",Country!A260)</f>
        <v/>
      </c>
      <c r="B260" t="str">
        <f>IF(Monthly!A261="","",Monthly!A261)</f>
        <v/>
      </c>
    </row>
    <row r="261" spans="1:2" x14ac:dyDescent="0.25">
      <c r="A261" t="str">
        <f>IF(Country!A261="","",Country!A261)</f>
        <v/>
      </c>
      <c r="B261" t="str">
        <f>IF(Monthly!A262="","",Monthly!A262)</f>
        <v/>
      </c>
    </row>
    <row r="262" spans="1:2" x14ac:dyDescent="0.25">
      <c r="A262" t="str">
        <f>IF(Country!A262="","",Country!A262)</f>
        <v/>
      </c>
      <c r="B262" t="str">
        <f>IF(Monthly!A263="","",Monthly!A263)</f>
        <v/>
      </c>
    </row>
    <row r="263" spans="1:2" x14ac:dyDescent="0.25">
      <c r="A263" t="str">
        <f>IF(Country!A263="","",Country!A263)</f>
        <v/>
      </c>
      <c r="B263" t="str">
        <f>IF(Monthly!A264="","",Monthly!A264)</f>
        <v/>
      </c>
    </row>
    <row r="264" spans="1:2" x14ac:dyDescent="0.25">
      <c r="A264" t="str">
        <f>IF(Country!A264="","",Country!A264)</f>
        <v/>
      </c>
      <c r="B264" t="str">
        <f>IF(Monthly!A265="","",Monthly!A265)</f>
        <v/>
      </c>
    </row>
    <row r="265" spans="1:2" x14ac:dyDescent="0.25">
      <c r="A265" t="str">
        <f>IF(Country!A265="","",Country!A265)</f>
        <v/>
      </c>
      <c r="B265" t="str">
        <f>IF(Monthly!A266="","",Monthly!A266)</f>
        <v/>
      </c>
    </row>
    <row r="266" spans="1:2" x14ac:dyDescent="0.25">
      <c r="A266" t="str">
        <f>IF(Country!A266="","",Country!A266)</f>
        <v/>
      </c>
      <c r="B266" t="str">
        <f>IF(Monthly!A267="","",Monthly!A267)</f>
        <v/>
      </c>
    </row>
    <row r="267" spans="1:2" x14ac:dyDescent="0.25">
      <c r="A267" t="str">
        <f>IF(Country!A267="","",Country!A267)</f>
        <v/>
      </c>
      <c r="B267" t="str">
        <f>IF(Monthly!A268="","",Monthly!A268)</f>
        <v/>
      </c>
    </row>
    <row r="268" spans="1:2" x14ac:dyDescent="0.25">
      <c r="A268" t="str">
        <f>IF(Country!A268="","",Country!A268)</f>
        <v/>
      </c>
      <c r="B268" t="str">
        <f>IF(Monthly!A269="","",Monthly!A269)</f>
        <v/>
      </c>
    </row>
    <row r="269" spans="1:2" x14ac:dyDescent="0.25">
      <c r="A269" t="str">
        <f>IF(Country!A269="","",Country!A269)</f>
        <v/>
      </c>
      <c r="B269" t="str">
        <f>IF(Monthly!A270="","",Monthly!A270)</f>
        <v/>
      </c>
    </row>
    <row r="270" spans="1:2" x14ac:dyDescent="0.25">
      <c r="A270" t="str">
        <f>IF(Country!A270="","",Country!A270)</f>
        <v/>
      </c>
      <c r="B270" t="str">
        <f>IF(Monthly!A271="","",Monthly!A271)</f>
        <v/>
      </c>
    </row>
    <row r="271" spans="1:2" x14ac:dyDescent="0.25">
      <c r="A271" t="str">
        <f>IF(Country!A271="","",Country!A271)</f>
        <v/>
      </c>
      <c r="B271" t="str">
        <f>IF(Monthly!A272="","",Monthly!A272)</f>
        <v/>
      </c>
    </row>
    <row r="272" spans="1:2" x14ac:dyDescent="0.25">
      <c r="A272" t="str">
        <f>IF(Country!A272="","",Country!A272)</f>
        <v/>
      </c>
      <c r="B272" t="str">
        <f>IF(Monthly!A273="","",Monthly!A273)</f>
        <v/>
      </c>
    </row>
    <row r="273" spans="1:2" x14ac:dyDescent="0.25">
      <c r="A273" t="str">
        <f>IF(Country!A273="","",Country!A273)</f>
        <v/>
      </c>
      <c r="B273" t="str">
        <f>IF(Monthly!A274="","",Monthly!A274)</f>
        <v/>
      </c>
    </row>
    <row r="274" spans="1:2" x14ac:dyDescent="0.25">
      <c r="A274" t="str">
        <f>IF(Country!A274="","",Country!A274)</f>
        <v/>
      </c>
      <c r="B274" t="str">
        <f>IF(Monthly!A275="","",Monthly!A275)</f>
        <v/>
      </c>
    </row>
    <row r="275" spans="1:2" x14ac:dyDescent="0.25">
      <c r="A275" t="str">
        <f>IF(Country!A275="","",Country!A275)</f>
        <v/>
      </c>
      <c r="B275" t="str">
        <f>IF(Monthly!A276="","",Monthly!A276)</f>
        <v/>
      </c>
    </row>
    <row r="276" spans="1:2" x14ac:dyDescent="0.25">
      <c r="A276" t="str">
        <f>IF(Country!A276="","",Country!A276)</f>
        <v/>
      </c>
      <c r="B276" t="str">
        <f>IF(Monthly!A277="","",Monthly!A277)</f>
        <v/>
      </c>
    </row>
    <row r="277" spans="1:2" x14ac:dyDescent="0.25">
      <c r="A277" t="str">
        <f>IF(Country!A277="","",Country!A277)</f>
        <v/>
      </c>
      <c r="B277" t="str">
        <f>IF(Monthly!A278="","",Monthly!A278)</f>
        <v/>
      </c>
    </row>
    <row r="278" spans="1:2" x14ac:dyDescent="0.25">
      <c r="A278" t="str">
        <f>IF(Country!A278="","",Country!A278)</f>
        <v/>
      </c>
      <c r="B278" t="str">
        <f>IF(Monthly!A279="","",Monthly!A279)</f>
        <v/>
      </c>
    </row>
    <row r="279" spans="1:2" x14ac:dyDescent="0.25">
      <c r="A279" t="str">
        <f>IF(Country!A279="","",Country!A279)</f>
        <v/>
      </c>
      <c r="B279" t="str">
        <f>IF(Monthly!A280="","",Monthly!A280)</f>
        <v/>
      </c>
    </row>
    <row r="280" spans="1:2" x14ac:dyDescent="0.25">
      <c r="A280" t="str">
        <f>IF(Country!A280="","",Country!A280)</f>
        <v/>
      </c>
      <c r="B280" t="str">
        <f>IF(Monthly!A281="","",Monthly!A281)</f>
        <v/>
      </c>
    </row>
    <row r="281" spans="1:2" x14ac:dyDescent="0.25">
      <c r="A281" t="str">
        <f>IF(Country!A281="","",Country!A281)</f>
        <v/>
      </c>
      <c r="B281" t="str">
        <f>IF(Monthly!A282="","",Monthly!A282)</f>
        <v/>
      </c>
    </row>
    <row r="282" spans="1:2" x14ac:dyDescent="0.25">
      <c r="A282" t="str">
        <f>IF(Country!A282="","",Country!A282)</f>
        <v/>
      </c>
      <c r="B282" t="str">
        <f>IF(Monthly!A283="","",Monthly!A283)</f>
        <v/>
      </c>
    </row>
    <row r="283" spans="1:2" x14ac:dyDescent="0.25">
      <c r="A283" t="str">
        <f>IF(Country!A283="","",Country!A283)</f>
        <v/>
      </c>
      <c r="B283" t="str">
        <f>IF(Monthly!A284="","",Monthly!A284)</f>
        <v/>
      </c>
    </row>
    <row r="284" spans="1:2" x14ac:dyDescent="0.25">
      <c r="A284" t="str">
        <f>IF(Country!A284="","",Country!A284)</f>
        <v/>
      </c>
      <c r="B284" t="str">
        <f>IF(Monthly!A285="","",Monthly!A285)</f>
        <v/>
      </c>
    </row>
    <row r="285" spans="1:2" x14ac:dyDescent="0.25">
      <c r="A285" t="str">
        <f>IF(Country!A285="","",Country!A285)</f>
        <v/>
      </c>
      <c r="B285" t="str">
        <f>IF(Monthly!A286="","",Monthly!A286)</f>
        <v/>
      </c>
    </row>
    <row r="286" spans="1:2" x14ac:dyDescent="0.25">
      <c r="A286" t="str">
        <f>IF(Country!A286="","",Country!A286)</f>
        <v/>
      </c>
      <c r="B286" t="str">
        <f>IF(Monthly!A287="","",Monthly!A287)</f>
        <v/>
      </c>
    </row>
    <row r="287" spans="1:2" x14ac:dyDescent="0.25">
      <c r="A287" t="str">
        <f>IF(Country!A287="","",Country!A287)</f>
        <v/>
      </c>
      <c r="B287" t="str">
        <f>IF(Monthly!A288="","",Monthly!A288)</f>
        <v/>
      </c>
    </row>
    <row r="288" spans="1:2" x14ac:dyDescent="0.25">
      <c r="A288" t="str">
        <f>IF(Country!A288="","",Country!A288)</f>
        <v/>
      </c>
      <c r="B288" t="str">
        <f>IF(Monthly!A289="","",Monthly!A289)</f>
        <v/>
      </c>
    </row>
    <row r="289" spans="1:2" x14ac:dyDescent="0.25">
      <c r="A289" t="str">
        <f>IF(Country!A289="","",Country!A289)</f>
        <v/>
      </c>
      <c r="B289" t="str">
        <f>IF(Monthly!A290="","",Monthly!A290)</f>
        <v/>
      </c>
    </row>
    <row r="290" spans="1:2" x14ac:dyDescent="0.25">
      <c r="A290" t="str">
        <f>IF(Country!A290="","",Country!A290)</f>
        <v/>
      </c>
      <c r="B290" t="str">
        <f>IF(Monthly!A291="","",Monthly!A291)</f>
        <v/>
      </c>
    </row>
    <row r="291" spans="1:2" x14ac:dyDescent="0.25">
      <c r="A291" t="str">
        <f>IF(Country!A291="","",Country!A291)</f>
        <v/>
      </c>
      <c r="B291" t="str">
        <f>IF(Monthly!A292="","",Monthly!A292)</f>
        <v/>
      </c>
    </row>
    <row r="292" spans="1:2" x14ac:dyDescent="0.25">
      <c r="A292" t="str">
        <f>IF(Country!A292="","",Country!A292)</f>
        <v/>
      </c>
      <c r="B292" t="str">
        <f>IF(Monthly!A293="","",Monthly!A293)</f>
        <v/>
      </c>
    </row>
    <row r="293" spans="1:2" x14ac:dyDescent="0.25">
      <c r="A293" t="str">
        <f>IF(Country!A293="","",Country!A293)</f>
        <v/>
      </c>
      <c r="B293" t="str">
        <f>IF(Monthly!A294="","",Monthly!A294)</f>
        <v/>
      </c>
    </row>
    <row r="294" spans="1:2" x14ac:dyDescent="0.25">
      <c r="A294" t="str">
        <f>IF(Country!A294="","",Country!A294)</f>
        <v/>
      </c>
      <c r="B294" t="str">
        <f>IF(Monthly!A295="","",Monthly!A295)</f>
        <v/>
      </c>
    </row>
    <row r="295" spans="1:2" x14ac:dyDescent="0.25">
      <c r="A295" t="str">
        <f>IF(Country!A295="","",Country!A295)</f>
        <v/>
      </c>
      <c r="B295" t="str">
        <f>IF(Monthly!A296="","",Monthly!A296)</f>
        <v/>
      </c>
    </row>
    <row r="296" spans="1:2" x14ac:dyDescent="0.25">
      <c r="A296" t="str">
        <f>IF(Country!A296="","",Country!A296)</f>
        <v/>
      </c>
      <c r="B296" t="str">
        <f>IF(Monthly!A297="","",Monthly!A297)</f>
        <v/>
      </c>
    </row>
    <row r="297" spans="1:2" x14ac:dyDescent="0.25">
      <c r="A297" t="str">
        <f>IF(Country!A297="","",Country!A297)</f>
        <v/>
      </c>
      <c r="B297" t="str">
        <f>IF(Monthly!A298="","",Monthly!A298)</f>
        <v/>
      </c>
    </row>
    <row r="298" spans="1:2" x14ac:dyDescent="0.25">
      <c r="A298" t="str">
        <f>IF(Country!A298="","",Country!A298)</f>
        <v/>
      </c>
      <c r="B298" t="str">
        <f>IF(Monthly!A299="","",Monthly!A299)</f>
        <v/>
      </c>
    </row>
    <row r="299" spans="1:2" x14ac:dyDescent="0.25">
      <c r="A299" t="str">
        <f>IF(Country!A299="","",Country!A299)</f>
        <v/>
      </c>
      <c r="B299" t="str">
        <f>IF(Monthly!A300="","",Monthly!A300)</f>
        <v/>
      </c>
    </row>
    <row r="300" spans="1:2" x14ac:dyDescent="0.25">
      <c r="A300" t="str">
        <f>IF(Country!A300="","",Country!A300)</f>
        <v/>
      </c>
      <c r="B300" t="str">
        <f>IF(Monthly!A301="","",Monthly!A301)</f>
        <v/>
      </c>
    </row>
    <row r="301" spans="1:2" x14ac:dyDescent="0.25">
      <c r="A301" t="str">
        <f>IF(Country!A301="","",Country!A301)</f>
        <v/>
      </c>
      <c r="B301" t="str">
        <f>IF(Monthly!A302="","",Monthly!A302)</f>
        <v/>
      </c>
    </row>
    <row r="302" spans="1:2" x14ac:dyDescent="0.25">
      <c r="B302" t="str">
        <f>IF(Monthly!A303="","",Monthly!A303)</f>
        <v/>
      </c>
    </row>
    <row r="303" spans="1:2" x14ac:dyDescent="0.25">
      <c r="B303" t="str">
        <f>IF(Monthly!A304="","",Monthly!A304)</f>
        <v/>
      </c>
    </row>
    <row r="304" spans="1:2" x14ac:dyDescent="0.25">
      <c r="B304" t="str">
        <f>IF(Monthly!A305="","",Monthly!A305)</f>
        <v/>
      </c>
    </row>
    <row r="305" spans="2:2" x14ac:dyDescent="0.25">
      <c r="B305" t="str">
        <f>IF(Monthly!A306="","",Monthly!A306)</f>
        <v/>
      </c>
    </row>
    <row r="306" spans="2:2" x14ac:dyDescent="0.25">
      <c r="B306" t="str">
        <f>IF(Monthly!A307="","",Monthly!A307)</f>
        <v/>
      </c>
    </row>
    <row r="307" spans="2:2" x14ac:dyDescent="0.25">
      <c r="B307" t="str">
        <f>IF(Monthly!A308="","",Monthly!A308)</f>
        <v/>
      </c>
    </row>
    <row r="308" spans="2:2" x14ac:dyDescent="0.25">
      <c r="B308" t="str">
        <f>IF(Monthly!A309="","",Monthly!A309)</f>
        <v/>
      </c>
    </row>
    <row r="309" spans="2:2" x14ac:dyDescent="0.25">
      <c r="B309" t="str">
        <f>IF(Monthly!A310="","",Monthly!A310)</f>
        <v/>
      </c>
    </row>
    <row r="310" spans="2:2" x14ac:dyDescent="0.25">
      <c r="B310" t="str">
        <f>IF(Monthly!A311="","",Monthly!A311)</f>
        <v/>
      </c>
    </row>
    <row r="311" spans="2:2" x14ac:dyDescent="0.25">
      <c r="B311" t="str">
        <f>IF(Monthly!A312="","",Monthly!A312)</f>
        <v/>
      </c>
    </row>
    <row r="312" spans="2:2" x14ac:dyDescent="0.25">
      <c r="B312" t="str">
        <f>IF(Monthly!A313="","",Monthly!A313)</f>
        <v/>
      </c>
    </row>
    <row r="313" spans="2:2" x14ac:dyDescent="0.25">
      <c r="B313" t="str">
        <f>IF(Monthly!A314="","",Monthly!A314)</f>
        <v/>
      </c>
    </row>
    <row r="314" spans="2:2" x14ac:dyDescent="0.25">
      <c r="B314" t="str">
        <f>IF(Monthly!A315="","",Monthly!A315)</f>
        <v/>
      </c>
    </row>
    <row r="315" spans="2:2" x14ac:dyDescent="0.25">
      <c r="B315" t="str">
        <f>IF(Monthly!A316="","",Monthly!A316)</f>
        <v/>
      </c>
    </row>
    <row r="316" spans="2:2" x14ac:dyDescent="0.25">
      <c r="B316" t="str">
        <f>IF(Monthly!A317="","",Monthly!A317)</f>
        <v/>
      </c>
    </row>
    <row r="317" spans="2:2" x14ac:dyDescent="0.25">
      <c r="B317" t="str">
        <f>IF(Monthly!A318="","",Monthly!A318)</f>
        <v/>
      </c>
    </row>
    <row r="318" spans="2:2" x14ac:dyDescent="0.25">
      <c r="B318" t="str">
        <f>IF(Monthly!A319="","",Monthly!A319)</f>
        <v/>
      </c>
    </row>
    <row r="319" spans="2:2" x14ac:dyDescent="0.25">
      <c r="B319" t="str">
        <f>IF(Monthly!A320="","",Monthly!A320)</f>
        <v/>
      </c>
    </row>
    <row r="320" spans="2:2" x14ac:dyDescent="0.25">
      <c r="B320" t="str">
        <f>IF(Monthly!A321="","",Monthly!A321)</f>
        <v/>
      </c>
    </row>
    <row r="321" spans="2:2" x14ac:dyDescent="0.25">
      <c r="B321" t="str">
        <f>IF(Monthly!A322="","",Monthly!A322)</f>
        <v/>
      </c>
    </row>
    <row r="322" spans="2:2" x14ac:dyDescent="0.25">
      <c r="B322" t="str">
        <f>IF(Monthly!A323="","",Monthly!A323)</f>
        <v/>
      </c>
    </row>
    <row r="323" spans="2:2" x14ac:dyDescent="0.25">
      <c r="B323" t="str">
        <f>IF(Monthly!A324="","",Monthly!A324)</f>
        <v/>
      </c>
    </row>
    <row r="324" spans="2:2" x14ac:dyDescent="0.25">
      <c r="B324" t="str">
        <f>IF(Monthly!A325="","",Monthly!A325)</f>
        <v/>
      </c>
    </row>
    <row r="325" spans="2:2" x14ac:dyDescent="0.25">
      <c r="B325" t="str">
        <f>IF(Monthly!A326="","",Monthly!A326)</f>
        <v/>
      </c>
    </row>
    <row r="326" spans="2:2" x14ac:dyDescent="0.25">
      <c r="B326" t="str">
        <f>IF(Monthly!A327="","",Monthly!A327)</f>
        <v/>
      </c>
    </row>
    <row r="327" spans="2:2" x14ac:dyDescent="0.25">
      <c r="B327" t="str">
        <f>IF(Monthly!A328="","",Monthly!A328)</f>
        <v/>
      </c>
    </row>
    <row r="328" spans="2:2" x14ac:dyDescent="0.25">
      <c r="B328" t="str">
        <f>IF(Monthly!A329="","",Monthly!A329)</f>
        <v/>
      </c>
    </row>
    <row r="329" spans="2:2" x14ac:dyDescent="0.25">
      <c r="B329" t="str">
        <f>IF(Monthly!A330="","",Monthly!A330)</f>
        <v/>
      </c>
    </row>
    <row r="330" spans="2:2" x14ac:dyDescent="0.25">
      <c r="B330" t="str">
        <f>IF(Monthly!A331="","",Monthly!A331)</f>
        <v/>
      </c>
    </row>
    <row r="331" spans="2:2" x14ac:dyDescent="0.25">
      <c r="B331" t="str">
        <f>IF(Monthly!A332="","",Monthly!A332)</f>
        <v/>
      </c>
    </row>
    <row r="332" spans="2:2" x14ac:dyDescent="0.25">
      <c r="B332" t="str">
        <f>IF(Monthly!A333="","",Monthly!A333)</f>
        <v/>
      </c>
    </row>
    <row r="333" spans="2:2" x14ac:dyDescent="0.25">
      <c r="B333" t="str">
        <f>IF(Monthly!A334="","",Monthly!A334)</f>
        <v/>
      </c>
    </row>
    <row r="334" spans="2:2" x14ac:dyDescent="0.25">
      <c r="B334" t="str">
        <f>IF(Monthly!A335="","",Monthly!A335)</f>
        <v/>
      </c>
    </row>
    <row r="335" spans="2:2" x14ac:dyDescent="0.25">
      <c r="B335" t="str">
        <f>IF(Monthly!A336="","",Monthly!A336)</f>
        <v/>
      </c>
    </row>
    <row r="336" spans="2:2" x14ac:dyDescent="0.25">
      <c r="B336" t="str">
        <f>IF(Monthly!A337="","",Monthly!A337)</f>
        <v/>
      </c>
    </row>
    <row r="337" spans="2:2" x14ac:dyDescent="0.25">
      <c r="B337" t="str">
        <f>IF(Monthly!A338="","",Monthly!A338)</f>
        <v/>
      </c>
    </row>
    <row r="338" spans="2:2" x14ac:dyDescent="0.25">
      <c r="B338" t="str">
        <f>IF(Monthly!A339="","",Monthly!A339)</f>
        <v/>
      </c>
    </row>
    <row r="339" spans="2:2" x14ac:dyDescent="0.25">
      <c r="B339" t="str">
        <f>IF(Monthly!A340="","",Monthly!A340)</f>
        <v/>
      </c>
    </row>
    <row r="340" spans="2:2" x14ac:dyDescent="0.25">
      <c r="B340" t="str">
        <f>IF(Monthly!A341="","",Monthly!A341)</f>
        <v/>
      </c>
    </row>
    <row r="341" spans="2:2" x14ac:dyDescent="0.25">
      <c r="B341" t="str">
        <f>IF(Monthly!A342="","",Monthly!A342)</f>
        <v/>
      </c>
    </row>
    <row r="342" spans="2:2" x14ac:dyDescent="0.25">
      <c r="B342" t="str">
        <f>IF(Monthly!A343="","",Monthly!A343)</f>
        <v/>
      </c>
    </row>
    <row r="343" spans="2:2" x14ac:dyDescent="0.25">
      <c r="B343" t="str">
        <f>IF(Monthly!A344="","",Monthly!A344)</f>
        <v/>
      </c>
    </row>
    <row r="344" spans="2:2" x14ac:dyDescent="0.25">
      <c r="B344" t="str">
        <f>IF(Monthly!A345="","",Monthly!A345)</f>
        <v/>
      </c>
    </row>
    <row r="345" spans="2:2" x14ac:dyDescent="0.25">
      <c r="B345" t="str">
        <f>IF(Monthly!A346="","",Monthly!A346)</f>
        <v/>
      </c>
    </row>
    <row r="346" spans="2:2" x14ac:dyDescent="0.25">
      <c r="B346" t="str">
        <f>IF(Monthly!A347="","",Monthly!A347)</f>
        <v/>
      </c>
    </row>
    <row r="347" spans="2:2" x14ac:dyDescent="0.25">
      <c r="B347" t="str">
        <f>IF(Monthly!A348="","",Monthly!A348)</f>
        <v/>
      </c>
    </row>
    <row r="348" spans="2:2" x14ac:dyDescent="0.25">
      <c r="B348" t="str">
        <f>IF(Monthly!A349="","",Monthly!A349)</f>
        <v/>
      </c>
    </row>
    <row r="349" spans="2:2" x14ac:dyDescent="0.25">
      <c r="B349" t="str">
        <f>IF(Monthly!A350="","",Monthly!A350)</f>
        <v/>
      </c>
    </row>
    <row r="350" spans="2:2" x14ac:dyDescent="0.25">
      <c r="B350" t="str">
        <f>IF(Monthly!A351="","",Monthly!A351)</f>
        <v/>
      </c>
    </row>
    <row r="351" spans="2:2" x14ac:dyDescent="0.25">
      <c r="B351" t="str">
        <f>IF(Monthly!A352="","",Monthly!A352)</f>
        <v/>
      </c>
    </row>
    <row r="352" spans="2:2" x14ac:dyDescent="0.25">
      <c r="B352" t="str">
        <f>IF(Monthly!A353="","",Monthly!A353)</f>
        <v/>
      </c>
    </row>
    <row r="353" spans="2:2" x14ac:dyDescent="0.25">
      <c r="B353" t="str">
        <f>IF(Monthly!A354="","",Monthly!A354)</f>
        <v/>
      </c>
    </row>
    <row r="354" spans="2:2" x14ac:dyDescent="0.25">
      <c r="B354" t="str">
        <f>IF(Monthly!A355="","",Monthly!A355)</f>
        <v/>
      </c>
    </row>
    <row r="355" spans="2:2" x14ac:dyDescent="0.25">
      <c r="B355" t="str">
        <f>IF(Monthly!A356="","",Monthly!A356)</f>
        <v/>
      </c>
    </row>
    <row r="356" spans="2:2" x14ac:dyDescent="0.25">
      <c r="B356" t="str">
        <f>IF(Monthly!A357="","",Monthly!A357)</f>
        <v/>
      </c>
    </row>
    <row r="357" spans="2:2" x14ac:dyDescent="0.25">
      <c r="B357" t="str">
        <f>IF(Monthly!A358="","",Monthly!A358)</f>
        <v/>
      </c>
    </row>
    <row r="358" spans="2:2" x14ac:dyDescent="0.25">
      <c r="B358" t="str">
        <f>IF(Monthly!A359="","",Monthly!A359)</f>
        <v/>
      </c>
    </row>
    <row r="359" spans="2:2" x14ac:dyDescent="0.25">
      <c r="B359" t="str">
        <f>IF(Monthly!A360="","",Monthly!A360)</f>
        <v/>
      </c>
    </row>
    <row r="360" spans="2:2" x14ac:dyDescent="0.25">
      <c r="B360" t="str">
        <f>IF(Monthly!A361="","",Monthly!A361)</f>
        <v/>
      </c>
    </row>
    <row r="361" spans="2:2" x14ac:dyDescent="0.25">
      <c r="B361" t="str">
        <f>IF(Monthly!A362="","",Monthly!A362)</f>
        <v/>
      </c>
    </row>
    <row r="362" spans="2:2" x14ac:dyDescent="0.25">
      <c r="B362" t="str">
        <f>IF(Monthly!A363="","",Monthly!A363)</f>
        <v/>
      </c>
    </row>
    <row r="363" spans="2:2" x14ac:dyDescent="0.25">
      <c r="B363" t="str">
        <f>IF(Monthly!A364="","",Monthly!A364)</f>
        <v/>
      </c>
    </row>
    <row r="364" spans="2:2" x14ac:dyDescent="0.25">
      <c r="B364" t="str">
        <f>IF(Monthly!A365="","",Monthly!A365)</f>
        <v/>
      </c>
    </row>
    <row r="365" spans="2:2" x14ac:dyDescent="0.25">
      <c r="B365" t="str">
        <f>IF(Monthly!A366="","",Monthly!A366)</f>
        <v/>
      </c>
    </row>
    <row r="366" spans="2:2" x14ac:dyDescent="0.25">
      <c r="B366" t="str">
        <f>IF(Monthly!A367="","",Monthly!A367)</f>
        <v/>
      </c>
    </row>
    <row r="367" spans="2:2" x14ac:dyDescent="0.25">
      <c r="B367" t="str">
        <f>IF(Monthly!A368="","",Monthly!A368)</f>
        <v/>
      </c>
    </row>
    <row r="368" spans="2:2" x14ac:dyDescent="0.25">
      <c r="B368" t="str">
        <f>IF(Monthly!A369="","",Monthly!A369)</f>
        <v/>
      </c>
    </row>
    <row r="369" spans="2:2" x14ac:dyDescent="0.25">
      <c r="B369" t="str">
        <f>IF(Monthly!A370="","",Monthly!A370)</f>
        <v/>
      </c>
    </row>
    <row r="370" spans="2:2" x14ac:dyDescent="0.25">
      <c r="B370" t="str">
        <f>IF(Monthly!A371="","",Monthly!A371)</f>
        <v/>
      </c>
    </row>
    <row r="371" spans="2:2" x14ac:dyDescent="0.25">
      <c r="B371" t="str">
        <f>IF(Monthly!A372="","",Monthly!A372)</f>
        <v/>
      </c>
    </row>
    <row r="372" spans="2:2" x14ac:dyDescent="0.25">
      <c r="B372" t="str">
        <f>IF(Monthly!A373="","",Monthly!A373)</f>
        <v/>
      </c>
    </row>
    <row r="373" spans="2:2" x14ac:dyDescent="0.25">
      <c r="B373" t="str">
        <f>IF(Monthly!A374="","",Monthly!A374)</f>
        <v/>
      </c>
    </row>
    <row r="374" spans="2:2" x14ac:dyDescent="0.25">
      <c r="B374" t="str">
        <f>IF(Monthly!A375="","",Monthly!A375)</f>
        <v/>
      </c>
    </row>
    <row r="375" spans="2:2" x14ac:dyDescent="0.25">
      <c r="B375" t="str">
        <f>IF(Monthly!A376="","",Monthly!A376)</f>
        <v/>
      </c>
    </row>
    <row r="376" spans="2:2" x14ac:dyDescent="0.25">
      <c r="B376" t="str">
        <f>IF(Monthly!A377="","",Monthly!A377)</f>
        <v/>
      </c>
    </row>
    <row r="377" spans="2:2" x14ac:dyDescent="0.25">
      <c r="B377" t="str">
        <f>IF(Monthly!A378="","",Monthly!A378)</f>
        <v/>
      </c>
    </row>
    <row r="378" spans="2:2" x14ac:dyDescent="0.25">
      <c r="B378" t="str">
        <f>IF(Monthly!A379="","",Monthly!A379)</f>
        <v/>
      </c>
    </row>
    <row r="379" spans="2:2" x14ac:dyDescent="0.25">
      <c r="B379" t="str">
        <f>IF(Monthly!A380="","",Monthly!A380)</f>
        <v/>
      </c>
    </row>
    <row r="380" spans="2:2" x14ac:dyDescent="0.25">
      <c r="B380" t="str">
        <f>IF(Monthly!A381="","",Monthly!A381)</f>
        <v/>
      </c>
    </row>
    <row r="381" spans="2:2" x14ac:dyDescent="0.25">
      <c r="B381" t="str">
        <f>IF(Monthly!A382="","",Monthly!A382)</f>
        <v/>
      </c>
    </row>
    <row r="382" spans="2:2" x14ac:dyDescent="0.25">
      <c r="B382" t="str">
        <f>IF(Monthly!A383="","",Monthly!A383)</f>
        <v/>
      </c>
    </row>
    <row r="383" spans="2:2" x14ac:dyDescent="0.25">
      <c r="B383" t="str">
        <f>IF(Monthly!A384="","",Monthly!A384)</f>
        <v/>
      </c>
    </row>
    <row r="384" spans="2:2" x14ac:dyDescent="0.25">
      <c r="B384" t="str">
        <f>IF(Monthly!A385="","",Monthly!A385)</f>
        <v/>
      </c>
    </row>
    <row r="385" spans="2:2" x14ac:dyDescent="0.25">
      <c r="B385" t="str">
        <f>IF(Monthly!A386="","",Monthly!A386)</f>
        <v/>
      </c>
    </row>
    <row r="386" spans="2:2" x14ac:dyDescent="0.25">
      <c r="B386" t="str">
        <f>IF(Monthly!A387="","",Monthly!A387)</f>
        <v/>
      </c>
    </row>
    <row r="387" spans="2:2" x14ac:dyDescent="0.25">
      <c r="B387" t="str">
        <f>IF(Monthly!A388="","",Monthly!A388)</f>
        <v/>
      </c>
    </row>
    <row r="388" spans="2:2" x14ac:dyDescent="0.25">
      <c r="B388" t="str">
        <f>IF(Monthly!A389="","",Monthly!A389)</f>
        <v/>
      </c>
    </row>
    <row r="389" spans="2:2" x14ac:dyDescent="0.25">
      <c r="B389" t="str">
        <f>IF(Monthly!A390="","",Monthly!A390)</f>
        <v/>
      </c>
    </row>
    <row r="390" spans="2:2" x14ac:dyDescent="0.25">
      <c r="B390" t="str">
        <f>IF(Monthly!A391="","",Monthly!A391)</f>
        <v/>
      </c>
    </row>
    <row r="391" spans="2:2" x14ac:dyDescent="0.25">
      <c r="B391" t="str">
        <f>IF(Monthly!A392="","",Monthly!A392)</f>
        <v/>
      </c>
    </row>
    <row r="392" spans="2:2" x14ac:dyDescent="0.25">
      <c r="B392" t="str">
        <f>IF(Monthly!A393="","",Monthly!A393)</f>
        <v/>
      </c>
    </row>
    <row r="393" spans="2:2" x14ac:dyDescent="0.25">
      <c r="B393" t="str">
        <f>IF(Monthly!A394="","",Monthly!A394)</f>
        <v/>
      </c>
    </row>
    <row r="394" spans="2:2" x14ac:dyDescent="0.25">
      <c r="B394" t="str">
        <f>IF(Monthly!A395="","",Monthly!A395)</f>
        <v/>
      </c>
    </row>
    <row r="395" spans="2:2" x14ac:dyDescent="0.25">
      <c r="B395" t="str">
        <f>IF(Monthly!A396="","",Monthly!A396)</f>
        <v/>
      </c>
    </row>
    <row r="396" spans="2:2" x14ac:dyDescent="0.25">
      <c r="B396" t="str">
        <f>IF(Monthly!A397="","",Monthly!A397)</f>
        <v/>
      </c>
    </row>
    <row r="397" spans="2:2" x14ac:dyDescent="0.25">
      <c r="B397" t="str">
        <f>IF(Monthly!A398="","",Monthly!A398)</f>
        <v/>
      </c>
    </row>
    <row r="398" spans="2:2" x14ac:dyDescent="0.25">
      <c r="B398" t="str">
        <f>IF(Monthly!A399="","",Monthly!A399)</f>
        <v/>
      </c>
    </row>
    <row r="399" spans="2:2" x14ac:dyDescent="0.25">
      <c r="B399" t="str">
        <f>IF(Monthly!A400="","",Monthly!A400)</f>
        <v/>
      </c>
    </row>
    <row r="400" spans="2:2" x14ac:dyDescent="0.25">
      <c r="B400" t="str">
        <f>IF(Monthly!A401="","",Monthly!A401)</f>
        <v/>
      </c>
    </row>
    <row r="401" spans="2:2" x14ac:dyDescent="0.25">
      <c r="B401" t="str">
        <f>IF(Monthly!A402="","",Monthly!A402)</f>
        <v/>
      </c>
    </row>
    <row r="402" spans="2:2" x14ac:dyDescent="0.25">
      <c r="B402" t="str">
        <f>IF(Monthly!A403="","",Monthly!A403)</f>
        <v/>
      </c>
    </row>
    <row r="403" spans="2:2" x14ac:dyDescent="0.25">
      <c r="B403" t="str">
        <f>IF(Monthly!A404="","",Monthly!A404)</f>
        <v/>
      </c>
    </row>
    <row r="404" spans="2:2" x14ac:dyDescent="0.25">
      <c r="B404" t="str">
        <f>IF(Monthly!A405="","",Monthly!A405)</f>
        <v/>
      </c>
    </row>
    <row r="405" spans="2:2" x14ac:dyDescent="0.25">
      <c r="B405" t="str">
        <f>IF(Monthly!A406="","",Monthly!A406)</f>
        <v/>
      </c>
    </row>
    <row r="406" spans="2:2" x14ac:dyDescent="0.25">
      <c r="B406" t="str">
        <f>IF(Monthly!A407="","",Monthly!A407)</f>
        <v/>
      </c>
    </row>
    <row r="407" spans="2:2" x14ac:dyDescent="0.25">
      <c r="B407" t="str">
        <f>IF(Monthly!A408="","",Monthly!A408)</f>
        <v/>
      </c>
    </row>
    <row r="408" spans="2:2" x14ac:dyDescent="0.25">
      <c r="B408" t="str">
        <f>IF(Monthly!A409="","",Monthly!A409)</f>
        <v/>
      </c>
    </row>
    <row r="409" spans="2:2" x14ac:dyDescent="0.25">
      <c r="B409" t="str">
        <f>IF(Monthly!A410="","",Monthly!A410)</f>
        <v/>
      </c>
    </row>
    <row r="410" spans="2:2" x14ac:dyDescent="0.25">
      <c r="B410" t="str">
        <f>IF(Monthly!A411="","",Monthly!A411)</f>
        <v/>
      </c>
    </row>
    <row r="411" spans="2:2" x14ac:dyDescent="0.25">
      <c r="B411" t="str">
        <f>IF(Monthly!A412="","",Monthly!A412)</f>
        <v/>
      </c>
    </row>
    <row r="412" spans="2:2" x14ac:dyDescent="0.25">
      <c r="B412" t="str">
        <f>IF(Monthly!A413="","",Monthly!A413)</f>
        <v/>
      </c>
    </row>
    <row r="413" spans="2:2" x14ac:dyDescent="0.25">
      <c r="B413" t="str">
        <f>IF(Monthly!A414="","",Monthly!A414)</f>
        <v/>
      </c>
    </row>
    <row r="414" spans="2:2" x14ac:dyDescent="0.25">
      <c r="B414" t="str">
        <f>IF(Monthly!A415="","",Monthly!A415)</f>
        <v/>
      </c>
    </row>
    <row r="415" spans="2:2" x14ac:dyDescent="0.25">
      <c r="B415" t="str">
        <f>IF(Monthly!A416="","",Monthly!A416)</f>
        <v/>
      </c>
    </row>
    <row r="416" spans="2:2" x14ac:dyDescent="0.25">
      <c r="B416" t="str">
        <f>IF(Monthly!A417="","",Monthly!A417)</f>
        <v/>
      </c>
    </row>
    <row r="417" spans="2:2" x14ac:dyDescent="0.25">
      <c r="B417" t="str">
        <f>IF(Monthly!A418="","",Monthly!A418)</f>
        <v/>
      </c>
    </row>
    <row r="418" spans="2:2" x14ac:dyDescent="0.25">
      <c r="B418" t="str">
        <f>IF(Monthly!A419="","",Monthly!A419)</f>
        <v/>
      </c>
    </row>
    <row r="419" spans="2:2" x14ac:dyDescent="0.25">
      <c r="B419" t="str">
        <f>IF(Monthly!A420="","",Monthly!A420)</f>
        <v/>
      </c>
    </row>
    <row r="420" spans="2:2" x14ac:dyDescent="0.25">
      <c r="B420" t="str">
        <f>IF(Monthly!A421="","",Monthly!A421)</f>
        <v/>
      </c>
    </row>
    <row r="421" spans="2:2" x14ac:dyDescent="0.25">
      <c r="B421" t="str">
        <f>IF(Monthly!A422="","",Monthly!A422)</f>
        <v/>
      </c>
    </row>
    <row r="422" spans="2:2" x14ac:dyDescent="0.25">
      <c r="B422" t="str">
        <f>IF(Monthly!A423="","",Monthly!A423)</f>
        <v/>
      </c>
    </row>
    <row r="423" spans="2:2" x14ac:dyDescent="0.25">
      <c r="B423" t="str">
        <f>IF(Monthly!A424="","",Monthly!A424)</f>
        <v/>
      </c>
    </row>
    <row r="424" spans="2:2" x14ac:dyDescent="0.25">
      <c r="B424" t="str">
        <f>IF(Monthly!A425="","",Monthly!A425)</f>
        <v/>
      </c>
    </row>
    <row r="425" spans="2:2" x14ac:dyDescent="0.25">
      <c r="B425" t="str">
        <f>IF(Monthly!A426="","",Monthly!A426)</f>
        <v/>
      </c>
    </row>
    <row r="426" spans="2:2" x14ac:dyDescent="0.25">
      <c r="B426" t="str">
        <f>IF(Monthly!A427="","",Monthly!A427)</f>
        <v/>
      </c>
    </row>
    <row r="427" spans="2:2" x14ac:dyDescent="0.25">
      <c r="B427" t="str">
        <f>IF(Monthly!A428="","",Monthly!A428)</f>
        <v/>
      </c>
    </row>
    <row r="428" spans="2:2" x14ac:dyDescent="0.25">
      <c r="B428" t="str">
        <f>IF(Monthly!A429="","",Monthly!A429)</f>
        <v/>
      </c>
    </row>
    <row r="429" spans="2:2" x14ac:dyDescent="0.25">
      <c r="B429" t="str">
        <f>IF(Monthly!A430="","",Monthly!A430)</f>
        <v/>
      </c>
    </row>
    <row r="430" spans="2:2" x14ac:dyDescent="0.25">
      <c r="B430" t="str">
        <f>IF(Monthly!A431="","",Monthly!A431)</f>
        <v/>
      </c>
    </row>
    <row r="431" spans="2:2" x14ac:dyDescent="0.25">
      <c r="B431" t="str">
        <f>IF(Monthly!A432="","",Monthly!A432)</f>
        <v/>
      </c>
    </row>
    <row r="432" spans="2:2" x14ac:dyDescent="0.25">
      <c r="B432" t="str">
        <f>IF(Monthly!A433="","",Monthly!A433)</f>
        <v/>
      </c>
    </row>
    <row r="433" spans="2:2" x14ac:dyDescent="0.25">
      <c r="B433" t="str">
        <f>IF(Monthly!A434="","",Monthly!A434)</f>
        <v/>
      </c>
    </row>
    <row r="434" spans="2:2" x14ac:dyDescent="0.25">
      <c r="B434" t="str">
        <f>IF(Monthly!A435="","",Monthly!A435)</f>
        <v/>
      </c>
    </row>
    <row r="435" spans="2:2" x14ac:dyDescent="0.25">
      <c r="B435" t="str">
        <f>IF(Monthly!A436="","",Monthly!A436)</f>
        <v/>
      </c>
    </row>
    <row r="436" spans="2:2" x14ac:dyDescent="0.25">
      <c r="B436" t="str">
        <f>IF(Monthly!A437="","",Monthly!A437)</f>
        <v/>
      </c>
    </row>
    <row r="437" spans="2:2" x14ac:dyDescent="0.25">
      <c r="B437" t="str">
        <f>IF(Monthly!A438="","",Monthly!A438)</f>
        <v/>
      </c>
    </row>
    <row r="438" spans="2:2" x14ac:dyDescent="0.25">
      <c r="B438" t="str">
        <f>IF(Monthly!A439="","",Monthly!A439)</f>
        <v/>
      </c>
    </row>
    <row r="439" spans="2:2" x14ac:dyDescent="0.25">
      <c r="B439" t="str">
        <f>IF(Monthly!A440="","",Monthly!A440)</f>
        <v/>
      </c>
    </row>
    <row r="440" spans="2:2" x14ac:dyDescent="0.25">
      <c r="B440" t="str">
        <f>IF(Monthly!A441="","",Monthly!A441)</f>
        <v/>
      </c>
    </row>
    <row r="441" spans="2:2" x14ac:dyDescent="0.25">
      <c r="B441" t="str">
        <f>IF(Monthly!A442="","",Monthly!A442)</f>
        <v/>
      </c>
    </row>
    <row r="442" spans="2:2" x14ac:dyDescent="0.25">
      <c r="B442" t="str">
        <f>IF(Monthly!A443="","",Monthly!A443)</f>
        <v/>
      </c>
    </row>
    <row r="443" spans="2:2" x14ac:dyDescent="0.25">
      <c r="B443" t="str">
        <f>IF(Monthly!A444="","",Monthly!A444)</f>
        <v/>
      </c>
    </row>
    <row r="444" spans="2:2" x14ac:dyDescent="0.25">
      <c r="B444" t="str">
        <f>IF(Monthly!A445="","",Monthly!A445)</f>
        <v/>
      </c>
    </row>
    <row r="445" spans="2:2" x14ac:dyDescent="0.25">
      <c r="B445" t="str">
        <f>IF(Monthly!A446="","",Monthly!A446)</f>
        <v/>
      </c>
    </row>
    <row r="446" spans="2:2" x14ac:dyDescent="0.25">
      <c r="B446" t="str">
        <f>IF(Monthly!A447="","",Monthly!A447)</f>
        <v/>
      </c>
    </row>
    <row r="447" spans="2:2" x14ac:dyDescent="0.25">
      <c r="B447" t="str">
        <f>IF(Monthly!A448="","",Monthly!A448)</f>
        <v/>
      </c>
    </row>
    <row r="448" spans="2:2" x14ac:dyDescent="0.25">
      <c r="B448" t="str">
        <f>IF(Monthly!A449="","",Monthly!A449)</f>
        <v/>
      </c>
    </row>
    <row r="449" spans="2:2" x14ac:dyDescent="0.25">
      <c r="B449" t="str">
        <f>IF(Monthly!A450="","",Monthly!A450)</f>
        <v/>
      </c>
    </row>
    <row r="450" spans="2:2" x14ac:dyDescent="0.25">
      <c r="B450" t="str">
        <f>IF(Monthly!A451="","",Monthly!A451)</f>
        <v/>
      </c>
    </row>
    <row r="451" spans="2:2" x14ac:dyDescent="0.25">
      <c r="B451" t="str">
        <f>IF(Monthly!A452="","",Monthly!A452)</f>
        <v/>
      </c>
    </row>
    <row r="452" spans="2:2" x14ac:dyDescent="0.25">
      <c r="B452" t="str">
        <f>IF(Monthly!A453="","",Monthly!A453)</f>
        <v/>
      </c>
    </row>
    <row r="453" spans="2:2" x14ac:dyDescent="0.25">
      <c r="B453" t="str">
        <f>IF(Monthly!A454="","",Monthly!A454)</f>
        <v/>
      </c>
    </row>
    <row r="454" spans="2:2" x14ac:dyDescent="0.25">
      <c r="B454" t="str">
        <f>IF(Monthly!A455="","",Monthly!A455)</f>
        <v/>
      </c>
    </row>
    <row r="455" spans="2:2" x14ac:dyDescent="0.25">
      <c r="B455" t="str">
        <f>IF(Monthly!A456="","",Monthly!A456)</f>
        <v/>
      </c>
    </row>
    <row r="456" spans="2:2" x14ac:dyDescent="0.25">
      <c r="B456" t="str">
        <f>IF(Monthly!A457="","",Monthly!A457)</f>
        <v/>
      </c>
    </row>
    <row r="457" spans="2:2" x14ac:dyDescent="0.25">
      <c r="B457" t="str">
        <f>IF(Monthly!A458="","",Monthly!A458)</f>
        <v/>
      </c>
    </row>
    <row r="458" spans="2:2" x14ac:dyDescent="0.25">
      <c r="B458" t="str">
        <f>IF(Monthly!A459="","",Monthly!A459)</f>
        <v/>
      </c>
    </row>
    <row r="459" spans="2:2" x14ac:dyDescent="0.25">
      <c r="B459" t="str">
        <f>IF(Monthly!A460="","",Monthly!A460)</f>
        <v/>
      </c>
    </row>
    <row r="460" spans="2:2" x14ac:dyDescent="0.25">
      <c r="B460" t="str">
        <f>IF(Monthly!A461="","",Monthly!A461)</f>
        <v/>
      </c>
    </row>
    <row r="461" spans="2:2" x14ac:dyDescent="0.25">
      <c r="B461" t="str">
        <f>IF(Monthly!A462="","",Monthly!A462)</f>
        <v/>
      </c>
    </row>
    <row r="462" spans="2:2" x14ac:dyDescent="0.25">
      <c r="B462" t="str">
        <f>IF(Monthly!A463="","",Monthly!A463)</f>
        <v/>
      </c>
    </row>
    <row r="463" spans="2:2" x14ac:dyDescent="0.25">
      <c r="B463" t="str">
        <f>IF(Monthly!A464="","",Monthly!A464)</f>
        <v/>
      </c>
    </row>
    <row r="464" spans="2:2" x14ac:dyDescent="0.25">
      <c r="B464" t="str">
        <f>IF(Monthly!A465="","",Monthly!A465)</f>
        <v/>
      </c>
    </row>
    <row r="465" spans="2:2" x14ac:dyDescent="0.25">
      <c r="B465" t="str">
        <f>IF(Monthly!A466="","",Monthly!A466)</f>
        <v/>
      </c>
    </row>
    <row r="466" spans="2:2" x14ac:dyDescent="0.25">
      <c r="B466" t="str">
        <f>IF(Monthly!A467="","",Monthly!A467)</f>
        <v/>
      </c>
    </row>
    <row r="467" spans="2:2" x14ac:dyDescent="0.25">
      <c r="B467" t="str">
        <f>IF(Monthly!A468="","",Monthly!A468)</f>
        <v/>
      </c>
    </row>
    <row r="468" spans="2:2" x14ac:dyDescent="0.25">
      <c r="B468" t="str">
        <f>IF(Monthly!A469="","",Monthly!A469)</f>
        <v/>
      </c>
    </row>
    <row r="469" spans="2:2" x14ac:dyDescent="0.25">
      <c r="B469" t="str">
        <f>IF(Monthly!A470="","",Monthly!A470)</f>
        <v/>
      </c>
    </row>
    <row r="470" spans="2:2" x14ac:dyDescent="0.25">
      <c r="B470" t="str">
        <f>IF(Monthly!A471="","",Monthly!A471)</f>
        <v/>
      </c>
    </row>
    <row r="471" spans="2:2" x14ac:dyDescent="0.25">
      <c r="B471" t="str">
        <f>IF(Monthly!A472="","",Monthly!A472)</f>
        <v/>
      </c>
    </row>
    <row r="472" spans="2:2" x14ac:dyDescent="0.25">
      <c r="B472" t="str">
        <f>IF(Monthly!A473="","",Monthly!A473)</f>
        <v/>
      </c>
    </row>
    <row r="473" spans="2:2" x14ac:dyDescent="0.25">
      <c r="B473" t="str">
        <f>IF(Monthly!A474="","",Monthly!A474)</f>
        <v/>
      </c>
    </row>
    <row r="474" spans="2:2" x14ac:dyDescent="0.25">
      <c r="B474" t="str">
        <f>IF(Monthly!A475="","",Monthly!A475)</f>
        <v/>
      </c>
    </row>
    <row r="475" spans="2:2" x14ac:dyDescent="0.25">
      <c r="B475" t="str">
        <f>IF(Monthly!A476="","",Monthly!A476)</f>
        <v/>
      </c>
    </row>
    <row r="476" spans="2:2" x14ac:dyDescent="0.25">
      <c r="B476" t="str">
        <f>IF(Monthly!A477="","",Monthly!A477)</f>
        <v/>
      </c>
    </row>
    <row r="477" spans="2:2" x14ac:dyDescent="0.25">
      <c r="B477" t="str">
        <f>IF(Monthly!A478="","",Monthly!A478)</f>
        <v/>
      </c>
    </row>
    <row r="478" spans="2:2" x14ac:dyDescent="0.25">
      <c r="B478" t="str">
        <f>IF(Monthly!A479="","",Monthly!A479)</f>
        <v/>
      </c>
    </row>
    <row r="479" spans="2:2" x14ac:dyDescent="0.25">
      <c r="B479" t="str">
        <f>IF(Monthly!A480="","",Monthly!A480)</f>
        <v/>
      </c>
    </row>
    <row r="480" spans="2:2" x14ac:dyDescent="0.25">
      <c r="B480" t="str">
        <f>IF(Monthly!A481="","",Monthly!A481)</f>
        <v/>
      </c>
    </row>
    <row r="481" spans="2:2" x14ac:dyDescent="0.25">
      <c r="B481" t="str">
        <f>IF(Monthly!A482="","",Monthly!A482)</f>
        <v/>
      </c>
    </row>
    <row r="482" spans="2:2" x14ac:dyDescent="0.25">
      <c r="B482" t="str">
        <f>IF(Monthly!A483="","",Monthly!A483)</f>
        <v/>
      </c>
    </row>
    <row r="483" spans="2:2" x14ac:dyDescent="0.25">
      <c r="B483" t="str">
        <f>IF(Monthly!A484="","",Monthly!A484)</f>
        <v/>
      </c>
    </row>
    <row r="484" spans="2:2" x14ac:dyDescent="0.25">
      <c r="B484" t="str">
        <f>IF(Monthly!A485="","",Monthly!A485)</f>
        <v/>
      </c>
    </row>
    <row r="485" spans="2:2" x14ac:dyDescent="0.25">
      <c r="B485" t="str">
        <f>IF(Monthly!A486="","",Monthly!A486)</f>
        <v/>
      </c>
    </row>
    <row r="486" spans="2:2" x14ac:dyDescent="0.25">
      <c r="B486" t="str">
        <f>IF(Monthly!A487="","",Monthly!A487)</f>
        <v/>
      </c>
    </row>
    <row r="487" spans="2:2" x14ac:dyDescent="0.25">
      <c r="B487" t="str">
        <f>IF(Monthly!A488="","",Monthly!A488)</f>
        <v/>
      </c>
    </row>
    <row r="488" spans="2:2" x14ac:dyDescent="0.25">
      <c r="B488" t="str">
        <f>IF(Monthly!A489="","",Monthly!A489)</f>
        <v/>
      </c>
    </row>
    <row r="489" spans="2:2" x14ac:dyDescent="0.25">
      <c r="B489" t="str">
        <f>IF(Monthly!A490="","",Monthly!A490)</f>
        <v/>
      </c>
    </row>
    <row r="490" spans="2:2" x14ac:dyDescent="0.25">
      <c r="B490" t="str">
        <f>IF(Monthly!A491="","",Monthly!A491)</f>
        <v/>
      </c>
    </row>
    <row r="491" spans="2:2" x14ac:dyDescent="0.25">
      <c r="B491" t="str">
        <f>IF(Monthly!A492="","",Monthly!A492)</f>
        <v/>
      </c>
    </row>
    <row r="492" spans="2:2" x14ac:dyDescent="0.25">
      <c r="B492" t="str">
        <f>IF(Monthly!A493="","",Monthly!A493)</f>
        <v/>
      </c>
    </row>
    <row r="493" spans="2:2" x14ac:dyDescent="0.25">
      <c r="B493" t="str">
        <f>IF(Monthly!A494="","",Monthly!A494)</f>
        <v/>
      </c>
    </row>
    <row r="494" spans="2:2" x14ac:dyDescent="0.25">
      <c r="B494" t="str">
        <f>IF(Monthly!A495="","",Monthly!A495)</f>
        <v/>
      </c>
    </row>
    <row r="495" spans="2:2" x14ac:dyDescent="0.25">
      <c r="B495" t="str">
        <f>IF(Monthly!A496="","",Monthly!A496)</f>
        <v/>
      </c>
    </row>
    <row r="496" spans="2:2" x14ac:dyDescent="0.25">
      <c r="B496" t="str">
        <f>IF(Monthly!A497="","",Monthly!A497)</f>
        <v/>
      </c>
    </row>
    <row r="497" spans="2:2" x14ac:dyDescent="0.25">
      <c r="B497" t="str">
        <f>IF(Monthly!A498="","",Monthly!A498)</f>
        <v/>
      </c>
    </row>
    <row r="498" spans="2:2" x14ac:dyDescent="0.25">
      <c r="B498" t="str">
        <f>IF(Monthly!A499="","",Monthly!A499)</f>
        <v/>
      </c>
    </row>
    <row r="499" spans="2:2" x14ac:dyDescent="0.25">
      <c r="B499" t="str">
        <f>IF(Monthly!A500="","",Monthly!A500)</f>
        <v/>
      </c>
    </row>
    <row r="500" spans="2:2" x14ac:dyDescent="0.25">
      <c r="B500" t="str">
        <f>IF(Monthly!A501="","",Monthly!A501)</f>
        <v/>
      </c>
    </row>
    <row r="501" spans="2:2" x14ac:dyDescent="0.25">
      <c r="B501" t="str">
        <f>IF(Monthly!A502="","",Monthly!A502)</f>
        <v/>
      </c>
    </row>
    <row r="502" spans="2:2" x14ac:dyDescent="0.25">
      <c r="B502" t="str">
        <f>IF(Monthly!A503="","",Monthly!A503)</f>
        <v/>
      </c>
    </row>
    <row r="503" spans="2:2" x14ac:dyDescent="0.25">
      <c r="B503" t="str">
        <f>IF(Monthly!A504="","",Monthly!A504)</f>
        <v/>
      </c>
    </row>
    <row r="504" spans="2:2" x14ac:dyDescent="0.25">
      <c r="B504" t="str">
        <f>IF(Monthly!A505="","",Monthly!A505)</f>
        <v/>
      </c>
    </row>
    <row r="505" spans="2:2" x14ac:dyDescent="0.25">
      <c r="B505" t="str">
        <f>IF(Monthly!A506="","",Monthly!A506)</f>
        <v/>
      </c>
    </row>
    <row r="506" spans="2:2" x14ac:dyDescent="0.25">
      <c r="B506" t="str">
        <f>IF(Monthly!A507="","",Monthly!A507)</f>
        <v/>
      </c>
    </row>
    <row r="507" spans="2:2" x14ac:dyDescent="0.25">
      <c r="B507" t="str">
        <f>IF(Monthly!A508="","",Monthly!A508)</f>
        <v/>
      </c>
    </row>
    <row r="508" spans="2:2" x14ac:dyDescent="0.25">
      <c r="B508" t="str">
        <f>IF(Monthly!A509="","",Monthly!A509)</f>
        <v/>
      </c>
    </row>
    <row r="509" spans="2:2" x14ac:dyDescent="0.25">
      <c r="B509" t="str">
        <f>IF(Monthly!A510="","",Monthly!A510)</f>
        <v/>
      </c>
    </row>
    <row r="510" spans="2:2" x14ac:dyDescent="0.25">
      <c r="B510" t="str">
        <f>IF(Monthly!A511="","",Monthly!A511)</f>
        <v/>
      </c>
    </row>
    <row r="511" spans="2:2" x14ac:dyDescent="0.25">
      <c r="B511" t="str">
        <f>IF(Monthly!A512="","",Monthly!A512)</f>
        <v/>
      </c>
    </row>
    <row r="512" spans="2:2" x14ac:dyDescent="0.25">
      <c r="B512" t="str">
        <f>IF(Monthly!A513="","",Monthly!A513)</f>
        <v/>
      </c>
    </row>
    <row r="513" spans="2:2" x14ac:dyDescent="0.25">
      <c r="B513" t="str">
        <f>IF(Monthly!A514="","",Monthly!A514)</f>
        <v/>
      </c>
    </row>
    <row r="514" spans="2:2" x14ac:dyDescent="0.25">
      <c r="B514" t="str">
        <f>IF(Monthly!A515="","",Monthly!A515)</f>
        <v/>
      </c>
    </row>
    <row r="515" spans="2:2" x14ac:dyDescent="0.25">
      <c r="B515" t="str">
        <f>IF(Monthly!A516="","",Monthly!A516)</f>
        <v/>
      </c>
    </row>
    <row r="516" spans="2:2" x14ac:dyDescent="0.25">
      <c r="B516" t="str">
        <f>IF(Monthly!A517="","",Monthly!A517)</f>
        <v/>
      </c>
    </row>
    <row r="517" spans="2:2" x14ac:dyDescent="0.25">
      <c r="B517" t="str">
        <f>IF(Monthly!A518="","",Monthly!A518)</f>
        <v/>
      </c>
    </row>
    <row r="518" spans="2:2" x14ac:dyDescent="0.25">
      <c r="B518" t="str">
        <f>IF(Monthly!A519="","",Monthly!A519)</f>
        <v/>
      </c>
    </row>
    <row r="519" spans="2:2" x14ac:dyDescent="0.25">
      <c r="B519" t="str">
        <f>IF(Monthly!A520="","",Monthly!A520)</f>
        <v/>
      </c>
    </row>
    <row r="520" spans="2:2" x14ac:dyDescent="0.25">
      <c r="B520" t="str">
        <f>IF(Monthly!A521="","",Monthly!A521)</f>
        <v/>
      </c>
    </row>
    <row r="521" spans="2:2" x14ac:dyDescent="0.25">
      <c r="B521" t="str">
        <f>IF(Monthly!A522="","",Monthly!A522)</f>
        <v/>
      </c>
    </row>
    <row r="522" spans="2:2" x14ac:dyDescent="0.25">
      <c r="B522" t="str">
        <f>IF(Monthly!A523="","",Monthly!A523)</f>
        <v/>
      </c>
    </row>
    <row r="523" spans="2:2" x14ac:dyDescent="0.25">
      <c r="B523" t="str">
        <f>IF(Monthly!A524="","",Monthly!A524)</f>
        <v/>
      </c>
    </row>
    <row r="524" spans="2:2" x14ac:dyDescent="0.25">
      <c r="B524" t="str">
        <f>IF(Monthly!A525="","",Monthly!A525)</f>
        <v/>
      </c>
    </row>
    <row r="525" spans="2:2" x14ac:dyDescent="0.25">
      <c r="B525" t="str">
        <f>IF(Monthly!A526="","",Monthly!A526)</f>
        <v/>
      </c>
    </row>
    <row r="526" spans="2:2" x14ac:dyDescent="0.25">
      <c r="B526" t="str">
        <f>IF(Monthly!A527="","",Monthly!A527)</f>
        <v/>
      </c>
    </row>
    <row r="527" spans="2:2" x14ac:dyDescent="0.25">
      <c r="B527" t="str">
        <f>IF(Monthly!A528="","",Monthly!A528)</f>
        <v/>
      </c>
    </row>
    <row r="528" spans="2:2" x14ac:dyDescent="0.25">
      <c r="B528" t="str">
        <f>IF(Monthly!A529="","",Monthly!A529)</f>
        <v/>
      </c>
    </row>
    <row r="529" spans="2:2" x14ac:dyDescent="0.25">
      <c r="B529" t="str">
        <f>IF(Monthly!A530="","",Monthly!A530)</f>
        <v/>
      </c>
    </row>
    <row r="530" spans="2:2" x14ac:dyDescent="0.25">
      <c r="B530" t="str">
        <f>IF(Monthly!A531="","",Monthly!A531)</f>
        <v/>
      </c>
    </row>
    <row r="531" spans="2:2" x14ac:dyDescent="0.25">
      <c r="B531" t="str">
        <f>IF(Monthly!A532="","",Monthly!A532)</f>
        <v/>
      </c>
    </row>
    <row r="532" spans="2:2" x14ac:dyDescent="0.25">
      <c r="B532" t="str">
        <f>IF(Monthly!A533="","",Monthly!A533)</f>
        <v/>
      </c>
    </row>
    <row r="533" spans="2:2" x14ac:dyDescent="0.25">
      <c r="B533" t="str">
        <f>IF(Monthly!A534="","",Monthly!A534)</f>
        <v/>
      </c>
    </row>
    <row r="534" spans="2:2" x14ac:dyDescent="0.25">
      <c r="B534" t="str">
        <f>IF(Monthly!A535="","",Monthly!A535)</f>
        <v/>
      </c>
    </row>
    <row r="535" spans="2:2" x14ac:dyDescent="0.25">
      <c r="B535" t="str">
        <f>IF(Monthly!A536="","",Monthly!A536)</f>
        <v/>
      </c>
    </row>
    <row r="536" spans="2:2" x14ac:dyDescent="0.25">
      <c r="B536" t="str">
        <f>IF(Monthly!A537="","",Monthly!A537)</f>
        <v/>
      </c>
    </row>
    <row r="537" spans="2:2" x14ac:dyDescent="0.25">
      <c r="B537" t="str">
        <f>IF(Monthly!A538="","",Monthly!A538)</f>
        <v/>
      </c>
    </row>
    <row r="538" spans="2:2" x14ac:dyDescent="0.25">
      <c r="B538" t="str">
        <f>IF(Monthly!A539="","",Monthly!A539)</f>
        <v/>
      </c>
    </row>
    <row r="539" spans="2:2" x14ac:dyDescent="0.25">
      <c r="B539" t="str">
        <f>IF(Monthly!A540="","",Monthly!A540)</f>
        <v/>
      </c>
    </row>
    <row r="540" spans="2:2" x14ac:dyDescent="0.25">
      <c r="B540" t="str">
        <f>IF(Monthly!A541="","",Monthly!A541)</f>
        <v/>
      </c>
    </row>
    <row r="541" spans="2:2" x14ac:dyDescent="0.25">
      <c r="B541" t="str">
        <f>IF(Monthly!A542="","",Monthly!A542)</f>
        <v/>
      </c>
    </row>
    <row r="542" spans="2:2" x14ac:dyDescent="0.25">
      <c r="B542" t="str">
        <f>IF(Monthly!A543="","",Monthly!A543)</f>
        <v/>
      </c>
    </row>
    <row r="543" spans="2:2" x14ac:dyDescent="0.25">
      <c r="B543" t="str">
        <f>IF(Monthly!A544="","",Monthly!A544)</f>
        <v/>
      </c>
    </row>
    <row r="544" spans="2:2" x14ac:dyDescent="0.25">
      <c r="B544" t="str">
        <f>IF(Monthly!A545="","",Monthly!A545)</f>
        <v/>
      </c>
    </row>
    <row r="545" spans="2:2" x14ac:dyDescent="0.25">
      <c r="B545" t="str">
        <f>IF(Monthly!A546="","",Monthly!A546)</f>
        <v/>
      </c>
    </row>
    <row r="546" spans="2:2" x14ac:dyDescent="0.25">
      <c r="B546" t="str">
        <f>IF(Monthly!A547="","",Monthly!A547)</f>
        <v/>
      </c>
    </row>
    <row r="547" spans="2:2" x14ac:dyDescent="0.25">
      <c r="B547" t="str">
        <f>IF(Monthly!A548="","",Monthly!A548)</f>
        <v/>
      </c>
    </row>
    <row r="548" spans="2:2" x14ac:dyDescent="0.25">
      <c r="B548" t="str">
        <f>IF(Monthly!A549="","",Monthly!A549)</f>
        <v/>
      </c>
    </row>
    <row r="549" spans="2:2" x14ac:dyDescent="0.25">
      <c r="B549" t="str">
        <f>IF(Monthly!A550="","",Monthly!A550)</f>
        <v/>
      </c>
    </row>
    <row r="550" spans="2:2" x14ac:dyDescent="0.25">
      <c r="B550" t="str">
        <f>IF(Monthly!A551="","",Monthly!A551)</f>
        <v/>
      </c>
    </row>
    <row r="551" spans="2:2" x14ac:dyDescent="0.25">
      <c r="B551" t="str">
        <f>IF(Monthly!A552="","",Monthly!A552)</f>
        <v/>
      </c>
    </row>
    <row r="552" spans="2:2" x14ac:dyDescent="0.25">
      <c r="B552" t="str">
        <f>IF(Monthly!A553="","",Monthly!A553)</f>
        <v/>
      </c>
    </row>
    <row r="553" spans="2:2" x14ac:dyDescent="0.25">
      <c r="B553" t="str">
        <f>IF(Monthly!A554="","",Monthly!A554)</f>
        <v/>
      </c>
    </row>
    <row r="554" spans="2:2" x14ac:dyDescent="0.25">
      <c r="B554" t="str">
        <f>IF(Monthly!A555="","",Monthly!A555)</f>
        <v/>
      </c>
    </row>
    <row r="555" spans="2:2" x14ac:dyDescent="0.25">
      <c r="B555" t="str">
        <f>IF(Monthly!A556="","",Monthly!A556)</f>
        <v/>
      </c>
    </row>
    <row r="556" spans="2:2" x14ac:dyDescent="0.25">
      <c r="B556" t="str">
        <f>IF(Monthly!A557="","",Monthly!A557)</f>
        <v/>
      </c>
    </row>
    <row r="557" spans="2:2" x14ac:dyDescent="0.25">
      <c r="B557" t="str">
        <f>IF(Monthly!A558="","",Monthly!A558)</f>
        <v/>
      </c>
    </row>
    <row r="558" spans="2:2" x14ac:dyDescent="0.25">
      <c r="B558" t="str">
        <f>IF(Monthly!A559="","",Monthly!A559)</f>
        <v/>
      </c>
    </row>
    <row r="559" spans="2:2" x14ac:dyDescent="0.25">
      <c r="B559" t="str">
        <f>IF(Monthly!A560="","",Monthly!A560)</f>
        <v/>
      </c>
    </row>
    <row r="560" spans="2:2" x14ac:dyDescent="0.25">
      <c r="B560" t="str">
        <f>IF(Monthly!A561="","",Monthly!A561)</f>
        <v/>
      </c>
    </row>
    <row r="561" spans="2:2" x14ac:dyDescent="0.25">
      <c r="B561" t="str">
        <f>IF(Monthly!A562="","",Monthly!A562)</f>
        <v/>
      </c>
    </row>
    <row r="562" spans="2:2" x14ac:dyDescent="0.25">
      <c r="B562" t="str">
        <f>IF(Monthly!A563="","",Monthly!A563)</f>
        <v/>
      </c>
    </row>
    <row r="563" spans="2:2" x14ac:dyDescent="0.25">
      <c r="B563" t="str">
        <f>IF(Monthly!A564="","",Monthly!A564)</f>
        <v/>
      </c>
    </row>
    <row r="564" spans="2:2" x14ac:dyDescent="0.25">
      <c r="B564" t="str">
        <f>IF(Monthly!A565="","",Monthly!A565)</f>
        <v/>
      </c>
    </row>
    <row r="565" spans="2:2" x14ac:dyDescent="0.25">
      <c r="B565" t="str">
        <f>IF(Monthly!A566="","",Monthly!A566)</f>
        <v/>
      </c>
    </row>
    <row r="566" spans="2:2" x14ac:dyDescent="0.25">
      <c r="B566" t="str">
        <f>IF(Monthly!A567="","",Monthly!A567)</f>
        <v/>
      </c>
    </row>
    <row r="567" spans="2:2" x14ac:dyDescent="0.25">
      <c r="B567" t="str">
        <f>IF(Monthly!A568="","",Monthly!A568)</f>
        <v/>
      </c>
    </row>
    <row r="568" spans="2:2" x14ac:dyDescent="0.25">
      <c r="B568" t="str">
        <f>IF(Monthly!A569="","",Monthly!A569)</f>
        <v/>
      </c>
    </row>
    <row r="569" spans="2:2" x14ac:dyDescent="0.25">
      <c r="B569" t="str">
        <f>IF(Monthly!A570="","",Monthly!A570)</f>
        <v/>
      </c>
    </row>
    <row r="570" spans="2:2" x14ac:dyDescent="0.25">
      <c r="B570" t="str">
        <f>IF(Monthly!A571="","",Monthly!A571)</f>
        <v/>
      </c>
    </row>
    <row r="571" spans="2:2" x14ac:dyDescent="0.25">
      <c r="B571" t="str">
        <f>IF(Monthly!A572="","",Monthly!A572)</f>
        <v/>
      </c>
    </row>
    <row r="572" spans="2:2" x14ac:dyDescent="0.25">
      <c r="B572" t="str">
        <f>IF(Monthly!A573="","",Monthly!A573)</f>
        <v/>
      </c>
    </row>
    <row r="573" spans="2:2" x14ac:dyDescent="0.25">
      <c r="B573" t="str">
        <f>IF(Monthly!A574="","",Monthly!A574)</f>
        <v/>
      </c>
    </row>
    <row r="574" spans="2:2" x14ac:dyDescent="0.25">
      <c r="B574" t="str">
        <f>IF(Monthly!A575="","",Monthly!A575)</f>
        <v/>
      </c>
    </row>
    <row r="575" spans="2:2" x14ac:dyDescent="0.25">
      <c r="B575" t="str">
        <f>IF(Monthly!A576="","",Monthly!A576)</f>
        <v/>
      </c>
    </row>
    <row r="576" spans="2:2" x14ac:dyDescent="0.25">
      <c r="B576" t="str">
        <f>IF(Monthly!A577="","",Monthly!A577)</f>
        <v/>
      </c>
    </row>
    <row r="577" spans="2:2" x14ac:dyDescent="0.25">
      <c r="B577" t="str">
        <f>IF(Monthly!A578="","",Monthly!A578)</f>
        <v/>
      </c>
    </row>
    <row r="578" spans="2:2" x14ac:dyDescent="0.25">
      <c r="B578" t="str">
        <f>IF(Monthly!A579="","",Monthly!A579)</f>
        <v/>
      </c>
    </row>
    <row r="579" spans="2:2" x14ac:dyDescent="0.25">
      <c r="B579" t="str">
        <f>IF(Monthly!A580="","",Monthly!A580)</f>
        <v/>
      </c>
    </row>
    <row r="580" spans="2:2" x14ac:dyDescent="0.25">
      <c r="B580" t="str">
        <f>IF(Monthly!A581="","",Monthly!A581)</f>
        <v/>
      </c>
    </row>
    <row r="581" spans="2:2" x14ac:dyDescent="0.25">
      <c r="B581" t="str">
        <f>IF(Monthly!A582="","",Monthly!A582)</f>
        <v/>
      </c>
    </row>
    <row r="582" spans="2:2" x14ac:dyDescent="0.25">
      <c r="B582" t="str">
        <f>IF(Monthly!A583="","",Monthly!A583)</f>
        <v/>
      </c>
    </row>
    <row r="583" spans="2:2" x14ac:dyDescent="0.25">
      <c r="B583" t="str">
        <f>IF(Monthly!A584="","",Monthly!A584)</f>
        <v/>
      </c>
    </row>
    <row r="584" spans="2:2" x14ac:dyDescent="0.25">
      <c r="B584" t="str">
        <f>IF(Monthly!A585="","",Monthly!A585)</f>
        <v/>
      </c>
    </row>
    <row r="585" spans="2:2" x14ac:dyDescent="0.25">
      <c r="B585" t="str">
        <f>IF(Monthly!A586="","",Monthly!A586)</f>
        <v/>
      </c>
    </row>
    <row r="586" spans="2:2" x14ac:dyDescent="0.25">
      <c r="B586" t="str">
        <f>IF(Monthly!A587="","",Monthly!A587)</f>
        <v/>
      </c>
    </row>
    <row r="587" spans="2:2" x14ac:dyDescent="0.25">
      <c r="B587" t="str">
        <f>IF(Monthly!A588="","",Monthly!A588)</f>
        <v/>
      </c>
    </row>
    <row r="588" spans="2:2" x14ac:dyDescent="0.25">
      <c r="B588" t="str">
        <f>IF(Monthly!A589="","",Monthly!A589)</f>
        <v/>
      </c>
    </row>
    <row r="589" spans="2:2" x14ac:dyDescent="0.25">
      <c r="B589" t="str">
        <f>IF(Monthly!A590="","",Monthly!A590)</f>
        <v/>
      </c>
    </row>
    <row r="590" spans="2:2" x14ac:dyDescent="0.25">
      <c r="B590" t="str">
        <f>IF(Monthly!A591="","",Monthly!A591)</f>
        <v/>
      </c>
    </row>
    <row r="591" spans="2:2" x14ac:dyDescent="0.25">
      <c r="B591" t="str">
        <f>IF(Monthly!A592="","",Monthly!A592)</f>
        <v/>
      </c>
    </row>
    <row r="592" spans="2:2" x14ac:dyDescent="0.25">
      <c r="B592" t="str">
        <f>IF(Monthly!A593="","",Monthly!A593)</f>
        <v/>
      </c>
    </row>
    <row r="593" spans="2:2" x14ac:dyDescent="0.25">
      <c r="B593" t="str">
        <f>IF(Monthly!A594="","",Monthly!A594)</f>
        <v/>
      </c>
    </row>
    <row r="594" spans="2:2" x14ac:dyDescent="0.25">
      <c r="B594" t="str">
        <f>IF(Monthly!A595="","",Monthly!A595)</f>
        <v/>
      </c>
    </row>
    <row r="595" spans="2:2" x14ac:dyDescent="0.25">
      <c r="B595" t="str">
        <f>IF(Monthly!A596="","",Monthly!A596)</f>
        <v/>
      </c>
    </row>
    <row r="596" spans="2:2" x14ac:dyDescent="0.25">
      <c r="B596" t="str">
        <f>IF(Monthly!A597="","",Monthly!A597)</f>
        <v/>
      </c>
    </row>
    <row r="597" spans="2:2" x14ac:dyDescent="0.25">
      <c r="B597" t="str">
        <f>IF(Monthly!A598="","",Monthly!A598)</f>
        <v/>
      </c>
    </row>
    <row r="598" spans="2:2" x14ac:dyDescent="0.25">
      <c r="B598" t="str">
        <f>IF(Monthly!A599="","",Monthly!A599)</f>
        <v/>
      </c>
    </row>
    <row r="599" spans="2:2" x14ac:dyDescent="0.25">
      <c r="B599" t="str">
        <f>IF(Monthly!A600="","",Monthly!A600)</f>
        <v/>
      </c>
    </row>
    <row r="600" spans="2:2" x14ac:dyDescent="0.25">
      <c r="B600" t="str">
        <f>IF(Monthly!A601="","",Monthly!A601)</f>
        <v/>
      </c>
    </row>
    <row r="601" spans="2:2" x14ac:dyDescent="0.25">
      <c r="B601" t="str">
        <f>IF(Monthly!A602="","",Monthly!A602)</f>
        <v/>
      </c>
    </row>
    <row r="602" spans="2:2" x14ac:dyDescent="0.25">
      <c r="B602" t="str">
        <f>IF(Monthly!A603="","",Monthly!A603)</f>
        <v/>
      </c>
    </row>
    <row r="603" spans="2:2" x14ac:dyDescent="0.25">
      <c r="B603" t="str">
        <f>IF(Monthly!A604="","",Monthly!A604)</f>
        <v/>
      </c>
    </row>
    <row r="604" spans="2:2" x14ac:dyDescent="0.25">
      <c r="B604" t="str">
        <f>IF(Monthly!A605="","",Monthly!A605)</f>
        <v/>
      </c>
    </row>
    <row r="605" spans="2:2" x14ac:dyDescent="0.25">
      <c r="B605" t="str">
        <f>IF(Monthly!A606="","",Monthly!A606)</f>
        <v/>
      </c>
    </row>
    <row r="606" spans="2:2" x14ac:dyDescent="0.25">
      <c r="B606" t="str">
        <f>IF(Monthly!A607="","",Monthly!A607)</f>
        <v/>
      </c>
    </row>
    <row r="607" spans="2:2" x14ac:dyDescent="0.25">
      <c r="B607" t="str">
        <f>IF(Monthly!A608="","",Monthly!A608)</f>
        <v/>
      </c>
    </row>
    <row r="608" spans="2:2" x14ac:dyDescent="0.25">
      <c r="B608" t="str">
        <f>IF(Monthly!A609="","",Monthly!A609)</f>
        <v/>
      </c>
    </row>
    <row r="609" spans="2:2" x14ac:dyDescent="0.25">
      <c r="B609" t="str">
        <f>IF(Monthly!A610="","",Monthly!A610)</f>
        <v/>
      </c>
    </row>
    <row r="610" spans="2:2" x14ac:dyDescent="0.25">
      <c r="B610" t="str">
        <f>IF(Monthly!A611="","",Monthly!A611)</f>
        <v/>
      </c>
    </row>
    <row r="611" spans="2:2" x14ac:dyDescent="0.25">
      <c r="B611" t="str">
        <f>IF(Monthly!A612="","",Monthly!A612)</f>
        <v/>
      </c>
    </row>
    <row r="612" spans="2:2" x14ac:dyDescent="0.25">
      <c r="B612" t="str">
        <f>IF(Monthly!A613="","",Monthly!A613)</f>
        <v/>
      </c>
    </row>
    <row r="613" spans="2:2" x14ac:dyDescent="0.25">
      <c r="B613" t="str">
        <f>IF(Monthly!A614="","",Monthly!A614)</f>
        <v/>
      </c>
    </row>
    <row r="614" spans="2:2" x14ac:dyDescent="0.25">
      <c r="B614" t="str">
        <f>IF(Monthly!A615="","",Monthly!A615)</f>
        <v/>
      </c>
    </row>
    <row r="615" spans="2:2" x14ac:dyDescent="0.25">
      <c r="B615" t="str">
        <f>IF(Monthly!A616="","",Monthly!A616)</f>
        <v/>
      </c>
    </row>
    <row r="616" spans="2:2" x14ac:dyDescent="0.25">
      <c r="B616" t="str">
        <f>IF(Monthly!A617="","",Monthly!A617)</f>
        <v/>
      </c>
    </row>
    <row r="617" spans="2:2" x14ac:dyDescent="0.25">
      <c r="B617" t="str">
        <f>IF(Monthly!A618="","",Monthly!A618)</f>
        <v/>
      </c>
    </row>
    <row r="618" spans="2:2" x14ac:dyDescent="0.25">
      <c r="B618" t="str">
        <f>IF(Monthly!A619="","",Monthly!A619)</f>
        <v/>
      </c>
    </row>
    <row r="619" spans="2:2" x14ac:dyDescent="0.25">
      <c r="B619" t="str">
        <f>IF(Monthly!A620="","",Monthly!A620)</f>
        <v/>
      </c>
    </row>
    <row r="620" spans="2:2" x14ac:dyDescent="0.25">
      <c r="B620" t="str">
        <f>IF(Monthly!A621="","",Monthly!A621)</f>
        <v/>
      </c>
    </row>
    <row r="621" spans="2:2" x14ac:dyDescent="0.25">
      <c r="B621" t="str">
        <f>IF(Monthly!A622="","",Monthly!A622)</f>
        <v/>
      </c>
    </row>
    <row r="622" spans="2:2" x14ac:dyDescent="0.25">
      <c r="B622" t="str">
        <f>IF(Monthly!A623="","",Monthly!A623)</f>
        <v/>
      </c>
    </row>
    <row r="623" spans="2:2" x14ac:dyDescent="0.25">
      <c r="B623" t="str">
        <f>IF(Monthly!A624="","",Monthly!A624)</f>
        <v/>
      </c>
    </row>
    <row r="624" spans="2:2" x14ac:dyDescent="0.25">
      <c r="B624" t="str">
        <f>IF(Monthly!A625="","",Monthly!A625)</f>
        <v/>
      </c>
    </row>
    <row r="625" spans="2:2" x14ac:dyDescent="0.25">
      <c r="B625" t="str">
        <f>IF(Monthly!A626="","",Monthly!A626)</f>
        <v/>
      </c>
    </row>
    <row r="626" spans="2:2" x14ac:dyDescent="0.25">
      <c r="B626" t="str">
        <f>IF(Monthly!A627="","",Monthly!A627)</f>
        <v/>
      </c>
    </row>
    <row r="627" spans="2:2" x14ac:dyDescent="0.25">
      <c r="B627" t="str">
        <f>IF(Monthly!A628="","",Monthly!A628)</f>
        <v/>
      </c>
    </row>
    <row r="628" spans="2:2" x14ac:dyDescent="0.25">
      <c r="B628" t="str">
        <f>IF(Monthly!A629="","",Monthly!A629)</f>
        <v/>
      </c>
    </row>
    <row r="629" spans="2:2" x14ac:dyDescent="0.25">
      <c r="B629" t="str">
        <f>IF(Monthly!A630="","",Monthly!A630)</f>
        <v/>
      </c>
    </row>
    <row r="630" spans="2:2" x14ac:dyDescent="0.25">
      <c r="B630" t="str">
        <f>IF(Monthly!A631="","",Monthly!A631)</f>
        <v/>
      </c>
    </row>
    <row r="631" spans="2:2" x14ac:dyDescent="0.25">
      <c r="B631" t="str">
        <f>IF(Monthly!A632="","",Monthly!A632)</f>
        <v/>
      </c>
    </row>
    <row r="632" spans="2:2" x14ac:dyDescent="0.25">
      <c r="B632" t="str">
        <f>IF(Monthly!A633="","",Monthly!A633)</f>
        <v/>
      </c>
    </row>
    <row r="633" spans="2:2" x14ac:dyDescent="0.25">
      <c r="B633" t="str">
        <f>IF(Monthly!A634="","",Monthly!A634)</f>
        <v/>
      </c>
    </row>
    <row r="634" spans="2:2" x14ac:dyDescent="0.25">
      <c r="B634" t="str">
        <f>IF(Monthly!A635="","",Monthly!A635)</f>
        <v/>
      </c>
    </row>
    <row r="635" spans="2:2" x14ac:dyDescent="0.25">
      <c r="B635" t="str">
        <f>IF(Monthly!A636="","",Monthly!A636)</f>
        <v/>
      </c>
    </row>
    <row r="636" spans="2:2" x14ac:dyDescent="0.25">
      <c r="B636" t="str">
        <f>IF(Monthly!A637="","",Monthly!A637)</f>
        <v/>
      </c>
    </row>
    <row r="637" spans="2:2" x14ac:dyDescent="0.25">
      <c r="B637" t="str">
        <f>IF(Monthly!A638="","",Monthly!A638)</f>
        <v/>
      </c>
    </row>
    <row r="638" spans="2:2" x14ac:dyDescent="0.25">
      <c r="B638" t="str">
        <f>IF(Monthly!A639="","",Monthly!A639)</f>
        <v/>
      </c>
    </row>
    <row r="639" spans="2:2" x14ac:dyDescent="0.25">
      <c r="B639" t="str">
        <f>IF(Monthly!A640="","",Monthly!A640)</f>
        <v/>
      </c>
    </row>
    <row r="640" spans="2:2" x14ac:dyDescent="0.25">
      <c r="B640" t="str">
        <f>IF(Monthly!A641="","",Monthly!A641)</f>
        <v/>
      </c>
    </row>
    <row r="641" spans="2:2" x14ac:dyDescent="0.25">
      <c r="B641" t="str">
        <f>IF(Monthly!A642="","",Monthly!A642)</f>
        <v/>
      </c>
    </row>
    <row r="642" spans="2:2" x14ac:dyDescent="0.25">
      <c r="B642" t="str">
        <f>IF(Monthly!A643="","",Monthly!A643)</f>
        <v/>
      </c>
    </row>
    <row r="643" spans="2:2" x14ac:dyDescent="0.25">
      <c r="B643" t="str">
        <f>IF(Monthly!A644="","",Monthly!A644)</f>
        <v/>
      </c>
    </row>
    <row r="644" spans="2:2" x14ac:dyDescent="0.25">
      <c r="B644" t="str">
        <f>IF(Monthly!A645="","",Monthly!A645)</f>
        <v/>
      </c>
    </row>
    <row r="645" spans="2:2" x14ac:dyDescent="0.25">
      <c r="B645" t="str">
        <f>IF(Monthly!A646="","",Monthly!A646)</f>
        <v/>
      </c>
    </row>
    <row r="646" spans="2:2" x14ac:dyDescent="0.25">
      <c r="B646" t="str">
        <f>IF(Monthly!A647="","",Monthly!A647)</f>
        <v/>
      </c>
    </row>
    <row r="647" spans="2:2" x14ac:dyDescent="0.25">
      <c r="B647" t="str">
        <f>IF(Monthly!A648="","",Monthly!A648)</f>
        <v/>
      </c>
    </row>
    <row r="648" spans="2:2" x14ac:dyDescent="0.25">
      <c r="B648" t="str">
        <f>IF(Monthly!A649="","",Monthly!A649)</f>
        <v/>
      </c>
    </row>
    <row r="649" spans="2:2" x14ac:dyDescent="0.25">
      <c r="B649" t="str">
        <f>IF(Monthly!A650="","",Monthly!A650)</f>
        <v/>
      </c>
    </row>
    <row r="650" spans="2:2" x14ac:dyDescent="0.25">
      <c r="B650" t="str">
        <f>IF(Monthly!A651="","",Monthly!A651)</f>
        <v/>
      </c>
    </row>
    <row r="651" spans="2:2" x14ac:dyDescent="0.25">
      <c r="B651" t="str">
        <f>IF(Monthly!A652="","",Monthly!A652)</f>
        <v/>
      </c>
    </row>
    <row r="652" spans="2:2" x14ac:dyDescent="0.25">
      <c r="B652" t="str">
        <f>IF(Monthly!A653="","",Monthly!A653)</f>
        <v/>
      </c>
    </row>
    <row r="653" spans="2:2" x14ac:dyDescent="0.25">
      <c r="B653" t="str">
        <f>IF(Monthly!A654="","",Monthly!A654)</f>
        <v/>
      </c>
    </row>
    <row r="654" spans="2:2" x14ac:dyDescent="0.25">
      <c r="B654" t="str">
        <f>IF(Monthly!A655="","",Monthly!A655)</f>
        <v/>
      </c>
    </row>
    <row r="655" spans="2:2" x14ac:dyDescent="0.25">
      <c r="B655" t="str">
        <f>IF(Monthly!A656="","",Monthly!A656)</f>
        <v/>
      </c>
    </row>
    <row r="656" spans="2:2" x14ac:dyDescent="0.25">
      <c r="B656" t="str">
        <f>IF(Monthly!A657="","",Monthly!A657)</f>
        <v/>
      </c>
    </row>
    <row r="657" spans="2:2" x14ac:dyDescent="0.25">
      <c r="B657" t="str">
        <f>IF(Monthly!A658="","",Monthly!A658)</f>
        <v/>
      </c>
    </row>
    <row r="658" spans="2:2" x14ac:dyDescent="0.25">
      <c r="B658" t="str">
        <f>IF(Monthly!A659="","",Monthly!A659)</f>
        <v/>
      </c>
    </row>
    <row r="659" spans="2:2" x14ac:dyDescent="0.25">
      <c r="B659" t="str">
        <f>IF(Monthly!A660="","",Monthly!A660)</f>
        <v/>
      </c>
    </row>
    <row r="660" spans="2:2" x14ac:dyDescent="0.25">
      <c r="B660" t="str">
        <f>IF(Monthly!A661="","",Monthly!A661)</f>
        <v/>
      </c>
    </row>
    <row r="661" spans="2:2" x14ac:dyDescent="0.25">
      <c r="B661" t="str">
        <f>IF(Monthly!A662="","",Monthly!A662)</f>
        <v/>
      </c>
    </row>
    <row r="662" spans="2:2" x14ac:dyDescent="0.25">
      <c r="B662" t="str">
        <f>IF(Monthly!A663="","",Monthly!A663)</f>
        <v/>
      </c>
    </row>
    <row r="663" spans="2:2" x14ac:dyDescent="0.25">
      <c r="B663" t="str">
        <f>IF(Monthly!A664="","",Monthly!A664)</f>
        <v/>
      </c>
    </row>
    <row r="664" spans="2:2" x14ac:dyDescent="0.25">
      <c r="B664" t="str">
        <f>IF(Monthly!A665="","",Monthly!A665)</f>
        <v/>
      </c>
    </row>
    <row r="665" spans="2:2" x14ac:dyDescent="0.25">
      <c r="B665" t="str">
        <f>IF(Monthly!A666="","",Monthly!A666)</f>
        <v/>
      </c>
    </row>
    <row r="666" spans="2:2" x14ac:dyDescent="0.25">
      <c r="B666" t="str">
        <f>IF(Monthly!A667="","",Monthly!A667)</f>
        <v/>
      </c>
    </row>
    <row r="667" spans="2:2" x14ac:dyDescent="0.25">
      <c r="B667" t="str">
        <f>IF(Monthly!A668="","",Monthly!A668)</f>
        <v/>
      </c>
    </row>
    <row r="668" spans="2:2" x14ac:dyDescent="0.25">
      <c r="B668" t="str">
        <f>IF(Monthly!A669="","",Monthly!A669)</f>
        <v/>
      </c>
    </row>
    <row r="669" spans="2:2" x14ac:dyDescent="0.25">
      <c r="B669" t="str">
        <f>IF(Monthly!A670="","",Monthly!A670)</f>
        <v/>
      </c>
    </row>
    <row r="670" spans="2:2" x14ac:dyDescent="0.25">
      <c r="B670" t="str">
        <f>IF(Monthly!A671="","",Monthly!A671)</f>
        <v/>
      </c>
    </row>
    <row r="671" spans="2:2" x14ac:dyDescent="0.25">
      <c r="B671" t="str">
        <f>IF(Monthly!A672="","",Monthly!A672)</f>
        <v/>
      </c>
    </row>
    <row r="672" spans="2:2" x14ac:dyDescent="0.25">
      <c r="B672" t="str">
        <f>IF(Monthly!A673="","",Monthly!A673)</f>
        <v/>
      </c>
    </row>
    <row r="673" spans="2:2" x14ac:dyDescent="0.25">
      <c r="B673" t="str">
        <f>IF(Monthly!A674="","",Monthly!A674)</f>
        <v/>
      </c>
    </row>
    <row r="674" spans="2:2" x14ac:dyDescent="0.25">
      <c r="B674" t="str">
        <f>IF(Monthly!A675="","",Monthly!A675)</f>
        <v/>
      </c>
    </row>
    <row r="675" spans="2:2" x14ac:dyDescent="0.25">
      <c r="B675" t="str">
        <f>IF(Monthly!A676="","",Monthly!A676)</f>
        <v/>
      </c>
    </row>
    <row r="676" spans="2:2" x14ac:dyDescent="0.25">
      <c r="B676" t="str">
        <f>IF(Monthly!A677="","",Monthly!A677)</f>
        <v/>
      </c>
    </row>
    <row r="677" spans="2:2" x14ac:dyDescent="0.25">
      <c r="B677" t="str">
        <f>IF(Monthly!A678="","",Monthly!A678)</f>
        <v/>
      </c>
    </row>
    <row r="678" spans="2:2" x14ac:dyDescent="0.25">
      <c r="B678" t="str">
        <f>IF(Monthly!A679="","",Monthly!A679)</f>
        <v/>
      </c>
    </row>
    <row r="679" spans="2:2" x14ac:dyDescent="0.25">
      <c r="B679" t="str">
        <f>IF(Monthly!A680="","",Monthly!A680)</f>
        <v/>
      </c>
    </row>
    <row r="680" spans="2:2" x14ac:dyDescent="0.25">
      <c r="B680" t="str">
        <f>IF(Monthly!A681="","",Monthly!A681)</f>
        <v/>
      </c>
    </row>
    <row r="681" spans="2:2" x14ac:dyDescent="0.25">
      <c r="B681" t="str">
        <f>IF(Monthly!A682="","",Monthly!A682)</f>
        <v/>
      </c>
    </row>
    <row r="682" spans="2:2" x14ac:dyDescent="0.25">
      <c r="B682" t="str">
        <f>IF(Monthly!A683="","",Monthly!A683)</f>
        <v/>
      </c>
    </row>
    <row r="683" spans="2:2" x14ac:dyDescent="0.25">
      <c r="B683" t="str">
        <f>IF(Monthly!A684="","",Monthly!A684)</f>
        <v/>
      </c>
    </row>
    <row r="684" spans="2:2" x14ac:dyDescent="0.25">
      <c r="B684" t="str">
        <f>IF(Monthly!A685="","",Monthly!A685)</f>
        <v/>
      </c>
    </row>
    <row r="685" spans="2:2" x14ac:dyDescent="0.25">
      <c r="B685" t="str">
        <f>IF(Monthly!A686="","",Monthly!A686)</f>
        <v/>
      </c>
    </row>
    <row r="686" spans="2:2" x14ac:dyDescent="0.25">
      <c r="B686" t="str">
        <f>IF(Monthly!A687="","",Monthly!A687)</f>
        <v/>
      </c>
    </row>
    <row r="687" spans="2:2" x14ac:dyDescent="0.25">
      <c r="B687" t="str">
        <f>IF(Monthly!A688="","",Monthly!A688)</f>
        <v/>
      </c>
    </row>
    <row r="688" spans="2:2" x14ac:dyDescent="0.25">
      <c r="B688" t="str">
        <f>IF(Monthly!A689="","",Monthly!A689)</f>
        <v/>
      </c>
    </row>
    <row r="689" spans="2:2" x14ac:dyDescent="0.25">
      <c r="B689" t="str">
        <f>IF(Monthly!A690="","",Monthly!A690)</f>
        <v/>
      </c>
    </row>
    <row r="690" spans="2:2" x14ac:dyDescent="0.25">
      <c r="B690" t="str">
        <f>IF(Monthly!A691="","",Monthly!A691)</f>
        <v/>
      </c>
    </row>
    <row r="691" spans="2:2" x14ac:dyDescent="0.25">
      <c r="B691" t="str">
        <f>IF(Monthly!A692="","",Monthly!A692)</f>
        <v/>
      </c>
    </row>
    <row r="692" spans="2:2" x14ac:dyDescent="0.25">
      <c r="B692" t="str">
        <f>IF(Monthly!A693="","",Monthly!A693)</f>
        <v/>
      </c>
    </row>
    <row r="693" spans="2:2" x14ac:dyDescent="0.25">
      <c r="B693" t="str">
        <f>IF(Monthly!A694="","",Monthly!A694)</f>
        <v/>
      </c>
    </row>
    <row r="694" spans="2:2" x14ac:dyDescent="0.25">
      <c r="B694" t="str">
        <f>IF(Monthly!A695="","",Monthly!A695)</f>
        <v/>
      </c>
    </row>
    <row r="695" spans="2:2" x14ac:dyDescent="0.25">
      <c r="B695" t="str">
        <f>IF(Monthly!A696="","",Monthly!A696)</f>
        <v/>
      </c>
    </row>
    <row r="696" spans="2:2" x14ac:dyDescent="0.25">
      <c r="B696" t="str">
        <f>IF(Monthly!A697="","",Monthly!A697)</f>
        <v/>
      </c>
    </row>
    <row r="697" spans="2:2" x14ac:dyDescent="0.25">
      <c r="B697" t="str">
        <f>IF(Monthly!A698="","",Monthly!A698)</f>
        <v/>
      </c>
    </row>
    <row r="698" spans="2:2" x14ac:dyDescent="0.25">
      <c r="B698" t="str">
        <f>IF(Monthly!A699="","",Monthly!A699)</f>
        <v/>
      </c>
    </row>
    <row r="699" spans="2:2" x14ac:dyDescent="0.25">
      <c r="B699" t="str">
        <f>IF(Monthly!A700="","",Monthly!A700)</f>
        <v/>
      </c>
    </row>
    <row r="700" spans="2:2" x14ac:dyDescent="0.25">
      <c r="B700" t="str">
        <f>IF(Monthly!A701="","",Monthly!A701)</f>
        <v/>
      </c>
    </row>
    <row r="701" spans="2:2" x14ac:dyDescent="0.25">
      <c r="B701" t="str">
        <f>IF(Monthly!A702="","",Monthly!A702)</f>
        <v/>
      </c>
    </row>
    <row r="702" spans="2:2" x14ac:dyDescent="0.25">
      <c r="B702" t="str">
        <f>IF(Monthly!A703="","",Monthly!A703)</f>
        <v/>
      </c>
    </row>
    <row r="703" spans="2:2" x14ac:dyDescent="0.25">
      <c r="B703" t="str">
        <f>IF(Monthly!A704="","",Monthly!A704)</f>
        <v/>
      </c>
    </row>
    <row r="704" spans="2:2" x14ac:dyDescent="0.25">
      <c r="B704" t="str">
        <f>IF(Monthly!A705="","",Monthly!A705)</f>
        <v/>
      </c>
    </row>
    <row r="705" spans="2:2" x14ac:dyDescent="0.25">
      <c r="B705" t="str">
        <f>IF(Monthly!A706="","",Monthly!A706)</f>
        <v/>
      </c>
    </row>
    <row r="706" spans="2:2" x14ac:dyDescent="0.25">
      <c r="B706" t="str">
        <f>IF(Monthly!A707="","",Monthly!A707)</f>
        <v/>
      </c>
    </row>
    <row r="707" spans="2:2" x14ac:dyDescent="0.25">
      <c r="B707" t="str">
        <f>IF(Monthly!A708="","",Monthly!A708)</f>
        <v/>
      </c>
    </row>
    <row r="708" spans="2:2" x14ac:dyDescent="0.25">
      <c r="B708" t="str">
        <f>IF(Monthly!A709="","",Monthly!A709)</f>
        <v/>
      </c>
    </row>
    <row r="709" spans="2:2" x14ac:dyDescent="0.25">
      <c r="B709" t="str">
        <f>IF(Monthly!A710="","",Monthly!A710)</f>
        <v/>
      </c>
    </row>
    <row r="710" spans="2:2" x14ac:dyDescent="0.25">
      <c r="B710" t="str">
        <f>IF(Monthly!A711="","",Monthly!A711)</f>
        <v/>
      </c>
    </row>
    <row r="711" spans="2:2" x14ac:dyDescent="0.25">
      <c r="B711" t="str">
        <f>IF(Monthly!A712="","",Monthly!A712)</f>
        <v/>
      </c>
    </row>
    <row r="712" spans="2:2" x14ac:dyDescent="0.25">
      <c r="B712" t="str">
        <f>IF(Monthly!A713="","",Monthly!A713)</f>
        <v/>
      </c>
    </row>
    <row r="713" spans="2:2" x14ac:dyDescent="0.25">
      <c r="B713" t="str">
        <f>IF(Monthly!A714="","",Monthly!A714)</f>
        <v/>
      </c>
    </row>
    <row r="714" spans="2:2" x14ac:dyDescent="0.25">
      <c r="B714" t="str">
        <f>IF(Monthly!A715="","",Monthly!A715)</f>
        <v/>
      </c>
    </row>
    <row r="715" spans="2:2" x14ac:dyDescent="0.25">
      <c r="B715" t="str">
        <f>IF(Monthly!A716="","",Monthly!A716)</f>
        <v/>
      </c>
    </row>
    <row r="716" spans="2:2" x14ac:dyDescent="0.25">
      <c r="B716" t="str">
        <f>IF(Monthly!A717="","",Monthly!A717)</f>
        <v/>
      </c>
    </row>
    <row r="717" spans="2:2" x14ac:dyDescent="0.25">
      <c r="B717" t="str">
        <f>IF(Monthly!A718="","",Monthly!A718)</f>
        <v/>
      </c>
    </row>
    <row r="718" spans="2:2" x14ac:dyDescent="0.25">
      <c r="B718" t="str">
        <f>IF(Monthly!A719="","",Monthly!A719)</f>
        <v/>
      </c>
    </row>
    <row r="719" spans="2:2" x14ac:dyDescent="0.25">
      <c r="B719" t="str">
        <f>IF(Monthly!A720="","",Monthly!A720)</f>
        <v/>
      </c>
    </row>
    <row r="720" spans="2:2" x14ac:dyDescent="0.25">
      <c r="B720" t="str">
        <f>IF(Monthly!A721="","",Monthly!A721)</f>
        <v/>
      </c>
    </row>
    <row r="721" spans="2:2" x14ac:dyDescent="0.25">
      <c r="B721" t="str">
        <f>IF(Monthly!A722="","",Monthly!A722)</f>
        <v/>
      </c>
    </row>
    <row r="722" spans="2:2" x14ac:dyDescent="0.25">
      <c r="B722" t="str">
        <f>IF(Monthly!A723="","",Monthly!A723)</f>
        <v/>
      </c>
    </row>
    <row r="723" spans="2:2" x14ac:dyDescent="0.25">
      <c r="B723" t="str">
        <f>IF(Monthly!A724="","",Monthly!A724)</f>
        <v/>
      </c>
    </row>
    <row r="724" spans="2:2" x14ac:dyDescent="0.25">
      <c r="B724" t="str">
        <f>IF(Monthly!A725="","",Monthly!A725)</f>
        <v/>
      </c>
    </row>
    <row r="725" spans="2:2" x14ac:dyDescent="0.25">
      <c r="B725" t="str">
        <f>IF(Monthly!A726="","",Monthly!A726)</f>
        <v/>
      </c>
    </row>
    <row r="726" spans="2:2" x14ac:dyDescent="0.25">
      <c r="B726" t="str">
        <f>IF(Monthly!A727="","",Monthly!A727)</f>
        <v/>
      </c>
    </row>
    <row r="727" spans="2:2" x14ac:dyDescent="0.25">
      <c r="B727" t="str">
        <f>IF(Monthly!A728="","",Monthly!A728)</f>
        <v/>
      </c>
    </row>
    <row r="728" spans="2:2" x14ac:dyDescent="0.25">
      <c r="B728" t="str">
        <f>IF(Monthly!A729="","",Monthly!A729)</f>
        <v/>
      </c>
    </row>
    <row r="729" spans="2:2" x14ac:dyDescent="0.25">
      <c r="B729" t="str">
        <f>IF(Monthly!A730="","",Monthly!A730)</f>
        <v/>
      </c>
    </row>
    <row r="730" spans="2:2" x14ac:dyDescent="0.25">
      <c r="B730" t="str">
        <f>IF(Monthly!A731="","",Monthly!A731)</f>
        <v/>
      </c>
    </row>
    <row r="731" spans="2:2" x14ac:dyDescent="0.25">
      <c r="B731" t="str">
        <f>IF(Monthly!A732="","",Monthly!A732)</f>
        <v/>
      </c>
    </row>
    <row r="732" spans="2:2" x14ac:dyDescent="0.25">
      <c r="B732" t="str">
        <f>IF(Monthly!A733="","",Monthly!A733)</f>
        <v/>
      </c>
    </row>
    <row r="733" spans="2:2" x14ac:dyDescent="0.25">
      <c r="B733" t="str">
        <f>IF(Monthly!A734="","",Monthly!A734)</f>
        <v/>
      </c>
    </row>
    <row r="734" spans="2:2" x14ac:dyDescent="0.25">
      <c r="B734" t="str">
        <f>IF(Monthly!A735="","",Monthly!A735)</f>
        <v/>
      </c>
    </row>
    <row r="735" spans="2:2" x14ac:dyDescent="0.25">
      <c r="B735" t="str">
        <f>IF(Monthly!A736="","",Monthly!A736)</f>
        <v/>
      </c>
    </row>
    <row r="736" spans="2:2" x14ac:dyDescent="0.25">
      <c r="B736" t="str">
        <f>IF(Monthly!A737="","",Monthly!A737)</f>
        <v/>
      </c>
    </row>
    <row r="737" spans="2:2" x14ac:dyDescent="0.25">
      <c r="B737" t="str">
        <f>IF(Monthly!A738="","",Monthly!A738)</f>
        <v/>
      </c>
    </row>
    <row r="738" spans="2:2" x14ac:dyDescent="0.25">
      <c r="B738" t="str">
        <f>IF(Monthly!A739="","",Monthly!A739)</f>
        <v/>
      </c>
    </row>
    <row r="739" spans="2:2" x14ac:dyDescent="0.25">
      <c r="B739" t="str">
        <f>IF(Monthly!A740="","",Monthly!A740)</f>
        <v/>
      </c>
    </row>
    <row r="740" spans="2:2" x14ac:dyDescent="0.25">
      <c r="B740" t="str">
        <f>IF(Monthly!A741="","",Monthly!A741)</f>
        <v/>
      </c>
    </row>
    <row r="741" spans="2:2" x14ac:dyDescent="0.25">
      <c r="B741" t="str">
        <f>IF(Monthly!A742="","",Monthly!A742)</f>
        <v/>
      </c>
    </row>
    <row r="742" spans="2:2" x14ac:dyDescent="0.25">
      <c r="B742" t="str">
        <f>IF(Monthly!A743="","",Monthly!A743)</f>
        <v/>
      </c>
    </row>
    <row r="743" spans="2:2" x14ac:dyDescent="0.25">
      <c r="B743" t="str">
        <f>IF(Monthly!A744="","",Monthly!A744)</f>
        <v/>
      </c>
    </row>
    <row r="744" spans="2:2" x14ac:dyDescent="0.25">
      <c r="B744" t="str">
        <f>IF(Monthly!A745="","",Monthly!A745)</f>
        <v/>
      </c>
    </row>
    <row r="745" spans="2:2" x14ac:dyDescent="0.25">
      <c r="B745" t="str">
        <f>IF(Monthly!A746="","",Monthly!A746)</f>
        <v/>
      </c>
    </row>
    <row r="746" spans="2:2" x14ac:dyDescent="0.25">
      <c r="B746" t="str">
        <f>IF(Monthly!A747="","",Monthly!A747)</f>
        <v/>
      </c>
    </row>
    <row r="747" spans="2:2" x14ac:dyDescent="0.25">
      <c r="B747" t="str">
        <f>IF(Monthly!A748="","",Monthly!A748)</f>
        <v/>
      </c>
    </row>
    <row r="748" spans="2:2" x14ac:dyDescent="0.25">
      <c r="B748" t="str">
        <f>IF(Monthly!A749="","",Monthly!A749)</f>
        <v/>
      </c>
    </row>
    <row r="749" spans="2:2" x14ac:dyDescent="0.25">
      <c r="B749" t="str">
        <f>IF(Monthly!A750="","",Monthly!A750)</f>
        <v/>
      </c>
    </row>
    <row r="750" spans="2:2" x14ac:dyDescent="0.25">
      <c r="B750" t="str">
        <f>IF(Monthly!A751="","",Monthly!A751)</f>
        <v/>
      </c>
    </row>
    <row r="751" spans="2:2" x14ac:dyDescent="0.25">
      <c r="B751" t="str">
        <f>IF(Monthly!A752="","",Monthly!A752)</f>
        <v/>
      </c>
    </row>
    <row r="752" spans="2:2" x14ac:dyDescent="0.25">
      <c r="B752" t="str">
        <f>IF(Monthly!A753="","",Monthly!A753)</f>
        <v/>
      </c>
    </row>
    <row r="753" spans="2:2" x14ac:dyDescent="0.25">
      <c r="B753" t="str">
        <f>IF(Monthly!A754="","",Monthly!A754)</f>
        <v/>
      </c>
    </row>
    <row r="754" spans="2:2" x14ac:dyDescent="0.25">
      <c r="B754" t="str">
        <f>IF(Monthly!A755="","",Monthly!A755)</f>
        <v/>
      </c>
    </row>
    <row r="755" spans="2:2" x14ac:dyDescent="0.25">
      <c r="B755" t="str">
        <f>IF(Monthly!A756="","",Monthly!A756)</f>
        <v/>
      </c>
    </row>
    <row r="756" spans="2:2" x14ac:dyDescent="0.25">
      <c r="B756" t="str">
        <f>IF(Monthly!A757="","",Monthly!A757)</f>
        <v/>
      </c>
    </row>
    <row r="757" spans="2:2" x14ac:dyDescent="0.25">
      <c r="B757" t="str">
        <f>IF(Monthly!A758="","",Monthly!A758)</f>
        <v/>
      </c>
    </row>
    <row r="758" spans="2:2" x14ac:dyDescent="0.25">
      <c r="B758" t="str">
        <f>IF(Monthly!A759="","",Monthly!A759)</f>
        <v/>
      </c>
    </row>
    <row r="759" spans="2:2" x14ac:dyDescent="0.25">
      <c r="B759" t="str">
        <f>IF(Monthly!A760="","",Monthly!A760)</f>
        <v/>
      </c>
    </row>
    <row r="760" spans="2:2" x14ac:dyDescent="0.25">
      <c r="B760" t="str">
        <f>IF(Monthly!A761="","",Monthly!A761)</f>
        <v/>
      </c>
    </row>
    <row r="761" spans="2:2" x14ac:dyDescent="0.25">
      <c r="B761" t="str">
        <f>IF(Monthly!A762="","",Monthly!A762)</f>
        <v/>
      </c>
    </row>
    <row r="762" spans="2:2" x14ac:dyDescent="0.25">
      <c r="B762" t="str">
        <f>IF(Monthly!A763="","",Monthly!A763)</f>
        <v/>
      </c>
    </row>
    <row r="763" spans="2:2" x14ac:dyDescent="0.25">
      <c r="B763" t="str">
        <f>IF(Monthly!A764="","",Monthly!A764)</f>
        <v/>
      </c>
    </row>
    <row r="764" spans="2:2" x14ac:dyDescent="0.25">
      <c r="B764" t="str">
        <f>IF(Monthly!A765="","",Monthly!A765)</f>
        <v/>
      </c>
    </row>
    <row r="765" spans="2:2" x14ac:dyDescent="0.25">
      <c r="B765" t="str">
        <f>IF(Monthly!A766="","",Monthly!A766)</f>
        <v/>
      </c>
    </row>
    <row r="766" spans="2:2" x14ac:dyDescent="0.25">
      <c r="B766" t="str">
        <f>IF(Monthly!A767="","",Monthly!A767)</f>
        <v/>
      </c>
    </row>
    <row r="767" spans="2:2" x14ac:dyDescent="0.25">
      <c r="B767" t="str">
        <f>IF(Monthly!A768="","",Monthly!A768)</f>
        <v/>
      </c>
    </row>
    <row r="768" spans="2:2" x14ac:dyDescent="0.25">
      <c r="B768" t="str">
        <f>IF(Monthly!A769="","",Monthly!A769)</f>
        <v/>
      </c>
    </row>
    <row r="769" spans="2:2" x14ac:dyDescent="0.25">
      <c r="B769" t="str">
        <f>IF(Monthly!A770="","",Monthly!A770)</f>
        <v/>
      </c>
    </row>
    <row r="770" spans="2:2" x14ac:dyDescent="0.25">
      <c r="B770" t="str">
        <f>IF(Monthly!A771="","",Monthly!A771)</f>
        <v/>
      </c>
    </row>
    <row r="771" spans="2:2" x14ac:dyDescent="0.25">
      <c r="B771" t="str">
        <f>IF(Monthly!A772="","",Monthly!A772)</f>
        <v/>
      </c>
    </row>
    <row r="772" spans="2:2" x14ac:dyDescent="0.25">
      <c r="B772" t="str">
        <f>IF(Monthly!A773="","",Monthly!A773)</f>
        <v/>
      </c>
    </row>
    <row r="773" spans="2:2" x14ac:dyDescent="0.25">
      <c r="B773" t="str">
        <f>IF(Monthly!A774="","",Monthly!A774)</f>
        <v/>
      </c>
    </row>
    <row r="774" spans="2:2" x14ac:dyDescent="0.25">
      <c r="B774" t="str">
        <f>IF(Monthly!A775="","",Monthly!A775)</f>
        <v/>
      </c>
    </row>
    <row r="775" spans="2:2" x14ac:dyDescent="0.25">
      <c r="B775" t="str">
        <f>IF(Monthly!A776="","",Monthly!A776)</f>
        <v/>
      </c>
    </row>
    <row r="776" spans="2:2" x14ac:dyDescent="0.25">
      <c r="B776" t="str">
        <f>IF(Monthly!A777="","",Monthly!A777)</f>
        <v/>
      </c>
    </row>
    <row r="777" spans="2:2" x14ac:dyDescent="0.25">
      <c r="B777" t="str">
        <f>IF(Monthly!A778="","",Monthly!A778)</f>
        <v/>
      </c>
    </row>
    <row r="778" spans="2:2" x14ac:dyDescent="0.25">
      <c r="B778" t="str">
        <f>IF(Monthly!A779="","",Monthly!A779)</f>
        <v/>
      </c>
    </row>
    <row r="779" spans="2:2" x14ac:dyDescent="0.25">
      <c r="B779" t="str">
        <f>IF(Monthly!A780="","",Monthly!A780)</f>
        <v/>
      </c>
    </row>
    <row r="780" spans="2:2" x14ac:dyDescent="0.25">
      <c r="B780" t="str">
        <f>IF(Monthly!A781="","",Monthly!A781)</f>
        <v/>
      </c>
    </row>
    <row r="781" spans="2:2" x14ac:dyDescent="0.25">
      <c r="B781" t="str">
        <f>IF(Monthly!A782="","",Monthly!A782)</f>
        <v/>
      </c>
    </row>
    <row r="782" spans="2:2" x14ac:dyDescent="0.25">
      <c r="B782" t="str">
        <f>IF(Monthly!A783="","",Monthly!A783)</f>
        <v/>
      </c>
    </row>
    <row r="783" spans="2:2" x14ac:dyDescent="0.25">
      <c r="B783" t="str">
        <f>IF(Monthly!A784="","",Monthly!A784)</f>
        <v/>
      </c>
    </row>
    <row r="784" spans="2:2" x14ac:dyDescent="0.25">
      <c r="B784" t="str">
        <f>IF(Monthly!A785="","",Monthly!A785)</f>
        <v/>
      </c>
    </row>
    <row r="785" spans="2:2" x14ac:dyDescent="0.25">
      <c r="B785" t="str">
        <f>IF(Monthly!A786="","",Monthly!A786)</f>
        <v/>
      </c>
    </row>
    <row r="786" spans="2:2" x14ac:dyDescent="0.25">
      <c r="B786" t="str">
        <f>IF(Monthly!A787="","",Monthly!A787)</f>
        <v/>
      </c>
    </row>
    <row r="787" spans="2:2" x14ac:dyDescent="0.25">
      <c r="B787" t="str">
        <f>IF(Monthly!A788="","",Monthly!A788)</f>
        <v/>
      </c>
    </row>
    <row r="788" spans="2:2" x14ac:dyDescent="0.25">
      <c r="B788" t="str">
        <f>IF(Monthly!A789="","",Monthly!A789)</f>
        <v/>
      </c>
    </row>
    <row r="789" spans="2:2" x14ac:dyDescent="0.25">
      <c r="B789" t="str">
        <f>IF(Monthly!A790="","",Monthly!A790)</f>
        <v/>
      </c>
    </row>
    <row r="790" spans="2:2" x14ac:dyDescent="0.25">
      <c r="B790" t="str">
        <f>IF(Monthly!A791="","",Monthly!A791)</f>
        <v/>
      </c>
    </row>
    <row r="791" spans="2:2" x14ac:dyDescent="0.25">
      <c r="B791" t="str">
        <f>IF(Monthly!A792="","",Monthly!A792)</f>
        <v/>
      </c>
    </row>
    <row r="792" spans="2:2" x14ac:dyDescent="0.25">
      <c r="B792" t="str">
        <f>IF(Monthly!A793="","",Monthly!A793)</f>
        <v/>
      </c>
    </row>
    <row r="793" spans="2:2" x14ac:dyDescent="0.25">
      <c r="B793" t="str">
        <f>IF(Monthly!A794="","",Monthly!A794)</f>
        <v/>
      </c>
    </row>
    <row r="794" spans="2:2" x14ac:dyDescent="0.25">
      <c r="B794" t="str">
        <f>IF(Monthly!A795="","",Monthly!A795)</f>
        <v/>
      </c>
    </row>
    <row r="795" spans="2:2" x14ac:dyDescent="0.25">
      <c r="B795" t="str">
        <f>IF(Monthly!A796="","",Monthly!A796)</f>
        <v/>
      </c>
    </row>
    <row r="796" spans="2:2" x14ac:dyDescent="0.25">
      <c r="B796" t="str">
        <f>IF(Monthly!A797="","",Monthly!A797)</f>
        <v/>
      </c>
    </row>
    <row r="797" spans="2:2" x14ac:dyDescent="0.25">
      <c r="B797" t="str">
        <f>IF(Monthly!A798="","",Monthly!A798)</f>
        <v/>
      </c>
    </row>
    <row r="798" spans="2:2" x14ac:dyDescent="0.25">
      <c r="B798" t="str">
        <f>IF(Monthly!A799="","",Monthly!A799)</f>
        <v/>
      </c>
    </row>
    <row r="799" spans="2:2" x14ac:dyDescent="0.25">
      <c r="B799" t="str">
        <f>IF(Monthly!A800="","",Monthly!A800)</f>
        <v/>
      </c>
    </row>
    <row r="800" spans="2:2" x14ac:dyDescent="0.25">
      <c r="B800" t="str">
        <f>IF(Monthly!A801="","",Monthly!A801)</f>
        <v/>
      </c>
    </row>
    <row r="801" spans="2:2" x14ac:dyDescent="0.25">
      <c r="B801" t="str">
        <f>IF(Monthly!A802="","",Monthly!A802)</f>
        <v/>
      </c>
    </row>
    <row r="802" spans="2:2" x14ac:dyDescent="0.25">
      <c r="B802" t="str">
        <f>IF(Monthly!A803="","",Monthly!A803)</f>
        <v/>
      </c>
    </row>
    <row r="803" spans="2:2" x14ac:dyDescent="0.25">
      <c r="B803" t="str">
        <f>IF(Monthly!A804="","",Monthly!A804)</f>
        <v/>
      </c>
    </row>
    <row r="804" spans="2:2" x14ac:dyDescent="0.25">
      <c r="B804" t="str">
        <f>IF(Monthly!A805="","",Monthly!A805)</f>
        <v/>
      </c>
    </row>
    <row r="805" spans="2:2" x14ac:dyDescent="0.25">
      <c r="B805" t="str">
        <f>IF(Monthly!A806="","",Monthly!A806)</f>
        <v/>
      </c>
    </row>
    <row r="806" spans="2:2" x14ac:dyDescent="0.25">
      <c r="B806" t="str">
        <f>IF(Monthly!A807="","",Monthly!A807)</f>
        <v/>
      </c>
    </row>
    <row r="807" spans="2:2" x14ac:dyDescent="0.25">
      <c r="B807" t="str">
        <f>IF(Monthly!A808="","",Monthly!A808)</f>
        <v/>
      </c>
    </row>
    <row r="808" spans="2:2" x14ac:dyDescent="0.25">
      <c r="B808" t="str">
        <f>IF(Monthly!A809="","",Monthly!A809)</f>
        <v/>
      </c>
    </row>
    <row r="809" spans="2:2" x14ac:dyDescent="0.25">
      <c r="B809" t="str">
        <f>IF(Monthly!A810="","",Monthly!A810)</f>
        <v/>
      </c>
    </row>
    <row r="810" spans="2:2" x14ac:dyDescent="0.25">
      <c r="B810" t="str">
        <f>IF(Monthly!A811="","",Monthly!A811)</f>
        <v/>
      </c>
    </row>
    <row r="811" spans="2:2" x14ac:dyDescent="0.25">
      <c r="B811" t="str">
        <f>IF(Monthly!A812="","",Monthly!A812)</f>
        <v/>
      </c>
    </row>
    <row r="812" spans="2:2" x14ac:dyDescent="0.25">
      <c r="B812" t="str">
        <f>IF(Monthly!A813="","",Monthly!A813)</f>
        <v/>
      </c>
    </row>
    <row r="813" spans="2:2" x14ac:dyDescent="0.25">
      <c r="B813" t="str">
        <f>IF(Monthly!A814="","",Monthly!A814)</f>
        <v/>
      </c>
    </row>
    <row r="814" spans="2:2" x14ac:dyDescent="0.25">
      <c r="B814" t="str">
        <f>IF(Monthly!A815="","",Monthly!A815)</f>
        <v/>
      </c>
    </row>
    <row r="815" spans="2:2" x14ac:dyDescent="0.25">
      <c r="B815" t="str">
        <f>IF(Monthly!A816="","",Monthly!A816)</f>
        <v/>
      </c>
    </row>
    <row r="816" spans="2:2" x14ac:dyDescent="0.25">
      <c r="B816" t="str">
        <f>IF(Monthly!A817="","",Monthly!A817)</f>
        <v/>
      </c>
    </row>
    <row r="817" spans="2:2" x14ac:dyDescent="0.25">
      <c r="B817" t="str">
        <f>IF(Monthly!A818="","",Monthly!A818)</f>
        <v/>
      </c>
    </row>
    <row r="818" spans="2:2" x14ac:dyDescent="0.25">
      <c r="B818" t="str">
        <f>IF(Monthly!A819="","",Monthly!A819)</f>
        <v/>
      </c>
    </row>
    <row r="819" spans="2:2" x14ac:dyDescent="0.25">
      <c r="B819" t="str">
        <f>IF(Monthly!A820="","",Monthly!A820)</f>
        <v/>
      </c>
    </row>
    <row r="820" spans="2:2" x14ac:dyDescent="0.25">
      <c r="B820" t="str">
        <f>IF(Monthly!A821="","",Monthly!A821)</f>
        <v/>
      </c>
    </row>
    <row r="821" spans="2:2" x14ac:dyDescent="0.25">
      <c r="B821" t="str">
        <f>IF(Monthly!A822="","",Monthly!A822)</f>
        <v/>
      </c>
    </row>
    <row r="822" spans="2:2" x14ac:dyDescent="0.25">
      <c r="B822" t="str">
        <f>IF(Monthly!A823="","",Monthly!A823)</f>
        <v/>
      </c>
    </row>
    <row r="823" spans="2:2" x14ac:dyDescent="0.25">
      <c r="B823" t="str">
        <f>IF(Monthly!A824="","",Monthly!A824)</f>
        <v/>
      </c>
    </row>
    <row r="824" spans="2:2" x14ac:dyDescent="0.25">
      <c r="B824" t="str">
        <f>IF(Monthly!A825="","",Monthly!A825)</f>
        <v/>
      </c>
    </row>
    <row r="825" spans="2:2" x14ac:dyDescent="0.25">
      <c r="B825" t="str">
        <f>IF(Monthly!A826="","",Monthly!A826)</f>
        <v/>
      </c>
    </row>
    <row r="826" spans="2:2" x14ac:dyDescent="0.25">
      <c r="B826" t="str">
        <f>IF(Monthly!A827="","",Monthly!A827)</f>
        <v/>
      </c>
    </row>
    <row r="827" spans="2:2" x14ac:dyDescent="0.25">
      <c r="B827" t="str">
        <f>IF(Monthly!A828="","",Monthly!A828)</f>
        <v/>
      </c>
    </row>
    <row r="828" spans="2:2" x14ac:dyDescent="0.25">
      <c r="B828" t="str">
        <f>IF(Monthly!A829="","",Monthly!A829)</f>
        <v/>
      </c>
    </row>
    <row r="829" spans="2:2" x14ac:dyDescent="0.25">
      <c r="B829" t="str">
        <f>IF(Monthly!A830="","",Monthly!A830)</f>
        <v/>
      </c>
    </row>
    <row r="830" spans="2:2" x14ac:dyDescent="0.25">
      <c r="B830" t="str">
        <f>IF(Monthly!A831="","",Monthly!A831)</f>
        <v/>
      </c>
    </row>
    <row r="831" spans="2:2" x14ac:dyDescent="0.25">
      <c r="B831" t="str">
        <f>IF(Monthly!A832="","",Monthly!A832)</f>
        <v/>
      </c>
    </row>
    <row r="832" spans="2:2" x14ac:dyDescent="0.25">
      <c r="B832" t="str">
        <f>IF(Monthly!A833="","",Monthly!A833)</f>
        <v/>
      </c>
    </row>
    <row r="833" spans="2:2" x14ac:dyDescent="0.25">
      <c r="B833" t="str">
        <f>IF(Monthly!A834="","",Monthly!A834)</f>
        <v/>
      </c>
    </row>
    <row r="834" spans="2:2" x14ac:dyDescent="0.25">
      <c r="B834" t="str">
        <f>IF(Monthly!A835="","",Monthly!A835)</f>
        <v/>
      </c>
    </row>
    <row r="835" spans="2:2" x14ac:dyDescent="0.25">
      <c r="B835" t="str">
        <f>IF(Monthly!A836="","",Monthly!A836)</f>
        <v/>
      </c>
    </row>
    <row r="836" spans="2:2" x14ac:dyDescent="0.25">
      <c r="B836" t="str">
        <f>IF(Monthly!A837="","",Monthly!A837)</f>
        <v/>
      </c>
    </row>
    <row r="837" spans="2:2" x14ac:dyDescent="0.25">
      <c r="B837" t="str">
        <f>IF(Monthly!A838="","",Monthly!A838)</f>
        <v/>
      </c>
    </row>
    <row r="838" spans="2:2" x14ac:dyDescent="0.25">
      <c r="B838" t="str">
        <f>IF(Monthly!A839="","",Monthly!A839)</f>
        <v/>
      </c>
    </row>
    <row r="839" spans="2:2" x14ac:dyDescent="0.25">
      <c r="B839" t="str">
        <f>IF(Monthly!A840="","",Monthly!A840)</f>
        <v/>
      </c>
    </row>
    <row r="840" spans="2:2" x14ac:dyDescent="0.25">
      <c r="B840" t="str">
        <f>IF(Monthly!A841="","",Monthly!A841)</f>
        <v/>
      </c>
    </row>
    <row r="841" spans="2:2" x14ac:dyDescent="0.25">
      <c r="B841" t="str">
        <f>IF(Monthly!A842="","",Monthly!A842)</f>
        <v/>
      </c>
    </row>
    <row r="842" spans="2:2" x14ac:dyDescent="0.25">
      <c r="B842" t="str">
        <f>IF(Monthly!A843="","",Monthly!A843)</f>
        <v/>
      </c>
    </row>
    <row r="843" spans="2:2" x14ac:dyDescent="0.25">
      <c r="B843" t="str">
        <f>IF(Monthly!A844="","",Monthly!A844)</f>
        <v/>
      </c>
    </row>
    <row r="844" spans="2:2" x14ac:dyDescent="0.25">
      <c r="B844" t="str">
        <f>IF(Monthly!A845="","",Monthly!A845)</f>
        <v/>
      </c>
    </row>
    <row r="845" spans="2:2" x14ac:dyDescent="0.25">
      <c r="B845" t="str">
        <f>IF(Monthly!A846="","",Monthly!A846)</f>
        <v/>
      </c>
    </row>
    <row r="846" spans="2:2" x14ac:dyDescent="0.25">
      <c r="B846" t="str">
        <f>IF(Monthly!A847="","",Monthly!A847)</f>
        <v/>
      </c>
    </row>
    <row r="847" spans="2:2" x14ac:dyDescent="0.25">
      <c r="B847" t="str">
        <f>IF(Monthly!A848="","",Monthly!A848)</f>
        <v/>
      </c>
    </row>
    <row r="848" spans="2:2" x14ac:dyDescent="0.25">
      <c r="B848" t="str">
        <f>IF(Monthly!A849="","",Monthly!A849)</f>
        <v/>
      </c>
    </row>
    <row r="849" spans="2:2" x14ac:dyDescent="0.25">
      <c r="B849" t="str">
        <f>IF(Monthly!A850="","",Monthly!A850)</f>
        <v/>
      </c>
    </row>
    <row r="850" spans="2:2" x14ac:dyDescent="0.25">
      <c r="B850" t="str">
        <f>IF(Monthly!A851="","",Monthly!A851)</f>
        <v/>
      </c>
    </row>
    <row r="851" spans="2:2" x14ac:dyDescent="0.25">
      <c r="B851" t="str">
        <f>IF(Monthly!A852="","",Monthly!A852)</f>
        <v/>
      </c>
    </row>
    <row r="852" spans="2:2" x14ac:dyDescent="0.25">
      <c r="B852" t="str">
        <f>IF(Monthly!A853="","",Monthly!A853)</f>
        <v/>
      </c>
    </row>
    <row r="853" spans="2:2" x14ac:dyDescent="0.25">
      <c r="B853" t="str">
        <f>IF(Monthly!A854="","",Monthly!A854)</f>
        <v/>
      </c>
    </row>
    <row r="854" spans="2:2" x14ac:dyDescent="0.25">
      <c r="B854" t="str">
        <f>IF(Monthly!A855="","",Monthly!A855)</f>
        <v/>
      </c>
    </row>
    <row r="855" spans="2:2" x14ac:dyDescent="0.25">
      <c r="B855" t="str">
        <f>IF(Monthly!A856="","",Monthly!A856)</f>
        <v/>
      </c>
    </row>
    <row r="856" spans="2:2" x14ac:dyDescent="0.25">
      <c r="B856" t="str">
        <f>IF(Monthly!A857="","",Monthly!A857)</f>
        <v/>
      </c>
    </row>
    <row r="857" spans="2:2" x14ac:dyDescent="0.25">
      <c r="B857" t="str">
        <f>IF(Monthly!A858="","",Monthly!A858)</f>
        <v/>
      </c>
    </row>
    <row r="858" spans="2:2" x14ac:dyDescent="0.25">
      <c r="B858" t="str">
        <f>IF(Monthly!A859="","",Monthly!A859)</f>
        <v/>
      </c>
    </row>
    <row r="859" spans="2:2" x14ac:dyDescent="0.25">
      <c r="B859" t="str">
        <f>IF(Monthly!A860="","",Monthly!A860)</f>
        <v/>
      </c>
    </row>
    <row r="860" spans="2:2" x14ac:dyDescent="0.25">
      <c r="B860" t="str">
        <f>IF(Monthly!A861="","",Monthly!A861)</f>
        <v/>
      </c>
    </row>
    <row r="861" spans="2:2" x14ac:dyDescent="0.25">
      <c r="B861" t="str">
        <f>IF(Monthly!A862="","",Monthly!A862)</f>
        <v/>
      </c>
    </row>
    <row r="862" spans="2:2" x14ac:dyDescent="0.25">
      <c r="B862" t="str">
        <f>IF(Monthly!A863="","",Monthly!A863)</f>
        <v/>
      </c>
    </row>
    <row r="863" spans="2:2" x14ac:dyDescent="0.25">
      <c r="B863" t="str">
        <f>IF(Monthly!A864="","",Monthly!A864)</f>
        <v/>
      </c>
    </row>
    <row r="864" spans="2:2" x14ac:dyDescent="0.25">
      <c r="B864" t="str">
        <f>IF(Monthly!A865="","",Monthly!A865)</f>
        <v/>
      </c>
    </row>
    <row r="865" spans="2:2" x14ac:dyDescent="0.25">
      <c r="B865" t="str">
        <f>IF(Monthly!A866="","",Monthly!A866)</f>
        <v/>
      </c>
    </row>
    <row r="866" spans="2:2" x14ac:dyDescent="0.25">
      <c r="B866" t="str">
        <f>IF(Monthly!A867="","",Monthly!A867)</f>
        <v/>
      </c>
    </row>
    <row r="867" spans="2:2" x14ac:dyDescent="0.25">
      <c r="B867" t="str">
        <f>IF(Monthly!A868="","",Monthly!A868)</f>
        <v/>
      </c>
    </row>
    <row r="868" spans="2:2" x14ac:dyDescent="0.25">
      <c r="B868" t="str">
        <f>IF(Monthly!A869="","",Monthly!A869)</f>
        <v/>
      </c>
    </row>
    <row r="869" spans="2:2" x14ac:dyDescent="0.25">
      <c r="B869" t="str">
        <f>IF(Monthly!A870="","",Monthly!A870)</f>
        <v/>
      </c>
    </row>
    <row r="870" spans="2:2" x14ac:dyDescent="0.25">
      <c r="B870" t="str">
        <f>IF(Monthly!A871="","",Monthly!A871)</f>
        <v/>
      </c>
    </row>
    <row r="871" spans="2:2" x14ac:dyDescent="0.25">
      <c r="B871" t="str">
        <f>IF(Monthly!A872="","",Monthly!A872)</f>
        <v/>
      </c>
    </row>
    <row r="872" spans="2:2" x14ac:dyDescent="0.25">
      <c r="B872" t="str">
        <f>IF(Monthly!A873="","",Monthly!A873)</f>
        <v/>
      </c>
    </row>
    <row r="873" spans="2:2" x14ac:dyDescent="0.25">
      <c r="B873" t="str">
        <f>IF(Monthly!A874="","",Monthly!A874)</f>
        <v/>
      </c>
    </row>
    <row r="874" spans="2:2" x14ac:dyDescent="0.25">
      <c r="B874" t="str">
        <f>IF(Monthly!A875="","",Monthly!A875)</f>
        <v/>
      </c>
    </row>
    <row r="875" spans="2:2" x14ac:dyDescent="0.25">
      <c r="B875" t="str">
        <f>IF(Monthly!A876="","",Monthly!A876)</f>
        <v/>
      </c>
    </row>
    <row r="876" spans="2:2" x14ac:dyDescent="0.25">
      <c r="B876" t="str">
        <f>IF(Monthly!A877="","",Monthly!A877)</f>
        <v/>
      </c>
    </row>
    <row r="877" spans="2:2" x14ac:dyDescent="0.25">
      <c r="B877" t="str">
        <f>IF(Monthly!A878="","",Monthly!A878)</f>
        <v/>
      </c>
    </row>
    <row r="878" spans="2:2" x14ac:dyDescent="0.25">
      <c r="B878" t="str">
        <f>IF(Monthly!A879="","",Monthly!A879)</f>
        <v/>
      </c>
    </row>
    <row r="879" spans="2:2" x14ac:dyDescent="0.25">
      <c r="B879" t="str">
        <f>IF(Monthly!A880="","",Monthly!A880)</f>
        <v/>
      </c>
    </row>
    <row r="880" spans="2:2" x14ac:dyDescent="0.25">
      <c r="B880" t="str">
        <f>IF(Monthly!A881="","",Monthly!A881)</f>
        <v/>
      </c>
    </row>
    <row r="881" spans="2:2" x14ac:dyDescent="0.25">
      <c r="B881" t="str">
        <f>IF(Monthly!A882="","",Monthly!A882)</f>
        <v/>
      </c>
    </row>
    <row r="882" spans="2:2" x14ac:dyDescent="0.25">
      <c r="B882" t="str">
        <f>IF(Monthly!A883="","",Monthly!A883)</f>
        <v/>
      </c>
    </row>
    <row r="883" spans="2:2" x14ac:dyDescent="0.25">
      <c r="B883" t="str">
        <f>IF(Monthly!A884="","",Monthly!A884)</f>
        <v/>
      </c>
    </row>
    <row r="884" spans="2:2" x14ac:dyDescent="0.25">
      <c r="B884" t="str">
        <f>IF(Monthly!A885="","",Monthly!A885)</f>
        <v/>
      </c>
    </row>
    <row r="885" spans="2:2" x14ac:dyDescent="0.25">
      <c r="B885" t="str">
        <f>IF(Monthly!A886="","",Monthly!A886)</f>
        <v/>
      </c>
    </row>
    <row r="886" spans="2:2" x14ac:dyDescent="0.25">
      <c r="B886" t="str">
        <f>IF(Monthly!A887="","",Monthly!A887)</f>
        <v/>
      </c>
    </row>
    <row r="887" spans="2:2" x14ac:dyDescent="0.25">
      <c r="B887" t="str">
        <f>IF(Monthly!A888="","",Monthly!A888)</f>
        <v/>
      </c>
    </row>
    <row r="888" spans="2:2" x14ac:dyDescent="0.25">
      <c r="B888" t="str">
        <f>IF(Monthly!A889="","",Monthly!A889)</f>
        <v/>
      </c>
    </row>
    <row r="889" spans="2:2" x14ac:dyDescent="0.25">
      <c r="B889" t="str">
        <f>IF(Monthly!A890="","",Monthly!A890)</f>
        <v/>
      </c>
    </row>
    <row r="890" spans="2:2" x14ac:dyDescent="0.25">
      <c r="B890" t="str">
        <f>IF(Monthly!A891="","",Monthly!A891)</f>
        <v/>
      </c>
    </row>
    <row r="891" spans="2:2" x14ac:dyDescent="0.25">
      <c r="B891" t="str">
        <f>IF(Monthly!A892="","",Monthly!A892)</f>
        <v/>
      </c>
    </row>
    <row r="892" spans="2:2" x14ac:dyDescent="0.25">
      <c r="B892" t="str">
        <f>IF(Monthly!A893="","",Monthly!A893)</f>
        <v/>
      </c>
    </row>
    <row r="893" spans="2:2" x14ac:dyDescent="0.25">
      <c r="B893" t="str">
        <f>IF(Monthly!A894="","",Monthly!A894)</f>
        <v/>
      </c>
    </row>
    <row r="894" spans="2:2" x14ac:dyDescent="0.25">
      <c r="B894" t="str">
        <f>IF(Monthly!A895="","",Monthly!A895)</f>
        <v/>
      </c>
    </row>
    <row r="895" spans="2:2" x14ac:dyDescent="0.25">
      <c r="B895" t="str">
        <f>IF(Monthly!A896="","",Monthly!A896)</f>
        <v/>
      </c>
    </row>
    <row r="896" spans="2:2" x14ac:dyDescent="0.25">
      <c r="B896" t="str">
        <f>IF(Monthly!A897="","",Monthly!A897)</f>
        <v/>
      </c>
    </row>
    <row r="897" spans="2:2" x14ac:dyDescent="0.25">
      <c r="B897" t="str">
        <f>IF(Monthly!A898="","",Monthly!A898)</f>
        <v/>
      </c>
    </row>
    <row r="898" spans="2:2" x14ac:dyDescent="0.25">
      <c r="B898" t="str">
        <f>IF(Monthly!A899="","",Monthly!A899)</f>
        <v/>
      </c>
    </row>
    <row r="899" spans="2:2" x14ac:dyDescent="0.25">
      <c r="B899" t="str">
        <f>IF(Monthly!A900="","",Monthly!A900)</f>
        <v/>
      </c>
    </row>
    <row r="900" spans="2:2" x14ac:dyDescent="0.25">
      <c r="B900" t="str">
        <f>IF(Monthly!A901="","",Monthly!A901)</f>
        <v/>
      </c>
    </row>
    <row r="901" spans="2:2" x14ac:dyDescent="0.25">
      <c r="B901" t="str">
        <f>IF(Monthly!A902="","",Monthly!A902)</f>
        <v/>
      </c>
    </row>
    <row r="902" spans="2:2" x14ac:dyDescent="0.25">
      <c r="B902" t="str">
        <f>IF(Monthly!A903="","",Monthly!A903)</f>
        <v/>
      </c>
    </row>
    <row r="903" spans="2:2" x14ac:dyDescent="0.25">
      <c r="B903" t="str">
        <f>IF(Monthly!A904="","",Monthly!A904)</f>
        <v/>
      </c>
    </row>
    <row r="904" spans="2:2" x14ac:dyDescent="0.25">
      <c r="B904" t="str">
        <f>IF(Monthly!A905="","",Monthly!A905)</f>
        <v/>
      </c>
    </row>
    <row r="905" spans="2:2" x14ac:dyDescent="0.25">
      <c r="B905" t="str">
        <f>IF(Monthly!A906="","",Monthly!A906)</f>
        <v/>
      </c>
    </row>
    <row r="906" spans="2:2" x14ac:dyDescent="0.25">
      <c r="B906" t="str">
        <f>IF(Monthly!A907="","",Monthly!A907)</f>
        <v/>
      </c>
    </row>
    <row r="907" spans="2:2" x14ac:dyDescent="0.25">
      <c r="B907" t="str">
        <f>IF(Monthly!A908="","",Monthly!A908)</f>
        <v/>
      </c>
    </row>
    <row r="908" spans="2:2" x14ac:dyDescent="0.25">
      <c r="B908" t="str">
        <f>IF(Monthly!A909="","",Monthly!A909)</f>
        <v/>
      </c>
    </row>
    <row r="909" spans="2:2" x14ac:dyDescent="0.25">
      <c r="B909" t="str">
        <f>IF(Monthly!A910="","",Monthly!A910)</f>
        <v/>
      </c>
    </row>
    <row r="910" spans="2:2" x14ac:dyDescent="0.25">
      <c r="B910" t="str">
        <f>IF(Monthly!A911="","",Monthly!A911)</f>
        <v/>
      </c>
    </row>
    <row r="911" spans="2:2" x14ac:dyDescent="0.25">
      <c r="B911" t="str">
        <f>IF(Monthly!A912="","",Monthly!A912)</f>
        <v/>
      </c>
    </row>
    <row r="912" spans="2:2" x14ac:dyDescent="0.25">
      <c r="B912" t="str">
        <f>IF(Monthly!A913="","",Monthly!A913)</f>
        <v/>
      </c>
    </row>
    <row r="913" spans="2:2" x14ac:dyDescent="0.25">
      <c r="B913" t="str">
        <f>IF(Monthly!A914="","",Monthly!A914)</f>
        <v/>
      </c>
    </row>
    <row r="914" spans="2:2" x14ac:dyDescent="0.25">
      <c r="B914" t="str">
        <f>IF(Monthly!A915="","",Monthly!A915)</f>
        <v/>
      </c>
    </row>
    <row r="915" spans="2:2" x14ac:dyDescent="0.25">
      <c r="B915" t="str">
        <f>IF(Monthly!A916="","",Monthly!A916)</f>
        <v/>
      </c>
    </row>
    <row r="916" spans="2:2" x14ac:dyDescent="0.25">
      <c r="B916" t="str">
        <f>IF(Monthly!A917="","",Monthly!A917)</f>
        <v/>
      </c>
    </row>
    <row r="917" spans="2:2" x14ac:dyDescent="0.25">
      <c r="B917" t="str">
        <f>IF(Monthly!A918="","",Monthly!A918)</f>
        <v/>
      </c>
    </row>
    <row r="918" spans="2:2" x14ac:dyDescent="0.25">
      <c r="B918" t="str">
        <f>IF(Monthly!A919="","",Monthly!A919)</f>
        <v/>
      </c>
    </row>
    <row r="919" spans="2:2" x14ac:dyDescent="0.25">
      <c r="B919" t="str">
        <f>IF(Monthly!A920="","",Monthly!A920)</f>
        <v/>
      </c>
    </row>
    <row r="920" spans="2:2" x14ac:dyDescent="0.25">
      <c r="B920" t="str">
        <f>IF(Monthly!A921="","",Monthly!A921)</f>
        <v/>
      </c>
    </row>
    <row r="921" spans="2:2" x14ac:dyDescent="0.25">
      <c r="B921" t="str">
        <f>IF(Monthly!A922="","",Monthly!A922)</f>
        <v/>
      </c>
    </row>
    <row r="922" spans="2:2" x14ac:dyDescent="0.25">
      <c r="B922" t="str">
        <f>IF(Monthly!A923="","",Monthly!A923)</f>
        <v/>
      </c>
    </row>
    <row r="923" spans="2:2" x14ac:dyDescent="0.25">
      <c r="B923" t="str">
        <f>IF(Monthly!A924="","",Monthly!A924)</f>
        <v/>
      </c>
    </row>
    <row r="924" spans="2:2" x14ac:dyDescent="0.25">
      <c r="B924" t="str">
        <f>IF(Monthly!A925="","",Monthly!A925)</f>
        <v/>
      </c>
    </row>
    <row r="925" spans="2:2" x14ac:dyDescent="0.25">
      <c r="B925" t="str">
        <f>IF(Monthly!A926="","",Monthly!A926)</f>
        <v/>
      </c>
    </row>
    <row r="926" spans="2:2" x14ac:dyDescent="0.25">
      <c r="B926" t="str">
        <f>IF(Monthly!A927="","",Monthly!A927)</f>
        <v/>
      </c>
    </row>
    <row r="927" spans="2:2" x14ac:dyDescent="0.25">
      <c r="B927" t="str">
        <f>IF(Monthly!A928="","",Monthly!A928)</f>
        <v/>
      </c>
    </row>
    <row r="928" spans="2:2" x14ac:dyDescent="0.25">
      <c r="B928" t="str">
        <f>IF(Monthly!A929="","",Monthly!A929)</f>
        <v/>
      </c>
    </row>
    <row r="929" spans="2:2" x14ac:dyDescent="0.25">
      <c r="B929" t="str">
        <f>IF(Monthly!A930="","",Monthly!A930)</f>
        <v/>
      </c>
    </row>
    <row r="930" spans="2:2" x14ac:dyDescent="0.25">
      <c r="B930" t="str">
        <f>IF(Monthly!A931="","",Monthly!A931)</f>
        <v/>
      </c>
    </row>
    <row r="931" spans="2:2" x14ac:dyDescent="0.25">
      <c r="B931" t="str">
        <f>IF(Monthly!A932="","",Monthly!A932)</f>
        <v/>
      </c>
    </row>
    <row r="932" spans="2:2" x14ac:dyDescent="0.25">
      <c r="B932" t="str">
        <f>IF(Monthly!A933="","",Monthly!A933)</f>
        <v/>
      </c>
    </row>
    <row r="933" spans="2:2" x14ac:dyDescent="0.25">
      <c r="B933" t="str">
        <f>IF(Monthly!A934="","",Monthly!A934)</f>
        <v/>
      </c>
    </row>
    <row r="934" spans="2:2" x14ac:dyDescent="0.25">
      <c r="B934" t="str">
        <f>IF(Monthly!A935="","",Monthly!A935)</f>
        <v/>
      </c>
    </row>
    <row r="935" spans="2:2" x14ac:dyDescent="0.25">
      <c r="B935" t="str">
        <f>IF(Monthly!A936="","",Monthly!A936)</f>
        <v/>
      </c>
    </row>
    <row r="936" spans="2:2" x14ac:dyDescent="0.25">
      <c r="B936" t="str">
        <f>IF(Monthly!A937="","",Monthly!A937)</f>
        <v/>
      </c>
    </row>
    <row r="937" spans="2:2" x14ac:dyDescent="0.25">
      <c r="B937" t="str">
        <f>IF(Monthly!A938="","",Monthly!A938)</f>
        <v/>
      </c>
    </row>
    <row r="938" spans="2:2" x14ac:dyDescent="0.25">
      <c r="B938" t="str">
        <f>IF(Monthly!A939="","",Monthly!A939)</f>
        <v/>
      </c>
    </row>
    <row r="939" spans="2:2" x14ac:dyDescent="0.25">
      <c r="B939" t="str">
        <f>IF(Monthly!A940="","",Monthly!A940)</f>
        <v/>
      </c>
    </row>
    <row r="940" spans="2:2" x14ac:dyDescent="0.25">
      <c r="B940" t="str">
        <f>IF(Monthly!A941="","",Monthly!A941)</f>
        <v/>
      </c>
    </row>
    <row r="941" spans="2:2" x14ac:dyDescent="0.25">
      <c r="B941" t="str">
        <f>IF(Monthly!A942="","",Monthly!A942)</f>
        <v/>
      </c>
    </row>
    <row r="942" spans="2:2" x14ac:dyDescent="0.25">
      <c r="B942" t="str">
        <f>IF(Monthly!A943="","",Monthly!A943)</f>
        <v/>
      </c>
    </row>
    <row r="943" spans="2:2" x14ac:dyDescent="0.25">
      <c r="B943" t="str">
        <f>IF(Monthly!A944="","",Monthly!A944)</f>
        <v/>
      </c>
    </row>
    <row r="944" spans="2:2" x14ac:dyDescent="0.25">
      <c r="B944" t="str">
        <f>IF(Monthly!A945="","",Monthly!A945)</f>
        <v/>
      </c>
    </row>
    <row r="945" spans="2:2" x14ac:dyDescent="0.25">
      <c r="B945" t="str">
        <f>IF(Monthly!A946="","",Monthly!A946)</f>
        <v/>
      </c>
    </row>
    <row r="946" spans="2:2" x14ac:dyDescent="0.25">
      <c r="B946" t="str">
        <f>IF(Monthly!A947="","",Monthly!A947)</f>
        <v/>
      </c>
    </row>
    <row r="947" spans="2:2" x14ac:dyDescent="0.25">
      <c r="B947" t="str">
        <f>IF(Monthly!A948="","",Monthly!A948)</f>
        <v/>
      </c>
    </row>
    <row r="948" spans="2:2" x14ac:dyDescent="0.25">
      <c r="B948" t="str">
        <f>IF(Monthly!A949="","",Monthly!A949)</f>
        <v/>
      </c>
    </row>
    <row r="949" spans="2:2" x14ac:dyDescent="0.25">
      <c r="B949" t="str">
        <f>IF(Monthly!A950="","",Monthly!A950)</f>
        <v/>
      </c>
    </row>
    <row r="950" spans="2:2" x14ac:dyDescent="0.25">
      <c r="B950" t="str">
        <f>IF(Monthly!A951="","",Monthly!A951)</f>
        <v/>
      </c>
    </row>
    <row r="951" spans="2:2" x14ac:dyDescent="0.25">
      <c r="B951" t="str">
        <f>IF(Monthly!A952="","",Monthly!A952)</f>
        <v/>
      </c>
    </row>
    <row r="952" spans="2:2" x14ac:dyDescent="0.25">
      <c r="B952" t="str">
        <f>IF(Monthly!A953="","",Monthly!A953)</f>
        <v/>
      </c>
    </row>
    <row r="953" spans="2:2" x14ac:dyDescent="0.25">
      <c r="B953" t="str">
        <f>IF(Monthly!A954="","",Monthly!A954)</f>
        <v/>
      </c>
    </row>
    <row r="954" spans="2:2" x14ac:dyDescent="0.25">
      <c r="B954" t="str">
        <f>IF(Monthly!A955="","",Monthly!A955)</f>
        <v/>
      </c>
    </row>
    <row r="955" spans="2:2" x14ac:dyDescent="0.25">
      <c r="B955" t="str">
        <f>IF(Monthly!A956="","",Monthly!A956)</f>
        <v/>
      </c>
    </row>
    <row r="956" spans="2:2" x14ac:dyDescent="0.25">
      <c r="B956" t="str">
        <f>IF(Monthly!A957="","",Monthly!A957)</f>
        <v/>
      </c>
    </row>
    <row r="957" spans="2:2" x14ac:dyDescent="0.25">
      <c r="B957" t="str">
        <f>IF(Monthly!A958="","",Monthly!A958)</f>
        <v/>
      </c>
    </row>
    <row r="958" spans="2:2" x14ac:dyDescent="0.25">
      <c r="B958" t="str">
        <f>IF(Monthly!A959="","",Monthly!A959)</f>
        <v/>
      </c>
    </row>
    <row r="959" spans="2:2" x14ac:dyDescent="0.25">
      <c r="B959" t="str">
        <f>IF(Monthly!A960="","",Monthly!A960)</f>
        <v/>
      </c>
    </row>
    <row r="960" spans="2:2" x14ac:dyDescent="0.25">
      <c r="B960" t="str">
        <f>IF(Monthly!A961="","",Monthly!A961)</f>
        <v/>
      </c>
    </row>
    <row r="961" spans="2:2" x14ac:dyDescent="0.25">
      <c r="B961" t="str">
        <f>IF(Monthly!A962="","",Monthly!A962)</f>
        <v/>
      </c>
    </row>
    <row r="962" spans="2:2" x14ac:dyDescent="0.25">
      <c r="B962" t="str">
        <f>IF(Monthly!A963="","",Monthly!A963)</f>
        <v/>
      </c>
    </row>
    <row r="963" spans="2:2" x14ac:dyDescent="0.25">
      <c r="B963" t="str">
        <f>IF(Monthly!A964="","",Monthly!A964)</f>
        <v/>
      </c>
    </row>
    <row r="964" spans="2:2" x14ac:dyDescent="0.25">
      <c r="B964" t="str">
        <f>IF(Monthly!A965="","",Monthly!A965)</f>
        <v/>
      </c>
    </row>
    <row r="965" spans="2:2" x14ac:dyDescent="0.25">
      <c r="B965" t="str">
        <f>IF(Monthly!A966="","",Monthly!A966)</f>
        <v/>
      </c>
    </row>
    <row r="966" spans="2:2" x14ac:dyDescent="0.25">
      <c r="B966" t="str">
        <f>IF(Monthly!A967="","",Monthly!A967)</f>
        <v/>
      </c>
    </row>
    <row r="967" spans="2:2" x14ac:dyDescent="0.25">
      <c r="B967" t="str">
        <f>IF(Monthly!A968="","",Monthly!A968)</f>
        <v/>
      </c>
    </row>
    <row r="968" spans="2:2" x14ac:dyDescent="0.25">
      <c r="B968" t="str">
        <f>IF(Monthly!A969="","",Monthly!A969)</f>
        <v/>
      </c>
    </row>
    <row r="969" spans="2:2" x14ac:dyDescent="0.25">
      <c r="B969" t="str">
        <f>IF(Monthly!A970="","",Monthly!A970)</f>
        <v/>
      </c>
    </row>
    <row r="970" spans="2:2" x14ac:dyDescent="0.25">
      <c r="B970" t="str">
        <f>IF(Monthly!A971="","",Monthly!A971)</f>
        <v/>
      </c>
    </row>
    <row r="971" spans="2:2" x14ac:dyDescent="0.25">
      <c r="B971" t="str">
        <f>IF(Monthly!A972="","",Monthly!A972)</f>
        <v/>
      </c>
    </row>
    <row r="972" spans="2:2" x14ac:dyDescent="0.25">
      <c r="B972" t="str">
        <f>IF(Monthly!A973="","",Monthly!A973)</f>
        <v/>
      </c>
    </row>
    <row r="973" spans="2:2" x14ac:dyDescent="0.25">
      <c r="B973" t="str">
        <f>IF(Monthly!A974="","",Monthly!A974)</f>
        <v/>
      </c>
    </row>
    <row r="974" spans="2:2" x14ac:dyDescent="0.25">
      <c r="B974" t="str">
        <f>IF(Monthly!A975="","",Monthly!A975)</f>
        <v/>
      </c>
    </row>
    <row r="975" spans="2:2" x14ac:dyDescent="0.25">
      <c r="B975" t="str">
        <f>IF(Monthly!A976="","",Monthly!A976)</f>
        <v/>
      </c>
    </row>
    <row r="976" spans="2:2" x14ac:dyDescent="0.25">
      <c r="B976" t="str">
        <f>IF(Monthly!A977="","",Monthly!A977)</f>
        <v/>
      </c>
    </row>
    <row r="977" spans="2:2" x14ac:dyDescent="0.25">
      <c r="B977" t="str">
        <f>IF(Monthly!A978="","",Monthly!A978)</f>
        <v/>
      </c>
    </row>
    <row r="978" spans="2:2" x14ac:dyDescent="0.25">
      <c r="B978" t="str">
        <f>IF(Monthly!A979="","",Monthly!A979)</f>
        <v/>
      </c>
    </row>
    <row r="979" spans="2:2" x14ac:dyDescent="0.25">
      <c r="B979" t="str">
        <f>IF(Monthly!A980="","",Monthly!A980)</f>
        <v/>
      </c>
    </row>
    <row r="980" spans="2:2" x14ac:dyDescent="0.25">
      <c r="B980" t="str">
        <f>IF(Monthly!A981="","",Monthly!A981)</f>
        <v/>
      </c>
    </row>
    <row r="981" spans="2:2" x14ac:dyDescent="0.25">
      <c r="B981" t="str">
        <f>IF(Monthly!A982="","",Monthly!A982)</f>
        <v/>
      </c>
    </row>
    <row r="982" spans="2:2" x14ac:dyDescent="0.25">
      <c r="B982" t="str">
        <f>IF(Monthly!A983="","",Monthly!A983)</f>
        <v/>
      </c>
    </row>
    <row r="983" spans="2:2" x14ac:dyDescent="0.25">
      <c r="B983" t="str">
        <f>IF(Monthly!A984="","",Monthly!A984)</f>
        <v/>
      </c>
    </row>
    <row r="984" spans="2:2" x14ac:dyDescent="0.25">
      <c r="B984" t="str">
        <f>IF(Monthly!A985="","",Monthly!A985)</f>
        <v/>
      </c>
    </row>
    <row r="985" spans="2:2" x14ac:dyDescent="0.25">
      <c r="B985" t="str">
        <f>IF(Monthly!A986="","",Monthly!A986)</f>
        <v/>
      </c>
    </row>
    <row r="986" spans="2:2" x14ac:dyDescent="0.25">
      <c r="B986" t="str">
        <f>IF(Monthly!A987="","",Monthly!A987)</f>
        <v/>
      </c>
    </row>
    <row r="987" spans="2:2" x14ac:dyDescent="0.25">
      <c r="B987" t="str">
        <f>IF(Monthly!A988="","",Monthly!A988)</f>
        <v/>
      </c>
    </row>
    <row r="988" spans="2:2" x14ac:dyDescent="0.25">
      <c r="B988" t="str">
        <f>IF(Monthly!A989="","",Monthly!A989)</f>
        <v/>
      </c>
    </row>
    <row r="989" spans="2:2" x14ac:dyDescent="0.25">
      <c r="B989" t="str">
        <f>IF(Monthly!A990="","",Monthly!A990)</f>
        <v/>
      </c>
    </row>
    <row r="990" spans="2:2" x14ac:dyDescent="0.25">
      <c r="B990" t="str">
        <f>IF(Monthly!A991="","",Monthly!A991)</f>
        <v/>
      </c>
    </row>
    <row r="991" spans="2:2" x14ac:dyDescent="0.25">
      <c r="B991" t="str">
        <f>IF(Monthly!A992="","",Monthly!A992)</f>
        <v/>
      </c>
    </row>
    <row r="992" spans="2:2" x14ac:dyDescent="0.25">
      <c r="B992" t="str">
        <f>IF(Monthly!A993="","",Monthly!A993)</f>
        <v/>
      </c>
    </row>
    <row r="993" spans="2:2" x14ac:dyDescent="0.25">
      <c r="B993" t="str">
        <f>IF(Monthly!A994="","",Monthly!A994)</f>
        <v/>
      </c>
    </row>
    <row r="994" spans="2:2" x14ac:dyDescent="0.25">
      <c r="B994" t="str">
        <f>IF(Monthly!A995="","",Monthly!A995)</f>
        <v/>
      </c>
    </row>
    <row r="995" spans="2:2" x14ac:dyDescent="0.25">
      <c r="B995" t="str">
        <f>IF(Monthly!A996="","",Monthly!A996)</f>
        <v/>
      </c>
    </row>
    <row r="996" spans="2:2" x14ac:dyDescent="0.25">
      <c r="B996" t="str">
        <f>IF(Monthly!A997="","",Monthly!A997)</f>
        <v/>
      </c>
    </row>
    <row r="997" spans="2:2" x14ac:dyDescent="0.25">
      <c r="B997" t="str">
        <f>IF(Monthly!A998="","",Monthly!A998)</f>
        <v/>
      </c>
    </row>
    <row r="998" spans="2:2" x14ac:dyDescent="0.25">
      <c r="B998" t="str">
        <f>IF(Monthly!A999="","",Monthly!A999)</f>
        <v/>
      </c>
    </row>
    <row r="999" spans="2:2" x14ac:dyDescent="0.25">
      <c r="B999" t="str">
        <f>IF(Monthly!A1000="","",Monthly!A1000)</f>
        <v/>
      </c>
    </row>
    <row r="1000" spans="2:2" x14ac:dyDescent="0.25">
      <c r="B1000" t="str">
        <f>IF(Monthly!A1001="","",Monthly!A1001)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01"/>
  <sheetViews>
    <sheetView workbookViewId="0" tabSelected="0"/>
  </sheetViews>
  <sheetFormatPr defaultRowHeight="15" x14ac:dyDescent="0.25"/>
  <sheetData>
    <row r="1" spans="1:3" x14ac:dyDescent="0.25">
      <c r="A1" t="s">
        <v>42</v>
      </c>
      <c r="B1" t="s">
        <v>13394</v>
      </c>
      <c r="C1" t="s">
        <v>13395</v>
      </c>
    </row>
    <row r="2" spans="1:3" x14ac:dyDescent="0.25">
      <c r="A2" t="str">
        <f>IF(Monthly!A2="","",Monthly!A2)</f>
        <v>2010-12</v>
      </c>
      <c r="B2" s="7">
        <f>IF(AND(A2&gt;=Dashboard!$F$5,A2&lt;=Dashboard!$J$5,A2&lt;&gt;""),SUMIFS(DashboardData!$D:$D,DashboardData!$A:$A,IF(Dashboard!$B$5="All","*",Dashboard!$B$5),DashboardData!$B:$B,A2),NA())</f>
        <v>777931.77</v>
      </c>
      <c r="C2" s="7">
        <f>IF(AND(A2&gt;=Dashboard!$F$5,A2&lt;=Dashboard!$J$5,A2&lt;&gt;""),-SUMIFS(DashboardData!$E:$E,DashboardData!$A:$A,IF(Dashboard!$B$5="All","*",Dashboard!$B$5),DashboardData!$B:$B,A2),NA())</f>
        <v>-17607.86</v>
      </c>
    </row>
    <row r="3" spans="1:3" x14ac:dyDescent="0.25">
      <c r="A3" t="str">
        <f>IF(Monthly!A3="","",Monthly!A3)</f>
        <v>2011-01</v>
      </c>
      <c r="B3" s="7">
        <f>IF(AND(A3&gt;=Dashboard!$F$5,A3&lt;=Dashboard!$J$5,A3&lt;&gt;""),SUMIFS(DashboardData!$D:$D,DashboardData!$A:$A,IF(Dashboard!$B$5="All","*",Dashboard!$B$5),DashboardData!$B:$B,A3),NA())</f>
        <v>671933.19</v>
      </c>
      <c r="C3" s="7">
        <f>IF(AND(A3&gt;=Dashboard!$F$5,A3&lt;=Dashboard!$J$5,A3&lt;&gt;""),-SUMIFS(DashboardData!$E:$E,DashboardData!$A:$A,IF(Dashboard!$B$5="All","*",Dashboard!$B$5),DashboardData!$B:$B,A3),NA())</f>
        <v>-91526.3</v>
      </c>
    </row>
    <row r="4" spans="1:3" x14ac:dyDescent="0.25">
      <c r="A4" t="str">
        <f>IF(Monthly!A4="","",Monthly!A4)</f>
        <v>2011-02</v>
      </c>
      <c r="B4" s="7">
        <f>IF(AND(A4&gt;=Dashboard!$F$5,A4&lt;=Dashboard!$J$5,A4&lt;&gt;""),SUMIFS(DashboardData!$D:$D,DashboardData!$A:$A,IF(Dashboard!$B$5="All","*",Dashboard!$B$5),DashboardData!$B:$B,A4),NA())</f>
        <v>508886.2</v>
      </c>
      <c r="C4" s="7">
        <f>IF(AND(A4&gt;=Dashboard!$F$5,A4&lt;=Dashboard!$J$5,A4&lt;&gt;""),-SUMIFS(DashboardData!$E:$E,DashboardData!$A:$A,IF(Dashboard!$B$5="All","*",Dashboard!$B$5),DashboardData!$B:$B,A4),NA())</f>
        <v>-8375.869999999999</v>
      </c>
    </row>
    <row r="5" spans="1:3" x14ac:dyDescent="0.25">
      <c r="A5" t="str">
        <f>IF(Monthly!A5="","",Monthly!A5)</f>
        <v>2011-03</v>
      </c>
      <c r="B5" s="7">
        <f>IF(AND(A5&gt;=Dashboard!$F$5,A5&lt;=Dashboard!$J$5,A5&lt;&gt;""),SUMIFS(DashboardData!$D:$D,DashboardData!$A:$A,IF(Dashboard!$B$5="All","*",Dashboard!$B$5),DashboardData!$B:$B,A5),NA())</f>
        <v>691257.61</v>
      </c>
      <c r="C5" s="7">
        <f>IF(AND(A5&gt;=Dashboard!$F$5,A5&lt;=Dashboard!$J$5,A5&lt;&gt;""),-SUMIFS(DashboardData!$E:$E,DashboardData!$A:$A,IF(Dashboard!$B$5="All","*",Dashboard!$B$5),DashboardData!$B:$B,A5),NA())</f>
        <v>-10675.3</v>
      </c>
    </row>
    <row r="6" spans="1:3" x14ac:dyDescent="0.25">
      <c r="A6" t="str">
        <f>IF(Monthly!A6="","",Monthly!A6)</f>
        <v>2011-04</v>
      </c>
      <c r="B6" s="7">
        <f>IF(AND(A6&gt;=Dashboard!$F$5,A6&lt;=Dashboard!$J$5,A6&lt;&gt;""),SUMIFS(DashboardData!$D:$D,DashboardData!$A:$A,IF(Dashboard!$B$5="All","*",Dashboard!$B$5),DashboardData!$B:$B,A6),NA())</f>
        <v>516218.12099999998</v>
      </c>
      <c r="C6" s="7">
        <f>IF(AND(A6&gt;=Dashboard!$F$5,A6&lt;=Dashboard!$J$5,A6&lt;&gt;""),-SUMIFS(DashboardData!$E:$E,DashboardData!$A:$A,IF(Dashboard!$B$5="All","*",Dashboard!$B$5),DashboardData!$B:$B,A6),NA())</f>
        <v>-33316.910000000003</v>
      </c>
    </row>
    <row r="7" spans="1:3" x14ac:dyDescent="0.25">
      <c r="A7" t="str">
        <f>IF(Monthly!A7="","",Monthly!A7)</f>
        <v>2011-05</v>
      </c>
      <c r="B7" s="7">
        <f>IF(AND(A7&gt;=Dashboard!$F$5,A7&lt;=Dashboard!$J$5,A7&lt;&gt;""),SUMIFS(DashboardData!$D:$D,DashboardData!$A:$A,IF(Dashboard!$B$5="All","*",Dashboard!$B$5),DashboardData!$B:$B,A7),NA())</f>
        <v>741192.41</v>
      </c>
      <c r="C7" s="7">
        <f>IF(AND(A7&gt;=Dashboard!$F$5,A7&lt;=Dashboard!$J$5,A7&lt;&gt;""),-SUMIFS(DashboardData!$E:$E,DashboardData!$A:$A,IF(Dashboard!$B$5="All","*",Dashboard!$B$5),DashboardData!$B:$B,A7),NA())</f>
        <v>-8948.2300000000014</v>
      </c>
    </row>
    <row r="8" spans="1:3" x14ac:dyDescent="0.25">
      <c r="A8" t="str">
        <f>IF(Monthly!A8="","",Monthly!A8)</f>
        <v>2011-06</v>
      </c>
      <c r="B8" s="7">
        <f>IF(AND(A8&gt;=Dashboard!$F$5,A8&lt;=Dashboard!$J$5,A8&lt;&gt;""),SUMIFS(DashboardData!$D:$D,DashboardData!$A:$A,IF(Dashboard!$B$5="All","*",Dashboard!$B$5),DashboardData!$B:$B,A8),NA())</f>
        <v>738751.87</v>
      </c>
      <c r="C8" s="7">
        <f>IF(AND(A8&gt;=Dashboard!$F$5,A8&lt;=Dashboard!$J$5,A8&lt;&gt;""),-SUMIFS(DashboardData!$E:$E,DashboardData!$A:$A,IF(Dashboard!$B$5="All","*",Dashboard!$B$5),DashboardData!$B:$B,A8),NA())</f>
        <v>-13760.84</v>
      </c>
    </row>
    <row r="9" spans="1:3" x14ac:dyDescent="0.25">
      <c r="A9" t="str">
        <f>IF(Monthly!A9="","",Monthly!A9)</f>
        <v>2011-07</v>
      </c>
      <c r="B9" s="7">
        <f>IF(AND(A9&gt;=Dashboard!$F$5,A9&lt;=Dashboard!$J$5,A9&lt;&gt;""),SUMIFS(DashboardData!$D:$D,DashboardData!$A:$A,IF(Dashboard!$B$5="All","*",Dashboard!$B$5),DashboardData!$B:$B,A9),NA())</f>
        <v>689364.41100000008</v>
      </c>
      <c r="C9" s="7">
        <f>IF(AND(A9&gt;=Dashboard!$F$5,A9&lt;=Dashboard!$J$5,A9&lt;&gt;""),-SUMIFS(DashboardData!$E:$E,DashboardData!$A:$A,IF(Dashboard!$B$5="All","*",Dashboard!$B$5),DashboardData!$B:$B,A9),NA())</f>
        <v>-11409.21</v>
      </c>
    </row>
    <row r="10" spans="1:3" x14ac:dyDescent="0.25">
      <c r="A10" t="str">
        <f>IF(Monthly!A10="","",Monthly!A10)</f>
        <v>2011-08</v>
      </c>
      <c r="B10" s="7">
        <f>IF(AND(A10&gt;=Dashboard!$F$5,A10&lt;=Dashboard!$J$5,A10&lt;&gt;""),SUMIFS(DashboardData!$D:$D,DashboardData!$A:$A,IF(Dashboard!$B$5="All","*",Dashboard!$B$5),DashboardData!$B:$B,A10),NA())</f>
        <v>725513.5</v>
      </c>
      <c r="C10" s="7">
        <f>IF(AND(A10&gt;=Dashboard!$F$5,A10&lt;=Dashboard!$J$5,A10&lt;&gt;""),-SUMIFS(DashboardData!$E:$E,DashboardData!$A:$A,IF(Dashboard!$B$5="All","*",Dashboard!$B$5),DashboardData!$B:$B,A10),NA())</f>
        <v>-22929.519999999997</v>
      </c>
    </row>
    <row r="11" spans="1:3" x14ac:dyDescent="0.25">
      <c r="A11" t="str">
        <f>IF(Monthly!A11="","",Monthly!A11)</f>
        <v>2011-09</v>
      </c>
      <c r="B11" s="7">
        <f>IF(AND(A11&gt;=Dashboard!$F$5,A11&lt;=Dashboard!$J$5,A11&lt;&gt;""),SUMIFS(DashboardData!$D:$D,DashboardData!$A:$A,IF(Dashboard!$B$5="All","*",Dashboard!$B$5),DashboardData!$B:$B,A11),NA())</f>
        <v>1030475.3609999999</v>
      </c>
      <c r="C11" s="7">
        <f>IF(AND(A11&gt;=Dashboard!$F$5,A11&lt;=Dashboard!$J$5,A11&lt;&gt;""),-SUMIFS(DashboardData!$E:$E,DashboardData!$A:$A,IF(Dashboard!$B$5="All","*",Dashboard!$B$5),DashboardData!$B:$B,A11),NA())</f>
        <v>-17044.68</v>
      </c>
    </row>
    <row r="12" spans="1:3" x14ac:dyDescent="0.25">
      <c r="A12" t="str">
        <f>IF(Monthly!A12="","",Monthly!A12)</f>
        <v>2011-10</v>
      </c>
      <c r="B12" s="7">
        <f>IF(AND(A12&gt;=Dashboard!$F$5,A12&lt;=Dashboard!$J$5,A12&lt;&gt;""),SUMIFS(DashboardData!$D:$D,DashboardData!$A:$A,IF(Dashboard!$B$5="All","*",Dashboard!$B$5),DashboardData!$B:$B,A12),NA())</f>
        <v>1106669.82</v>
      </c>
      <c r="C12" s="7">
        <f>IF(AND(A12&gt;=Dashboard!$F$5,A12&lt;=Dashboard!$J$5,A12&lt;&gt;""),-SUMIFS(DashboardData!$E:$E,DashboardData!$A:$A,IF(Dashboard!$B$5="All","*",Dashboard!$B$5),DashboardData!$B:$B,A12),NA())</f>
        <v>-43992.160000000003</v>
      </c>
    </row>
    <row r="13" spans="1:3" x14ac:dyDescent="0.25">
      <c r="A13" t="str">
        <f>IF(Monthly!A13="","",Monthly!A13)</f>
        <v>2011-11</v>
      </c>
      <c r="B13" s="7">
        <f>IF(AND(A13&gt;=Dashboard!$F$5,A13&lt;=Dashboard!$J$5,A13&lt;&gt;""),SUMIFS(DashboardData!$D:$D,DashboardData!$A:$A,IF(Dashboard!$B$5="All","*",Dashboard!$B$5),DashboardData!$B:$B,A13),NA())</f>
        <v>1457745.53</v>
      </c>
      <c r="C13" s="7">
        <f>IF(AND(A13&gt;=Dashboard!$F$5,A13&lt;=Dashboard!$J$5,A13&lt;&gt;""),-SUMIFS(DashboardData!$E:$E,DashboardData!$A:$A,IF(Dashboard!$B$5="All","*",Dashboard!$B$5),DashboardData!$B:$B,A13),NA())</f>
        <v>-25010.54</v>
      </c>
    </row>
    <row r="14" spans="1:3" x14ac:dyDescent="0.25">
      <c r="A14" t="str">
        <f>IF(Monthly!A14="","",Monthly!A14)</f>
        <v>2011-12</v>
      </c>
      <c r="B14" s="7">
        <f>IF(AND(A14&gt;=Dashboard!$F$5,A14&lt;=Dashboard!$J$5,A14&lt;&gt;""),SUMIFS(DashboardData!$D:$D,DashboardData!$A:$A,IF(Dashboard!$B$5="All","*",Dashboard!$B$5),DashboardData!$B:$B,A14),NA())</f>
        <v>615493.27</v>
      </c>
      <c r="C14" s="7">
        <f>IF(AND(A14&gt;=Dashboard!$F$5,A14&lt;=Dashboard!$J$5,A14&lt;&gt;""),-SUMIFS(DashboardData!$E:$E,DashboardData!$A:$A,IF(Dashboard!$B$5="All","*",Dashboard!$B$5),DashboardData!$B:$B,A14),NA())</f>
        <v>-174126.76</v>
      </c>
    </row>
    <row r="15" spans="1:3" x14ac:dyDescent="0.25">
      <c r="A15" t="str">
        <f>IF(Monthly!A15="","",Monthly!A15)</f>
        <v/>
      </c>
      <c r="B15" s="7" t="e">
        <f>IF(AND(A15&gt;=Dashboard!$F$5,A15&lt;=Dashboard!$J$5,A15&lt;&gt;""),SUMIFS(DashboardData!$D:$D,DashboardData!$A:$A,IF(Dashboard!$B$5="All","*",Dashboard!$B$5),DashboardData!$B:$B,A15),NA())</f>
        <v>#N/A</v>
      </c>
      <c r="C15" s="7" t="e">
        <f>IF(AND(A15&gt;=Dashboard!$F$5,A15&lt;=Dashboard!$J$5,A15&lt;&gt;""),-SUMIFS(DashboardData!$E:$E,DashboardData!$A:$A,IF(Dashboard!$B$5="All","*",Dashboard!$B$5),DashboardData!$B:$B,A15),NA())</f>
        <v>#N/A</v>
      </c>
    </row>
    <row r="16" spans="1:3" x14ac:dyDescent="0.25">
      <c r="A16" t="str">
        <f>IF(Monthly!A16="","",Monthly!A16)</f>
        <v/>
      </c>
      <c r="B16" s="7" t="e">
        <f>IF(AND(A16&gt;=Dashboard!$F$5,A16&lt;=Dashboard!$J$5,A16&lt;&gt;""),SUMIFS(DashboardData!$D:$D,DashboardData!$A:$A,IF(Dashboard!$B$5="All","*",Dashboard!$B$5),DashboardData!$B:$B,A16),NA())</f>
        <v>#N/A</v>
      </c>
      <c r="C16" s="7" t="e">
        <f>IF(AND(A16&gt;=Dashboard!$F$5,A16&lt;=Dashboard!$J$5,A16&lt;&gt;""),-SUMIFS(DashboardData!$E:$E,DashboardData!$A:$A,IF(Dashboard!$B$5="All","*",Dashboard!$B$5),DashboardData!$B:$B,A16),NA())</f>
        <v>#N/A</v>
      </c>
    </row>
    <row r="17" spans="1:3" x14ac:dyDescent="0.25">
      <c r="A17" t="str">
        <f>IF(Monthly!A17="","",Monthly!A17)</f>
        <v/>
      </c>
      <c r="B17" s="7" t="e">
        <f>IF(AND(A17&gt;=Dashboard!$F$5,A17&lt;=Dashboard!$J$5,A17&lt;&gt;""),SUMIFS(DashboardData!$D:$D,DashboardData!$A:$A,IF(Dashboard!$B$5="All","*",Dashboard!$B$5),DashboardData!$B:$B,A17),NA())</f>
        <v>#N/A</v>
      </c>
      <c r="C17" s="7" t="e">
        <f>IF(AND(A17&gt;=Dashboard!$F$5,A17&lt;=Dashboard!$J$5,A17&lt;&gt;""),-SUMIFS(DashboardData!$E:$E,DashboardData!$A:$A,IF(Dashboard!$B$5="All","*",Dashboard!$B$5),DashboardData!$B:$B,A17),NA())</f>
        <v>#N/A</v>
      </c>
    </row>
    <row r="18" spans="1:3" x14ac:dyDescent="0.25">
      <c r="A18" t="str">
        <f>IF(Monthly!A18="","",Monthly!A18)</f>
        <v/>
      </c>
      <c r="B18" s="7" t="e">
        <f>IF(AND(A18&gt;=Dashboard!$F$5,A18&lt;=Dashboard!$J$5,A18&lt;&gt;""),SUMIFS(DashboardData!$D:$D,DashboardData!$A:$A,IF(Dashboard!$B$5="All","*",Dashboard!$B$5),DashboardData!$B:$B,A18),NA())</f>
        <v>#N/A</v>
      </c>
      <c r="C18" s="7" t="e">
        <f>IF(AND(A18&gt;=Dashboard!$F$5,A18&lt;=Dashboard!$J$5,A18&lt;&gt;""),-SUMIFS(DashboardData!$E:$E,DashboardData!$A:$A,IF(Dashboard!$B$5="All","*",Dashboard!$B$5),DashboardData!$B:$B,A18),NA())</f>
        <v>#N/A</v>
      </c>
    </row>
    <row r="19" spans="1:3" x14ac:dyDescent="0.25">
      <c r="A19" t="str">
        <f>IF(Monthly!A19="","",Monthly!A19)</f>
        <v/>
      </c>
      <c r="B19" s="7" t="e">
        <f>IF(AND(A19&gt;=Dashboard!$F$5,A19&lt;=Dashboard!$J$5,A19&lt;&gt;""),SUMIFS(DashboardData!$D:$D,DashboardData!$A:$A,IF(Dashboard!$B$5="All","*",Dashboard!$B$5),DashboardData!$B:$B,A19),NA())</f>
        <v>#N/A</v>
      </c>
      <c r="C19" s="7" t="e">
        <f>IF(AND(A19&gt;=Dashboard!$F$5,A19&lt;=Dashboard!$J$5,A19&lt;&gt;""),-SUMIFS(DashboardData!$E:$E,DashboardData!$A:$A,IF(Dashboard!$B$5="All","*",Dashboard!$B$5),DashboardData!$B:$B,A19),NA())</f>
        <v>#N/A</v>
      </c>
    </row>
    <row r="20" spans="1:3" x14ac:dyDescent="0.25">
      <c r="A20" t="str">
        <f>IF(Monthly!A20="","",Monthly!A20)</f>
        <v/>
      </c>
      <c r="B20" s="7" t="e">
        <f>IF(AND(A20&gt;=Dashboard!$F$5,A20&lt;=Dashboard!$J$5,A20&lt;&gt;""),SUMIFS(DashboardData!$D:$D,DashboardData!$A:$A,IF(Dashboard!$B$5="All","*",Dashboard!$B$5),DashboardData!$B:$B,A20),NA())</f>
        <v>#N/A</v>
      </c>
      <c r="C20" s="7" t="e">
        <f>IF(AND(A20&gt;=Dashboard!$F$5,A20&lt;=Dashboard!$J$5,A20&lt;&gt;""),-SUMIFS(DashboardData!$E:$E,DashboardData!$A:$A,IF(Dashboard!$B$5="All","*",Dashboard!$B$5),DashboardData!$B:$B,A20),NA())</f>
        <v>#N/A</v>
      </c>
    </row>
    <row r="21" spans="1:3" x14ac:dyDescent="0.25">
      <c r="A21" t="str">
        <f>IF(Monthly!A21="","",Monthly!A21)</f>
        <v/>
      </c>
      <c r="B21" s="7" t="e">
        <f>IF(AND(A21&gt;=Dashboard!$F$5,A21&lt;=Dashboard!$J$5,A21&lt;&gt;""),SUMIFS(DashboardData!$D:$D,DashboardData!$A:$A,IF(Dashboard!$B$5="All","*",Dashboard!$B$5),DashboardData!$B:$B,A21),NA())</f>
        <v>#N/A</v>
      </c>
      <c r="C21" s="7" t="e">
        <f>IF(AND(A21&gt;=Dashboard!$F$5,A21&lt;=Dashboard!$J$5,A21&lt;&gt;""),-SUMIFS(DashboardData!$E:$E,DashboardData!$A:$A,IF(Dashboard!$B$5="All","*",Dashboard!$B$5),DashboardData!$B:$B,A21),NA())</f>
        <v>#N/A</v>
      </c>
    </row>
    <row r="22" spans="1:3" x14ac:dyDescent="0.25">
      <c r="A22" t="str">
        <f>IF(Monthly!A22="","",Monthly!A22)</f>
        <v/>
      </c>
      <c r="B22" s="7" t="e">
        <f>IF(AND(A22&gt;=Dashboard!$F$5,A22&lt;=Dashboard!$J$5,A22&lt;&gt;""),SUMIFS(DashboardData!$D:$D,DashboardData!$A:$A,IF(Dashboard!$B$5="All","*",Dashboard!$B$5),DashboardData!$B:$B,A22),NA())</f>
        <v>#N/A</v>
      </c>
      <c r="C22" s="7" t="e">
        <f>IF(AND(A22&gt;=Dashboard!$F$5,A22&lt;=Dashboard!$J$5,A22&lt;&gt;""),-SUMIFS(DashboardData!$E:$E,DashboardData!$A:$A,IF(Dashboard!$B$5="All","*",Dashboard!$B$5),DashboardData!$B:$B,A22),NA())</f>
        <v>#N/A</v>
      </c>
    </row>
    <row r="23" spans="1:3" x14ac:dyDescent="0.25">
      <c r="A23" t="str">
        <f>IF(Monthly!A23="","",Monthly!A23)</f>
        <v/>
      </c>
      <c r="B23" s="7" t="e">
        <f>IF(AND(A23&gt;=Dashboard!$F$5,A23&lt;=Dashboard!$J$5,A23&lt;&gt;""),SUMIFS(DashboardData!$D:$D,DashboardData!$A:$A,IF(Dashboard!$B$5="All","*",Dashboard!$B$5),DashboardData!$B:$B,A23),NA())</f>
        <v>#N/A</v>
      </c>
      <c r="C23" s="7" t="e">
        <f>IF(AND(A23&gt;=Dashboard!$F$5,A23&lt;=Dashboard!$J$5,A23&lt;&gt;""),-SUMIFS(DashboardData!$E:$E,DashboardData!$A:$A,IF(Dashboard!$B$5="All","*",Dashboard!$B$5),DashboardData!$B:$B,A23),NA())</f>
        <v>#N/A</v>
      </c>
    </row>
    <row r="24" spans="1:3" x14ac:dyDescent="0.25">
      <c r="A24" t="str">
        <f>IF(Monthly!A24="","",Monthly!A24)</f>
        <v/>
      </c>
      <c r="B24" s="7" t="e">
        <f>IF(AND(A24&gt;=Dashboard!$F$5,A24&lt;=Dashboard!$J$5,A24&lt;&gt;""),SUMIFS(DashboardData!$D:$D,DashboardData!$A:$A,IF(Dashboard!$B$5="All","*",Dashboard!$B$5),DashboardData!$B:$B,A24),NA())</f>
        <v>#N/A</v>
      </c>
      <c r="C24" s="7" t="e">
        <f>IF(AND(A24&gt;=Dashboard!$F$5,A24&lt;=Dashboard!$J$5,A24&lt;&gt;""),-SUMIFS(DashboardData!$E:$E,DashboardData!$A:$A,IF(Dashboard!$B$5="All","*",Dashboard!$B$5),DashboardData!$B:$B,A24),NA())</f>
        <v>#N/A</v>
      </c>
    </row>
    <row r="25" spans="1:3" x14ac:dyDescent="0.25">
      <c r="A25" t="str">
        <f>IF(Monthly!A25="","",Monthly!A25)</f>
        <v/>
      </c>
      <c r="B25" s="7" t="e">
        <f>IF(AND(A25&gt;=Dashboard!$F$5,A25&lt;=Dashboard!$J$5,A25&lt;&gt;""),SUMIFS(DashboardData!$D:$D,DashboardData!$A:$A,IF(Dashboard!$B$5="All","*",Dashboard!$B$5),DashboardData!$B:$B,A25),NA())</f>
        <v>#N/A</v>
      </c>
      <c r="C25" s="7" t="e">
        <f>IF(AND(A25&gt;=Dashboard!$F$5,A25&lt;=Dashboard!$J$5,A25&lt;&gt;""),-SUMIFS(DashboardData!$E:$E,DashboardData!$A:$A,IF(Dashboard!$B$5="All","*",Dashboard!$B$5),DashboardData!$B:$B,A25),NA())</f>
        <v>#N/A</v>
      </c>
    </row>
    <row r="26" spans="1:3" x14ac:dyDescent="0.25">
      <c r="A26" t="str">
        <f>IF(Monthly!A26="","",Monthly!A26)</f>
        <v/>
      </c>
      <c r="B26" s="7" t="e">
        <f>IF(AND(A26&gt;=Dashboard!$F$5,A26&lt;=Dashboard!$J$5,A26&lt;&gt;""),SUMIFS(DashboardData!$D:$D,DashboardData!$A:$A,IF(Dashboard!$B$5="All","*",Dashboard!$B$5),DashboardData!$B:$B,A26),NA())</f>
        <v>#N/A</v>
      </c>
      <c r="C26" s="7" t="e">
        <f>IF(AND(A26&gt;=Dashboard!$F$5,A26&lt;=Dashboard!$J$5,A26&lt;&gt;""),-SUMIFS(DashboardData!$E:$E,DashboardData!$A:$A,IF(Dashboard!$B$5="All","*",Dashboard!$B$5),DashboardData!$B:$B,A26),NA())</f>
        <v>#N/A</v>
      </c>
    </row>
    <row r="27" spans="1:3" x14ac:dyDescent="0.25">
      <c r="A27" t="str">
        <f>IF(Monthly!A27="","",Monthly!A27)</f>
        <v/>
      </c>
      <c r="B27" s="7" t="e">
        <f>IF(AND(A27&gt;=Dashboard!$F$5,A27&lt;=Dashboard!$J$5,A27&lt;&gt;""),SUMIFS(DashboardData!$D:$D,DashboardData!$A:$A,IF(Dashboard!$B$5="All","*",Dashboard!$B$5),DashboardData!$B:$B,A27),NA())</f>
        <v>#N/A</v>
      </c>
      <c r="C27" s="7" t="e">
        <f>IF(AND(A27&gt;=Dashboard!$F$5,A27&lt;=Dashboard!$J$5,A27&lt;&gt;""),-SUMIFS(DashboardData!$E:$E,DashboardData!$A:$A,IF(Dashboard!$B$5="All","*",Dashboard!$B$5),DashboardData!$B:$B,A27),NA())</f>
        <v>#N/A</v>
      </c>
    </row>
    <row r="28" spans="1:3" x14ac:dyDescent="0.25">
      <c r="A28" t="str">
        <f>IF(Monthly!A28="","",Monthly!A28)</f>
        <v/>
      </c>
      <c r="B28" s="7" t="e">
        <f>IF(AND(A28&gt;=Dashboard!$F$5,A28&lt;=Dashboard!$J$5,A28&lt;&gt;""),SUMIFS(DashboardData!$D:$D,DashboardData!$A:$A,IF(Dashboard!$B$5="All","*",Dashboard!$B$5),DashboardData!$B:$B,A28),NA())</f>
        <v>#N/A</v>
      </c>
      <c r="C28" s="7" t="e">
        <f>IF(AND(A28&gt;=Dashboard!$F$5,A28&lt;=Dashboard!$J$5,A28&lt;&gt;""),-SUMIFS(DashboardData!$E:$E,DashboardData!$A:$A,IF(Dashboard!$B$5="All","*",Dashboard!$B$5),DashboardData!$B:$B,A28),NA())</f>
        <v>#N/A</v>
      </c>
    </row>
    <row r="29" spans="1:3" x14ac:dyDescent="0.25">
      <c r="A29" t="str">
        <f>IF(Monthly!A29="","",Monthly!A29)</f>
        <v/>
      </c>
      <c r="B29" s="7" t="e">
        <f>IF(AND(A29&gt;=Dashboard!$F$5,A29&lt;=Dashboard!$J$5,A29&lt;&gt;""),SUMIFS(DashboardData!$D:$D,DashboardData!$A:$A,IF(Dashboard!$B$5="All","*",Dashboard!$B$5),DashboardData!$B:$B,A29),NA())</f>
        <v>#N/A</v>
      </c>
      <c r="C29" s="7" t="e">
        <f>IF(AND(A29&gt;=Dashboard!$F$5,A29&lt;=Dashboard!$J$5,A29&lt;&gt;""),-SUMIFS(DashboardData!$E:$E,DashboardData!$A:$A,IF(Dashboard!$B$5="All","*",Dashboard!$B$5),DashboardData!$B:$B,A29),NA())</f>
        <v>#N/A</v>
      </c>
    </row>
    <row r="30" spans="1:3" x14ac:dyDescent="0.25">
      <c r="A30" t="str">
        <f>IF(Monthly!A30="","",Monthly!A30)</f>
        <v/>
      </c>
      <c r="B30" s="7" t="e">
        <f>IF(AND(A30&gt;=Dashboard!$F$5,A30&lt;=Dashboard!$J$5,A30&lt;&gt;""),SUMIFS(DashboardData!$D:$D,DashboardData!$A:$A,IF(Dashboard!$B$5="All","*",Dashboard!$B$5),DashboardData!$B:$B,A30),NA())</f>
        <v>#N/A</v>
      </c>
      <c r="C30" s="7" t="e">
        <f>IF(AND(A30&gt;=Dashboard!$F$5,A30&lt;=Dashboard!$J$5,A30&lt;&gt;""),-SUMIFS(DashboardData!$E:$E,DashboardData!$A:$A,IF(Dashboard!$B$5="All","*",Dashboard!$B$5),DashboardData!$B:$B,A30),NA())</f>
        <v>#N/A</v>
      </c>
    </row>
    <row r="31" spans="1:3" x14ac:dyDescent="0.25">
      <c r="A31" t="str">
        <f>IF(Monthly!A31="","",Monthly!A31)</f>
        <v/>
      </c>
      <c r="B31" s="7" t="e">
        <f>IF(AND(A31&gt;=Dashboard!$F$5,A31&lt;=Dashboard!$J$5,A31&lt;&gt;""),SUMIFS(DashboardData!$D:$D,DashboardData!$A:$A,IF(Dashboard!$B$5="All","*",Dashboard!$B$5),DashboardData!$B:$B,A31),NA())</f>
        <v>#N/A</v>
      </c>
      <c r="C31" s="7" t="e">
        <f>IF(AND(A31&gt;=Dashboard!$F$5,A31&lt;=Dashboard!$J$5,A31&lt;&gt;""),-SUMIFS(DashboardData!$E:$E,DashboardData!$A:$A,IF(Dashboard!$B$5="All","*",Dashboard!$B$5),DashboardData!$B:$B,A31),NA())</f>
        <v>#N/A</v>
      </c>
    </row>
    <row r="32" spans="1:3" x14ac:dyDescent="0.25">
      <c r="A32" t="str">
        <f>IF(Monthly!A32="","",Monthly!A32)</f>
        <v/>
      </c>
      <c r="B32" s="7" t="e">
        <f>IF(AND(A32&gt;=Dashboard!$F$5,A32&lt;=Dashboard!$J$5,A32&lt;&gt;""),SUMIFS(DashboardData!$D:$D,DashboardData!$A:$A,IF(Dashboard!$B$5="All","*",Dashboard!$B$5),DashboardData!$B:$B,A32),NA())</f>
        <v>#N/A</v>
      </c>
      <c r="C32" s="7" t="e">
        <f>IF(AND(A32&gt;=Dashboard!$F$5,A32&lt;=Dashboard!$J$5,A32&lt;&gt;""),-SUMIFS(DashboardData!$E:$E,DashboardData!$A:$A,IF(Dashboard!$B$5="All","*",Dashboard!$B$5),DashboardData!$B:$B,A32),NA())</f>
        <v>#N/A</v>
      </c>
    </row>
    <row r="33" spans="1:3" x14ac:dyDescent="0.25">
      <c r="A33" t="str">
        <f>IF(Monthly!A33="","",Monthly!A33)</f>
        <v/>
      </c>
      <c r="B33" s="7" t="e">
        <f>IF(AND(A33&gt;=Dashboard!$F$5,A33&lt;=Dashboard!$J$5,A33&lt;&gt;""),SUMIFS(DashboardData!$D:$D,DashboardData!$A:$A,IF(Dashboard!$B$5="All","*",Dashboard!$B$5),DashboardData!$B:$B,A33),NA())</f>
        <v>#N/A</v>
      </c>
      <c r="C33" s="7" t="e">
        <f>IF(AND(A33&gt;=Dashboard!$F$5,A33&lt;=Dashboard!$J$5,A33&lt;&gt;""),-SUMIFS(DashboardData!$E:$E,DashboardData!$A:$A,IF(Dashboard!$B$5="All","*",Dashboard!$B$5),DashboardData!$B:$B,A33),NA())</f>
        <v>#N/A</v>
      </c>
    </row>
    <row r="34" spans="1:3" x14ac:dyDescent="0.25">
      <c r="A34" t="str">
        <f>IF(Monthly!A34="","",Monthly!A34)</f>
        <v/>
      </c>
      <c r="B34" s="7" t="e">
        <f>IF(AND(A34&gt;=Dashboard!$F$5,A34&lt;=Dashboard!$J$5,A34&lt;&gt;""),SUMIFS(DashboardData!$D:$D,DashboardData!$A:$A,IF(Dashboard!$B$5="All","*",Dashboard!$B$5),DashboardData!$B:$B,A34),NA())</f>
        <v>#N/A</v>
      </c>
      <c r="C34" s="7" t="e">
        <f>IF(AND(A34&gt;=Dashboard!$F$5,A34&lt;=Dashboard!$J$5,A34&lt;&gt;""),-SUMIFS(DashboardData!$E:$E,DashboardData!$A:$A,IF(Dashboard!$B$5="All","*",Dashboard!$B$5),DashboardData!$B:$B,A34),NA())</f>
        <v>#N/A</v>
      </c>
    </row>
    <row r="35" spans="1:3" x14ac:dyDescent="0.25">
      <c r="A35" t="str">
        <f>IF(Monthly!A35="","",Monthly!A35)</f>
        <v/>
      </c>
      <c r="B35" s="7" t="e">
        <f>IF(AND(A35&gt;=Dashboard!$F$5,A35&lt;=Dashboard!$J$5,A35&lt;&gt;""),SUMIFS(DashboardData!$D:$D,DashboardData!$A:$A,IF(Dashboard!$B$5="All","*",Dashboard!$B$5),DashboardData!$B:$B,A35),NA())</f>
        <v>#N/A</v>
      </c>
      <c r="C35" s="7" t="e">
        <f>IF(AND(A35&gt;=Dashboard!$F$5,A35&lt;=Dashboard!$J$5,A35&lt;&gt;""),-SUMIFS(DashboardData!$E:$E,DashboardData!$A:$A,IF(Dashboard!$B$5="All","*",Dashboard!$B$5),DashboardData!$B:$B,A35),NA())</f>
        <v>#N/A</v>
      </c>
    </row>
    <row r="36" spans="1:3" x14ac:dyDescent="0.25">
      <c r="A36" t="str">
        <f>IF(Monthly!A36="","",Monthly!A36)</f>
        <v/>
      </c>
      <c r="B36" s="7" t="e">
        <f>IF(AND(A36&gt;=Dashboard!$F$5,A36&lt;=Dashboard!$J$5,A36&lt;&gt;""),SUMIFS(DashboardData!$D:$D,DashboardData!$A:$A,IF(Dashboard!$B$5="All","*",Dashboard!$B$5),DashboardData!$B:$B,A36),NA())</f>
        <v>#N/A</v>
      </c>
      <c r="C36" s="7" t="e">
        <f>IF(AND(A36&gt;=Dashboard!$F$5,A36&lt;=Dashboard!$J$5,A36&lt;&gt;""),-SUMIFS(DashboardData!$E:$E,DashboardData!$A:$A,IF(Dashboard!$B$5="All","*",Dashboard!$B$5),DashboardData!$B:$B,A36),NA())</f>
        <v>#N/A</v>
      </c>
    </row>
    <row r="37" spans="1:3" x14ac:dyDescent="0.25">
      <c r="A37" t="str">
        <f>IF(Monthly!A37="","",Monthly!A37)</f>
        <v/>
      </c>
      <c r="B37" s="7" t="e">
        <f>IF(AND(A37&gt;=Dashboard!$F$5,A37&lt;=Dashboard!$J$5,A37&lt;&gt;""),SUMIFS(DashboardData!$D:$D,DashboardData!$A:$A,IF(Dashboard!$B$5="All","*",Dashboard!$B$5),DashboardData!$B:$B,A37),NA())</f>
        <v>#N/A</v>
      </c>
      <c r="C37" s="7" t="e">
        <f>IF(AND(A37&gt;=Dashboard!$F$5,A37&lt;=Dashboard!$J$5,A37&lt;&gt;""),-SUMIFS(DashboardData!$E:$E,DashboardData!$A:$A,IF(Dashboard!$B$5="All","*",Dashboard!$B$5),DashboardData!$B:$B,A37),NA())</f>
        <v>#N/A</v>
      </c>
    </row>
    <row r="38" spans="1:3" x14ac:dyDescent="0.25">
      <c r="A38" t="str">
        <f>IF(Monthly!A38="","",Monthly!A38)</f>
        <v/>
      </c>
      <c r="B38" s="7" t="e">
        <f>IF(AND(A38&gt;=Dashboard!$F$5,A38&lt;=Dashboard!$J$5,A38&lt;&gt;""),SUMIFS(DashboardData!$D:$D,DashboardData!$A:$A,IF(Dashboard!$B$5="All","*",Dashboard!$B$5),DashboardData!$B:$B,A38),NA())</f>
        <v>#N/A</v>
      </c>
      <c r="C38" s="7" t="e">
        <f>IF(AND(A38&gt;=Dashboard!$F$5,A38&lt;=Dashboard!$J$5,A38&lt;&gt;""),-SUMIFS(DashboardData!$E:$E,DashboardData!$A:$A,IF(Dashboard!$B$5="All","*",Dashboard!$B$5),DashboardData!$B:$B,A38),NA())</f>
        <v>#N/A</v>
      </c>
    </row>
    <row r="39" spans="1:3" x14ac:dyDescent="0.25">
      <c r="A39" t="str">
        <f>IF(Monthly!A39="","",Monthly!A39)</f>
        <v/>
      </c>
      <c r="B39" s="7" t="e">
        <f>IF(AND(A39&gt;=Dashboard!$F$5,A39&lt;=Dashboard!$J$5,A39&lt;&gt;""),SUMIFS(DashboardData!$D:$D,DashboardData!$A:$A,IF(Dashboard!$B$5="All","*",Dashboard!$B$5),DashboardData!$B:$B,A39),NA())</f>
        <v>#N/A</v>
      </c>
      <c r="C39" s="7" t="e">
        <f>IF(AND(A39&gt;=Dashboard!$F$5,A39&lt;=Dashboard!$J$5,A39&lt;&gt;""),-SUMIFS(DashboardData!$E:$E,DashboardData!$A:$A,IF(Dashboard!$B$5="All","*",Dashboard!$B$5),DashboardData!$B:$B,A39),NA())</f>
        <v>#N/A</v>
      </c>
    </row>
    <row r="40" spans="1:3" x14ac:dyDescent="0.25">
      <c r="A40" t="str">
        <f>IF(Monthly!A40="","",Monthly!A40)</f>
        <v/>
      </c>
      <c r="B40" s="7" t="e">
        <f>IF(AND(A40&gt;=Dashboard!$F$5,A40&lt;=Dashboard!$J$5,A40&lt;&gt;""),SUMIFS(DashboardData!$D:$D,DashboardData!$A:$A,IF(Dashboard!$B$5="All","*",Dashboard!$B$5),DashboardData!$B:$B,A40),NA())</f>
        <v>#N/A</v>
      </c>
      <c r="C40" s="7" t="e">
        <f>IF(AND(A40&gt;=Dashboard!$F$5,A40&lt;=Dashboard!$J$5,A40&lt;&gt;""),-SUMIFS(DashboardData!$E:$E,DashboardData!$A:$A,IF(Dashboard!$B$5="All","*",Dashboard!$B$5),DashboardData!$B:$B,A40),NA())</f>
        <v>#N/A</v>
      </c>
    </row>
    <row r="41" spans="1:3" x14ac:dyDescent="0.25">
      <c r="A41" t="str">
        <f>IF(Monthly!A41="","",Monthly!A41)</f>
        <v/>
      </c>
      <c r="B41" s="7" t="e">
        <f>IF(AND(A41&gt;=Dashboard!$F$5,A41&lt;=Dashboard!$J$5,A41&lt;&gt;""),SUMIFS(DashboardData!$D:$D,DashboardData!$A:$A,IF(Dashboard!$B$5="All","*",Dashboard!$B$5),DashboardData!$B:$B,A41),NA())</f>
        <v>#N/A</v>
      </c>
      <c r="C41" s="7" t="e">
        <f>IF(AND(A41&gt;=Dashboard!$F$5,A41&lt;=Dashboard!$J$5,A41&lt;&gt;""),-SUMIFS(DashboardData!$E:$E,DashboardData!$A:$A,IF(Dashboard!$B$5="All","*",Dashboard!$B$5),DashboardData!$B:$B,A41),NA())</f>
        <v>#N/A</v>
      </c>
    </row>
    <row r="42" spans="1:3" x14ac:dyDescent="0.25">
      <c r="A42" t="str">
        <f>IF(Monthly!A42="","",Monthly!A42)</f>
        <v/>
      </c>
      <c r="B42" s="7" t="e">
        <f>IF(AND(A42&gt;=Dashboard!$F$5,A42&lt;=Dashboard!$J$5,A42&lt;&gt;""),SUMIFS(DashboardData!$D:$D,DashboardData!$A:$A,IF(Dashboard!$B$5="All","*",Dashboard!$B$5),DashboardData!$B:$B,A42),NA())</f>
        <v>#N/A</v>
      </c>
      <c r="C42" s="7" t="e">
        <f>IF(AND(A42&gt;=Dashboard!$F$5,A42&lt;=Dashboard!$J$5,A42&lt;&gt;""),-SUMIFS(DashboardData!$E:$E,DashboardData!$A:$A,IF(Dashboard!$B$5="All","*",Dashboard!$B$5),DashboardData!$B:$B,A42),NA())</f>
        <v>#N/A</v>
      </c>
    </row>
    <row r="43" spans="1:3" x14ac:dyDescent="0.25">
      <c r="A43" t="str">
        <f>IF(Monthly!A43="","",Monthly!A43)</f>
        <v/>
      </c>
      <c r="B43" s="7" t="e">
        <f>IF(AND(A43&gt;=Dashboard!$F$5,A43&lt;=Dashboard!$J$5,A43&lt;&gt;""),SUMIFS(DashboardData!$D:$D,DashboardData!$A:$A,IF(Dashboard!$B$5="All","*",Dashboard!$B$5),DashboardData!$B:$B,A43),NA())</f>
        <v>#N/A</v>
      </c>
      <c r="C43" s="7" t="e">
        <f>IF(AND(A43&gt;=Dashboard!$F$5,A43&lt;=Dashboard!$J$5,A43&lt;&gt;""),-SUMIFS(DashboardData!$E:$E,DashboardData!$A:$A,IF(Dashboard!$B$5="All","*",Dashboard!$B$5),DashboardData!$B:$B,A43),NA())</f>
        <v>#N/A</v>
      </c>
    </row>
    <row r="44" spans="1:3" x14ac:dyDescent="0.25">
      <c r="A44" t="str">
        <f>IF(Monthly!A44="","",Monthly!A44)</f>
        <v/>
      </c>
      <c r="B44" s="7" t="e">
        <f>IF(AND(A44&gt;=Dashboard!$F$5,A44&lt;=Dashboard!$J$5,A44&lt;&gt;""),SUMIFS(DashboardData!$D:$D,DashboardData!$A:$A,IF(Dashboard!$B$5="All","*",Dashboard!$B$5),DashboardData!$B:$B,A44),NA())</f>
        <v>#N/A</v>
      </c>
      <c r="C44" s="7" t="e">
        <f>IF(AND(A44&gt;=Dashboard!$F$5,A44&lt;=Dashboard!$J$5,A44&lt;&gt;""),-SUMIFS(DashboardData!$E:$E,DashboardData!$A:$A,IF(Dashboard!$B$5="All","*",Dashboard!$B$5),DashboardData!$B:$B,A44),NA())</f>
        <v>#N/A</v>
      </c>
    </row>
    <row r="45" spans="1:3" x14ac:dyDescent="0.25">
      <c r="A45" t="str">
        <f>IF(Monthly!A45="","",Monthly!A45)</f>
        <v/>
      </c>
      <c r="B45" s="7" t="e">
        <f>IF(AND(A45&gt;=Dashboard!$F$5,A45&lt;=Dashboard!$J$5,A45&lt;&gt;""),SUMIFS(DashboardData!$D:$D,DashboardData!$A:$A,IF(Dashboard!$B$5="All","*",Dashboard!$B$5),DashboardData!$B:$B,A45),NA())</f>
        <v>#N/A</v>
      </c>
      <c r="C45" s="7" t="e">
        <f>IF(AND(A45&gt;=Dashboard!$F$5,A45&lt;=Dashboard!$J$5,A45&lt;&gt;""),-SUMIFS(DashboardData!$E:$E,DashboardData!$A:$A,IF(Dashboard!$B$5="All","*",Dashboard!$B$5),DashboardData!$B:$B,A45),NA())</f>
        <v>#N/A</v>
      </c>
    </row>
    <row r="46" spans="1:3" x14ac:dyDescent="0.25">
      <c r="A46" t="str">
        <f>IF(Monthly!A46="","",Monthly!A46)</f>
        <v/>
      </c>
      <c r="B46" s="7" t="e">
        <f>IF(AND(A46&gt;=Dashboard!$F$5,A46&lt;=Dashboard!$J$5,A46&lt;&gt;""),SUMIFS(DashboardData!$D:$D,DashboardData!$A:$A,IF(Dashboard!$B$5="All","*",Dashboard!$B$5),DashboardData!$B:$B,A46),NA())</f>
        <v>#N/A</v>
      </c>
      <c r="C46" s="7" t="e">
        <f>IF(AND(A46&gt;=Dashboard!$F$5,A46&lt;=Dashboard!$J$5,A46&lt;&gt;""),-SUMIFS(DashboardData!$E:$E,DashboardData!$A:$A,IF(Dashboard!$B$5="All","*",Dashboard!$B$5),DashboardData!$B:$B,A46),NA())</f>
        <v>#N/A</v>
      </c>
    </row>
    <row r="47" spans="1:3" x14ac:dyDescent="0.25">
      <c r="A47" t="str">
        <f>IF(Monthly!A47="","",Monthly!A47)</f>
        <v/>
      </c>
      <c r="B47" s="7" t="e">
        <f>IF(AND(A47&gt;=Dashboard!$F$5,A47&lt;=Dashboard!$J$5,A47&lt;&gt;""),SUMIFS(DashboardData!$D:$D,DashboardData!$A:$A,IF(Dashboard!$B$5="All","*",Dashboard!$B$5),DashboardData!$B:$B,A47),NA())</f>
        <v>#N/A</v>
      </c>
      <c r="C47" s="7" t="e">
        <f>IF(AND(A47&gt;=Dashboard!$F$5,A47&lt;=Dashboard!$J$5,A47&lt;&gt;""),-SUMIFS(DashboardData!$E:$E,DashboardData!$A:$A,IF(Dashboard!$B$5="All","*",Dashboard!$B$5),DashboardData!$B:$B,A47),NA())</f>
        <v>#N/A</v>
      </c>
    </row>
    <row r="48" spans="1:3" x14ac:dyDescent="0.25">
      <c r="A48" t="str">
        <f>IF(Monthly!A48="","",Monthly!A48)</f>
        <v/>
      </c>
      <c r="B48" s="7" t="e">
        <f>IF(AND(A48&gt;=Dashboard!$F$5,A48&lt;=Dashboard!$J$5,A48&lt;&gt;""),SUMIFS(DashboardData!$D:$D,DashboardData!$A:$A,IF(Dashboard!$B$5="All","*",Dashboard!$B$5),DashboardData!$B:$B,A48),NA())</f>
        <v>#N/A</v>
      </c>
      <c r="C48" s="7" t="e">
        <f>IF(AND(A48&gt;=Dashboard!$F$5,A48&lt;=Dashboard!$J$5,A48&lt;&gt;""),-SUMIFS(DashboardData!$E:$E,DashboardData!$A:$A,IF(Dashboard!$B$5="All","*",Dashboard!$B$5),DashboardData!$B:$B,A48),NA())</f>
        <v>#N/A</v>
      </c>
    </row>
    <row r="49" spans="1:3" x14ac:dyDescent="0.25">
      <c r="A49" t="str">
        <f>IF(Monthly!A49="","",Monthly!A49)</f>
        <v/>
      </c>
      <c r="B49" s="7" t="e">
        <f>IF(AND(A49&gt;=Dashboard!$F$5,A49&lt;=Dashboard!$J$5,A49&lt;&gt;""),SUMIFS(DashboardData!$D:$D,DashboardData!$A:$A,IF(Dashboard!$B$5="All","*",Dashboard!$B$5),DashboardData!$B:$B,A49),NA())</f>
        <v>#N/A</v>
      </c>
      <c r="C49" s="7" t="e">
        <f>IF(AND(A49&gt;=Dashboard!$F$5,A49&lt;=Dashboard!$J$5,A49&lt;&gt;""),-SUMIFS(DashboardData!$E:$E,DashboardData!$A:$A,IF(Dashboard!$B$5="All","*",Dashboard!$B$5),DashboardData!$B:$B,A49),NA())</f>
        <v>#N/A</v>
      </c>
    </row>
    <row r="50" spans="1:3" x14ac:dyDescent="0.25">
      <c r="A50" t="str">
        <f>IF(Monthly!A50="","",Monthly!A50)</f>
        <v/>
      </c>
      <c r="B50" s="7" t="e">
        <f>IF(AND(A50&gt;=Dashboard!$F$5,A50&lt;=Dashboard!$J$5,A50&lt;&gt;""),SUMIFS(DashboardData!$D:$D,DashboardData!$A:$A,IF(Dashboard!$B$5="All","*",Dashboard!$B$5),DashboardData!$B:$B,A50),NA())</f>
        <v>#N/A</v>
      </c>
      <c r="C50" s="7" t="e">
        <f>IF(AND(A50&gt;=Dashboard!$F$5,A50&lt;=Dashboard!$J$5,A50&lt;&gt;""),-SUMIFS(DashboardData!$E:$E,DashboardData!$A:$A,IF(Dashboard!$B$5="All","*",Dashboard!$B$5),DashboardData!$B:$B,A50),NA())</f>
        <v>#N/A</v>
      </c>
    </row>
    <row r="51" spans="1:3" x14ac:dyDescent="0.25">
      <c r="A51" t="str">
        <f>IF(Monthly!A51="","",Monthly!A51)</f>
        <v/>
      </c>
      <c r="B51" s="7" t="e">
        <f>IF(AND(A51&gt;=Dashboard!$F$5,A51&lt;=Dashboard!$J$5,A51&lt;&gt;""),SUMIFS(DashboardData!$D:$D,DashboardData!$A:$A,IF(Dashboard!$B$5="All","*",Dashboard!$B$5),DashboardData!$B:$B,A51),NA())</f>
        <v>#N/A</v>
      </c>
      <c r="C51" s="7" t="e">
        <f>IF(AND(A51&gt;=Dashboard!$F$5,A51&lt;=Dashboard!$J$5,A51&lt;&gt;""),-SUMIFS(DashboardData!$E:$E,DashboardData!$A:$A,IF(Dashboard!$B$5="All","*",Dashboard!$B$5),DashboardData!$B:$B,A51),NA())</f>
        <v>#N/A</v>
      </c>
    </row>
    <row r="52" spans="1:3" x14ac:dyDescent="0.25">
      <c r="A52" t="str">
        <f>IF(Monthly!A52="","",Monthly!A52)</f>
        <v/>
      </c>
      <c r="B52" s="7" t="e">
        <f>IF(AND(A52&gt;=Dashboard!$F$5,A52&lt;=Dashboard!$J$5,A52&lt;&gt;""),SUMIFS(DashboardData!$D:$D,DashboardData!$A:$A,IF(Dashboard!$B$5="All","*",Dashboard!$B$5),DashboardData!$B:$B,A52),NA())</f>
        <v>#N/A</v>
      </c>
      <c r="C52" s="7" t="e">
        <f>IF(AND(A52&gt;=Dashboard!$F$5,A52&lt;=Dashboard!$J$5,A52&lt;&gt;""),-SUMIFS(DashboardData!$E:$E,DashboardData!$A:$A,IF(Dashboard!$B$5="All","*",Dashboard!$B$5),DashboardData!$B:$B,A52),NA())</f>
        <v>#N/A</v>
      </c>
    </row>
    <row r="53" spans="1:3" x14ac:dyDescent="0.25">
      <c r="A53" t="str">
        <f>IF(Monthly!A53="","",Monthly!A53)</f>
        <v/>
      </c>
      <c r="B53" s="7" t="e">
        <f>IF(AND(A53&gt;=Dashboard!$F$5,A53&lt;=Dashboard!$J$5,A53&lt;&gt;""),SUMIFS(DashboardData!$D:$D,DashboardData!$A:$A,IF(Dashboard!$B$5="All","*",Dashboard!$B$5),DashboardData!$B:$B,A53),NA())</f>
        <v>#N/A</v>
      </c>
      <c r="C53" s="7" t="e">
        <f>IF(AND(A53&gt;=Dashboard!$F$5,A53&lt;=Dashboard!$J$5,A53&lt;&gt;""),-SUMIFS(DashboardData!$E:$E,DashboardData!$A:$A,IF(Dashboard!$B$5="All","*",Dashboard!$B$5),DashboardData!$B:$B,A53),NA())</f>
        <v>#N/A</v>
      </c>
    </row>
    <row r="54" spans="1:3" x14ac:dyDescent="0.25">
      <c r="A54" t="str">
        <f>IF(Monthly!A54="","",Monthly!A54)</f>
        <v/>
      </c>
      <c r="B54" s="7" t="e">
        <f>IF(AND(A54&gt;=Dashboard!$F$5,A54&lt;=Dashboard!$J$5,A54&lt;&gt;""),SUMIFS(DashboardData!$D:$D,DashboardData!$A:$A,IF(Dashboard!$B$5="All","*",Dashboard!$B$5),DashboardData!$B:$B,A54),NA())</f>
        <v>#N/A</v>
      </c>
      <c r="C54" s="7" t="e">
        <f>IF(AND(A54&gt;=Dashboard!$F$5,A54&lt;=Dashboard!$J$5,A54&lt;&gt;""),-SUMIFS(DashboardData!$E:$E,DashboardData!$A:$A,IF(Dashboard!$B$5="All","*",Dashboard!$B$5),DashboardData!$B:$B,A54),NA())</f>
        <v>#N/A</v>
      </c>
    </row>
    <row r="55" spans="1:3" x14ac:dyDescent="0.25">
      <c r="A55" t="str">
        <f>IF(Monthly!A55="","",Monthly!A55)</f>
        <v/>
      </c>
      <c r="B55" s="7" t="e">
        <f>IF(AND(A55&gt;=Dashboard!$F$5,A55&lt;=Dashboard!$J$5,A55&lt;&gt;""),SUMIFS(DashboardData!$D:$D,DashboardData!$A:$A,IF(Dashboard!$B$5="All","*",Dashboard!$B$5),DashboardData!$B:$B,A55),NA())</f>
        <v>#N/A</v>
      </c>
      <c r="C55" s="7" t="e">
        <f>IF(AND(A55&gt;=Dashboard!$F$5,A55&lt;=Dashboard!$J$5,A55&lt;&gt;""),-SUMIFS(DashboardData!$E:$E,DashboardData!$A:$A,IF(Dashboard!$B$5="All","*",Dashboard!$B$5),DashboardData!$B:$B,A55),NA())</f>
        <v>#N/A</v>
      </c>
    </row>
    <row r="56" spans="1:3" x14ac:dyDescent="0.25">
      <c r="A56" t="str">
        <f>IF(Monthly!A56="","",Monthly!A56)</f>
        <v/>
      </c>
      <c r="B56" s="7" t="e">
        <f>IF(AND(A56&gt;=Dashboard!$F$5,A56&lt;=Dashboard!$J$5,A56&lt;&gt;""),SUMIFS(DashboardData!$D:$D,DashboardData!$A:$A,IF(Dashboard!$B$5="All","*",Dashboard!$B$5),DashboardData!$B:$B,A56),NA())</f>
        <v>#N/A</v>
      </c>
      <c r="C56" s="7" t="e">
        <f>IF(AND(A56&gt;=Dashboard!$F$5,A56&lt;=Dashboard!$J$5,A56&lt;&gt;""),-SUMIFS(DashboardData!$E:$E,DashboardData!$A:$A,IF(Dashboard!$B$5="All","*",Dashboard!$B$5),DashboardData!$B:$B,A56),NA())</f>
        <v>#N/A</v>
      </c>
    </row>
    <row r="57" spans="1:3" x14ac:dyDescent="0.25">
      <c r="A57" t="str">
        <f>IF(Monthly!A57="","",Monthly!A57)</f>
        <v/>
      </c>
      <c r="B57" s="7" t="e">
        <f>IF(AND(A57&gt;=Dashboard!$F$5,A57&lt;=Dashboard!$J$5,A57&lt;&gt;""),SUMIFS(DashboardData!$D:$D,DashboardData!$A:$A,IF(Dashboard!$B$5="All","*",Dashboard!$B$5),DashboardData!$B:$B,A57),NA())</f>
        <v>#N/A</v>
      </c>
      <c r="C57" s="7" t="e">
        <f>IF(AND(A57&gt;=Dashboard!$F$5,A57&lt;=Dashboard!$J$5,A57&lt;&gt;""),-SUMIFS(DashboardData!$E:$E,DashboardData!$A:$A,IF(Dashboard!$B$5="All","*",Dashboard!$B$5),DashboardData!$B:$B,A57),NA())</f>
        <v>#N/A</v>
      </c>
    </row>
    <row r="58" spans="1:3" x14ac:dyDescent="0.25">
      <c r="A58" t="str">
        <f>IF(Monthly!A58="","",Monthly!A58)</f>
        <v/>
      </c>
      <c r="B58" s="7" t="e">
        <f>IF(AND(A58&gt;=Dashboard!$F$5,A58&lt;=Dashboard!$J$5,A58&lt;&gt;""),SUMIFS(DashboardData!$D:$D,DashboardData!$A:$A,IF(Dashboard!$B$5="All","*",Dashboard!$B$5),DashboardData!$B:$B,A58),NA())</f>
        <v>#N/A</v>
      </c>
      <c r="C58" s="7" t="e">
        <f>IF(AND(A58&gt;=Dashboard!$F$5,A58&lt;=Dashboard!$J$5,A58&lt;&gt;""),-SUMIFS(DashboardData!$E:$E,DashboardData!$A:$A,IF(Dashboard!$B$5="All","*",Dashboard!$B$5),DashboardData!$B:$B,A58),NA())</f>
        <v>#N/A</v>
      </c>
    </row>
    <row r="59" spans="1:3" x14ac:dyDescent="0.25">
      <c r="A59" t="str">
        <f>IF(Monthly!A59="","",Monthly!A59)</f>
        <v/>
      </c>
      <c r="B59" s="7" t="e">
        <f>IF(AND(A59&gt;=Dashboard!$F$5,A59&lt;=Dashboard!$J$5,A59&lt;&gt;""),SUMIFS(DashboardData!$D:$D,DashboardData!$A:$A,IF(Dashboard!$B$5="All","*",Dashboard!$B$5),DashboardData!$B:$B,A59),NA())</f>
        <v>#N/A</v>
      </c>
      <c r="C59" s="7" t="e">
        <f>IF(AND(A59&gt;=Dashboard!$F$5,A59&lt;=Dashboard!$J$5,A59&lt;&gt;""),-SUMIFS(DashboardData!$E:$E,DashboardData!$A:$A,IF(Dashboard!$B$5="All","*",Dashboard!$B$5),DashboardData!$B:$B,A59),NA())</f>
        <v>#N/A</v>
      </c>
    </row>
    <row r="60" spans="1:3" x14ac:dyDescent="0.25">
      <c r="A60" t="str">
        <f>IF(Monthly!A60="","",Monthly!A60)</f>
        <v/>
      </c>
      <c r="B60" s="7" t="e">
        <f>IF(AND(A60&gt;=Dashboard!$F$5,A60&lt;=Dashboard!$J$5,A60&lt;&gt;""),SUMIFS(DashboardData!$D:$D,DashboardData!$A:$A,IF(Dashboard!$B$5="All","*",Dashboard!$B$5),DashboardData!$B:$B,A60),NA())</f>
        <v>#N/A</v>
      </c>
      <c r="C60" s="7" t="e">
        <f>IF(AND(A60&gt;=Dashboard!$F$5,A60&lt;=Dashboard!$J$5,A60&lt;&gt;""),-SUMIFS(DashboardData!$E:$E,DashboardData!$A:$A,IF(Dashboard!$B$5="All","*",Dashboard!$B$5),DashboardData!$B:$B,A60),NA())</f>
        <v>#N/A</v>
      </c>
    </row>
    <row r="61" spans="1:3" x14ac:dyDescent="0.25">
      <c r="A61" t="str">
        <f>IF(Monthly!A61="","",Monthly!A61)</f>
        <v/>
      </c>
      <c r="B61" s="7" t="e">
        <f>IF(AND(A61&gt;=Dashboard!$F$5,A61&lt;=Dashboard!$J$5,A61&lt;&gt;""),SUMIFS(DashboardData!$D:$D,DashboardData!$A:$A,IF(Dashboard!$B$5="All","*",Dashboard!$B$5),DashboardData!$B:$B,A61),NA())</f>
        <v>#N/A</v>
      </c>
      <c r="C61" s="7" t="e">
        <f>IF(AND(A61&gt;=Dashboard!$F$5,A61&lt;=Dashboard!$J$5,A61&lt;&gt;""),-SUMIFS(DashboardData!$E:$E,DashboardData!$A:$A,IF(Dashboard!$B$5="All","*",Dashboard!$B$5),DashboardData!$B:$B,A61),NA())</f>
        <v>#N/A</v>
      </c>
    </row>
    <row r="62" spans="1:3" x14ac:dyDescent="0.25">
      <c r="A62" t="str">
        <f>IF(Monthly!A62="","",Monthly!A62)</f>
        <v/>
      </c>
      <c r="B62" s="7" t="e">
        <f>IF(AND(A62&gt;=Dashboard!$F$5,A62&lt;=Dashboard!$J$5,A62&lt;&gt;""),SUMIFS(DashboardData!$D:$D,DashboardData!$A:$A,IF(Dashboard!$B$5="All","*",Dashboard!$B$5),DashboardData!$B:$B,A62),NA())</f>
        <v>#N/A</v>
      </c>
      <c r="C62" s="7" t="e">
        <f>IF(AND(A62&gt;=Dashboard!$F$5,A62&lt;=Dashboard!$J$5,A62&lt;&gt;""),-SUMIFS(DashboardData!$E:$E,DashboardData!$A:$A,IF(Dashboard!$B$5="All","*",Dashboard!$B$5),DashboardData!$B:$B,A62),NA())</f>
        <v>#N/A</v>
      </c>
    </row>
    <row r="63" spans="1:3" x14ac:dyDescent="0.25">
      <c r="A63" t="str">
        <f>IF(Monthly!A63="","",Monthly!A63)</f>
        <v/>
      </c>
      <c r="B63" s="7" t="e">
        <f>IF(AND(A63&gt;=Dashboard!$F$5,A63&lt;=Dashboard!$J$5,A63&lt;&gt;""),SUMIFS(DashboardData!$D:$D,DashboardData!$A:$A,IF(Dashboard!$B$5="All","*",Dashboard!$B$5),DashboardData!$B:$B,A63),NA())</f>
        <v>#N/A</v>
      </c>
      <c r="C63" s="7" t="e">
        <f>IF(AND(A63&gt;=Dashboard!$F$5,A63&lt;=Dashboard!$J$5,A63&lt;&gt;""),-SUMIFS(DashboardData!$E:$E,DashboardData!$A:$A,IF(Dashboard!$B$5="All","*",Dashboard!$B$5),DashboardData!$B:$B,A63),NA())</f>
        <v>#N/A</v>
      </c>
    </row>
    <row r="64" spans="1:3" x14ac:dyDescent="0.25">
      <c r="A64" t="str">
        <f>IF(Monthly!A64="","",Monthly!A64)</f>
        <v/>
      </c>
      <c r="B64" s="7" t="e">
        <f>IF(AND(A64&gt;=Dashboard!$F$5,A64&lt;=Dashboard!$J$5,A64&lt;&gt;""),SUMIFS(DashboardData!$D:$D,DashboardData!$A:$A,IF(Dashboard!$B$5="All","*",Dashboard!$B$5),DashboardData!$B:$B,A64),NA())</f>
        <v>#N/A</v>
      </c>
      <c r="C64" s="7" t="e">
        <f>IF(AND(A64&gt;=Dashboard!$F$5,A64&lt;=Dashboard!$J$5,A64&lt;&gt;""),-SUMIFS(DashboardData!$E:$E,DashboardData!$A:$A,IF(Dashboard!$B$5="All","*",Dashboard!$B$5),DashboardData!$B:$B,A64),NA())</f>
        <v>#N/A</v>
      </c>
    </row>
    <row r="65" spans="1:3" x14ac:dyDescent="0.25">
      <c r="A65" t="str">
        <f>IF(Monthly!A65="","",Monthly!A65)</f>
        <v/>
      </c>
      <c r="B65" s="7" t="e">
        <f>IF(AND(A65&gt;=Dashboard!$F$5,A65&lt;=Dashboard!$J$5,A65&lt;&gt;""),SUMIFS(DashboardData!$D:$D,DashboardData!$A:$A,IF(Dashboard!$B$5="All","*",Dashboard!$B$5),DashboardData!$B:$B,A65),NA())</f>
        <v>#N/A</v>
      </c>
      <c r="C65" s="7" t="e">
        <f>IF(AND(A65&gt;=Dashboard!$F$5,A65&lt;=Dashboard!$J$5,A65&lt;&gt;""),-SUMIFS(DashboardData!$E:$E,DashboardData!$A:$A,IF(Dashboard!$B$5="All","*",Dashboard!$B$5),DashboardData!$B:$B,A65),NA())</f>
        <v>#N/A</v>
      </c>
    </row>
    <row r="66" spans="1:3" x14ac:dyDescent="0.25">
      <c r="A66" t="str">
        <f>IF(Monthly!A66="","",Monthly!A66)</f>
        <v/>
      </c>
      <c r="B66" s="7" t="e">
        <f>IF(AND(A66&gt;=Dashboard!$F$5,A66&lt;=Dashboard!$J$5,A66&lt;&gt;""),SUMIFS(DashboardData!$D:$D,DashboardData!$A:$A,IF(Dashboard!$B$5="All","*",Dashboard!$B$5),DashboardData!$B:$B,A66),NA())</f>
        <v>#N/A</v>
      </c>
      <c r="C66" s="7" t="e">
        <f>IF(AND(A66&gt;=Dashboard!$F$5,A66&lt;=Dashboard!$J$5,A66&lt;&gt;""),-SUMIFS(DashboardData!$E:$E,DashboardData!$A:$A,IF(Dashboard!$B$5="All","*",Dashboard!$B$5),DashboardData!$B:$B,A66),NA())</f>
        <v>#N/A</v>
      </c>
    </row>
    <row r="67" spans="1:3" x14ac:dyDescent="0.25">
      <c r="A67" t="str">
        <f>IF(Monthly!A67="","",Monthly!A67)</f>
        <v/>
      </c>
      <c r="B67" s="7" t="e">
        <f>IF(AND(A67&gt;=Dashboard!$F$5,A67&lt;=Dashboard!$J$5,A67&lt;&gt;""),SUMIFS(DashboardData!$D:$D,DashboardData!$A:$A,IF(Dashboard!$B$5="All","*",Dashboard!$B$5),DashboardData!$B:$B,A67),NA())</f>
        <v>#N/A</v>
      </c>
      <c r="C67" s="7" t="e">
        <f>IF(AND(A67&gt;=Dashboard!$F$5,A67&lt;=Dashboard!$J$5,A67&lt;&gt;""),-SUMIFS(DashboardData!$E:$E,DashboardData!$A:$A,IF(Dashboard!$B$5="All","*",Dashboard!$B$5),DashboardData!$B:$B,A67),NA())</f>
        <v>#N/A</v>
      </c>
    </row>
    <row r="68" spans="1:3" x14ac:dyDescent="0.25">
      <c r="A68" t="str">
        <f>IF(Monthly!A68="","",Monthly!A68)</f>
        <v/>
      </c>
      <c r="B68" s="7" t="e">
        <f>IF(AND(A68&gt;=Dashboard!$F$5,A68&lt;=Dashboard!$J$5,A68&lt;&gt;""),SUMIFS(DashboardData!$D:$D,DashboardData!$A:$A,IF(Dashboard!$B$5="All","*",Dashboard!$B$5),DashboardData!$B:$B,A68),NA())</f>
        <v>#N/A</v>
      </c>
      <c r="C68" s="7" t="e">
        <f>IF(AND(A68&gt;=Dashboard!$F$5,A68&lt;=Dashboard!$J$5,A68&lt;&gt;""),-SUMIFS(DashboardData!$E:$E,DashboardData!$A:$A,IF(Dashboard!$B$5="All","*",Dashboard!$B$5),DashboardData!$B:$B,A68),NA())</f>
        <v>#N/A</v>
      </c>
    </row>
    <row r="69" spans="1:3" x14ac:dyDescent="0.25">
      <c r="A69" t="str">
        <f>IF(Monthly!A69="","",Monthly!A69)</f>
        <v/>
      </c>
      <c r="B69" s="7" t="e">
        <f>IF(AND(A69&gt;=Dashboard!$F$5,A69&lt;=Dashboard!$J$5,A69&lt;&gt;""),SUMIFS(DashboardData!$D:$D,DashboardData!$A:$A,IF(Dashboard!$B$5="All","*",Dashboard!$B$5),DashboardData!$B:$B,A69),NA())</f>
        <v>#N/A</v>
      </c>
      <c r="C69" s="7" t="e">
        <f>IF(AND(A69&gt;=Dashboard!$F$5,A69&lt;=Dashboard!$J$5,A69&lt;&gt;""),-SUMIFS(DashboardData!$E:$E,DashboardData!$A:$A,IF(Dashboard!$B$5="All","*",Dashboard!$B$5),DashboardData!$B:$B,A69),NA())</f>
        <v>#N/A</v>
      </c>
    </row>
    <row r="70" spans="1:3" x14ac:dyDescent="0.25">
      <c r="A70" t="str">
        <f>IF(Monthly!A70="","",Monthly!A70)</f>
        <v/>
      </c>
      <c r="B70" s="7" t="e">
        <f>IF(AND(A70&gt;=Dashboard!$F$5,A70&lt;=Dashboard!$J$5,A70&lt;&gt;""),SUMIFS(DashboardData!$D:$D,DashboardData!$A:$A,IF(Dashboard!$B$5="All","*",Dashboard!$B$5),DashboardData!$B:$B,A70),NA())</f>
        <v>#N/A</v>
      </c>
      <c r="C70" s="7" t="e">
        <f>IF(AND(A70&gt;=Dashboard!$F$5,A70&lt;=Dashboard!$J$5,A70&lt;&gt;""),-SUMIFS(DashboardData!$E:$E,DashboardData!$A:$A,IF(Dashboard!$B$5="All","*",Dashboard!$B$5),DashboardData!$B:$B,A70),NA())</f>
        <v>#N/A</v>
      </c>
    </row>
    <row r="71" spans="1:3" x14ac:dyDescent="0.25">
      <c r="A71" t="str">
        <f>IF(Monthly!A71="","",Monthly!A71)</f>
        <v/>
      </c>
      <c r="B71" s="7" t="e">
        <f>IF(AND(A71&gt;=Dashboard!$F$5,A71&lt;=Dashboard!$J$5,A71&lt;&gt;""),SUMIFS(DashboardData!$D:$D,DashboardData!$A:$A,IF(Dashboard!$B$5="All","*",Dashboard!$B$5),DashboardData!$B:$B,A71),NA())</f>
        <v>#N/A</v>
      </c>
      <c r="C71" s="7" t="e">
        <f>IF(AND(A71&gt;=Dashboard!$F$5,A71&lt;=Dashboard!$J$5,A71&lt;&gt;""),-SUMIFS(DashboardData!$E:$E,DashboardData!$A:$A,IF(Dashboard!$B$5="All","*",Dashboard!$B$5),DashboardData!$B:$B,A71),NA())</f>
        <v>#N/A</v>
      </c>
    </row>
    <row r="72" spans="1:3" x14ac:dyDescent="0.25">
      <c r="A72" t="str">
        <f>IF(Monthly!A72="","",Monthly!A72)</f>
        <v/>
      </c>
      <c r="B72" s="7" t="e">
        <f>IF(AND(A72&gt;=Dashboard!$F$5,A72&lt;=Dashboard!$J$5,A72&lt;&gt;""),SUMIFS(DashboardData!$D:$D,DashboardData!$A:$A,IF(Dashboard!$B$5="All","*",Dashboard!$B$5),DashboardData!$B:$B,A72),NA())</f>
        <v>#N/A</v>
      </c>
      <c r="C72" s="7" t="e">
        <f>IF(AND(A72&gt;=Dashboard!$F$5,A72&lt;=Dashboard!$J$5,A72&lt;&gt;""),-SUMIFS(DashboardData!$E:$E,DashboardData!$A:$A,IF(Dashboard!$B$5="All","*",Dashboard!$B$5),DashboardData!$B:$B,A72),NA())</f>
        <v>#N/A</v>
      </c>
    </row>
    <row r="73" spans="1:3" x14ac:dyDescent="0.25">
      <c r="A73" t="str">
        <f>IF(Monthly!A73="","",Monthly!A73)</f>
        <v/>
      </c>
      <c r="B73" s="7" t="e">
        <f>IF(AND(A73&gt;=Dashboard!$F$5,A73&lt;=Dashboard!$J$5,A73&lt;&gt;""),SUMIFS(DashboardData!$D:$D,DashboardData!$A:$A,IF(Dashboard!$B$5="All","*",Dashboard!$B$5),DashboardData!$B:$B,A73),NA())</f>
        <v>#N/A</v>
      </c>
      <c r="C73" s="7" t="e">
        <f>IF(AND(A73&gt;=Dashboard!$F$5,A73&lt;=Dashboard!$J$5,A73&lt;&gt;""),-SUMIFS(DashboardData!$E:$E,DashboardData!$A:$A,IF(Dashboard!$B$5="All","*",Dashboard!$B$5),DashboardData!$B:$B,A73),NA())</f>
        <v>#N/A</v>
      </c>
    </row>
    <row r="74" spans="1:3" x14ac:dyDescent="0.25">
      <c r="A74" t="str">
        <f>IF(Monthly!A74="","",Monthly!A74)</f>
        <v/>
      </c>
      <c r="B74" s="7" t="e">
        <f>IF(AND(A74&gt;=Dashboard!$F$5,A74&lt;=Dashboard!$J$5,A74&lt;&gt;""),SUMIFS(DashboardData!$D:$D,DashboardData!$A:$A,IF(Dashboard!$B$5="All","*",Dashboard!$B$5),DashboardData!$B:$B,A74),NA())</f>
        <v>#N/A</v>
      </c>
      <c r="C74" s="7" t="e">
        <f>IF(AND(A74&gt;=Dashboard!$F$5,A74&lt;=Dashboard!$J$5,A74&lt;&gt;""),-SUMIFS(DashboardData!$E:$E,DashboardData!$A:$A,IF(Dashboard!$B$5="All","*",Dashboard!$B$5),DashboardData!$B:$B,A74),NA())</f>
        <v>#N/A</v>
      </c>
    </row>
    <row r="75" spans="1:3" x14ac:dyDescent="0.25">
      <c r="A75" t="str">
        <f>IF(Monthly!A75="","",Monthly!A75)</f>
        <v/>
      </c>
      <c r="B75" s="7" t="e">
        <f>IF(AND(A75&gt;=Dashboard!$F$5,A75&lt;=Dashboard!$J$5,A75&lt;&gt;""),SUMIFS(DashboardData!$D:$D,DashboardData!$A:$A,IF(Dashboard!$B$5="All","*",Dashboard!$B$5),DashboardData!$B:$B,A75),NA())</f>
        <v>#N/A</v>
      </c>
      <c r="C75" s="7" t="e">
        <f>IF(AND(A75&gt;=Dashboard!$F$5,A75&lt;=Dashboard!$J$5,A75&lt;&gt;""),-SUMIFS(DashboardData!$E:$E,DashboardData!$A:$A,IF(Dashboard!$B$5="All","*",Dashboard!$B$5),DashboardData!$B:$B,A75),NA())</f>
        <v>#N/A</v>
      </c>
    </row>
    <row r="76" spans="1:3" x14ac:dyDescent="0.25">
      <c r="A76" t="str">
        <f>IF(Monthly!A76="","",Monthly!A76)</f>
        <v/>
      </c>
      <c r="B76" s="7" t="e">
        <f>IF(AND(A76&gt;=Dashboard!$F$5,A76&lt;=Dashboard!$J$5,A76&lt;&gt;""),SUMIFS(DashboardData!$D:$D,DashboardData!$A:$A,IF(Dashboard!$B$5="All","*",Dashboard!$B$5),DashboardData!$B:$B,A76),NA())</f>
        <v>#N/A</v>
      </c>
      <c r="C76" s="7" t="e">
        <f>IF(AND(A76&gt;=Dashboard!$F$5,A76&lt;=Dashboard!$J$5,A76&lt;&gt;""),-SUMIFS(DashboardData!$E:$E,DashboardData!$A:$A,IF(Dashboard!$B$5="All","*",Dashboard!$B$5),DashboardData!$B:$B,A76),NA())</f>
        <v>#N/A</v>
      </c>
    </row>
    <row r="77" spans="1:3" x14ac:dyDescent="0.25">
      <c r="A77" t="str">
        <f>IF(Monthly!A77="","",Monthly!A77)</f>
        <v/>
      </c>
      <c r="B77" s="7" t="e">
        <f>IF(AND(A77&gt;=Dashboard!$F$5,A77&lt;=Dashboard!$J$5,A77&lt;&gt;""),SUMIFS(DashboardData!$D:$D,DashboardData!$A:$A,IF(Dashboard!$B$5="All","*",Dashboard!$B$5),DashboardData!$B:$B,A77),NA())</f>
        <v>#N/A</v>
      </c>
      <c r="C77" s="7" t="e">
        <f>IF(AND(A77&gt;=Dashboard!$F$5,A77&lt;=Dashboard!$J$5,A77&lt;&gt;""),-SUMIFS(DashboardData!$E:$E,DashboardData!$A:$A,IF(Dashboard!$B$5="All","*",Dashboard!$B$5),DashboardData!$B:$B,A77),NA())</f>
        <v>#N/A</v>
      </c>
    </row>
    <row r="78" spans="1:3" x14ac:dyDescent="0.25">
      <c r="A78" t="str">
        <f>IF(Monthly!A78="","",Monthly!A78)</f>
        <v/>
      </c>
      <c r="B78" s="7" t="e">
        <f>IF(AND(A78&gt;=Dashboard!$F$5,A78&lt;=Dashboard!$J$5,A78&lt;&gt;""),SUMIFS(DashboardData!$D:$D,DashboardData!$A:$A,IF(Dashboard!$B$5="All","*",Dashboard!$B$5),DashboardData!$B:$B,A78),NA())</f>
        <v>#N/A</v>
      </c>
      <c r="C78" s="7" t="e">
        <f>IF(AND(A78&gt;=Dashboard!$F$5,A78&lt;=Dashboard!$J$5,A78&lt;&gt;""),-SUMIFS(DashboardData!$E:$E,DashboardData!$A:$A,IF(Dashboard!$B$5="All","*",Dashboard!$B$5),DashboardData!$B:$B,A78),NA())</f>
        <v>#N/A</v>
      </c>
    </row>
    <row r="79" spans="1:3" x14ac:dyDescent="0.25">
      <c r="A79" t="str">
        <f>IF(Monthly!A79="","",Monthly!A79)</f>
        <v/>
      </c>
      <c r="B79" s="7" t="e">
        <f>IF(AND(A79&gt;=Dashboard!$F$5,A79&lt;=Dashboard!$J$5,A79&lt;&gt;""),SUMIFS(DashboardData!$D:$D,DashboardData!$A:$A,IF(Dashboard!$B$5="All","*",Dashboard!$B$5),DashboardData!$B:$B,A79),NA())</f>
        <v>#N/A</v>
      </c>
      <c r="C79" s="7" t="e">
        <f>IF(AND(A79&gt;=Dashboard!$F$5,A79&lt;=Dashboard!$J$5,A79&lt;&gt;""),-SUMIFS(DashboardData!$E:$E,DashboardData!$A:$A,IF(Dashboard!$B$5="All","*",Dashboard!$B$5),DashboardData!$B:$B,A79),NA())</f>
        <v>#N/A</v>
      </c>
    </row>
    <row r="80" spans="1:3" x14ac:dyDescent="0.25">
      <c r="A80" t="str">
        <f>IF(Monthly!A80="","",Monthly!A80)</f>
        <v/>
      </c>
      <c r="B80" s="7" t="e">
        <f>IF(AND(A80&gt;=Dashboard!$F$5,A80&lt;=Dashboard!$J$5,A80&lt;&gt;""),SUMIFS(DashboardData!$D:$D,DashboardData!$A:$A,IF(Dashboard!$B$5="All","*",Dashboard!$B$5),DashboardData!$B:$B,A80),NA())</f>
        <v>#N/A</v>
      </c>
      <c r="C80" s="7" t="e">
        <f>IF(AND(A80&gt;=Dashboard!$F$5,A80&lt;=Dashboard!$J$5,A80&lt;&gt;""),-SUMIFS(DashboardData!$E:$E,DashboardData!$A:$A,IF(Dashboard!$B$5="All","*",Dashboard!$B$5),DashboardData!$B:$B,A80),NA())</f>
        <v>#N/A</v>
      </c>
    </row>
    <row r="81" spans="1:3" x14ac:dyDescent="0.25">
      <c r="A81" t="str">
        <f>IF(Monthly!A81="","",Monthly!A81)</f>
        <v/>
      </c>
      <c r="B81" s="7" t="e">
        <f>IF(AND(A81&gt;=Dashboard!$F$5,A81&lt;=Dashboard!$J$5,A81&lt;&gt;""),SUMIFS(DashboardData!$D:$D,DashboardData!$A:$A,IF(Dashboard!$B$5="All","*",Dashboard!$B$5),DashboardData!$B:$B,A81),NA())</f>
        <v>#N/A</v>
      </c>
      <c r="C81" s="7" t="e">
        <f>IF(AND(A81&gt;=Dashboard!$F$5,A81&lt;=Dashboard!$J$5,A81&lt;&gt;""),-SUMIFS(DashboardData!$E:$E,DashboardData!$A:$A,IF(Dashboard!$B$5="All","*",Dashboard!$B$5),DashboardData!$B:$B,A81),NA())</f>
        <v>#N/A</v>
      </c>
    </row>
    <row r="82" spans="1:3" x14ac:dyDescent="0.25">
      <c r="A82" t="str">
        <f>IF(Monthly!A82="","",Monthly!A82)</f>
        <v/>
      </c>
      <c r="B82" s="7" t="e">
        <f>IF(AND(A82&gt;=Dashboard!$F$5,A82&lt;=Dashboard!$J$5,A82&lt;&gt;""),SUMIFS(DashboardData!$D:$D,DashboardData!$A:$A,IF(Dashboard!$B$5="All","*",Dashboard!$B$5),DashboardData!$B:$B,A82),NA())</f>
        <v>#N/A</v>
      </c>
      <c r="C82" s="7" t="e">
        <f>IF(AND(A82&gt;=Dashboard!$F$5,A82&lt;=Dashboard!$J$5,A82&lt;&gt;""),-SUMIFS(DashboardData!$E:$E,DashboardData!$A:$A,IF(Dashboard!$B$5="All","*",Dashboard!$B$5),DashboardData!$B:$B,A82),NA())</f>
        <v>#N/A</v>
      </c>
    </row>
    <row r="83" spans="1:3" x14ac:dyDescent="0.25">
      <c r="A83" t="str">
        <f>IF(Monthly!A83="","",Monthly!A83)</f>
        <v/>
      </c>
      <c r="B83" s="7" t="e">
        <f>IF(AND(A83&gt;=Dashboard!$F$5,A83&lt;=Dashboard!$J$5,A83&lt;&gt;""),SUMIFS(DashboardData!$D:$D,DashboardData!$A:$A,IF(Dashboard!$B$5="All","*",Dashboard!$B$5),DashboardData!$B:$B,A83),NA())</f>
        <v>#N/A</v>
      </c>
      <c r="C83" s="7" t="e">
        <f>IF(AND(A83&gt;=Dashboard!$F$5,A83&lt;=Dashboard!$J$5,A83&lt;&gt;""),-SUMIFS(DashboardData!$E:$E,DashboardData!$A:$A,IF(Dashboard!$B$5="All","*",Dashboard!$B$5),DashboardData!$B:$B,A83),NA())</f>
        <v>#N/A</v>
      </c>
    </row>
    <row r="84" spans="1:3" x14ac:dyDescent="0.25">
      <c r="A84" t="str">
        <f>IF(Monthly!A84="","",Monthly!A84)</f>
        <v/>
      </c>
      <c r="B84" s="7" t="e">
        <f>IF(AND(A84&gt;=Dashboard!$F$5,A84&lt;=Dashboard!$J$5,A84&lt;&gt;""),SUMIFS(DashboardData!$D:$D,DashboardData!$A:$A,IF(Dashboard!$B$5="All","*",Dashboard!$B$5),DashboardData!$B:$B,A84),NA())</f>
        <v>#N/A</v>
      </c>
      <c r="C84" s="7" t="e">
        <f>IF(AND(A84&gt;=Dashboard!$F$5,A84&lt;=Dashboard!$J$5,A84&lt;&gt;""),-SUMIFS(DashboardData!$E:$E,DashboardData!$A:$A,IF(Dashboard!$B$5="All","*",Dashboard!$B$5),DashboardData!$B:$B,A84),NA())</f>
        <v>#N/A</v>
      </c>
    </row>
    <row r="85" spans="1:3" x14ac:dyDescent="0.25">
      <c r="A85" t="str">
        <f>IF(Monthly!A85="","",Monthly!A85)</f>
        <v/>
      </c>
      <c r="B85" s="7" t="e">
        <f>IF(AND(A85&gt;=Dashboard!$F$5,A85&lt;=Dashboard!$J$5,A85&lt;&gt;""),SUMIFS(DashboardData!$D:$D,DashboardData!$A:$A,IF(Dashboard!$B$5="All","*",Dashboard!$B$5),DashboardData!$B:$B,A85),NA())</f>
        <v>#N/A</v>
      </c>
      <c r="C85" s="7" t="e">
        <f>IF(AND(A85&gt;=Dashboard!$F$5,A85&lt;=Dashboard!$J$5,A85&lt;&gt;""),-SUMIFS(DashboardData!$E:$E,DashboardData!$A:$A,IF(Dashboard!$B$5="All","*",Dashboard!$B$5),DashboardData!$B:$B,A85),NA())</f>
        <v>#N/A</v>
      </c>
    </row>
    <row r="86" spans="1:3" x14ac:dyDescent="0.25">
      <c r="A86" t="str">
        <f>IF(Monthly!A86="","",Monthly!A86)</f>
        <v/>
      </c>
      <c r="B86" s="7" t="e">
        <f>IF(AND(A86&gt;=Dashboard!$F$5,A86&lt;=Dashboard!$J$5,A86&lt;&gt;""),SUMIFS(DashboardData!$D:$D,DashboardData!$A:$A,IF(Dashboard!$B$5="All","*",Dashboard!$B$5),DashboardData!$B:$B,A86),NA())</f>
        <v>#N/A</v>
      </c>
      <c r="C86" s="7" t="e">
        <f>IF(AND(A86&gt;=Dashboard!$F$5,A86&lt;=Dashboard!$J$5,A86&lt;&gt;""),-SUMIFS(DashboardData!$E:$E,DashboardData!$A:$A,IF(Dashboard!$B$5="All","*",Dashboard!$B$5),DashboardData!$B:$B,A86),NA())</f>
        <v>#N/A</v>
      </c>
    </row>
    <row r="87" spans="1:3" x14ac:dyDescent="0.25">
      <c r="A87" t="str">
        <f>IF(Monthly!A87="","",Monthly!A87)</f>
        <v/>
      </c>
      <c r="B87" s="7" t="e">
        <f>IF(AND(A87&gt;=Dashboard!$F$5,A87&lt;=Dashboard!$J$5,A87&lt;&gt;""),SUMIFS(DashboardData!$D:$D,DashboardData!$A:$A,IF(Dashboard!$B$5="All","*",Dashboard!$B$5),DashboardData!$B:$B,A87),NA())</f>
        <v>#N/A</v>
      </c>
      <c r="C87" s="7" t="e">
        <f>IF(AND(A87&gt;=Dashboard!$F$5,A87&lt;=Dashboard!$J$5,A87&lt;&gt;""),-SUMIFS(DashboardData!$E:$E,DashboardData!$A:$A,IF(Dashboard!$B$5="All","*",Dashboard!$B$5),DashboardData!$B:$B,A87),NA())</f>
        <v>#N/A</v>
      </c>
    </row>
    <row r="88" spans="1:3" x14ac:dyDescent="0.25">
      <c r="A88" t="str">
        <f>IF(Monthly!A88="","",Monthly!A88)</f>
        <v/>
      </c>
      <c r="B88" s="7" t="e">
        <f>IF(AND(A88&gt;=Dashboard!$F$5,A88&lt;=Dashboard!$J$5,A88&lt;&gt;""),SUMIFS(DashboardData!$D:$D,DashboardData!$A:$A,IF(Dashboard!$B$5="All","*",Dashboard!$B$5),DashboardData!$B:$B,A88),NA())</f>
        <v>#N/A</v>
      </c>
      <c r="C88" s="7" t="e">
        <f>IF(AND(A88&gt;=Dashboard!$F$5,A88&lt;=Dashboard!$J$5,A88&lt;&gt;""),-SUMIFS(DashboardData!$E:$E,DashboardData!$A:$A,IF(Dashboard!$B$5="All","*",Dashboard!$B$5),DashboardData!$B:$B,A88),NA())</f>
        <v>#N/A</v>
      </c>
    </row>
    <row r="89" spans="1:3" x14ac:dyDescent="0.25">
      <c r="A89" t="str">
        <f>IF(Monthly!A89="","",Monthly!A89)</f>
        <v/>
      </c>
      <c r="B89" s="7" t="e">
        <f>IF(AND(A89&gt;=Dashboard!$F$5,A89&lt;=Dashboard!$J$5,A89&lt;&gt;""),SUMIFS(DashboardData!$D:$D,DashboardData!$A:$A,IF(Dashboard!$B$5="All","*",Dashboard!$B$5),DashboardData!$B:$B,A89),NA())</f>
        <v>#N/A</v>
      </c>
      <c r="C89" s="7" t="e">
        <f>IF(AND(A89&gt;=Dashboard!$F$5,A89&lt;=Dashboard!$J$5,A89&lt;&gt;""),-SUMIFS(DashboardData!$E:$E,DashboardData!$A:$A,IF(Dashboard!$B$5="All","*",Dashboard!$B$5),DashboardData!$B:$B,A89),NA())</f>
        <v>#N/A</v>
      </c>
    </row>
    <row r="90" spans="1:3" x14ac:dyDescent="0.25">
      <c r="A90" t="str">
        <f>IF(Monthly!A90="","",Monthly!A90)</f>
        <v/>
      </c>
      <c r="B90" s="7" t="e">
        <f>IF(AND(A90&gt;=Dashboard!$F$5,A90&lt;=Dashboard!$J$5,A90&lt;&gt;""),SUMIFS(DashboardData!$D:$D,DashboardData!$A:$A,IF(Dashboard!$B$5="All","*",Dashboard!$B$5),DashboardData!$B:$B,A90),NA())</f>
        <v>#N/A</v>
      </c>
      <c r="C90" s="7" t="e">
        <f>IF(AND(A90&gt;=Dashboard!$F$5,A90&lt;=Dashboard!$J$5,A90&lt;&gt;""),-SUMIFS(DashboardData!$E:$E,DashboardData!$A:$A,IF(Dashboard!$B$5="All","*",Dashboard!$B$5),DashboardData!$B:$B,A90),NA())</f>
        <v>#N/A</v>
      </c>
    </row>
    <row r="91" spans="1:3" x14ac:dyDescent="0.25">
      <c r="A91" t="str">
        <f>IF(Monthly!A91="","",Monthly!A91)</f>
        <v/>
      </c>
      <c r="B91" s="7" t="e">
        <f>IF(AND(A91&gt;=Dashboard!$F$5,A91&lt;=Dashboard!$J$5,A91&lt;&gt;""),SUMIFS(DashboardData!$D:$D,DashboardData!$A:$A,IF(Dashboard!$B$5="All","*",Dashboard!$B$5),DashboardData!$B:$B,A91),NA())</f>
        <v>#N/A</v>
      </c>
      <c r="C91" s="7" t="e">
        <f>IF(AND(A91&gt;=Dashboard!$F$5,A91&lt;=Dashboard!$J$5,A91&lt;&gt;""),-SUMIFS(DashboardData!$E:$E,DashboardData!$A:$A,IF(Dashboard!$B$5="All","*",Dashboard!$B$5),DashboardData!$B:$B,A91),NA())</f>
        <v>#N/A</v>
      </c>
    </row>
    <row r="92" spans="1:3" x14ac:dyDescent="0.25">
      <c r="A92" t="str">
        <f>IF(Monthly!A92="","",Monthly!A92)</f>
        <v/>
      </c>
      <c r="B92" s="7" t="e">
        <f>IF(AND(A92&gt;=Dashboard!$F$5,A92&lt;=Dashboard!$J$5,A92&lt;&gt;""),SUMIFS(DashboardData!$D:$D,DashboardData!$A:$A,IF(Dashboard!$B$5="All","*",Dashboard!$B$5),DashboardData!$B:$B,A92),NA())</f>
        <v>#N/A</v>
      </c>
      <c r="C92" s="7" t="e">
        <f>IF(AND(A92&gt;=Dashboard!$F$5,A92&lt;=Dashboard!$J$5,A92&lt;&gt;""),-SUMIFS(DashboardData!$E:$E,DashboardData!$A:$A,IF(Dashboard!$B$5="All","*",Dashboard!$B$5),DashboardData!$B:$B,A92),NA())</f>
        <v>#N/A</v>
      </c>
    </row>
    <row r="93" spans="1:3" x14ac:dyDescent="0.25">
      <c r="A93" t="str">
        <f>IF(Monthly!A93="","",Monthly!A93)</f>
        <v/>
      </c>
      <c r="B93" s="7" t="e">
        <f>IF(AND(A93&gt;=Dashboard!$F$5,A93&lt;=Dashboard!$J$5,A93&lt;&gt;""),SUMIFS(DashboardData!$D:$D,DashboardData!$A:$A,IF(Dashboard!$B$5="All","*",Dashboard!$B$5),DashboardData!$B:$B,A93),NA())</f>
        <v>#N/A</v>
      </c>
      <c r="C93" s="7" t="e">
        <f>IF(AND(A93&gt;=Dashboard!$F$5,A93&lt;=Dashboard!$J$5,A93&lt;&gt;""),-SUMIFS(DashboardData!$E:$E,DashboardData!$A:$A,IF(Dashboard!$B$5="All","*",Dashboard!$B$5),DashboardData!$B:$B,A93),NA())</f>
        <v>#N/A</v>
      </c>
    </row>
    <row r="94" spans="1:3" x14ac:dyDescent="0.25">
      <c r="A94" t="str">
        <f>IF(Monthly!A94="","",Monthly!A94)</f>
        <v/>
      </c>
      <c r="B94" s="7" t="e">
        <f>IF(AND(A94&gt;=Dashboard!$F$5,A94&lt;=Dashboard!$J$5,A94&lt;&gt;""),SUMIFS(DashboardData!$D:$D,DashboardData!$A:$A,IF(Dashboard!$B$5="All","*",Dashboard!$B$5),DashboardData!$B:$B,A94),NA())</f>
        <v>#N/A</v>
      </c>
      <c r="C94" s="7" t="e">
        <f>IF(AND(A94&gt;=Dashboard!$F$5,A94&lt;=Dashboard!$J$5,A94&lt;&gt;""),-SUMIFS(DashboardData!$E:$E,DashboardData!$A:$A,IF(Dashboard!$B$5="All","*",Dashboard!$B$5),DashboardData!$B:$B,A94),NA())</f>
        <v>#N/A</v>
      </c>
    </row>
    <row r="95" spans="1:3" x14ac:dyDescent="0.25">
      <c r="A95" t="str">
        <f>IF(Monthly!A95="","",Monthly!A95)</f>
        <v/>
      </c>
      <c r="B95" s="7" t="e">
        <f>IF(AND(A95&gt;=Dashboard!$F$5,A95&lt;=Dashboard!$J$5,A95&lt;&gt;""),SUMIFS(DashboardData!$D:$D,DashboardData!$A:$A,IF(Dashboard!$B$5="All","*",Dashboard!$B$5),DashboardData!$B:$B,A95),NA())</f>
        <v>#N/A</v>
      </c>
      <c r="C95" s="7" t="e">
        <f>IF(AND(A95&gt;=Dashboard!$F$5,A95&lt;=Dashboard!$J$5,A95&lt;&gt;""),-SUMIFS(DashboardData!$E:$E,DashboardData!$A:$A,IF(Dashboard!$B$5="All","*",Dashboard!$B$5),DashboardData!$B:$B,A95),NA())</f>
        <v>#N/A</v>
      </c>
    </row>
    <row r="96" spans="1:3" x14ac:dyDescent="0.25">
      <c r="A96" t="str">
        <f>IF(Monthly!A96="","",Monthly!A96)</f>
        <v/>
      </c>
      <c r="B96" s="7" t="e">
        <f>IF(AND(A96&gt;=Dashboard!$F$5,A96&lt;=Dashboard!$J$5,A96&lt;&gt;""),SUMIFS(DashboardData!$D:$D,DashboardData!$A:$A,IF(Dashboard!$B$5="All","*",Dashboard!$B$5),DashboardData!$B:$B,A96),NA())</f>
        <v>#N/A</v>
      </c>
      <c r="C96" s="7" t="e">
        <f>IF(AND(A96&gt;=Dashboard!$F$5,A96&lt;=Dashboard!$J$5,A96&lt;&gt;""),-SUMIFS(DashboardData!$E:$E,DashboardData!$A:$A,IF(Dashboard!$B$5="All","*",Dashboard!$B$5),DashboardData!$B:$B,A96),NA())</f>
        <v>#N/A</v>
      </c>
    </row>
    <row r="97" spans="1:3" x14ac:dyDescent="0.25">
      <c r="A97" t="str">
        <f>IF(Monthly!A97="","",Monthly!A97)</f>
        <v/>
      </c>
      <c r="B97" s="7" t="e">
        <f>IF(AND(A97&gt;=Dashboard!$F$5,A97&lt;=Dashboard!$J$5,A97&lt;&gt;""),SUMIFS(DashboardData!$D:$D,DashboardData!$A:$A,IF(Dashboard!$B$5="All","*",Dashboard!$B$5),DashboardData!$B:$B,A97),NA())</f>
        <v>#N/A</v>
      </c>
      <c r="C97" s="7" t="e">
        <f>IF(AND(A97&gt;=Dashboard!$F$5,A97&lt;=Dashboard!$J$5,A97&lt;&gt;""),-SUMIFS(DashboardData!$E:$E,DashboardData!$A:$A,IF(Dashboard!$B$5="All","*",Dashboard!$B$5),DashboardData!$B:$B,A97),NA())</f>
        <v>#N/A</v>
      </c>
    </row>
    <row r="98" spans="1:3" x14ac:dyDescent="0.25">
      <c r="A98" t="str">
        <f>IF(Monthly!A98="","",Monthly!A98)</f>
        <v/>
      </c>
      <c r="B98" s="7" t="e">
        <f>IF(AND(A98&gt;=Dashboard!$F$5,A98&lt;=Dashboard!$J$5,A98&lt;&gt;""),SUMIFS(DashboardData!$D:$D,DashboardData!$A:$A,IF(Dashboard!$B$5="All","*",Dashboard!$B$5),DashboardData!$B:$B,A98),NA())</f>
        <v>#N/A</v>
      </c>
      <c r="C98" s="7" t="e">
        <f>IF(AND(A98&gt;=Dashboard!$F$5,A98&lt;=Dashboard!$J$5,A98&lt;&gt;""),-SUMIFS(DashboardData!$E:$E,DashboardData!$A:$A,IF(Dashboard!$B$5="All","*",Dashboard!$B$5),DashboardData!$B:$B,A98),NA())</f>
        <v>#N/A</v>
      </c>
    </row>
    <row r="99" spans="1:3" x14ac:dyDescent="0.25">
      <c r="A99" t="str">
        <f>IF(Monthly!A99="","",Monthly!A99)</f>
        <v/>
      </c>
      <c r="B99" s="7" t="e">
        <f>IF(AND(A99&gt;=Dashboard!$F$5,A99&lt;=Dashboard!$J$5,A99&lt;&gt;""),SUMIFS(DashboardData!$D:$D,DashboardData!$A:$A,IF(Dashboard!$B$5="All","*",Dashboard!$B$5),DashboardData!$B:$B,A99),NA())</f>
        <v>#N/A</v>
      </c>
      <c r="C99" s="7" t="e">
        <f>IF(AND(A99&gt;=Dashboard!$F$5,A99&lt;=Dashboard!$J$5,A99&lt;&gt;""),-SUMIFS(DashboardData!$E:$E,DashboardData!$A:$A,IF(Dashboard!$B$5="All","*",Dashboard!$B$5),DashboardData!$B:$B,A99),NA())</f>
        <v>#N/A</v>
      </c>
    </row>
    <row r="100" spans="1:3" x14ac:dyDescent="0.25">
      <c r="A100" t="str">
        <f>IF(Monthly!A100="","",Monthly!A100)</f>
        <v/>
      </c>
      <c r="B100" s="7" t="e">
        <f>IF(AND(A100&gt;=Dashboard!$F$5,A100&lt;=Dashboard!$J$5,A100&lt;&gt;""),SUMIFS(DashboardData!$D:$D,DashboardData!$A:$A,IF(Dashboard!$B$5="All","*",Dashboard!$B$5),DashboardData!$B:$B,A100),NA())</f>
        <v>#N/A</v>
      </c>
      <c r="C100" s="7" t="e">
        <f>IF(AND(A100&gt;=Dashboard!$F$5,A100&lt;=Dashboard!$J$5,A100&lt;&gt;""),-SUMIFS(DashboardData!$E:$E,DashboardData!$A:$A,IF(Dashboard!$B$5="All","*",Dashboard!$B$5),DashboardData!$B:$B,A100),NA())</f>
        <v>#N/A</v>
      </c>
    </row>
    <row r="101" spans="1:3" x14ac:dyDescent="0.25">
      <c r="A101" t="str">
        <f>IF(Monthly!A101="","",Monthly!A101)</f>
        <v/>
      </c>
      <c r="B101" s="7" t="e">
        <f>IF(AND(A101&gt;=Dashboard!$F$5,A101&lt;=Dashboard!$J$5,A101&lt;&gt;""),SUMIFS(DashboardData!$D:$D,DashboardData!$A:$A,IF(Dashboard!$B$5="All","*",Dashboard!$B$5),DashboardData!$B:$B,A101),NA())</f>
        <v>#N/A</v>
      </c>
      <c r="C101" s="7" t="e">
        <f>IF(AND(A101&gt;=Dashboard!$F$5,A101&lt;=Dashboard!$J$5,A101&lt;&gt;""),-SUMIFS(DashboardData!$E:$E,DashboardData!$A:$A,IF(Dashboard!$B$5="All","*",Dashboard!$B$5),DashboardData!$B:$B,A101),NA())</f>
        <v>#N/A</v>
      </c>
    </row>
    <row r="102" spans="1:3" x14ac:dyDescent="0.25">
      <c r="A102" t="str">
        <f>IF(Monthly!A102="","",Monthly!A102)</f>
        <v/>
      </c>
      <c r="B102" s="7" t="e">
        <f>IF(AND(A102&gt;=Dashboard!$F$5,A102&lt;=Dashboard!$J$5,A102&lt;&gt;""),SUMIFS(DashboardData!$D:$D,DashboardData!$A:$A,IF(Dashboard!$B$5="All","*",Dashboard!$B$5),DashboardData!$B:$B,A102),NA())</f>
        <v>#N/A</v>
      </c>
      <c r="C102" s="7" t="e">
        <f>IF(AND(A102&gt;=Dashboard!$F$5,A102&lt;=Dashboard!$J$5,A102&lt;&gt;""),-SUMIFS(DashboardData!$E:$E,DashboardData!$A:$A,IF(Dashboard!$B$5="All","*",Dashboard!$B$5),DashboardData!$B:$B,A102),NA())</f>
        <v>#N/A</v>
      </c>
    </row>
    <row r="103" spans="1:3" x14ac:dyDescent="0.25">
      <c r="A103" t="str">
        <f>IF(Monthly!A103="","",Monthly!A103)</f>
        <v/>
      </c>
      <c r="B103" s="7" t="e">
        <f>IF(AND(A103&gt;=Dashboard!$F$5,A103&lt;=Dashboard!$J$5,A103&lt;&gt;""),SUMIFS(DashboardData!$D:$D,DashboardData!$A:$A,IF(Dashboard!$B$5="All","*",Dashboard!$B$5),DashboardData!$B:$B,A103),NA())</f>
        <v>#N/A</v>
      </c>
      <c r="C103" s="7" t="e">
        <f>IF(AND(A103&gt;=Dashboard!$F$5,A103&lt;=Dashboard!$J$5,A103&lt;&gt;""),-SUMIFS(DashboardData!$E:$E,DashboardData!$A:$A,IF(Dashboard!$B$5="All","*",Dashboard!$B$5),DashboardData!$B:$B,A103),NA())</f>
        <v>#N/A</v>
      </c>
    </row>
    <row r="104" spans="1:3" x14ac:dyDescent="0.25">
      <c r="A104" t="str">
        <f>IF(Monthly!A104="","",Monthly!A104)</f>
        <v/>
      </c>
      <c r="B104" s="7" t="e">
        <f>IF(AND(A104&gt;=Dashboard!$F$5,A104&lt;=Dashboard!$J$5,A104&lt;&gt;""),SUMIFS(DashboardData!$D:$D,DashboardData!$A:$A,IF(Dashboard!$B$5="All","*",Dashboard!$B$5),DashboardData!$B:$B,A104),NA())</f>
        <v>#N/A</v>
      </c>
      <c r="C104" s="7" t="e">
        <f>IF(AND(A104&gt;=Dashboard!$F$5,A104&lt;=Dashboard!$J$5,A104&lt;&gt;""),-SUMIFS(DashboardData!$E:$E,DashboardData!$A:$A,IF(Dashboard!$B$5="All","*",Dashboard!$B$5),DashboardData!$B:$B,A104),NA())</f>
        <v>#N/A</v>
      </c>
    </row>
    <row r="105" spans="1:3" x14ac:dyDescent="0.25">
      <c r="A105" t="str">
        <f>IF(Monthly!A105="","",Monthly!A105)</f>
        <v/>
      </c>
      <c r="B105" s="7" t="e">
        <f>IF(AND(A105&gt;=Dashboard!$F$5,A105&lt;=Dashboard!$J$5,A105&lt;&gt;""),SUMIFS(DashboardData!$D:$D,DashboardData!$A:$A,IF(Dashboard!$B$5="All","*",Dashboard!$B$5),DashboardData!$B:$B,A105),NA())</f>
        <v>#N/A</v>
      </c>
      <c r="C105" s="7" t="e">
        <f>IF(AND(A105&gt;=Dashboard!$F$5,A105&lt;=Dashboard!$J$5,A105&lt;&gt;""),-SUMIFS(DashboardData!$E:$E,DashboardData!$A:$A,IF(Dashboard!$B$5="All","*",Dashboard!$B$5),DashboardData!$B:$B,A105),NA())</f>
        <v>#N/A</v>
      </c>
    </row>
    <row r="106" spans="1:3" x14ac:dyDescent="0.25">
      <c r="A106" t="str">
        <f>IF(Monthly!A106="","",Monthly!A106)</f>
        <v/>
      </c>
      <c r="B106" s="7" t="e">
        <f>IF(AND(A106&gt;=Dashboard!$F$5,A106&lt;=Dashboard!$J$5,A106&lt;&gt;""),SUMIFS(DashboardData!$D:$D,DashboardData!$A:$A,IF(Dashboard!$B$5="All","*",Dashboard!$B$5),DashboardData!$B:$B,A106),NA())</f>
        <v>#N/A</v>
      </c>
      <c r="C106" s="7" t="e">
        <f>IF(AND(A106&gt;=Dashboard!$F$5,A106&lt;=Dashboard!$J$5,A106&lt;&gt;""),-SUMIFS(DashboardData!$E:$E,DashboardData!$A:$A,IF(Dashboard!$B$5="All","*",Dashboard!$B$5),DashboardData!$B:$B,A106),NA())</f>
        <v>#N/A</v>
      </c>
    </row>
    <row r="107" spans="1:3" x14ac:dyDescent="0.25">
      <c r="A107" t="str">
        <f>IF(Monthly!A107="","",Monthly!A107)</f>
        <v/>
      </c>
      <c r="B107" s="7" t="e">
        <f>IF(AND(A107&gt;=Dashboard!$F$5,A107&lt;=Dashboard!$J$5,A107&lt;&gt;""),SUMIFS(DashboardData!$D:$D,DashboardData!$A:$A,IF(Dashboard!$B$5="All","*",Dashboard!$B$5),DashboardData!$B:$B,A107),NA())</f>
        <v>#N/A</v>
      </c>
      <c r="C107" s="7" t="e">
        <f>IF(AND(A107&gt;=Dashboard!$F$5,A107&lt;=Dashboard!$J$5,A107&lt;&gt;""),-SUMIFS(DashboardData!$E:$E,DashboardData!$A:$A,IF(Dashboard!$B$5="All","*",Dashboard!$B$5),DashboardData!$B:$B,A107),NA())</f>
        <v>#N/A</v>
      </c>
    </row>
    <row r="108" spans="1:3" x14ac:dyDescent="0.25">
      <c r="A108" t="str">
        <f>IF(Monthly!A108="","",Monthly!A108)</f>
        <v/>
      </c>
      <c r="B108" s="7" t="e">
        <f>IF(AND(A108&gt;=Dashboard!$F$5,A108&lt;=Dashboard!$J$5,A108&lt;&gt;""),SUMIFS(DashboardData!$D:$D,DashboardData!$A:$A,IF(Dashboard!$B$5="All","*",Dashboard!$B$5),DashboardData!$B:$B,A108),NA())</f>
        <v>#N/A</v>
      </c>
      <c r="C108" s="7" t="e">
        <f>IF(AND(A108&gt;=Dashboard!$F$5,A108&lt;=Dashboard!$J$5,A108&lt;&gt;""),-SUMIFS(DashboardData!$E:$E,DashboardData!$A:$A,IF(Dashboard!$B$5="All","*",Dashboard!$B$5),DashboardData!$B:$B,A108),NA())</f>
        <v>#N/A</v>
      </c>
    </row>
    <row r="109" spans="1:3" x14ac:dyDescent="0.25">
      <c r="A109" t="str">
        <f>IF(Monthly!A109="","",Monthly!A109)</f>
        <v/>
      </c>
      <c r="B109" s="7" t="e">
        <f>IF(AND(A109&gt;=Dashboard!$F$5,A109&lt;=Dashboard!$J$5,A109&lt;&gt;""),SUMIFS(DashboardData!$D:$D,DashboardData!$A:$A,IF(Dashboard!$B$5="All","*",Dashboard!$B$5),DashboardData!$B:$B,A109),NA())</f>
        <v>#N/A</v>
      </c>
      <c r="C109" s="7" t="e">
        <f>IF(AND(A109&gt;=Dashboard!$F$5,A109&lt;=Dashboard!$J$5,A109&lt;&gt;""),-SUMIFS(DashboardData!$E:$E,DashboardData!$A:$A,IF(Dashboard!$B$5="All","*",Dashboard!$B$5),DashboardData!$B:$B,A109),NA())</f>
        <v>#N/A</v>
      </c>
    </row>
    <row r="110" spans="1:3" x14ac:dyDescent="0.25">
      <c r="A110" t="str">
        <f>IF(Monthly!A110="","",Monthly!A110)</f>
        <v/>
      </c>
      <c r="B110" s="7" t="e">
        <f>IF(AND(A110&gt;=Dashboard!$F$5,A110&lt;=Dashboard!$J$5,A110&lt;&gt;""),SUMIFS(DashboardData!$D:$D,DashboardData!$A:$A,IF(Dashboard!$B$5="All","*",Dashboard!$B$5),DashboardData!$B:$B,A110),NA())</f>
        <v>#N/A</v>
      </c>
      <c r="C110" s="7" t="e">
        <f>IF(AND(A110&gt;=Dashboard!$F$5,A110&lt;=Dashboard!$J$5,A110&lt;&gt;""),-SUMIFS(DashboardData!$E:$E,DashboardData!$A:$A,IF(Dashboard!$B$5="All","*",Dashboard!$B$5),DashboardData!$B:$B,A110),NA())</f>
        <v>#N/A</v>
      </c>
    </row>
    <row r="111" spans="1:3" x14ac:dyDescent="0.25">
      <c r="A111" t="str">
        <f>IF(Monthly!A111="","",Monthly!A111)</f>
        <v/>
      </c>
      <c r="B111" s="7" t="e">
        <f>IF(AND(A111&gt;=Dashboard!$F$5,A111&lt;=Dashboard!$J$5,A111&lt;&gt;""),SUMIFS(DashboardData!$D:$D,DashboardData!$A:$A,IF(Dashboard!$B$5="All","*",Dashboard!$B$5),DashboardData!$B:$B,A111),NA())</f>
        <v>#N/A</v>
      </c>
      <c r="C111" s="7" t="e">
        <f>IF(AND(A111&gt;=Dashboard!$F$5,A111&lt;=Dashboard!$J$5,A111&lt;&gt;""),-SUMIFS(DashboardData!$E:$E,DashboardData!$A:$A,IF(Dashboard!$B$5="All","*",Dashboard!$B$5),DashboardData!$B:$B,A111),NA())</f>
        <v>#N/A</v>
      </c>
    </row>
    <row r="112" spans="1:3" x14ac:dyDescent="0.25">
      <c r="A112" t="str">
        <f>IF(Monthly!A112="","",Monthly!A112)</f>
        <v/>
      </c>
      <c r="B112" s="7" t="e">
        <f>IF(AND(A112&gt;=Dashboard!$F$5,A112&lt;=Dashboard!$J$5,A112&lt;&gt;""),SUMIFS(DashboardData!$D:$D,DashboardData!$A:$A,IF(Dashboard!$B$5="All","*",Dashboard!$B$5),DashboardData!$B:$B,A112),NA())</f>
        <v>#N/A</v>
      </c>
      <c r="C112" s="7" t="e">
        <f>IF(AND(A112&gt;=Dashboard!$F$5,A112&lt;=Dashboard!$J$5,A112&lt;&gt;""),-SUMIFS(DashboardData!$E:$E,DashboardData!$A:$A,IF(Dashboard!$B$5="All","*",Dashboard!$B$5),DashboardData!$B:$B,A112),NA())</f>
        <v>#N/A</v>
      </c>
    </row>
    <row r="113" spans="1:3" x14ac:dyDescent="0.25">
      <c r="A113" t="str">
        <f>IF(Monthly!A113="","",Monthly!A113)</f>
        <v/>
      </c>
      <c r="B113" s="7" t="e">
        <f>IF(AND(A113&gt;=Dashboard!$F$5,A113&lt;=Dashboard!$J$5,A113&lt;&gt;""),SUMIFS(DashboardData!$D:$D,DashboardData!$A:$A,IF(Dashboard!$B$5="All","*",Dashboard!$B$5),DashboardData!$B:$B,A113),NA())</f>
        <v>#N/A</v>
      </c>
      <c r="C113" s="7" t="e">
        <f>IF(AND(A113&gt;=Dashboard!$F$5,A113&lt;=Dashboard!$J$5,A113&lt;&gt;""),-SUMIFS(DashboardData!$E:$E,DashboardData!$A:$A,IF(Dashboard!$B$5="All","*",Dashboard!$B$5),DashboardData!$B:$B,A113),NA())</f>
        <v>#N/A</v>
      </c>
    </row>
    <row r="114" spans="1:3" x14ac:dyDescent="0.25">
      <c r="A114" t="str">
        <f>IF(Monthly!A114="","",Monthly!A114)</f>
        <v/>
      </c>
      <c r="B114" s="7" t="e">
        <f>IF(AND(A114&gt;=Dashboard!$F$5,A114&lt;=Dashboard!$J$5,A114&lt;&gt;""),SUMIFS(DashboardData!$D:$D,DashboardData!$A:$A,IF(Dashboard!$B$5="All","*",Dashboard!$B$5),DashboardData!$B:$B,A114),NA())</f>
        <v>#N/A</v>
      </c>
      <c r="C114" s="7" t="e">
        <f>IF(AND(A114&gt;=Dashboard!$F$5,A114&lt;=Dashboard!$J$5,A114&lt;&gt;""),-SUMIFS(DashboardData!$E:$E,DashboardData!$A:$A,IF(Dashboard!$B$5="All","*",Dashboard!$B$5),DashboardData!$B:$B,A114),NA())</f>
        <v>#N/A</v>
      </c>
    </row>
    <row r="115" spans="1:3" x14ac:dyDescent="0.25">
      <c r="A115" t="str">
        <f>IF(Monthly!A115="","",Monthly!A115)</f>
        <v/>
      </c>
      <c r="B115" s="7" t="e">
        <f>IF(AND(A115&gt;=Dashboard!$F$5,A115&lt;=Dashboard!$J$5,A115&lt;&gt;""),SUMIFS(DashboardData!$D:$D,DashboardData!$A:$A,IF(Dashboard!$B$5="All","*",Dashboard!$B$5),DashboardData!$B:$B,A115),NA())</f>
        <v>#N/A</v>
      </c>
      <c r="C115" s="7" t="e">
        <f>IF(AND(A115&gt;=Dashboard!$F$5,A115&lt;=Dashboard!$J$5,A115&lt;&gt;""),-SUMIFS(DashboardData!$E:$E,DashboardData!$A:$A,IF(Dashboard!$B$5="All","*",Dashboard!$B$5),DashboardData!$B:$B,A115),NA())</f>
        <v>#N/A</v>
      </c>
    </row>
    <row r="116" spans="1:3" x14ac:dyDescent="0.25">
      <c r="A116" t="str">
        <f>IF(Monthly!A116="","",Monthly!A116)</f>
        <v/>
      </c>
      <c r="B116" s="7" t="e">
        <f>IF(AND(A116&gt;=Dashboard!$F$5,A116&lt;=Dashboard!$J$5,A116&lt;&gt;""),SUMIFS(DashboardData!$D:$D,DashboardData!$A:$A,IF(Dashboard!$B$5="All","*",Dashboard!$B$5),DashboardData!$B:$B,A116),NA())</f>
        <v>#N/A</v>
      </c>
      <c r="C116" s="7" t="e">
        <f>IF(AND(A116&gt;=Dashboard!$F$5,A116&lt;=Dashboard!$J$5,A116&lt;&gt;""),-SUMIFS(DashboardData!$E:$E,DashboardData!$A:$A,IF(Dashboard!$B$5="All","*",Dashboard!$B$5),DashboardData!$B:$B,A116),NA())</f>
        <v>#N/A</v>
      </c>
    </row>
    <row r="117" spans="1:3" x14ac:dyDescent="0.25">
      <c r="A117" t="str">
        <f>IF(Monthly!A117="","",Monthly!A117)</f>
        <v/>
      </c>
      <c r="B117" s="7" t="e">
        <f>IF(AND(A117&gt;=Dashboard!$F$5,A117&lt;=Dashboard!$J$5,A117&lt;&gt;""),SUMIFS(DashboardData!$D:$D,DashboardData!$A:$A,IF(Dashboard!$B$5="All","*",Dashboard!$B$5),DashboardData!$B:$B,A117),NA())</f>
        <v>#N/A</v>
      </c>
      <c r="C117" s="7" t="e">
        <f>IF(AND(A117&gt;=Dashboard!$F$5,A117&lt;=Dashboard!$J$5,A117&lt;&gt;""),-SUMIFS(DashboardData!$E:$E,DashboardData!$A:$A,IF(Dashboard!$B$5="All","*",Dashboard!$B$5),DashboardData!$B:$B,A117),NA())</f>
        <v>#N/A</v>
      </c>
    </row>
    <row r="118" spans="1:3" x14ac:dyDescent="0.25">
      <c r="A118" t="str">
        <f>IF(Monthly!A118="","",Monthly!A118)</f>
        <v/>
      </c>
      <c r="B118" s="7" t="e">
        <f>IF(AND(A118&gt;=Dashboard!$F$5,A118&lt;=Dashboard!$J$5,A118&lt;&gt;""),SUMIFS(DashboardData!$D:$D,DashboardData!$A:$A,IF(Dashboard!$B$5="All","*",Dashboard!$B$5),DashboardData!$B:$B,A118),NA())</f>
        <v>#N/A</v>
      </c>
      <c r="C118" s="7" t="e">
        <f>IF(AND(A118&gt;=Dashboard!$F$5,A118&lt;=Dashboard!$J$5,A118&lt;&gt;""),-SUMIFS(DashboardData!$E:$E,DashboardData!$A:$A,IF(Dashboard!$B$5="All","*",Dashboard!$B$5),DashboardData!$B:$B,A118),NA())</f>
        <v>#N/A</v>
      </c>
    </row>
    <row r="119" spans="1:3" x14ac:dyDescent="0.25">
      <c r="A119" t="str">
        <f>IF(Monthly!A119="","",Monthly!A119)</f>
        <v/>
      </c>
      <c r="B119" s="7" t="e">
        <f>IF(AND(A119&gt;=Dashboard!$F$5,A119&lt;=Dashboard!$J$5,A119&lt;&gt;""),SUMIFS(DashboardData!$D:$D,DashboardData!$A:$A,IF(Dashboard!$B$5="All","*",Dashboard!$B$5),DashboardData!$B:$B,A119),NA())</f>
        <v>#N/A</v>
      </c>
      <c r="C119" s="7" t="e">
        <f>IF(AND(A119&gt;=Dashboard!$F$5,A119&lt;=Dashboard!$J$5,A119&lt;&gt;""),-SUMIFS(DashboardData!$E:$E,DashboardData!$A:$A,IF(Dashboard!$B$5="All","*",Dashboard!$B$5),DashboardData!$B:$B,A119),NA())</f>
        <v>#N/A</v>
      </c>
    </row>
    <row r="120" spans="1:3" x14ac:dyDescent="0.25">
      <c r="A120" t="str">
        <f>IF(Monthly!A120="","",Monthly!A120)</f>
        <v/>
      </c>
      <c r="B120" s="7" t="e">
        <f>IF(AND(A120&gt;=Dashboard!$F$5,A120&lt;=Dashboard!$J$5,A120&lt;&gt;""),SUMIFS(DashboardData!$D:$D,DashboardData!$A:$A,IF(Dashboard!$B$5="All","*",Dashboard!$B$5),DashboardData!$B:$B,A120),NA())</f>
        <v>#N/A</v>
      </c>
      <c r="C120" s="7" t="e">
        <f>IF(AND(A120&gt;=Dashboard!$F$5,A120&lt;=Dashboard!$J$5,A120&lt;&gt;""),-SUMIFS(DashboardData!$E:$E,DashboardData!$A:$A,IF(Dashboard!$B$5="All","*",Dashboard!$B$5),DashboardData!$B:$B,A120),NA())</f>
        <v>#N/A</v>
      </c>
    </row>
    <row r="121" spans="1:3" x14ac:dyDescent="0.25">
      <c r="A121" t="str">
        <f>IF(Monthly!A121="","",Monthly!A121)</f>
        <v/>
      </c>
      <c r="B121" s="7" t="e">
        <f>IF(AND(A121&gt;=Dashboard!$F$5,A121&lt;=Dashboard!$J$5,A121&lt;&gt;""),SUMIFS(DashboardData!$D:$D,DashboardData!$A:$A,IF(Dashboard!$B$5="All","*",Dashboard!$B$5),DashboardData!$B:$B,A121),NA())</f>
        <v>#N/A</v>
      </c>
      <c r="C121" s="7" t="e">
        <f>IF(AND(A121&gt;=Dashboard!$F$5,A121&lt;=Dashboard!$J$5,A121&lt;&gt;""),-SUMIFS(DashboardData!$E:$E,DashboardData!$A:$A,IF(Dashboard!$B$5="All","*",Dashboard!$B$5),DashboardData!$B:$B,A121),NA())</f>
        <v>#N/A</v>
      </c>
    </row>
    <row r="122" spans="1:3" x14ac:dyDescent="0.25">
      <c r="A122" t="str">
        <f>IF(Monthly!A122="","",Monthly!A122)</f>
        <v/>
      </c>
      <c r="B122" s="7" t="e">
        <f>IF(AND(A122&gt;=Dashboard!$F$5,A122&lt;=Dashboard!$J$5,A122&lt;&gt;""),SUMIFS(DashboardData!$D:$D,DashboardData!$A:$A,IF(Dashboard!$B$5="All","*",Dashboard!$B$5),DashboardData!$B:$B,A122),NA())</f>
        <v>#N/A</v>
      </c>
      <c r="C122" s="7" t="e">
        <f>IF(AND(A122&gt;=Dashboard!$F$5,A122&lt;=Dashboard!$J$5,A122&lt;&gt;""),-SUMIFS(DashboardData!$E:$E,DashboardData!$A:$A,IF(Dashboard!$B$5="All","*",Dashboard!$B$5),DashboardData!$B:$B,A122),NA())</f>
        <v>#N/A</v>
      </c>
    </row>
    <row r="123" spans="1:3" x14ac:dyDescent="0.25">
      <c r="A123" t="str">
        <f>IF(Monthly!A123="","",Monthly!A123)</f>
        <v/>
      </c>
      <c r="B123" s="7" t="e">
        <f>IF(AND(A123&gt;=Dashboard!$F$5,A123&lt;=Dashboard!$J$5,A123&lt;&gt;""),SUMIFS(DashboardData!$D:$D,DashboardData!$A:$A,IF(Dashboard!$B$5="All","*",Dashboard!$B$5),DashboardData!$B:$B,A123),NA())</f>
        <v>#N/A</v>
      </c>
      <c r="C123" s="7" t="e">
        <f>IF(AND(A123&gt;=Dashboard!$F$5,A123&lt;=Dashboard!$J$5,A123&lt;&gt;""),-SUMIFS(DashboardData!$E:$E,DashboardData!$A:$A,IF(Dashboard!$B$5="All","*",Dashboard!$B$5),DashboardData!$B:$B,A123),NA())</f>
        <v>#N/A</v>
      </c>
    </row>
    <row r="124" spans="1:3" x14ac:dyDescent="0.25">
      <c r="A124" t="str">
        <f>IF(Monthly!A124="","",Monthly!A124)</f>
        <v/>
      </c>
      <c r="B124" s="7" t="e">
        <f>IF(AND(A124&gt;=Dashboard!$F$5,A124&lt;=Dashboard!$J$5,A124&lt;&gt;""),SUMIFS(DashboardData!$D:$D,DashboardData!$A:$A,IF(Dashboard!$B$5="All","*",Dashboard!$B$5),DashboardData!$B:$B,A124),NA())</f>
        <v>#N/A</v>
      </c>
      <c r="C124" s="7" t="e">
        <f>IF(AND(A124&gt;=Dashboard!$F$5,A124&lt;=Dashboard!$J$5,A124&lt;&gt;""),-SUMIFS(DashboardData!$E:$E,DashboardData!$A:$A,IF(Dashboard!$B$5="All","*",Dashboard!$B$5),DashboardData!$B:$B,A124),NA())</f>
        <v>#N/A</v>
      </c>
    </row>
    <row r="125" spans="1:3" x14ac:dyDescent="0.25">
      <c r="A125" t="str">
        <f>IF(Monthly!A125="","",Monthly!A125)</f>
        <v/>
      </c>
      <c r="B125" s="7" t="e">
        <f>IF(AND(A125&gt;=Dashboard!$F$5,A125&lt;=Dashboard!$J$5,A125&lt;&gt;""),SUMIFS(DashboardData!$D:$D,DashboardData!$A:$A,IF(Dashboard!$B$5="All","*",Dashboard!$B$5),DashboardData!$B:$B,A125),NA())</f>
        <v>#N/A</v>
      </c>
      <c r="C125" s="7" t="e">
        <f>IF(AND(A125&gt;=Dashboard!$F$5,A125&lt;=Dashboard!$J$5,A125&lt;&gt;""),-SUMIFS(DashboardData!$E:$E,DashboardData!$A:$A,IF(Dashboard!$B$5="All","*",Dashboard!$B$5),DashboardData!$B:$B,A125),NA())</f>
        <v>#N/A</v>
      </c>
    </row>
    <row r="126" spans="1:3" x14ac:dyDescent="0.25">
      <c r="A126" t="str">
        <f>IF(Monthly!A126="","",Monthly!A126)</f>
        <v/>
      </c>
      <c r="B126" s="7" t="e">
        <f>IF(AND(A126&gt;=Dashboard!$F$5,A126&lt;=Dashboard!$J$5,A126&lt;&gt;""),SUMIFS(DashboardData!$D:$D,DashboardData!$A:$A,IF(Dashboard!$B$5="All","*",Dashboard!$B$5),DashboardData!$B:$B,A126),NA())</f>
        <v>#N/A</v>
      </c>
      <c r="C126" s="7" t="e">
        <f>IF(AND(A126&gt;=Dashboard!$F$5,A126&lt;=Dashboard!$J$5,A126&lt;&gt;""),-SUMIFS(DashboardData!$E:$E,DashboardData!$A:$A,IF(Dashboard!$B$5="All","*",Dashboard!$B$5),DashboardData!$B:$B,A126),NA())</f>
        <v>#N/A</v>
      </c>
    </row>
    <row r="127" spans="1:3" x14ac:dyDescent="0.25">
      <c r="A127" t="str">
        <f>IF(Monthly!A127="","",Monthly!A127)</f>
        <v/>
      </c>
      <c r="B127" s="7" t="e">
        <f>IF(AND(A127&gt;=Dashboard!$F$5,A127&lt;=Dashboard!$J$5,A127&lt;&gt;""),SUMIFS(DashboardData!$D:$D,DashboardData!$A:$A,IF(Dashboard!$B$5="All","*",Dashboard!$B$5),DashboardData!$B:$B,A127),NA())</f>
        <v>#N/A</v>
      </c>
      <c r="C127" s="7" t="e">
        <f>IF(AND(A127&gt;=Dashboard!$F$5,A127&lt;=Dashboard!$J$5,A127&lt;&gt;""),-SUMIFS(DashboardData!$E:$E,DashboardData!$A:$A,IF(Dashboard!$B$5="All","*",Dashboard!$B$5),DashboardData!$B:$B,A127),NA())</f>
        <v>#N/A</v>
      </c>
    </row>
    <row r="128" spans="1:3" x14ac:dyDescent="0.25">
      <c r="A128" t="str">
        <f>IF(Monthly!A128="","",Monthly!A128)</f>
        <v/>
      </c>
      <c r="B128" s="7" t="e">
        <f>IF(AND(A128&gt;=Dashboard!$F$5,A128&lt;=Dashboard!$J$5,A128&lt;&gt;""),SUMIFS(DashboardData!$D:$D,DashboardData!$A:$A,IF(Dashboard!$B$5="All","*",Dashboard!$B$5),DashboardData!$B:$B,A128),NA())</f>
        <v>#N/A</v>
      </c>
      <c r="C128" s="7" t="e">
        <f>IF(AND(A128&gt;=Dashboard!$F$5,A128&lt;=Dashboard!$J$5,A128&lt;&gt;""),-SUMIFS(DashboardData!$E:$E,DashboardData!$A:$A,IF(Dashboard!$B$5="All","*",Dashboard!$B$5),DashboardData!$B:$B,A128),NA())</f>
        <v>#N/A</v>
      </c>
    </row>
    <row r="129" spans="1:3" x14ac:dyDescent="0.25">
      <c r="A129" t="str">
        <f>IF(Monthly!A129="","",Monthly!A129)</f>
        <v/>
      </c>
      <c r="B129" s="7" t="e">
        <f>IF(AND(A129&gt;=Dashboard!$F$5,A129&lt;=Dashboard!$J$5,A129&lt;&gt;""),SUMIFS(DashboardData!$D:$D,DashboardData!$A:$A,IF(Dashboard!$B$5="All","*",Dashboard!$B$5),DashboardData!$B:$B,A129),NA())</f>
        <v>#N/A</v>
      </c>
      <c r="C129" s="7" t="e">
        <f>IF(AND(A129&gt;=Dashboard!$F$5,A129&lt;=Dashboard!$J$5,A129&lt;&gt;""),-SUMIFS(DashboardData!$E:$E,DashboardData!$A:$A,IF(Dashboard!$B$5="All","*",Dashboard!$B$5),DashboardData!$B:$B,A129),NA())</f>
        <v>#N/A</v>
      </c>
    </row>
    <row r="130" spans="1:3" x14ac:dyDescent="0.25">
      <c r="A130" t="str">
        <f>IF(Monthly!A130="","",Monthly!A130)</f>
        <v/>
      </c>
      <c r="B130" s="7" t="e">
        <f>IF(AND(A130&gt;=Dashboard!$F$5,A130&lt;=Dashboard!$J$5,A130&lt;&gt;""),SUMIFS(DashboardData!$D:$D,DashboardData!$A:$A,IF(Dashboard!$B$5="All","*",Dashboard!$B$5),DashboardData!$B:$B,A130),NA())</f>
        <v>#N/A</v>
      </c>
      <c r="C130" s="7" t="e">
        <f>IF(AND(A130&gt;=Dashboard!$F$5,A130&lt;=Dashboard!$J$5,A130&lt;&gt;""),-SUMIFS(DashboardData!$E:$E,DashboardData!$A:$A,IF(Dashboard!$B$5="All","*",Dashboard!$B$5),DashboardData!$B:$B,A130),NA())</f>
        <v>#N/A</v>
      </c>
    </row>
    <row r="131" spans="1:3" x14ac:dyDescent="0.25">
      <c r="A131" t="str">
        <f>IF(Monthly!A131="","",Monthly!A131)</f>
        <v/>
      </c>
      <c r="B131" s="7" t="e">
        <f>IF(AND(A131&gt;=Dashboard!$F$5,A131&lt;=Dashboard!$J$5,A131&lt;&gt;""),SUMIFS(DashboardData!$D:$D,DashboardData!$A:$A,IF(Dashboard!$B$5="All","*",Dashboard!$B$5),DashboardData!$B:$B,A131),NA())</f>
        <v>#N/A</v>
      </c>
      <c r="C131" s="7" t="e">
        <f>IF(AND(A131&gt;=Dashboard!$F$5,A131&lt;=Dashboard!$J$5,A131&lt;&gt;""),-SUMIFS(DashboardData!$E:$E,DashboardData!$A:$A,IF(Dashboard!$B$5="All","*",Dashboard!$B$5),DashboardData!$B:$B,A131),NA())</f>
        <v>#N/A</v>
      </c>
    </row>
    <row r="132" spans="1:3" x14ac:dyDescent="0.25">
      <c r="A132" t="str">
        <f>IF(Monthly!A132="","",Monthly!A132)</f>
        <v/>
      </c>
      <c r="B132" s="7" t="e">
        <f>IF(AND(A132&gt;=Dashboard!$F$5,A132&lt;=Dashboard!$J$5,A132&lt;&gt;""),SUMIFS(DashboardData!$D:$D,DashboardData!$A:$A,IF(Dashboard!$B$5="All","*",Dashboard!$B$5),DashboardData!$B:$B,A132),NA())</f>
        <v>#N/A</v>
      </c>
      <c r="C132" s="7" t="e">
        <f>IF(AND(A132&gt;=Dashboard!$F$5,A132&lt;=Dashboard!$J$5,A132&lt;&gt;""),-SUMIFS(DashboardData!$E:$E,DashboardData!$A:$A,IF(Dashboard!$B$5="All","*",Dashboard!$B$5),DashboardData!$B:$B,A132),NA())</f>
        <v>#N/A</v>
      </c>
    </row>
    <row r="133" spans="1:3" x14ac:dyDescent="0.25">
      <c r="A133" t="str">
        <f>IF(Monthly!A133="","",Monthly!A133)</f>
        <v/>
      </c>
      <c r="B133" s="7" t="e">
        <f>IF(AND(A133&gt;=Dashboard!$F$5,A133&lt;=Dashboard!$J$5,A133&lt;&gt;""),SUMIFS(DashboardData!$D:$D,DashboardData!$A:$A,IF(Dashboard!$B$5="All","*",Dashboard!$B$5),DashboardData!$B:$B,A133),NA())</f>
        <v>#N/A</v>
      </c>
      <c r="C133" s="7" t="e">
        <f>IF(AND(A133&gt;=Dashboard!$F$5,A133&lt;=Dashboard!$J$5,A133&lt;&gt;""),-SUMIFS(DashboardData!$E:$E,DashboardData!$A:$A,IF(Dashboard!$B$5="All","*",Dashboard!$B$5),DashboardData!$B:$B,A133),NA())</f>
        <v>#N/A</v>
      </c>
    </row>
    <row r="134" spans="1:3" x14ac:dyDescent="0.25">
      <c r="A134" t="str">
        <f>IF(Monthly!A134="","",Monthly!A134)</f>
        <v/>
      </c>
      <c r="B134" s="7" t="e">
        <f>IF(AND(A134&gt;=Dashboard!$F$5,A134&lt;=Dashboard!$J$5,A134&lt;&gt;""),SUMIFS(DashboardData!$D:$D,DashboardData!$A:$A,IF(Dashboard!$B$5="All","*",Dashboard!$B$5),DashboardData!$B:$B,A134),NA())</f>
        <v>#N/A</v>
      </c>
      <c r="C134" s="7" t="e">
        <f>IF(AND(A134&gt;=Dashboard!$F$5,A134&lt;=Dashboard!$J$5,A134&lt;&gt;""),-SUMIFS(DashboardData!$E:$E,DashboardData!$A:$A,IF(Dashboard!$B$5="All","*",Dashboard!$B$5),DashboardData!$B:$B,A134),NA())</f>
        <v>#N/A</v>
      </c>
    </row>
    <row r="135" spans="1:3" x14ac:dyDescent="0.25">
      <c r="A135" t="str">
        <f>IF(Monthly!A135="","",Monthly!A135)</f>
        <v/>
      </c>
      <c r="B135" s="7" t="e">
        <f>IF(AND(A135&gt;=Dashboard!$F$5,A135&lt;=Dashboard!$J$5,A135&lt;&gt;""),SUMIFS(DashboardData!$D:$D,DashboardData!$A:$A,IF(Dashboard!$B$5="All","*",Dashboard!$B$5),DashboardData!$B:$B,A135),NA())</f>
        <v>#N/A</v>
      </c>
      <c r="C135" s="7" t="e">
        <f>IF(AND(A135&gt;=Dashboard!$F$5,A135&lt;=Dashboard!$J$5,A135&lt;&gt;""),-SUMIFS(DashboardData!$E:$E,DashboardData!$A:$A,IF(Dashboard!$B$5="All","*",Dashboard!$B$5),DashboardData!$B:$B,A135),NA())</f>
        <v>#N/A</v>
      </c>
    </row>
    <row r="136" spans="1:3" x14ac:dyDescent="0.25">
      <c r="A136" t="str">
        <f>IF(Monthly!A136="","",Monthly!A136)</f>
        <v/>
      </c>
      <c r="B136" s="7" t="e">
        <f>IF(AND(A136&gt;=Dashboard!$F$5,A136&lt;=Dashboard!$J$5,A136&lt;&gt;""),SUMIFS(DashboardData!$D:$D,DashboardData!$A:$A,IF(Dashboard!$B$5="All","*",Dashboard!$B$5),DashboardData!$B:$B,A136),NA())</f>
        <v>#N/A</v>
      </c>
      <c r="C136" s="7" t="e">
        <f>IF(AND(A136&gt;=Dashboard!$F$5,A136&lt;=Dashboard!$J$5,A136&lt;&gt;""),-SUMIFS(DashboardData!$E:$E,DashboardData!$A:$A,IF(Dashboard!$B$5="All","*",Dashboard!$B$5),DashboardData!$B:$B,A136),NA())</f>
        <v>#N/A</v>
      </c>
    </row>
    <row r="137" spans="1:3" x14ac:dyDescent="0.25">
      <c r="A137" t="str">
        <f>IF(Monthly!A137="","",Monthly!A137)</f>
        <v/>
      </c>
      <c r="B137" s="7" t="e">
        <f>IF(AND(A137&gt;=Dashboard!$F$5,A137&lt;=Dashboard!$J$5,A137&lt;&gt;""),SUMIFS(DashboardData!$D:$D,DashboardData!$A:$A,IF(Dashboard!$B$5="All","*",Dashboard!$B$5),DashboardData!$B:$B,A137),NA())</f>
        <v>#N/A</v>
      </c>
      <c r="C137" s="7" t="e">
        <f>IF(AND(A137&gt;=Dashboard!$F$5,A137&lt;=Dashboard!$J$5,A137&lt;&gt;""),-SUMIFS(DashboardData!$E:$E,DashboardData!$A:$A,IF(Dashboard!$B$5="All","*",Dashboard!$B$5),DashboardData!$B:$B,A137),NA())</f>
        <v>#N/A</v>
      </c>
    </row>
    <row r="138" spans="1:3" x14ac:dyDescent="0.25">
      <c r="A138" t="str">
        <f>IF(Monthly!A138="","",Monthly!A138)</f>
        <v/>
      </c>
      <c r="B138" s="7" t="e">
        <f>IF(AND(A138&gt;=Dashboard!$F$5,A138&lt;=Dashboard!$J$5,A138&lt;&gt;""),SUMIFS(DashboardData!$D:$D,DashboardData!$A:$A,IF(Dashboard!$B$5="All","*",Dashboard!$B$5),DashboardData!$B:$B,A138),NA())</f>
        <v>#N/A</v>
      </c>
      <c r="C138" s="7" t="e">
        <f>IF(AND(A138&gt;=Dashboard!$F$5,A138&lt;=Dashboard!$J$5,A138&lt;&gt;""),-SUMIFS(DashboardData!$E:$E,DashboardData!$A:$A,IF(Dashboard!$B$5="All","*",Dashboard!$B$5),DashboardData!$B:$B,A138),NA())</f>
        <v>#N/A</v>
      </c>
    </row>
    <row r="139" spans="1:3" x14ac:dyDescent="0.25">
      <c r="A139" t="str">
        <f>IF(Monthly!A139="","",Monthly!A139)</f>
        <v/>
      </c>
      <c r="B139" s="7" t="e">
        <f>IF(AND(A139&gt;=Dashboard!$F$5,A139&lt;=Dashboard!$J$5,A139&lt;&gt;""),SUMIFS(DashboardData!$D:$D,DashboardData!$A:$A,IF(Dashboard!$B$5="All","*",Dashboard!$B$5),DashboardData!$B:$B,A139),NA())</f>
        <v>#N/A</v>
      </c>
      <c r="C139" s="7" t="e">
        <f>IF(AND(A139&gt;=Dashboard!$F$5,A139&lt;=Dashboard!$J$5,A139&lt;&gt;""),-SUMIFS(DashboardData!$E:$E,DashboardData!$A:$A,IF(Dashboard!$B$5="All","*",Dashboard!$B$5),DashboardData!$B:$B,A139),NA())</f>
        <v>#N/A</v>
      </c>
    </row>
    <row r="140" spans="1:3" x14ac:dyDescent="0.25">
      <c r="A140" t="str">
        <f>IF(Monthly!A140="","",Monthly!A140)</f>
        <v/>
      </c>
      <c r="B140" s="7" t="e">
        <f>IF(AND(A140&gt;=Dashboard!$F$5,A140&lt;=Dashboard!$J$5,A140&lt;&gt;""),SUMIFS(DashboardData!$D:$D,DashboardData!$A:$A,IF(Dashboard!$B$5="All","*",Dashboard!$B$5),DashboardData!$B:$B,A140),NA())</f>
        <v>#N/A</v>
      </c>
      <c r="C140" s="7" t="e">
        <f>IF(AND(A140&gt;=Dashboard!$F$5,A140&lt;=Dashboard!$J$5,A140&lt;&gt;""),-SUMIFS(DashboardData!$E:$E,DashboardData!$A:$A,IF(Dashboard!$B$5="All","*",Dashboard!$B$5),DashboardData!$B:$B,A140),NA())</f>
        <v>#N/A</v>
      </c>
    </row>
    <row r="141" spans="1:3" x14ac:dyDescent="0.25">
      <c r="A141" t="str">
        <f>IF(Monthly!A141="","",Monthly!A141)</f>
        <v/>
      </c>
      <c r="B141" s="7" t="e">
        <f>IF(AND(A141&gt;=Dashboard!$F$5,A141&lt;=Dashboard!$J$5,A141&lt;&gt;""),SUMIFS(DashboardData!$D:$D,DashboardData!$A:$A,IF(Dashboard!$B$5="All","*",Dashboard!$B$5),DashboardData!$B:$B,A141),NA())</f>
        <v>#N/A</v>
      </c>
      <c r="C141" s="7" t="e">
        <f>IF(AND(A141&gt;=Dashboard!$F$5,A141&lt;=Dashboard!$J$5,A141&lt;&gt;""),-SUMIFS(DashboardData!$E:$E,DashboardData!$A:$A,IF(Dashboard!$B$5="All","*",Dashboard!$B$5),DashboardData!$B:$B,A141),NA())</f>
        <v>#N/A</v>
      </c>
    </row>
    <row r="142" spans="1:3" x14ac:dyDescent="0.25">
      <c r="A142" t="str">
        <f>IF(Monthly!A142="","",Monthly!A142)</f>
        <v/>
      </c>
      <c r="B142" s="7" t="e">
        <f>IF(AND(A142&gt;=Dashboard!$F$5,A142&lt;=Dashboard!$J$5,A142&lt;&gt;""),SUMIFS(DashboardData!$D:$D,DashboardData!$A:$A,IF(Dashboard!$B$5="All","*",Dashboard!$B$5),DashboardData!$B:$B,A142),NA())</f>
        <v>#N/A</v>
      </c>
      <c r="C142" s="7" t="e">
        <f>IF(AND(A142&gt;=Dashboard!$F$5,A142&lt;=Dashboard!$J$5,A142&lt;&gt;""),-SUMIFS(DashboardData!$E:$E,DashboardData!$A:$A,IF(Dashboard!$B$5="All","*",Dashboard!$B$5),DashboardData!$B:$B,A142),NA())</f>
        <v>#N/A</v>
      </c>
    </row>
    <row r="143" spans="1:3" x14ac:dyDescent="0.25">
      <c r="A143" t="str">
        <f>IF(Monthly!A143="","",Monthly!A143)</f>
        <v/>
      </c>
      <c r="B143" s="7" t="e">
        <f>IF(AND(A143&gt;=Dashboard!$F$5,A143&lt;=Dashboard!$J$5,A143&lt;&gt;""),SUMIFS(DashboardData!$D:$D,DashboardData!$A:$A,IF(Dashboard!$B$5="All","*",Dashboard!$B$5),DashboardData!$B:$B,A143),NA())</f>
        <v>#N/A</v>
      </c>
      <c r="C143" s="7" t="e">
        <f>IF(AND(A143&gt;=Dashboard!$F$5,A143&lt;=Dashboard!$J$5,A143&lt;&gt;""),-SUMIFS(DashboardData!$E:$E,DashboardData!$A:$A,IF(Dashboard!$B$5="All","*",Dashboard!$B$5),DashboardData!$B:$B,A143),NA())</f>
        <v>#N/A</v>
      </c>
    </row>
    <row r="144" spans="1:3" x14ac:dyDescent="0.25">
      <c r="A144" t="str">
        <f>IF(Monthly!A144="","",Monthly!A144)</f>
        <v/>
      </c>
      <c r="B144" s="7" t="e">
        <f>IF(AND(A144&gt;=Dashboard!$F$5,A144&lt;=Dashboard!$J$5,A144&lt;&gt;""),SUMIFS(DashboardData!$D:$D,DashboardData!$A:$A,IF(Dashboard!$B$5="All","*",Dashboard!$B$5),DashboardData!$B:$B,A144),NA())</f>
        <v>#N/A</v>
      </c>
      <c r="C144" s="7" t="e">
        <f>IF(AND(A144&gt;=Dashboard!$F$5,A144&lt;=Dashboard!$J$5,A144&lt;&gt;""),-SUMIFS(DashboardData!$E:$E,DashboardData!$A:$A,IF(Dashboard!$B$5="All","*",Dashboard!$B$5),DashboardData!$B:$B,A144),NA())</f>
        <v>#N/A</v>
      </c>
    </row>
    <row r="145" spans="1:3" x14ac:dyDescent="0.25">
      <c r="A145" t="str">
        <f>IF(Monthly!A145="","",Monthly!A145)</f>
        <v/>
      </c>
      <c r="B145" s="7" t="e">
        <f>IF(AND(A145&gt;=Dashboard!$F$5,A145&lt;=Dashboard!$J$5,A145&lt;&gt;""),SUMIFS(DashboardData!$D:$D,DashboardData!$A:$A,IF(Dashboard!$B$5="All","*",Dashboard!$B$5),DashboardData!$B:$B,A145),NA())</f>
        <v>#N/A</v>
      </c>
      <c r="C145" s="7" t="e">
        <f>IF(AND(A145&gt;=Dashboard!$F$5,A145&lt;=Dashboard!$J$5,A145&lt;&gt;""),-SUMIFS(DashboardData!$E:$E,DashboardData!$A:$A,IF(Dashboard!$B$5="All","*",Dashboard!$B$5),DashboardData!$B:$B,A145),NA())</f>
        <v>#N/A</v>
      </c>
    </row>
    <row r="146" spans="1:3" x14ac:dyDescent="0.25">
      <c r="A146" t="str">
        <f>IF(Monthly!A146="","",Monthly!A146)</f>
        <v/>
      </c>
      <c r="B146" s="7" t="e">
        <f>IF(AND(A146&gt;=Dashboard!$F$5,A146&lt;=Dashboard!$J$5,A146&lt;&gt;""),SUMIFS(DashboardData!$D:$D,DashboardData!$A:$A,IF(Dashboard!$B$5="All","*",Dashboard!$B$5),DashboardData!$B:$B,A146),NA())</f>
        <v>#N/A</v>
      </c>
      <c r="C146" s="7" t="e">
        <f>IF(AND(A146&gt;=Dashboard!$F$5,A146&lt;=Dashboard!$J$5,A146&lt;&gt;""),-SUMIFS(DashboardData!$E:$E,DashboardData!$A:$A,IF(Dashboard!$B$5="All","*",Dashboard!$B$5),DashboardData!$B:$B,A146),NA())</f>
        <v>#N/A</v>
      </c>
    </row>
    <row r="147" spans="1:3" x14ac:dyDescent="0.25">
      <c r="A147" t="str">
        <f>IF(Monthly!A147="","",Monthly!A147)</f>
        <v/>
      </c>
      <c r="B147" s="7" t="e">
        <f>IF(AND(A147&gt;=Dashboard!$F$5,A147&lt;=Dashboard!$J$5,A147&lt;&gt;""),SUMIFS(DashboardData!$D:$D,DashboardData!$A:$A,IF(Dashboard!$B$5="All","*",Dashboard!$B$5),DashboardData!$B:$B,A147),NA())</f>
        <v>#N/A</v>
      </c>
      <c r="C147" s="7" t="e">
        <f>IF(AND(A147&gt;=Dashboard!$F$5,A147&lt;=Dashboard!$J$5,A147&lt;&gt;""),-SUMIFS(DashboardData!$E:$E,DashboardData!$A:$A,IF(Dashboard!$B$5="All","*",Dashboard!$B$5),DashboardData!$B:$B,A147),NA())</f>
        <v>#N/A</v>
      </c>
    </row>
    <row r="148" spans="1:3" x14ac:dyDescent="0.25">
      <c r="A148" t="str">
        <f>IF(Monthly!A148="","",Monthly!A148)</f>
        <v/>
      </c>
      <c r="B148" s="7" t="e">
        <f>IF(AND(A148&gt;=Dashboard!$F$5,A148&lt;=Dashboard!$J$5,A148&lt;&gt;""),SUMIFS(DashboardData!$D:$D,DashboardData!$A:$A,IF(Dashboard!$B$5="All","*",Dashboard!$B$5),DashboardData!$B:$B,A148),NA())</f>
        <v>#N/A</v>
      </c>
      <c r="C148" s="7" t="e">
        <f>IF(AND(A148&gt;=Dashboard!$F$5,A148&lt;=Dashboard!$J$5,A148&lt;&gt;""),-SUMIFS(DashboardData!$E:$E,DashboardData!$A:$A,IF(Dashboard!$B$5="All","*",Dashboard!$B$5),DashboardData!$B:$B,A148),NA())</f>
        <v>#N/A</v>
      </c>
    </row>
    <row r="149" spans="1:3" x14ac:dyDescent="0.25">
      <c r="A149" t="str">
        <f>IF(Monthly!A149="","",Monthly!A149)</f>
        <v/>
      </c>
      <c r="B149" s="7" t="e">
        <f>IF(AND(A149&gt;=Dashboard!$F$5,A149&lt;=Dashboard!$J$5,A149&lt;&gt;""),SUMIFS(DashboardData!$D:$D,DashboardData!$A:$A,IF(Dashboard!$B$5="All","*",Dashboard!$B$5),DashboardData!$B:$B,A149),NA())</f>
        <v>#N/A</v>
      </c>
      <c r="C149" s="7" t="e">
        <f>IF(AND(A149&gt;=Dashboard!$F$5,A149&lt;=Dashboard!$J$5,A149&lt;&gt;""),-SUMIFS(DashboardData!$E:$E,DashboardData!$A:$A,IF(Dashboard!$B$5="All","*",Dashboard!$B$5),DashboardData!$B:$B,A149),NA())</f>
        <v>#N/A</v>
      </c>
    </row>
    <row r="150" spans="1:3" x14ac:dyDescent="0.25">
      <c r="A150" t="str">
        <f>IF(Monthly!A150="","",Monthly!A150)</f>
        <v/>
      </c>
      <c r="B150" s="7" t="e">
        <f>IF(AND(A150&gt;=Dashboard!$F$5,A150&lt;=Dashboard!$J$5,A150&lt;&gt;""),SUMIFS(DashboardData!$D:$D,DashboardData!$A:$A,IF(Dashboard!$B$5="All","*",Dashboard!$B$5),DashboardData!$B:$B,A150),NA())</f>
        <v>#N/A</v>
      </c>
      <c r="C150" s="7" t="e">
        <f>IF(AND(A150&gt;=Dashboard!$F$5,A150&lt;=Dashboard!$J$5,A150&lt;&gt;""),-SUMIFS(DashboardData!$E:$E,DashboardData!$A:$A,IF(Dashboard!$B$5="All","*",Dashboard!$B$5),DashboardData!$B:$B,A150),NA())</f>
        <v>#N/A</v>
      </c>
    </row>
    <row r="151" spans="1:3" x14ac:dyDescent="0.25">
      <c r="A151" t="str">
        <f>IF(Monthly!A151="","",Monthly!A151)</f>
        <v/>
      </c>
      <c r="B151" s="7" t="e">
        <f>IF(AND(A151&gt;=Dashboard!$F$5,A151&lt;=Dashboard!$J$5,A151&lt;&gt;""),SUMIFS(DashboardData!$D:$D,DashboardData!$A:$A,IF(Dashboard!$B$5="All","*",Dashboard!$B$5),DashboardData!$B:$B,A151),NA())</f>
        <v>#N/A</v>
      </c>
      <c r="C151" s="7" t="e">
        <f>IF(AND(A151&gt;=Dashboard!$F$5,A151&lt;=Dashboard!$J$5,A151&lt;&gt;""),-SUMIFS(DashboardData!$E:$E,DashboardData!$A:$A,IF(Dashboard!$B$5="All","*",Dashboard!$B$5),DashboardData!$B:$B,A151),NA())</f>
        <v>#N/A</v>
      </c>
    </row>
    <row r="152" spans="1:3" x14ac:dyDescent="0.25">
      <c r="A152" t="str">
        <f>IF(Monthly!A152="","",Monthly!A152)</f>
        <v/>
      </c>
      <c r="B152" s="7" t="e">
        <f>IF(AND(A152&gt;=Dashboard!$F$5,A152&lt;=Dashboard!$J$5,A152&lt;&gt;""),SUMIFS(DashboardData!$D:$D,DashboardData!$A:$A,IF(Dashboard!$B$5="All","*",Dashboard!$B$5),DashboardData!$B:$B,A152),NA())</f>
        <v>#N/A</v>
      </c>
      <c r="C152" s="7" t="e">
        <f>IF(AND(A152&gt;=Dashboard!$F$5,A152&lt;=Dashboard!$J$5,A152&lt;&gt;""),-SUMIFS(DashboardData!$E:$E,DashboardData!$A:$A,IF(Dashboard!$B$5="All","*",Dashboard!$B$5),DashboardData!$B:$B,A152),NA())</f>
        <v>#N/A</v>
      </c>
    </row>
    <row r="153" spans="1:3" x14ac:dyDescent="0.25">
      <c r="A153" t="str">
        <f>IF(Monthly!A153="","",Monthly!A153)</f>
        <v/>
      </c>
      <c r="B153" s="7" t="e">
        <f>IF(AND(A153&gt;=Dashboard!$F$5,A153&lt;=Dashboard!$J$5,A153&lt;&gt;""),SUMIFS(DashboardData!$D:$D,DashboardData!$A:$A,IF(Dashboard!$B$5="All","*",Dashboard!$B$5),DashboardData!$B:$B,A153),NA())</f>
        <v>#N/A</v>
      </c>
      <c r="C153" s="7" t="e">
        <f>IF(AND(A153&gt;=Dashboard!$F$5,A153&lt;=Dashboard!$J$5,A153&lt;&gt;""),-SUMIFS(DashboardData!$E:$E,DashboardData!$A:$A,IF(Dashboard!$B$5="All","*",Dashboard!$B$5),DashboardData!$B:$B,A153),NA())</f>
        <v>#N/A</v>
      </c>
    </row>
    <row r="154" spans="1:3" x14ac:dyDescent="0.25">
      <c r="A154" t="str">
        <f>IF(Monthly!A154="","",Monthly!A154)</f>
        <v/>
      </c>
      <c r="B154" s="7" t="e">
        <f>IF(AND(A154&gt;=Dashboard!$F$5,A154&lt;=Dashboard!$J$5,A154&lt;&gt;""),SUMIFS(DashboardData!$D:$D,DashboardData!$A:$A,IF(Dashboard!$B$5="All","*",Dashboard!$B$5),DashboardData!$B:$B,A154),NA())</f>
        <v>#N/A</v>
      </c>
      <c r="C154" s="7" t="e">
        <f>IF(AND(A154&gt;=Dashboard!$F$5,A154&lt;=Dashboard!$J$5,A154&lt;&gt;""),-SUMIFS(DashboardData!$E:$E,DashboardData!$A:$A,IF(Dashboard!$B$5="All","*",Dashboard!$B$5),DashboardData!$B:$B,A154),NA())</f>
        <v>#N/A</v>
      </c>
    </row>
    <row r="155" spans="1:3" x14ac:dyDescent="0.25">
      <c r="A155" t="str">
        <f>IF(Monthly!A155="","",Monthly!A155)</f>
        <v/>
      </c>
      <c r="B155" s="7" t="e">
        <f>IF(AND(A155&gt;=Dashboard!$F$5,A155&lt;=Dashboard!$J$5,A155&lt;&gt;""),SUMIFS(DashboardData!$D:$D,DashboardData!$A:$A,IF(Dashboard!$B$5="All","*",Dashboard!$B$5),DashboardData!$B:$B,A155),NA())</f>
        <v>#N/A</v>
      </c>
      <c r="C155" s="7" t="e">
        <f>IF(AND(A155&gt;=Dashboard!$F$5,A155&lt;=Dashboard!$J$5,A155&lt;&gt;""),-SUMIFS(DashboardData!$E:$E,DashboardData!$A:$A,IF(Dashboard!$B$5="All","*",Dashboard!$B$5),DashboardData!$B:$B,A155),NA())</f>
        <v>#N/A</v>
      </c>
    </row>
    <row r="156" spans="1:3" x14ac:dyDescent="0.25">
      <c r="A156" t="str">
        <f>IF(Monthly!A156="","",Monthly!A156)</f>
        <v/>
      </c>
      <c r="B156" s="7" t="e">
        <f>IF(AND(A156&gt;=Dashboard!$F$5,A156&lt;=Dashboard!$J$5,A156&lt;&gt;""),SUMIFS(DashboardData!$D:$D,DashboardData!$A:$A,IF(Dashboard!$B$5="All","*",Dashboard!$B$5),DashboardData!$B:$B,A156),NA())</f>
        <v>#N/A</v>
      </c>
      <c r="C156" s="7" t="e">
        <f>IF(AND(A156&gt;=Dashboard!$F$5,A156&lt;=Dashboard!$J$5,A156&lt;&gt;""),-SUMIFS(DashboardData!$E:$E,DashboardData!$A:$A,IF(Dashboard!$B$5="All","*",Dashboard!$B$5),DashboardData!$B:$B,A156),NA())</f>
        <v>#N/A</v>
      </c>
    </row>
    <row r="157" spans="1:3" x14ac:dyDescent="0.25">
      <c r="A157" t="str">
        <f>IF(Monthly!A157="","",Monthly!A157)</f>
        <v/>
      </c>
      <c r="B157" s="7" t="e">
        <f>IF(AND(A157&gt;=Dashboard!$F$5,A157&lt;=Dashboard!$J$5,A157&lt;&gt;""),SUMIFS(DashboardData!$D:$D,DashboardData!$A:$A,IF(Dashboard!$B$5="All","*",Dashboard!$B$5),DashboardData!$B:$B,A157),NA())</f>
        <v>#N/A</v>
      </c>
      <c r="C157" s="7" t="e">
        <f>IF(AND(A157&gt;=Dashboard!$F$5,A157&lt;=Dashboard!$J$5,A157&lt;&gt;""),-SUMIFS(DashboardData!$E:$E,DashboardData!$A:$A,IF(Dashboard!$B$5="All","*",Dashboard!$B$5),DashboardData!$B:$B,A157),NA())</f>
        <v>#N/A</v>
      </c>
    </row>
    <row r="158" spans="1:3" x14ac:dyDescent="0.25">
      <c r="A158" t="str">
        <f>IF(Monthly!A158="","",Monthly!A158)</f>
        <v/>
      </c>
      <c r="B158" s="7" t="e">
        <f>IF(AND(A158&gt;=Dashboard!$F$5,A158&lt;=Dashboard!$J$5,A158&lt;&gt;""),SUMIFS(DashboardData!$D:$D,DashboardData!$A:$A,IF(Dashboard!$B$5="All","*",Dashboard!$B$5),DashboardData!$B:$B,A158),NA())</f>
        <v>#N/A</v>
      </c>
      <c r="C158" s="7" t="e">
        <f>IF(AND(A158&gt;=Dashboard!$F$5,A158&lt;=Dashboard!$J$5,A158&lt;&gt;""),-SUMIFS(DashboardData!$E:$E,DashboardData!$A:$A,IF(Dashboard!$B$5="All","*",Dashboard!$B$5),DashboardData!$B:$B,A158),NA())</f>
        <v>#N/A</v>
      </c>
    </row>
    <row r="159" spans="1:3" x14ac:dyDescent="0.25">
      <c r="A159" t="str">
        <f>IF(Monthly!A159="","",Monthly!A159)</f>
        <v/>
      </c>
      <c r="B159" s="7" t="e">
        <f>IF(AND(A159&gt;=Dashboard!$F$5,A159&lt;=Dashboard!$J$5,A159&lt;&gt;""),SUMIFS(DashboardData!$D:$D,DashboardData!$A:$A,IF(Dashboard!$B$5="All","*",Dashboard!$B$5),DashboardData!$B:$B,A159),NA())</f>
        <v>#N/A</v>
      </c>
      <c r="C159" s="7" t="e">
        <f>IF(AND(A159&gt;=Dashboard!$F$5,A159&lt;=Dashboard!$J$5,A159&lt;&gt;""),-SUMIFS(DashboardData!$E:$E,DashboardData!$A:$A,IF(Dashboard!$B$5="All","*",Dashboard!$B$5),DashboardData!$B:$B,A159),NA())</f>
        <v>#N/A</v>
      </c>
    </row>
    <row r="160" spans="1:3" x14ac:dyDescent="0.25">
      <c r="A160" t="str">
        <f>IF(Monthly!A160="","",Monthly!A160)</f>
        <v/>
      </c>
      <c r="B160" s="7" t="e">
        <f>IF(AND(A160&gt;=Dashboard!$F$5,A160&lt;=Dashboard!$J$5,A160&lt;&gt;""),SUMIFS(DashboardData!$D:$D,DashboardData!$A:$A,IF(Dashboard!$B$5="All","*",Dashboard!$B$5),DashboardData!$B:$B,A160),NA())</f>
        <v>#N/A</v>
      </c>
      <c r="C160" s="7" t="e">
        <f>IF(AND(A160&gt;=Dashboard!$F$5,A160&lt;=Dashboard!$J$5,A160&lt;&gt;""),-SUMIFS(DashboardData!$E:$E,DashboardData!$A:$A,IF(Dashboard!$B$5="All","*",Dashboard!$B$5),DashboardData!$B:$B,A160),NA())</f>
        <v>#N/A</v>
      </c>
    </row>
    <row r="161" spans="1:3" x14ac:dyDescent="0.25">
      <c r="A161" t="str">
        <f>IF(Monthly!A161="","",Monthly!A161)</f>
        <v/>
      </c>
      <c r="B161" s="7" t="e">
        <f>IF(AND(A161&gt;=Dashboard!$F$5,A161&lt;=Dashboard!$J$5,A161&lt;&gt;""),SUMIFS(DashboardData!$D:$D,DashboardData!$A:$A,IF(Dashboard!$B$5="All","*",Dashboard!$B$5),DashboardData!$B:$B,A161),NA())</f>
        <v>#N/A</v>
      </c>
      <c r="C161" s="7" t="e">
        <f>IF(AND(A161&gt;=Dashboard!$F$5,A161&lt;=Dashboard!$J$5,A161&lt;&gt;""),-SUMIFS(DashboardData!$E:$E,DashboardData!$A:$A,IF(Dashboard!$B$5="All","*",Dashboard!$B$5),DashboardData!$B:$B,A161),NA())</f>
        <v>#N/A</v>
      </c>
    </row>
    <row r="162" spans="1:3" x14ac:dyDescent="0.25">
      <c r="A162" t="str">
        <f>IF(Monthly!A162="","",Monthly!A162)</f>
        <v/>
      </c>
      <c r="B162" s="7" t="e">
        <f>IF(AND(A162&gt;=Dashboard!$F$5,A162&lt;=Dashboard!$J$5,A162&lt;&gt;""),SUMIFS(DashboardData!$D:$D,DashboardData!$A:$A,IF(Dashboard!$B$5="All","*",Dashboard!$B$5),DashboardData!$B:$B,A162),NA())</f>
        <v>#N/A</v>
      </c>
      <c r="C162" s="7" t="e">
        <f>IF(AND(A162&gt;=Dashboard!$F$5,A162&lt;=Dashboard!$J$5,A162&lt;&gt;""),-SUMIFS(DashboardData!$E:$E,DashboardData!$A:$A,IF(Dashboard!$B$5="All","*",Dashboard!$B$5),DashboardData!$B:$B,A162),NA())</f>
        <v>#N/A</v>
      </c>
    </row>
    <row r="163" spans="1:3" x14ac:dyDescent="0.25">
      <c r="A163" t="str">
        <f>IF(Monthly!A163="","",Monthly!A163)</f>
        <v/>
      </c>
      <c r="B163" s="7" t="e">
        <f>IF(AND(A163&gt;=Dashboard!$F$5,A163&lt;=Dashboard!$J$5,A163&lt;&gt;""),SUMIFS(DashboardData!$D:$D,DashboardData!$A:$A,IF(Dashboard!$B$5="All","*",Dashboard!$B$5),DashboardData!$B:$B,A163),NA())</f>
        <v>#N/A</v>
      </c>
      <c r="C163" s="7" t="e">
        <f>IF(AND(A163&gt;=Dashboard!$F$5,A163&lt;=Dashboard!$J$5,A163&lt;&gt;""),-SUMIFS(DashboardData!$E:$E,DashboardData!$A:$A,IF(Dashboard!$B$5="All","*",Dashboard!$B$5),DashboardData!$B:$B,A163),NA())</f>
        <v>#N/A</v>
      </c>
    </row>
    <row r="164" spans="1:3" x14ac:dyDescent="0.25">
      <c r="A164" t="str">
        <f>IF(Monthly!A164="","",Monthly!A164)</f>
        <v/>
      </c>
      <c r="B164" s="7" t="e">
        <f>IF(AND(A164&gt;=Dashboard!$F$5,A164&lt;=Dashboard!$J$5,A164&lt;&gt;""),SUMIFS(DashboardData!$D:$D,DashboardData!$A:$A,IF(Dashboard!$B$5="All","*",Dashboard!$B$5),DashboardData!$B:$B,A164),NA())</f>
        <v>#N/A</v>
      </c>
      <c r="C164" s="7" t="e">
        <f>IF(AND(A164&gt;=Dashboard!$F$5,A164&lt;=Dashboard!$J$5,A164&lt;&gt;""),-SUMIFS(DashboardData!$E:$E,DashboardData!$A:$A,IF(Dashboard!$B$5="All","*",Dashboard!$B$5),DashboardData!$B:$B,A164),NA())</f>
        <v>#N/A</v>
      </c>
    </row>
    <row r="165" spans="1:3" x14ac:dyDescent="0.25">
      <c r="A165" t="str">
        <f>IF(Monthly!A165="","",Monthly!A165)</f>
        <v/>
      </c>
      <c r="B165" s="7" t="e">
        <f>IF(AND(A165&gt;=Dashboard!$F$5,A165&lt;=Dashboard!$J$5,A165&lt;&gt;""),SUMIFS(DashboardData!$D:$D,DashboardData!$A:$A,IF(Dashboard!$B$5="All","*",Dashboard!$B$5),DashboardData!$B:$B,A165),NA())</f>
        <v>#N/A</v>
      </c>
      <c r="C165" s="7" t="e">
        <f>IF(AND(A165&gt;=Dashboard!$F$5,A165&lt;=Dashboard!$J$5,A165&lt;&gt;""),-SUMIFS(DashboardData!$E:$E,DashboardData!$A:$A,IF(Dashboard!$B$5="All","*",Dashboard!$B$5),DashboardData!$B:$B,A165),NA())</f>
        <v>#N/A</v>
      </c>
    </row>
    <row r="166" spans="1:3" x14ac:dyDescent="0.25">
      <c r="A166" t="str">
        <f>IF(Monthly!A166="","",Monthly!A166)</f>
        <v/>
      </c>
      <c r="B166" s="7" t="e">
        <f>IF(AND(A166&gt;=Dashboard!$F$5,A166&lt;=Dashboard!$J$5,A166&lt;&gt;""),SUMIFS(DashboardData!$D:$D,DashboardData!$A:$A,IF(Dashboard!$B$5="All","*",Dashboard!$B$5),DashboardData!$B:$B,A166),NA())</f>
        <v>#N/A</v>
      </c>
      <c r="C166" s="7" t="e">
        <f>IF(AND(A166&gt;=Dashboard!$F$5,A166&lt;=Dashboard!$J$5,A166&lt;&gt;""),-SUMIFS(DashboardData!$E:$E,DashboardData!$A:$A,IF(Dashboard!$B$5="All","*",Dashboard!$B$5),DashboardData!$B:$B,A166),NA())</f>
        <v>#N/A</v>
      </c>
    </row>
    <row r="167" spans="1:3" x14ac:dyDescent="0.25">
      <c r="A167" t="str">
        <f>IF(Monthly!A167="","",Monthly!A167)</f>
        <v/>
      </c>
      <c r="B167" s="7" t="e">
        <f>IF(AND(A167&gt;=Dashboard!$F$5,A167&lt;=Dashboard!$J$5,A167&lt;&gt;""),SUMIFS(DashboardData!$D:$D,DashboardData!$A:$A,IF(Dashboard!$B$5="All","*",Dashboard!$B$5),DashboardData!$B:$B,A167),NA())</f>
        <v>#N/A</v>
      </c>
      <c r="C167" s="7" t="e">
        <f>IF(AND(A167&gt;=Dashboard!$F$5,A167&lt;=Dashboard!$J$5,A167&lt;&gt;""),-SUMIFS(DashboardData!$E:$E,DashboardData!$A:$A,IF(Dashboard!$B$5="All","*",Dashboard!$B$5),DashboardData!$B:$B,A167),NA())</f>
        <v>#N/A</v>
      </c>
    </row>
    <row r="168" spans="1:3" x14ac:dyDescent="0.25">
      <c r="A168" t="str">
        <f>IF(Monthly!A168="","",Monthly!A168)</f>
        <v/>
      </c>
      <c r="B168" s="7" t="e">
        <f>IF(AND(A168&gt;=Dashboard!$F$5,A168&lt;=Dashboard!$J$5,A168&lt;&gt;""),SUMIFS(DashboardData!$D:$D,DashboardData!$A:$A,IF(Dashboard!$B$5="All","*",Dashboard!$B$5),DashboardData!$B:$B,A168),NA())</f>
        <v>#N/A</v>
      </c>
      <c r="C168" s="7" t="e">
        <f>IF(AND(A168&gt;=Dashboard!$F$5,A168&lt;=Dashboard!$J$5,A168&lt;&gt;""),-SUMIFS(DashboardData!$E:$E,DashboardData!$A:$A,IF(Dashboard!$B$5="All","*",Dashboard!$B$5),DashboardData!$B:$B,A168),NA())</f>
        <v>#N/A</v>
      </c>
    </row>
    <row r="169" spans="1:3" x14ac:dyDescent="0.25">
      <c r="A169" t="str">
        <f>IF(Monthly!A169="","",Monthly!A169)</f>
        <v/>
      </c>
      <c r="B169" s="7" t="e">
        <f>IF(AND(A169&gt;=Dashboard!$F$5,A169&lt;=Dashboard!$J$5,A169&lt;&gt;""),SUMIFS(DashboardData!$D:$D,DashboardData!$A:$A,IF(Dashboard!$B$5="All","*",Dashboard!$B$5),DashboardData!$B:$B,A169),NA())</f>
        <v>#N/A</v>
      </c>
      <c r="C169" s="7" t="e">
        <f>IF(AND(A169&gt;=Dashboard!$F$5,A169&lt;=Dashboard!$J$5,A169&lt;&gt;""),-SUMIFS(DashboardData!$E:$E,DashboardData!$A:$A,IF(Dashboard!$B$5="All","*",Dashboard!$B$5),DashboardData!$B:$B,A169),NA())</f>
        <v>#N/A</v>
      </c>
    </row>
    <row r="170" spans="1:3" x14ac:dyDescent="0.25">
      <c r="A170" t="str">
        <f>IF(Monthly!A170="","",Monthly!A170)</f>
        <v/>
      </c>
      <c r="B170" s="7" t="e">
        <f>IF(AND(A170&gt;=Dashboard!$F$5,A170&lt;=Dashboard!$J$5,A170&lt;&gt;""),SUMIFS(DashboardData!$D:$D,DashboardData!$A:$A,IF(Dashboard!$B$5="All","*",Dashboard!$B$5),DashboardData!$B:$B,A170),NA())</f>
        <v>#N/A</v>
      </c>
      <c r="C170" s="7" t="e">
        <f>IF(AND(A170&gt;=Dashboard!$F$5,A170&lt;=Dashboard!$J$5,A170&lt;&gt;""),-SUMIFS(DashboardData!$E:$E,DashboardData!$A:$A,IF(Dashboard!$B$5="All","*",Dashboard!$B$5),DashboardData!$B:$B,A170),NA())</f>
        <v>#N/A</v>
      </c>
    </row>
    <row r="171" spans="1:3" x14ac:dyDescent="0.25">
      <c r="A171" t="str">
        <f>IF(Monthly!A171="","",Monthly!A171)</f>
        <v/>
      </c>
      <c r="B171" s="7" t="e">
        <f>IF(AND(A171&gt;=Dashboard!$F$5,A171&lt;=Dashboard!$J$5,A171&lt;&gt;""),SUMIFS(DashboardData!$D:$D,DashboardData!$A:$A,IF(Dashboard!$B$5="All","*",Dashboard!$B$5),DashboardData!$B:$B,A171),NA())</f>
        <v>#N/A</v>
      </c>
      <c r="C171" s="7" t="e">
        <f>IF(AND(A171&gt;=Dashboard!$F$5,A171&lt;=Dashboard!$J$5,A171&lt;&gt;""),-SUMIFS(DashboardData!$E:$E,DashboardData!$A:$A,IF(Dashboard!$B$5="All","*",Dashboard!$B$5),DashboardData!$B:$B,A171),NA())</f>
        <v>#N/A</v>
      </c>
    </row>
    <row r="172" spans="1:3" x14ac:dyDescent="0.25">
      <c r="A172" t="str">
        <f>IF(Monthly!A172="","",Monthly!A172)</f>
        <v/>
      </c>
      <c r="B172" s="7" t="e">
        <f>IF(AND(A172&gt;=Dashboard!$F$5,A172&lt;=Dashboard!$J$5,A172&lt;&gt;""),SUMIFS(DashboardData!$D:$D,DashboardData!$A:$A,IF(Dashboard!$B$5="All","*",Dashboard!$B$5),DashboardData!$B:$B,A172),NA())</f>
        <v>#N/A</v>
      </c>
      <c r="C172" s="7" t="e">
        <f>IF(AND(A172&gt;=Dashboard!$F$5,A172&lt;=Dashboard!$J$5,A172&lt;&gt;""),-SUMIFS(DashboardData!$E:$E,DashboardData!$A:$A,IF(Dashboard!$B$5="All","*",Dashboard!$B$5),DashboardData!$B:$B,A172),NA())</f>
        <v>#N/A</v>
      </c>
    </row>
    <row r="173" spans="1:3" x14ac:dyDescent="0.25">
      <c r="A173" t="str">
        <f>IF(Monthly!A173="","",Monthly!A173)</f>
        <v/>
      </c>
      <c r="B173" s="7" t="e">
        <f>IF(AND(A173&gt;=Dashboard!$F$5,A173&lt;=Dashboard!$J$5,A173&lt;&gt;""),SUMIFS(DashboardData!$D:$D,DashboardData!$A:$A,IF(Dashboard!$B$5="All","*",Dashboard!$B$5),DashboardData!$B:$B,A173),NA())</f>
        <v>#N/A</v>
      </c>
      <c r="C173" s="7" t="e">
        <f>IF(AND(A173&gt;=Dashboard!$F$5,A173&lt;=Dashboard!$J$5,A173&lt;&gt;""),-SUMIFS(DashboardData!$E:$E,DashboardData!$A:$A,IF(Dashboard!$B$5="All","*",Dashboard!$B$5),DashboardData!$B:$B,A173),NA())</f>
        <v>#N/A</v>
      </c>
    </row>
    <row r="174" spans="1:3" x14ac:dyDescent="0.25">
      <c r="A174" t="str">
        <f>IF(Monthly!A174="","",Monthly!A174)</f>
        <v/>
      </c>
      <c r="B174" s="7" t="e">
        <f>IF(AND(A174&gt;=Dashboard!$F$5,A174&lt;=Dashboard!$J$5,A174&lt;&gt;""),SUMIFS(DashboardData!$D:$D,DashboardData!$A:$A,IF(Dashboard!$B$5="All","*",Dashboard!$B$5),DashboardData!$B:$B,A174),NA())</f>
        <v>#N/A</v>
      </c>
      <c r="C174" s="7" t="e">
        <f>IF(AND(A174&gt;=Dashboard!$F$5,A174&lt;=Dashboard!$J$5,A174&lt;&gt;""),-SUMIFS(DashboardData!$E:$E,DashboardData!$A:$A,IF(Dashboard!$B$5="All","*",Dashboard!$B$5),DashboardData!$B:$B,A174),NA())</f>
        <v>#N/A</v>
      </c>
    </row>
    <row r="175" spans="1:3" x14ac:dyDescent="0.25">
      <c r="A175" t="str">
        <f>IF(Monthly!A175="","",Monthly!A175)</f>
        <v/>
      </c>
      <c r="B175" s="7" t="e">
        <f>IF(AND(A175&gt;=Dashboard!$F$5,A175&lt;=Dashboard!$J$5,A175&lt;&gt;""),SUMIFS(DashboardData!$D:$D,DashboardData!$A:$A,IF(Dashboard!$B$5="All","*",Dashboard!$B$5),DashboardData!$B:$B,A175),NA())</f>
        <v>#N/A</v>
      </c>
      <c r="C175" s="7" t="e">
        <f>IF(AND(A175&gt;=Dashboard!$F$5,A175&lt;=Dashboard!$J$5,A175&lt;&gt;""),-SUMIFS(DashboardData!$E:$E,DashboardData!$A:$A,IF(Dashboard!$B$5="All","*",Dashboard!$B$5),DashboardData!$B:$B,A175),NA())</f>
        <v>#N/A</v>
      </c>
    </row>
    <row r="176" spans="1:3" x14ac:dyDescent="0.25">
      <c r="A176" t="str">
        <f>IF(Monthly!A176="","",Monthly!A176)</f>
        <v/>
      </c>
      <c r="B176" s="7" t="e">
        <f>IF(AND(A176&gt;=Dashboard!$F$5,A176&lt;=Dashboard!$J$5,A176&lt;&gt;""),SUMIFS(DashboardData!$D:$D,DashboardData!$A:$A,IF(Dashboard!$B$5="All","*",Dashboard!$B$5),DashboardData!$B:$B,A176),NA())</f>
        <v>#N/A</v>
      </c>
      <c r="C176" s="7" t="e">
        <f>IF(AND(A176&gt;=Dashboard!$F$5,A176&lt;=Dashboard!$J$5,A176&lt;&gt;""),-SUMIFS(DashboardData!$E:$E,DashboardData!$A:$A,IF(Dashboard!$B$5="All","*",Dashboard!$B$5),DashboardData!$B:$B,A176),NA())</f>
        <v>#N/A</v>
      </c>
    </row>
    <row r="177" spans="1:3" x14ac:dyDescent="0.25">
      <c r="A177" t="str">
        <f>IF(Monthly!A177="","",Monthly!A177)</f>
        <v/>
      </c>
      <c r="B177" s="7" t="e">
        <f>IF(AND(A177&gt;=Dashboard!$F$5,A177&lt;=Dashboard!$J$5,A177&lt;&gt;""),SUMIFS(DashboardData!$D:$D,DashboardData!$A:$A,IF(Dashboard!$B$5="All","*",Dashboard!$B$5),DashboardData!$B:$B,A177),NA())</f>
        <v>#N/A</v>
      </c>
      <c r="C177" s="7" t="e">
        <f>IF(AND(A177&gt;=Dashboard!$F$5,A177&lt;=Dashboard!$J$5,A177&lt;&gt;""),-SUMIFS(DashboardData!$E:$E,DashboardData!$A:$A,IF(Dashboard!$B$5="All","*",Dashboard!$B$5),DashboardData!$B:$B,A177),NA())</f>
        <v>#N/A</v>
      </c>
    </row>
    <row r="178" spans="1:3" x14ac:dyDescent="0.25">
      <c r="A178" t="str">
        <f>IF(Monthly!A178="","",Monthly!A178)</f>
        <v/>
      </c>
      <c r="B178" s="7" t="e">
        <f>IF(AND(A178&gt;=Dashboard!$F$5,A178&lt;=Dashboard!$J$5,A178&lt;&gt;""),SUMIFS(DashboardData!$D:$D,DashboardData!$A:$A,IF(Dashboard!$B$5="All","*",Dashboard!$B$5),DashboardData!$B:$B,A178),NA())</f>
        <v>#N/A</v>
      </c>
      <c r="C178" s="7" t="e">
        <f>IF(AND(A178&gt;=Dashboard!$F$5,A178&lt;=Dashboard!$J$5,A178&lt;&gt;""),-SUMIFS(DashboardData!$E:$E,DashboardData!$A:$A,IF(Dashboard!$B$5="All","*",Dashboard!$B$5),DashboardData!$B:$B,A178),NA())</f>
        <v>#N/A</v>
      </c>
    </row>
    <row r="179" spans="1:3" x14ac:dyDescent="0.25">
      <c r="A179" t="str">
        <f>IF(Monthly!A179="","",Monthly!A179)</f>
        <v/>
      </c>
      <c r="B179" s="7" t="e">
        <f>IF(AND(A179&gt;=Dashboard!$F$5,A179&lt;=Dashboard!$J$5,A179&lt;&gt;""),SUMIFS(DashboardData!$D:$D,DashboardData!$A:$A,IF(Dashboard!$B$5="All","*",Dashboard!$B$5),DashboardData!$B:$B,A179),NA())</f>
        <v>#N/A</v>
      </c>
      <c r="C179" s="7" t="e">
        <f>IF(AND(A179&gt;=Dashboard!$F$5,A179&lt;=Dashboard!$J$5,A179&lt;&gt;""),-SUMIFS(DashboardData!$E:$E,DashboardData!$A:$A,IF(Dashboard!$B$5="All","*",Dashboard!$B$5),DashboardData!$B:$B,A179),NA())</f>
        <v>#N/A</v>
      </c>
    </row>
    <row r="180" spans="1:3" x14ac:dyDescent="0.25">
      <c r="A180" t="str">
        <f>IF(Monthly!A180="","",Monthly!A180)</f>
        <v/>
      </c>
      <c r="B180" s="7" t="e">
        <f>IF(AND(A180&gt;=Dashboard!$F$5,A180&lt;=Dashboard!$J$5,A180&lt;&gt;""),SUMIFS(DashboardData!$D:$D,DashboardData!$A:$A,IF(Dashboard!$B$5="All","*",Dashboard!$B$5),DashboardData!$B:$B,A180),NA())</f>
        <v>#N/A</v>
      </c>
      <c r="C180" s="7" t="e">
        <f>IF(AND(A180&gt;=Dashboard!$F$5,A180&lt;=Dashboard!$J$5,A180&lt;&gt;""),-SUMIFS(DashboardData!$E:$E,DashboardData!$A:$A,IF(Dashboard!$B$5="All","*",Dashboard!$B$5),DashboardData!$B:$B,A180),NA())</f>
        <v>#N/A</v>
      </c>
    </row>
    <row r="181" spans="1:3" x14ac:dyDescent="0.25">
      <c r="A181" t="str">
        <f>IF(Monthly!A181="","",Monthly!A181)</f>
        <v/>
      </c>
      <c r="B181" s="7" t="e">
        <f>IF(AND(A181&gt;=Dashboard!$F$5,A181&lt;=Dashboard!$J$5,A181&lt;&gt;""),SUMIFS(DashboardData!$D:$D,DashboardData!$A:$A,IF(Dashboard!$B$5="All","*",Dashboard!$B$5),DashboardData!$B:$B,A181),NA())</f>
        <v>#N/A</v>
      </c>
      <c r="C181" s="7" t="e">
        <f>IF(AND(A181&gt;=Dashboard!$F$5,A181&lt;=Dashboard!$J$5,A181&lt;&gt;""),-SUMIFS(DashboardData!$E:$E,DashboardData!$A:$A,IF(Dashboard!$B$5="All","*",Dashboard!$B$5),DashboardData!$B:$B,A181),NA())</f>
        <v>#N/A</v>
      </c>
    </row>
    <row r="182" spans="1:3" x14ac:dyDescent="0.25">
      <c r="A182" t="str">
        <f>IF(Monthly!A182="","",Monthly!A182)</f>
        <v/>
      </c>
      <c r="B182" s="7" t="e">
        <f>IF(AND(A182&gt;=Dashboard!$F$5,A182&lt;=Dashboard!$J$5,A182&lt;&gt;""),SUMIFS(DashboardData!$D:$D,DashboardData!$A:$A,IF(Dashboard!$B$5="All","*",Dashboard!$B$5),DashboardData!$B:$B,A182),NA())</f>
        <v>#N/A</v>
      </c>
      <c r="C182" s="7" t="e">
        <f>IF(AND(A182&gt;=Dashboard!$F$5,A182&lt;=Dashboard!$J$5,A182&lt;&gt;""),-SUMIFS(DashboardData!$E:$E,DashboardData!$A:$A,IF(Dashboard!$B$5="All","*",Dashboard!$B$5),DashboardData!$B:$B,A182),NA())</f>
        <v>#N/A</v>
      </c>
    </row>
    <row r="183" spans="1:3" x14ac:dyDescent="0.25">
      <c r="A183" t="str">
        <f>IF(Monthly!A183="","",Monthly!A183)</f>
        <v/>
      </c>
      <c r="B183" s="7" t="e">
        <f>IF(AND(A183&gt;=Dashboard!$F$5,A183&lt;=Dashboard!$J$5,A183&lt;&gt;""),SUMIFS(DashboardData!$D:$D,DashboardData!$A:$A,IF(Dashboard!$B$5="All","*",Dashboard!$B$5),DashboardData!$B:$B,A183),NA())</f>
        <v>#N/A</v>
      </c>
      <c r="C183" s="7" t="e">
        <f>IF(AND(A183&gt;=Dashboard!$F$5,A183&lt;=Dashboard!$J$5,A183&lt;&gt;""),-SUMIFS(DashboardData!$E:$E,DashboardData!$A:$A,IF(Dashboard!$B$5="All","*",Dashboard!$B$5),DashboardData!$B:$B,A183),NA())</f>
        <v>#N/A</v>
      </c>
    </row>
    <row r="184" spans="1:3" x14ac:dyDescent="0.25">
      <c r="A184" t="str">
        <f>IF(Monthly!A184="","",Monthly!A184)</f>
        <v/>
      </c>
      <c r="B184" s="7" t="e">
        <f>IF(AND(A184&gt;=Dashboard!$F$5,A184&lt;=Dashboard!$J$5,A184&lt;&gt;""),SUMIFS(DashboardData!$D:$D,DashboardData!$A:$A,IF(Dashboard!$B$5="All","*",Dashboard!$B$5),DashboardData!$B:$B,A184),NA())</f>
        <v>#N/A</v>
      </c>
      <c r="C184" s="7" t="e">
        <f>IF(AND(A184&gt;=Dashboard!$F$5,A184&lt;=Dashboard!$J$5,A184&lt;&gt;""),-SUMIFS(DashboardData!$E:$E,DashboardData!$A:$A,IF(Dashboard!$B$5="All","*",Dashboard!$B$5),DashboardData!$B:$B,A184),NA())</f>
        <v>#N/A</v>
      </c>
    </row>
    <row r="185" spans="1:3" x14ac:dyDescent="0.25">
      <c r="A185" t="str">
        <f>IF(Monthly!A185="","",Monthly!A185)</f>
        <v/>
      </c>
      <c r="B185" s="7" t="e">
        <f>IF(AND(A185&gt;=Dashboard!$F$5,A185&lt;=Dashboard!$J$5,A185&lt;&gt;""),SUMIFS(DashboardData!$D:$D,DashboardData!$A:$A,IF(Dashboard!$B$5="All","*",Dashboard!$B$5),DashboardData!$B:$B,A185),NA())</f>
        <v>#N/A</v>
      </c>
      <c r="C185" s="7" t="e">
        <f>IF(AND(A185&gt;=Dashboard!$F$5,A185&lt;=Dashboard!$J$5,A185&lt;&gt;""),-SUMIFS(DashboardData!$E:$E,DashboardData!$A:$A,IF(Dashboard!$B$5="All","*",Dashboard!$B$5),DashboardData!$B:$B,A185),NA())</f>
        <v>#N/A</v>
      </c>
    </row>
    <row r="186" spans="1:3" x14ac:dyDescent="0.25">
      <c r="A186" t="str">
        <f>IF(Monthly!A186="","",Monthly!A186)</f>
        <v/>
      </c>
      <c r="B186" s="7" t="e">
        <f>IF(AND(A186&gt;=Dashboard!$F$5,A186&lt;=Dashboard!$J$5,A186&lt;&gt;""),SUMIFS(DashboardData!$D:$D,DashboardData!$A:$A,IF(Dashboard!$B$5="All","*",Dashboard!$B$5),DashboardData!$B:$B,A186),NA())</f>
        <v>#N/A</v>
      </c>
      <c r="C186" s="7" t="e">
        <f>IF(AND(A186&gt;=Dashboard!$F$5,A186&lt;=Dashboard!$J$5,A186&lt;&gt;""),-SUMIFS(DashboardData!$E:$E,DashboardData!$A:$A,IF(Dashboard!$B$5="All","*",Dashboard!$B$5),DashboardData!$B:$B,A186),NA())</f>
        <v>#N/A</v>
      </c>
    </row>
    <row r="187" spans="1:3" x14ac:dyDescent="0.25">
      <c r="A187" t="str">
        <f>IF(Monthly!A187="","",Monthly!A187)</f>
        <v/>
      </c>
      <c r="B187" s="7" t="e">
        <f>IF(AND(A187&gt;=Dashboard!$F$5,A187&lt;=Dashboard!$J$5,A187&lt;&gt;""),SUMIFS(DashboardData!$D:$D,DashboardData!$A:$A,IF(Dashboard!$B$5="All","*",Dashboard!$B$5),DashboardData!$B:$B,A187),NA())</f>
        <v>#N/A</v>
      </c>
      <c r="C187" s="7" t="e">
        <f>IF(AND(A187&gt;=Dashboard!$F$5,A187&lt;=Dashboard!$J$5,A187&lt;&gt;""),-SUMIFS(DashboardData!$E:$E,DashboardData!$A:$A,IF(Dashboard!$B$5="All","*",Dashboard!$B$5),DashboardData!$B:$B,A187),NA())</f>
        <v>#N/A</v>
      </c>
    </row>
    <row r="188" spans="1:3" x14ac:dyDescent="0.25">
      <c r="A188" t="str">
        <f>IF(Monthly!A188="","",Monthly!A188)</f>
        <v/>
      </c>
      <c r="B188" s="7" t="e">
        <f>IF(AND(A188&gt;=Dashboard!$F$5,A188&lt;=Dashboard!$J$5,A188&lt;&gt;""),SUMIFS(DashboardData!$D:$D,DashboardData!$A:$A,IF(Dashboard!$B$5="All","*",Dashboard!$B$5),DashboardData!$B:$B,A188),NA())</f>
        <v>#N/A</v>
      </c>
      <c r="C188" s="7" t="e">
        <f>IF(AND(A188&gt;=Dashboard!$F$5,A188&lt;=Dashboard!$J$5,A188&lt;&gt;""),-SUMIFS(DashboardData!$E:$E,DashboardData!$A:$A,IF(Dashboard!$B$5="All","*",Dashboard!$B$5),DashboardData!$B:$B,A188),NA())</f>
        <v>#N/A</v>
      </c>
    </row>
    <row r="189" spans="1:3" x14ac:dyDescent="0.25">
      <c r="A189" t="str">
        <f>IF(Monthly!A189="","",Monthly!A189)</f>
        <v/>
      </c>
      <c r="B189" s="7" t="e">
        <f>IF(AND(A189&gt;=Dashboard!$F$5,A189&lt;=Dashboard!$J$5,A189&lt;&gt;""),SUMIFS(DashboardData!$D:$D,DashboardData!$A:$A,IF(Dashboard!$B$5="All","*",Dashboard!$B$5),DashboardData!$B:$B,A189),NA())</f>
        <v>#N/A</v>
      </c>
      <c r="C189" s="7" t="e">
        <f>IF(AND(A189&gt;=Dashboard!$F$5,A189&lt;=Dashboard!$J$5,A189&lt;&gt;""),-SUMIFS(DashboardData!$E:$E,DashboardData!$A:$A,IF(Dashboard!$B$5="All","*",Dashboard!$B$5),DashboardData!$B:$B,A189),NA())</f>
        <v>#N/A</v>
      </c>
    </row>
    <row r="190" spans="1:3" x14ac:dyDescent="0.25">
      <c r="A190" t="str">
        <f>IF(Monthly!A190="","",Monthly!A190)</f>
        <v/>
      </c>
      <c r="B190" s="7" t="e">
        <f>IF(AND(A190&gt;=Dashboard!$F$5,A190&lt;=Dashboard!$J$5,A190&lt;&gt;""),SUMIFS(DashboardData!$D:$D,DashboardData!$A:$A,IF(Dashboard!$B$5="All","*",Dashboard!$B$5),DashboardData!$B:$B,A190),NA())</f>
        <v>#N/A</v>
      </c>
      <c r="C190" s="7" t="e">
        <f>IF(AND(A190&gt;=Dashboard!$F$5,A190&lt;=Dashboard!$J$5,A190&lt;&gt;""),-SUMIFS(DashboardData!$E:$E,DashboardData!$A:$A,IF(Dashboard!$B$5="All","*",Dashboard!$B$5),DashboardData!$B:$B,A190),NA())</f>
        <v>#N/A</v>
      </c>
    </row>
    <row r="191" spans="1:3" x14ac:dyDescent="0.25">
      <c r="A191" t="str">
        <f>IF(Monthly!A191="","",Monthly!A191)</f>
        <v/>
      </c>
      <c r="B191" s="7" t="e">
        <f>IF(AND(A191&gt;=Dashboard!$F$5,A191&lt;=Dashboard!$J$5,A191&lt;&gt;""),SUMIFS(DashboardData!$D:$D,DashboardData!$A:$A,IF(Dashboard!$B$5="All","*",Dashboard!$B$5),DashboardData!$B:$B,A191),NA())</f>
        <v>#N/A</v>
      </c>
      <c r="C191" s="7" t="e">
        <f>IF(AND(A191&gt;=Dashboard!$F$5,A191&lt;=Dashboard!$J$5,A191&lt;&gt;""),-SUMIFS(DashboardData!$E:$E,DashboardData!$A:$A,IF(Dashboard!$B$5="All","*",Dashboard!$B$5),DashboardData!$B:$B,A191),NA())</f>
        <v>#N/A</v>
      </c>
    </row>
    <row r="192" spans="1:3" x14ac:dyDescent="0.25">
      <c r="A192" t="str">
        <f>IF(Monthly!A192="","",Monthly!A192)</f>
        <v/>
      </c>
      <c r="B192" s="7" t="e">
        <f>IF(AND(A192&gt;=Dashboard!$F$5,A192&lt;=Dashboard!$J$5,A192&lt;&gt;""),SUMIFS(DashboardData!$D:$D,DashboardData!$A:$A,IF(Dashboard!$B$5="All","*",Dashboard!$B$5),DashboardData!$B:$B,A192),NA())</f>
        <v>#N/A</v>
      </c>
      <c r="C192" s="7" t="e">
        <f>IF(AND(A192&gt;=Dashboard!$F$5,A192&lt;=Dashboard!$J$5,A192&lt;&gt;""),-SUMIFS(DashboardData!$E:$E,DashboardData!$A:$A,IF(Dashboard!$B$5="All","*",Dashboard!$B$5),DashboardData!$B:$B,A192),NA())</f>
        <v>#N/A</v>
      </c>
    </row>
    <row r="193" spans="1:3" x14ac:dyDescent="0.25">
      <c r="A193" t="str">
        <f>IF(Monthly!A193="","",Monthly!A193)</f>
        <v/>
      </c>
      <c r="B193" s="7" t="e">
        <f>IF(AND(A193&gt;=Dashboard!$F$5,A193&lt;=Dashboard!$J$5,A193&lt;&gt;""),SUMIFS(DashboardData!$D:$D,DashboardData!$A:$A,IF(Dashboard!$B$5="All","*",Dashboard!$B$5),DashboardData!$B:$B,A193),NA())</f>
        <v>#N/A</v>
      </c>
      <c r="C193" s="7" t="e">
        <f>IF(AND(A193&gt;=Dashboard!$F$5,A193&lt;=Dashboard!$J$5,A193&lt;&gt;""),-SUMIFS(DashboardData!$E:$E,DashboardData!$A:$A,IF(Dashboard!$B$5="All","*",Dashboard!$B$5),DashboardData!$B:$B,A193),NA())</f>
        <v>#N/A</v>
      </c>
    </row>
    <row r="194" spans="1:3" x14ac:dyDescent="0.25">
      <c r="A194" t="str">
        <f>IF(Monthly!A194="","",Monthly!A194)</f>
        <v/>
      </c>
      <c r="B194" s="7" t="e">
        <f>IF(AND(A194&gt;=Dashboard!$F$5,A194&lt;=Dashboard!$J$5,A194&lt;&gt;""),SUMIFS(DashboardData!$D:$D,DashboardData!$A:$A,IF(Dashboard!$B$5="All","*",Dashboard!$B$5),DashboardData!$B:$B,A194),NA())</f>
        <v>#N/A</v>
      </c>
      <c r="C194" s="7" t="e">
        <f>IF(AND(A194&gt;=Dashboard!$F$5,A194&lt;=Dashboard!$J$5,A194&lt;&gt;""),-SUMIFS(DashboardData!$E:$E,DashboardData!$A:$A,IF(Dashboard!$B$5="All","*",Dashboard!$B$5),DashboardData!$B:$B,A194),NA())</f>
        <v>#N/A</v>
      </c>
    </row>
    <row r="195" spans="1:3" x14ac:dyDescent="0.25">
      <c r="A195" t="str">
        <f>IF(Monthly!A195="","",Monthly!A195)</f>
        <v/>
      </c>
      <c r="B195" s="7" t="e">
        <f>IF(AND(A195&gt;=Dashboard!$F$5,A195&lt;=Dashboard!$J$5,A195&lt;&gt;""),SUMIFS(DashboardData!$D:$D,DashboardData!$A:$A,IF(Dashboard!$B$5="All","*",Dashboard!$B$5),DashboardData!$B:$B,A195),NA())</f>
        <v>#N/A</v>
      </c>
      <c r="C195" s="7" t="e">
        <f>IF(AND(A195&gt;=Dashboard!$F$5,A195&lt;=Dashboard!$J$5,A195&lt;&gt;""),-SUMIFS(DashboardData!$E:$E,DashboardData!$A:$A,IF(Dashboard!$B$5="All","*",Dashboard!$B$5),DashboardData!$B:$B,A195),NA())</f>
        <v>#N/A</v>
      </c>
    </row>
    <row r="196" spans="1:3" x14ac:dyDescent="0.25">
      <c r="A196" t="str">
        <f>IF(Monthly!A196="","",Monthly!A196)</f>
        <v/>
      </c>
      <c r="B196" s="7" t="e">
        <f>IF(AND(A196&gt;=Dashboard!$F$5,A196&lt;=Dashboard!$J$5,A196&lt;&gt;""),SUMIFS(DashboardData!$D:$D,DashboardData!$A:$A,IF(Dashboard!$B$5="All","*",Dashboard!$B$5),DashboardData!$B:$B,A196),NA())</f>
        <v>#N/A</v>
      </c>
      <c r="C196" s="7" t="e">
        <f>IF(AND(A196&gt;=Dashboard!$F$5,A196&lt;=Dashboard!$J$5,A196&lt;&gt;""),-SUMIFS(DashboardData!$E:$E,DashboardData!$A:$A,IF(Dashboard!$B$5="All","*",Dashboard!$B$5),DashboardData!$B:$B,A196),NA())</f>
        <v>#N/A</v>
      </c>
    </row>
    <row r="197" spans="1:3" x14ac:dyDescent="0.25">
      <c r="A197" t="str">
        <f>IF(Monthly!A197="","",Monthly!A197)</f>
        <v/>
      </c>
      <c r="B197" s="7" t="e">
        <f>IF(AND(A197&gt;=Dashboard!$F$5,A197&lt;=Dashboard!$J$5,A197&lt;&gt;""),SUMIFS(DashboardData!$D:$D,DashboardData!$A:$A,IF(Dashboard!$B$5="All","*",Dashboard!$B$5),DashboardData!$B:$B,A197),NA())</f>
        <v>#N/A</v>
      </c>
      <c r="C197" s="7" t="e">
        <f>IF(AND(A197&gt;=Dashboard!$F$5,A197&lt;=Dashboard!$J$5,A197&lt;&gt;""),-SUMIFS(DashboardData!$E:$E,DashboardData!$A:$A,IF(Dashboard!$B$5="All","*",Dashboard!$B$5),DashboardData!$B:$B,A197),NA())</f>
        <v>#N/A</v>
      </c>
    </row>
    <row r="198" spans="1:3" x14ac:dyDescent="0.25">
      <c r="A198" t="str">
        <f>IF(Monthly!A198="","",Monthly!A198)</f>
        <v/>
      </c>
      <c r="B198" s="7" t="e">
        <f>IF(AND(A198&gt;=Dashboard!$F$5,A198&lt;=Dashboard!$J$5,A198&lt;&gt;""),SUMIFS(DashboardData!$D:$D,DashboardData!$A:$A,IF(Dashboard!$B$5="All","*",Dashboard!$B$5),DashboardData!$B:$B,A198),NA())</f>
        <v>#N/A</v>
      </c>
      <c r="C198" s="7" t="e">
        <f>IF(AND(A198&gt;=Dashboard!$F$5,A198&lt;=Dashboard!$J$5,A198&lt;&gt;""),-SUMIFS(DashboardData!$E:$E,DashboardData!$A:$A,IF(Dashboard!$B$5="All","*",Dashboard!$B$5),DashboardData!$B:$B,A198),NA())</f>
        <v>#N/A</v>
      </c>
    </row>
    <row r="199" spans="1:3" x14ac:dyDescent="0.25">
      <c r="A199" t="str">
        <f>IF(Monthly!A199="","",Monthly!A199)</f>
        <v/>
      </c>
      <c r="B199" s="7" t="e">
        <f>IF(AND(A199&gt;=Dashboard!$F$5,A199&lt;=Dashboard!$J$5,A199&lt;&gt;""),SUMIFS(DashboardData!$D:$D,DashboardData!$A:$A,IF(Dashboard!$B$5="All","*",Dashboard!$B$5),DashboardData!$B:$B,A199),NA())</f>
        <v>#N/A</v>
      </c>
      <c r="C199" s="7" t="e">
        <f>IF(AND(A199&gt;=Dashboard!$F$5,A199&lt;=Dashboard!$J$5,A199&lt;&gt;""),-SUMIFS(DashboardData!$E:$E,DashboardData!$A:$A,IF(Dashboard!$B$5="All","*",Dashboard!$B$5),DashboardData!$B:$B,A199),NA())</f>
        <v>#N/A</v>
      </c>
    </row>
    <row r="200" spans="1:3" x14ac:dyDescent="0.25">
      <c r="A200" t="str">
        <f>IF(Monthly!A200="","",Monthly!A200)</f>
        <v/>
      </c>
      <c r="B200" s="7" t="e">
        <f>IF(AND(A200&gt;=Dashboard!$F$5,A200&lt;=Dashboard!$J$5,A200&lt;&gt;""),SUMIFS(DashboardData!$D:$D,DashboardData!$A:$A,IF(Dashboard!$B$5="All","*",Dashboard!$B$5),DashboardData!$B:$B,A200),NA())</f>
        <v>#N/A</v>
      </c>
      <c r="C200" s="7" t="e">
        <f>IF(AND(A200&gt;=Dashboard!$F$5,A200&lt;=Dashboard!$J$5,A200&lt;&gt;""),-SUMIFS(DashboardData!$E:$E,DashboardData!$A:$A,IF(Dashboard!$B$5="All","*",Dashboard!$B$5),DashboardData!$B:$B,A200),NA())</f>
        <v>#N/A</v>
      </c>
    </row>
    <row r="201" spans="1:3" x14ac:dyDescent="0.25">
      <c r="A201" t="str">
        <f>IF(Monthly!A201="","",Monthly!A201)</f>
        <v/>
      </c>
      <c r="B201" s="7" t="e">
        <f>IF(AND(A201&gt;=Dashboard!$F$5,A201&lt;=Dashboard!$J$5,A201&lt;&gt;""),SUMIFS(DashboardData!$D:$D,DashboardData!$A:$A,IF(Dashboard!$B$5="All","*",Dashboard!$B$5),DashboardData!$B:$B,A201),NA())</f>
        <v>#N/A</v>
      </c>
      <c r="C201" s="7" t="e">
        <f>IF(AND(A201&gt;=Dashboard!$F$5,A201&lt;=Dashboard!$J$5,A201&lt;&gt;""),-SUMIFS(DashboardData!$E:$E,DashboardData!$A:$A,IF(Dashboard!$B$5="All","*",Dashboard!$B$5),DashboardData!$B:$B,A201),NA())</f>
        <v>#N/A</v>
      </c>
    </row>
    <row r="202" spans="1:3" x14ac:dyDescent="0.25">
      <c r="A202" t="str">
        <f>IF(Monthly!A202="","",Monthly!A202)</f>
        <v/>
      </c>
      <c r="B202" s="7" t="e">
        <f>IF(AND(A202&gt;=Dashboard!$F$5,A202&lt;=Dashboard!$J$5,A202&lt;&gt;""),SUMIFS(DashboardData!$D:$D,DashboardData!$A:$A,IF(Dashboard!$B$5="All","*",Dashboard!$B$5),DashboardData!$B:$B,A202),NA())</f>
        <v>#N/A</v>
      </c>
      <c r="C202" s="7" t="e">
        <f>IF(AND(A202&gt;=Dashboard!$F$5,A202&lt;=Dashboard!$J$5,A202&lt;&gt;""),-SUMIFS(DashboardData!$E:$E,DashboardData!$A:$A,IF(Dashboard!$B$5="All","*",Dashboard!$B$5),DashboardData!$B:$B,A202),NA())</f>
        <v>#N/A</v>
      </c>
    </row>
    <row r="203" spans="1:3" x14ac:dyDescent="0.25">
      <c r="A203" t="str">
        <f>IF(Monthly!A203="","",Monthly!A203)</f>
        <v/>
      </c>
      <c r="B203" s="7" t="e">
        <f>IF(AND(A203&gt;=Dashboard!$F$5,A203&lt;=Dashboard!$J$5,A203&lt;&gt;""),SUMIFS(DashboardData!$D:$D,DashboardData!$A:$A,IF(Dashboard!$B$5="All","*",Dashboard!$B$5),DashboardData!$B:$B,A203),NA())</f>
        <v>#N/A</v>
      </c>
      <c r="C203" s="7" t="e">
        <f>IF(AND(A203&gt;=Dashboard!$F$5,A203&lt;=Dashboard!$J$5,A203&lt;&gt;""),-SUMIFS(DashboardData!$E:$E,DashboardData!$A:$A,IF(Dashboard!$B$5="All","*",Dashboard!$B$5),DashboardData!$B:$B,A203),NA())</f>
        <v>#N/A</v>
      </c>
    </row>
    <row r="204" spans="1:3" x14ac:dyDescent="0.25">
      <c r="A204" t="str">
        <f>IF(Monthly!A204="","",Monthly!A204)</f>
        <v/>
      </c>
      <c r="B204" s="7" t="e">
        <f>IF(AND(A204&gt;=Dashboard!$F$5,A204&lt;=Dashboard!$J$5,A204&lt;&gt;""),SUMIFS(DashboardData!$D:$D,DashboardData!$A:$A,IF(Dashboard!$B$5="All","*",Dashboard!$B$5),DashboardData!$B:$B,A204),NA())</f>
        <v>#N/A</v>
      </c>
      <c r="C204" s="7" t="e">
        <f>IF(AND(A204&gt;=Dashboard!$F$5,A204&lt;=Dashboard!$J$5,A204&lt;&gt;""),-SUMIFS(DashboardData!$E:$E,DashboardData!$A:$A,IF(Dashboard!$B$5="All","*",Dashboard!$B$5),DashboardData!$B:$B,A204),NA())</f>
        <v>#N/A</v>
      </c>
    </row>
    <row r="205" spans="1:3" x14ac:dyDescent="0.25">
      <c r="A205" t="str">
        <f>IF(Monthly!A205="","",Monthly!A205)</f>
        <v/>
      </c>
      <c r="B205" s="7" t="e">
        <f>IF(AND(A205&gt;=Dashboard!$F$5,A205&lt;=Dashboard!$J$5,A205&lt;&gt;""),SUMIFS(DashboardData!$D:$D,DashboardData!$A:$A,IF(Dashboard!$B$5="All","*",Dashboard!$B$5),DashboardData!$B:$B,A205),NA())</f>
        <v>#N/A</v>
      </c>
      <c r="C205" s="7" t="e">
        <f>IF(AND(A205&gt;=Dashboard!$F$5,A205&lt;=Dashboard!$J$5,A205&lt;&gt;""),-SUMIFS(DashboardData!$E:$E,DashboardData!$A:$A,IF(Dashboard!$B$5="All","*",Dashboard!$B$5),DashboardData!$B:$B,A205),NA())</f>
        <v>#N/A</v>
      </c>
    </row>
    <row r="206" spans="1:3" x14ac:dyDescent="0.25">
      <c r="A206" t="str">
        <f>IF(Monthly!A206="","",Monthly!A206)</f>
        <v/>
      </c>
      <c r="B206" s="7" t="e">
        <f>IF(AND(A206&gt;=Dashboard!$F$5,A206&lt;=Dashboard!$J$5,A206&lt;&gt;""),SUMIFS(DashboardData!$D:$D,DashboardData!$A:$A,IF(Dashboard!$B$5="All","*",Dashboard!$B$5),DashboardData!$B:$B,A206),NA())</f>
        <v>#N/A</v>
      </c>
      <c r="C206" s="7" t="e">
        <f>IF(AND(A206&gt;=Dashboard!$F$5,A206&lt;=Dashboard!$J$5,A206&lt;&gt;""),-SUMIFS(DashboardData!$E:$E,DashboardData!$A:$A,IF(Dashboard!$B$5="All","*",Dashboard!$B$5),DashboardData!$B:$B,A206),NA())</f>
        <v>#N/A</v>
      </c>
    </row>
    <row r="207" spans="1:3" x14ac:dyDescent="0.25">
      <c r="A207" t="str">
        <f>IF(Monthly!A207="","",Monthly!A207)</f>
        <v/>
      </c>
      <c r="B207" s="7" t="e">
        <f>IF(AND(A207&gt;=Dashboard!$F$5,A207&lt;=Dashboard!$J$5,A207&lt;&gt;""),SUMIFS(DashboardData!$D:$D,DashboardData!$A:$A,IF(Dashboard!$B$5="All","*",Dashboard!$B$5),DashboardData!$B:$B,A207),NA())</f>
        <v>#N/A</v>
      </c>
      <c r="C207" s="7" t="e">
        <f>IF(AND(A207&gt;=Dashboard!$F$5,A207&lt;=Dashboard!$J$5,A207&lt;&gt;""),-SUMIFS(DashboardData!$E:$E,DashboardData!$A:$A,IF(Dashboard!$B$5="All","*",Dashboard!$B$5),DashboardData!$B:$B,A207),NA())</f>
        <v>#N/A</v>
      </c>
    </row>
    <row r="208" spans="1:3" x14ac:dyDescent="0.25">
      <c r="A208" t="str">
        <f>IF(Monthly!A208="","",Monthly!A208)</f>
        <v/>
      </c>
      <c r="B208" s="7" t="e">
        <f>IF(AND(A208&gt;=Dashboard!$F$5,A208&lt;=Dashboard!$J$5,A208&lt;&gt;""),SUMIFS(DashboardData!$D:$D,DashboardData!$A:$A,IF(Dashboard!$B$5="All","*",Dashboard!$B$5),DashboardData!$B:$B,A208),NA())</f>
        <v>#N/A</v>
      </c>
      <c r="C208" s="7" t="e">
        <f>IF(AND(A208&gt;=Dashboard!$F$5,A208&lt;=Dashboard!$J$5,A208&lt;&gt;""),-SUMIFS(DashboardData!$E:$E,DashboardData!$A:$A,IF(Dashboard!$B$5="All","*",Dashboard!$B$5),DashboardData!$B:$B,A208),NA())</f>
        <v>#N/A</v>
      </c>
    </row>
    <row r="209" spans="1:3" x14ac:dyDescent="0.25">
      <c r="A209" t="str">
        <f>IF(Monthly!A209="","",Monthly!A209)</f>
        <v/>
      </c>
      <c r="B209" s="7" t="e">
        <f>IF(AND(A209&gt;=Dashboard!$F$5,A209&lt;=Dashboard!$J$5,A209&lt;&gt;""),SUMIFS(DashboardData!$D:$D,DashboardData!$A:$A,IF(Dashboard!$B$5="All","*",Dashboard!$B$5),DashboardData!$B:$B,A209),NA())</f>
        <v>#N/A</v>
      </c>
      <c r="C209" s="7" t="e">
        <f>IF(AND(A209&gt;=Dashboard!$F$5,A209&lt;=Dashboard!$J$5,A209&lt;&gt;""),-SUMIFS(DashboardData!$E:$E,DashboardData!$A:$A,IF(Dashboard!$B$5="All","*",Dashboard!$B$5),DashboardData!$B:$B,A209),NA())</f>
        <v>#N/A</v>
      </c>
    </row>
    <row r="210" spans="1:3" x14ac:dyDescent="0.25">
      <c r="A210" t="str">
        <f>IF(Monthly!A210="","",Monthly!A210)</f>
        <v/>
      </c>
      <c r="B210" s="7" t="e">
        <f>IF(AND(A210&gt;=Dashboard!$F$5,A210&lt;=Dashboard!$J$5,A210&lt;&gt;""),SUMIFS(DashboardData!$D:$D,DashboardData!$A:$A,IF(Dashboard!$B$5="All","*",Dashboard!$B$5),DashboardData!$B:$B,A210),NA())</f>
        <v>#N/A</v>
      </c>
      <c r="C210" s="7" t="e">
        <f>IF(AND(A210&gt;=Dashboard!$F$5,A210&lt;=Dashboard!$J$5,A210&lt;&gt;""),-SUMIFS(DashboardData!$E:$E,DashboardData!$A:$A,IF(Dashboard!$B$5="All","*",Dashboard!$B$5),DashboardData!$B:$B,A210),NA())</f>
        <v>#N/A</v>
      </c>
    </row>
    <row r="211" spans="1:3" x14ac:dyDescent="0.25">
      <c r="A211" t="str">
        <f>IF(Monthly!A211="","",Monthly!A211)</f>
        <v/>
      </c>
      <c r="B211" s="7" t="e">
        <f>IF(AND(A211&gt;=Dashboard!$F$5,A211&lt;=Dashboard!$J$5,A211&lt;&gt;""),SUMIFS(DashboardData!$D:$D,DashboardData!$A:$A,IF(Dashboard!$B$5="All","*",Dashboard!$B$5),DashboardData!$B:$B,A211),NA())</f>
        <v>#N/A</v>
      </c>
      <c r="C211" s="7" t="e">
        <f>IF(AND(A211&gt;=Dashboard!$F$5,A211&lt;=Dashboard!$J$5,A211&lt;&gt;""),-SUMIFS(DashboardData!$E:$E,DashboardData!$A:$A,IF(Dashboard!$B$5="All","*",Dashboard!$B$5),DashboardData!$B:$B,A211),NA())</f>
        <v>#N/A</v>
      </c>
    </row>
    <row r="212" spans="1:3" x14ac:dyDescent="0.25">
      <c r="A212" t="str">
        <f>IF(Monthly!A212="","",Monthly!A212)</f>
        <v/>
      </c>
      <c r="B212" s="7" t="e">
        <f>IF(AND(A212&gt;=Dashboard!$F$5,A212&lt;=Dashboard!$J$5,A212&lt;&gt;""),SUMIFS(DashboardData!$D:$D,DashboardData!$A:$A,IF(Dashboard!$B$5="All","*",Dashboard!$B$5),DashboardData!$B:$B,A212),NA())</f>
        <v>#N/A</v>
      </c>
      <c r="C212" s="7" t="e">
        <f>IF(AND(A212&gt;=Dashboard!$F$5,A212&lt;=Dashboard!$J$5,A212&lt;&gt;""),-SUMIFS(DashboardData!$E:$E,DashboardData!$A:$A,IF(Dashboard!$B$5="All","*",Dashboard!$B$5),DashboardData!$B:$B,A212),NA())</f>
        <v>#N/A</v>
      </c>
    </row>
    <row r="213" spans="1:3" x14ac:dyDescent="0.25">
      <c r="A213" t="str">
        <f>IF(Monthly!A213="","",Monthly!A213)</f>
        <v/>
      </c>
      <c r="B213" s="7" t="e">
        <f>IF(AND(A213&gt;=Dashboard!$F$5,A213&lt;=Dashboard!$J$5,A213&lt;&gt;""),SUMIFS(DashboardData!$D:$D,DashboardData!$A:$A,IF(Dashboard!$B$5="All","*",Dashboard!$B$5),DashboardData!$B:$B,A213),NA())</f>
        <v>#N/A</v>
      </c>
      <c r="C213" s="7" t="e">
        <f>IF(AND(A213&gt;=Dashboard!$F$5,A213&lt;=Dashboard!$J$5,A213&lt;&gt;""),-SUMIFS(DashboardData!$E:$E,DashboardData!$A:$A,IF(Dashboard!$B$5="All","*",Dashboard!$B$5),DashboardData!$B:$B,A213),NA())</f>
        <v>#N/A</v>
      </c>
    </row>
    <row r="214" spans="1:3" x14ac:dyDescent="0.25">
      <c r="A214" t="str">
        <f>IF(Monthly!A214="","",Monthly!A214)</f>
        <v/>
      </c>
      <c r="B214" s="7" t="e">
        <f>IF(AND(A214&gt;=Dashboard!$F$5,A214&lt;=Dashboard!$J$5,A214&lt;&gt;""),SUMIFS(DashboardData!$D:$D,DashboardData!$A:$A,IF(Dashboard!$B$5="All","*",Dashboard!$B$5),DashboardData!$B:$B,A214),NA())</f>
        <v>#N/A</v>
      </c>
      <c r="C214" s="7" t="e">
        <f>IF(AND(A214&gt;=Dashboard!$F$5,A214&lt;=Dashboard!$J$5,A214&lt;&gt;""),-SUMIFS(DashboardData!$E:$E,DashboardData!$A:$A,IF(Dashboard!$B$5="All","*",Dashboard!$B$5),DashboardData!$B:$B,A214),NA())</f>
        <v>#N/A</v>
      </c>
    </row>
    <row r="215" spans="1:3" x14ac:dyDescent="0.25">
      <c r="A215" t="str">
        <f>IF(Monthly!A215="","",Monthly!A215)</f>
        <v/>
      </c>
      <c r="B215" s="7" t="e">
        <f>IF(AND(A215&gt;=Dashboard!$F$5,A215&lt;=Dashboard!$J$5,A215&lt;&gt;""),SUMIFS(DashboardData!$D:$D,DashboardData!$A:$A,IF(Dashboard!$B$5="All","*",Dashboard!$B$5),DashboardData!$B:$B,A215),NA())</f>
        <v>#N/A</v>
      </c>
      <c r="C215" s="7" t="e">
        <f>IF(AND(A215&gt;=Dashboard!$F$5,A215&lt;=Dashboard!$J$5,A215&lt;&gt;""),-SUMIFS(DashboardData!$E:$E,DashboardData!$A:$A,IF(Dashboard!$B$5="All","*",Dashboard!$B$5),DashboardData!$B:$B,A215),NA())</f>
        <v>#N/A</v>
      </c>
    </row>
    <row r="216" spans="1:3" x14ac:dyDescent="0.25">
      <c r="A216" t="str">
        <f>IF(Monthly!A216="","",Monthly!A216)</f>
        <v/>
      </c>
      <c r="B216" s="7" t="e">
        <f>IF(AND(A216&gt;=Dashboard!$F$5,A216&lt;=Dashboard!$J$5,A216&lt;&gt;""),SUMIFS(DashboardData!$D:$D,DashboardData!$A:$A,IF(Dashboard!$B$5="All","*",Dashboard!$B$5),DashboardData!$B:$B,A216),NA())</f>
        <v>#N/A</v>
      </c>
      <c r="C216" s="7" t="e">
        <f>IF(AND(A216&gt;=Dashboard!$F$5,A216&lt;=Dashboard!$J$5,A216&lt;&gt;""),-SUMIFS(DashboardData!$E:$E,DashboardData!$A:$A,IF(Dashboard!$B$5="All","*",Dashboard!$B$5),DashboardData!$B:$B,A216),NA())</f>
        <v>#N/A</v>
      </c>
    </row>
    <row r="217" spans="1:3" x14ac:dyDescent="0.25">
      <c r="A217" t="str">
        <f>IF(Monthly!A217="","",Monthly!A217)</f>
        <v/>
      </c>
      <c r="B217" s="7" t="e">
        <f>IF(AND(A217&gt;=Dashboard!$F$5,A217&lt;=Dashboard!$J$5,A217&lt;&gt;""),SUMIFS(DashboardData!$D:$D,DashboardData!$A:$A,IF(Dashboard!$B$5="All","*",Dashboard!$B$5),DashboardData!$B:$B,A217),NA())</f>
        <v>#N/A</v>
      </c>
      <c r="C217" s="7" t="e">
        <f>IF(AND(A217&gt;=Dashboard!$F$5,A217&lt;=Dashboard!$J$5,A217&lt;&gt;""),-SUMIFS(DashboardData!$E:$E,DashboardData!$A:$A,IF(Dashboard!$B$5="All","*",Dashboard!$B$5),DashboardData!$B:$B,A217),NA())</f>
        <v>#N/A</v>
      </c>
    </row>
    <row r="218" spans="1:3" x14ac:dyDescent="0.25">
      <c r="A218" t="str">
        <f>IF(Monthly!A218="","",Monthly!A218)</f>
        <v/>
      </c>
      <c r="B218" s="7" t="e">
        <f>IF(AND(A218&gt;=Dashboard!$F$5,A218&lt;=Dashboard!$J$5,A218&lt;&gt;""),SUMIFS(DashboardData!$D:$D,DashboardData!$A:$A,IF(Dashboard!$B$5="All","*",Dashboard!$B$5),DashboardData!$B:$B,A218),NA())</f>
        <v>#N/A</v>
      </c>
      <c r="C218" s="7" t="e">
        <f>IF(AND(A218&gt;=Dashboard!$F$5,A218&lt;=Dashboard!$J$5,A218&lt;&gt;""),-SUMIFS(DashboardData!$E:$E,DashboardData!$A:$A,IF(Dashboard!$B$5="All","*",Dashboard!$B$5),DashboardData!$B:$B,A218),NA())</f>
        <v>#N/A</v>
      </c>
    </row>
    <row r="219" spans="1:3" x14ac:dyDescent="0.25">
      <c r="A219" t="str">
        <f>IF(Monthly!A219="","",Monthly!A219)</f>
        <v/>
      </c>
      <c r="B219" s="7" t="e">
        <f>IF(AND(A219&gt;=Dashboard!$F$5,A219&lt;=Dashboard!$J$5,A219&lt;&gt;""),SUMIFS(DashboardData!$D:$D,DashboardData!$A:$A,IF(Dashboard!$B$5="All","*",Dashboard!$B$5),DashboardData!$B:$B,A219),NA())</f>
        <v>#N/A</v>
      </c>
      <c r="C219" s="7" t="e">
        <f>IF(AND(A219&gt;=Dashboard!$F$5,A219&lt;=Dashboard!$J$5,A219&lt;&gt;""),-SUMIFS(DashboardData!$E:$E,DashboardData!$A:$A,IF(Dashboard!$B$5="All","*",Dashboard!$B$5),DashboardData!$B:$B,A219),NA())</f>
        <v>#N/A</v>
      </c>
    </row>
    <row r="220" spans="1:3" x14ac:dyDescent="0.25">
      <c r="A220" t="str">
        <f>IF(Monthly!A220="","",Monthly!A220)</f>
        <v/>
      </c>
      <c r="B220" s="7" t="e">
        <f>IF(AND(A220&gt;=Dashboard!$F$5,A220&lt;=Dashboard!$J$5,A220&lt;&gt;""),SUMIFS(DashboardData!$D:$D,DashboardData!$A:$A,IF(Dashboard!$B$5="All","*",Dashboard!$B$5),DashboardData!$B:$B,A220),NA())</f>
        <v>#N/A</v>
      </c>
      <c r="C220" s="7" t="e">
        <f>IF(AND(A220&gt;=Dashboard!$F$5,A220&lt;=Dashboard!$J$5,A220&lt;&gt;""),-SUMIFS(DashboardData!$E:$E,DashboardData!$A:$A,IF(Dashboard!$B$5="All","*",Dashboard!$B$5),DashboardData!$B:$B,A220),NA())</f>
        <v>#N/A</v>
      </c>
    </row>
    <row r="221" spans="1:3" x14ac:dyDescent="0.25">
      <c r="A221" t="str">
        <f>IF(Monthly!A221="","",Monthly!A221)</f>
        <v/>
      </c>
      <c r="B221" s="7" t="e">
        <f>IF(AND(A221&gt;=Dashboard!$F$5,A221&lt;=Dashboard!$J$5,A221&lt;&gt;""),SUMIFS(DashboardData!$D:$D,DashboardData!$A:$A,IF(Dashboard!$B$5="All","*",Dashboard!$B$5),DashboardData!$B:$B,A221),NA())</f>
        <v>#N/A</v>
      </c>
      <c r="C221" s="7" t="e">
        <f>IF(AND(A221&gt;=Dashboard!$F$5,A221&lt;=Dashboard!$J$5,A221&lt;&gt;""),-SUMIFS(DashboardData!$E:$E,DashboardData!$A:$A,IF(Dashboard!$B$5="All","*",Dashboard!$B$5),DashboardData!$B:$B,A221),NA())</f>
        <v>#N/A</v>
      </c>
    </row>
    <row r="222" spans="1:3" x14ac:dyDescent="0.25">
      <c r="A222" t="str">
        <f>IF(Monthly!A222="","",Monthly!A222)</f>
        <v/>
      </c>
      <c r="B222" s="7" t="e">
        <f>IF(AND(A222&gt;=Dashboard!$F$5,A222&lt;=Dashboard!$J$5,A222&lt;&gt;""),SUMIFS(DashboardData!$D:$D,DashboardData!$A:$A,IF(Dashboard!$B$5="All","*",Dashboard!$B$5),DashboardData!$B:$B,A222),NA())</f>
        <v>#N/A</v>
      </c>
      <c r="C222" s="7" t="e">
        <f>IF(AND(A222&gt;=Dashboard!$F$5,A222&lt;=Dashboard!$J$5,A222&lt;&gt;""),-SUMIFS(DashboardData!$E:$E,DashboardData!$A:$A,IF(Dashboard!$B$5="All","*",Dashboard!$B$5),DashboardData!$B:$B,A222),NA())</f>
        <v>#N/A</v>
      </c>
    </row>
    <row r="223" spans="1:3" x14ac:dyDescent="0.25">
      <c r="A223" t="str">
        <f>IF(Monthly!A223="","",Monthly!A223)</f>
        <v/>
      </c>
      <c r="B223" s="7" t="e">
        <f>IF(AND(A223&gt;=Dashboard!$F$5,A223&lt;=Dashboard!$J$5,A223&lt;&gt;""),SUMIFS(DashboardData!$D:$D,DashboardData!$A:$A,IF(Dashboard!$B$5="All","*",Dashboard!$B$5),DashboardData!$B:$B,A223),NA())</f>
        <v>#N/A</v>
      </c>
      <c r="C223" s="7" t="e">
        <f>IF(AND(A223&gt;=Dashboard!$F$5,A223&lt;=Dashboard!$J$5,A223&lt;&gt;""),-SUMIFS(DashboardData!$E:$E,DashboardData!$A:$A,IF(Dashboard!$B$5="All","*",Dashboard!$B$5),DashboardData!$B:$B,A223),NA())</f>
        <v>#N/A</v>
      </c>
    </row>
    <row r="224" spans="1:3" x14ac:dyDescent="0.25">
      <c r="A224" t="str">
        <f>IF(Monthly!A224="","",Monthly!A224)</f>
        <v/>
      </c>
      <c r="B224" s="7" t="e">
        <f>IF(AND(A224&gt;=Dashboard!$F$5,A224&lt;=Dashboard!$J$5,A224&lt;&gt;""),SUMIFS(DashboardData!$D:$D,DashboardData!$A:$A,IF(Dashboard!$B$5="All","*",Dashboard!$B$5),DashboardData!$B:$B,A224),NA())</f>
        <v>#N/A</v>
      </c>
      <c r="C224" s="7" t="e">
        <f>IF(AND(A224&gt;=Dashboard!$F$5,A224&lt;=Dashboard!$J$5,A224&lt;&gt;""),-SUMIFS(DashboardData!$E:$E,DashboardData!$A:$A,IF(Dashboard!$B$5="All","*",Dashboard!$B$5),DashboardData!$B:$B,A224),NA())</f>
        <v>#N/A</v>
      </c>
    </row>
    <row r="225" spans="1:3" x14ac:dyDescent="0.25">
      <c r="A225" t="str">
        <f>IF(Monthly!A225="","",Monthly!A225)</f>
        <v/>
      </c>
      <c r="B225" s="7" t="e">
        <f>IF(AND(A225&gt;=Dashboard!$F$5,A225&lt;=Dashboard!$J$5,A225&lt;&gt;""),SUMIFS(DashboardData!$D:$D,DashboardData!$A:$A,IF(Dashboard!$B$5="All","*",Dashboard!$B$5),DashboardData!$B:$B,A225),NA())</f>
        <v>#N/A</v>
      </c>
      <c r="C225" s="7" t="e">
        <f>IF(AND(A225&gt;=Dashboard!$F$5,A225&lt;=Dashboard!$J$5,A225&lt;&gt;""),-SUMIFS(DashboardData!$E:$E,DashboardData!$A:$A,IF(Dashboard!$B$5="All","*",Dashboard!$B$5),DashboardData!$B:$B,A225),NA())</f>
        <v>#N/A</v>
      </c>
    </row>
    <row r="226" spans="1:3" x14ac:dyDescent="0.25">
      <c r="A226" t="str">
        <f>IF(Monthly!A226="","",Monthly!A226)</f>
        <v/>
      </c>
      <c r="B226" s="7" t="e">
        <f>IF(AND(A226&gt;=Dashboard!$F$5,A226&lt;=Dashboard!$J$5,A226&lt;&gt;""),SUMIFS(DashboardData!$D:$D,DashboardData!$A:$A,IF(Dashboard!$B$5="All","*",Dashboard!$B$5),DashboardData!$B:$B,A226),NA())</f>
        <v>#N/A</v>
      </c>
      <c r="C226" s="7" t="e">
        <f>IF(AND(A226&gt;=Dashboard!$F$5,A226&lt;=Dashboard!$J$5,A226&lt;&gt;""),-SUMIFS(DashboardData!$E:$E,DashboardData!$A:$A,IF(Dashboard!$B$5="All","*",Dashboard!$B$5),DashboardData!$B:$B,A226),NA())</f>
        <v>#N/A</v>
      </c>
    </row>
    <row r="227" spans="1:3" x14ac:dyDescent="0.25">
      <c r="A227" t="str">
        <f>IF(Monthly!A227="","",Monthly!A227)</f>
        <v/>
      </c>
      <c r="B227" s="7" t="e">
        <f>IF(AND(A227&gt;=Dashboard!$F$5,A227&lt;=Dashboard!$J$5,A227&lt;&gt;""),SUMIFS(DashboardData!$D:$D,DashboardData!$A:$A,IF(Dashboard!$B$5="All","*",Dashboard!$B$5),DashboardData!$B:$B,A227),NA())</f>
        <v>#N/A</v>
      </c>
      <c r="C227" s="7" t="e">
        <f>IF(AND(A227&gt;=Dashboard!$F$5,A227&lt;=Dashboard!$J$5,A227&lt;&gt;""),-SUMIFS(DashboardData!$E:$E,DashboardData!$A:$A,IF(Dashboard!$B$5="All","*",Dashboard!$B$5),DashboardData!$B:$B,A227),NA())</f>
        <v>#N/A</v>
      </c>
    </row>
    <row r="228" spans="1:3" x14ac:dyDescent="0.25">
      <c r="A228" t="str">
        <f>IF(Monthly!A228="","",Monthly!A228)</f>
        <v/>
      </c>
      <c r="B228" s="7" t="e">
        <f>IF(AND(A228&gt;=Dashboard!$F$5,A228&lt;=Dashboard!$J$5,A228&lt;&gt;""),SUMIFS(DashboardData!$D:$D,DashboardData!$A:$A,IF(Dashboard!$B$5="All","*",Dashboard!$B$5),DashboardData!$B:$B,A228),NA())</f>
        <v>#N/A</v>
      </c>
      <c r="C228" s="7" t="e">
        <f>IF(AND(A228&gt;=Dashboard!$F$5,A228&lt;=Dashboard!$J$5,A228&lt;&gt;""),-SUMIFS(DashboardData!$E:$E,DashboardData!$A:$A,IF(Dashboard!$B$5="All","*",Dashboard!$B$5),DashboardData!$B:$B,A228),NA())</f>
        <v>#N/A</v>
      </c>
    </row>
    <row r="229" spans="1:3" x14ac:dyDescent="0.25">
      <c r="A229" t="str">
        <f>IF(Monthly!A229="","",Monthly!A229)</f>
        <v/>
      </c>
      <c r="B229" s="7" t="e">
        <f>IF(AND(A229&gt;=Dashboard!$F$5,A229&lt;=Dashboard!$J$5,A229&lt;&gt;""),SUMIFS(DashboardData!$D:$D,DashboardData!$A:$A,IF(Dashboard!$B$5="All","*",Dashboard!$B$5),DashboardData!$B:$B,A229),NA())</f>
        <v>#N/A</v>
      </c>
      <c r="C229" s="7" t="e">
        <f>IF(AND(A229&gt;=Dashboard!$F$5,A229&lt;=Dashboard!$J$5,A229&lt;&gt;""),-SUMIFS(DashboardData!$E:$E,DashboardData!$A:$A,IF(Dashboard!$B$5="All","*",Dashboard!$B$5),DashboardData!$B:$B,A229),NA())</f>
        <v>#N/A</v>
      </c>
    </row>
    <row r="230" spans="1:3" x14ac:dyDescent="0.25">
      <c r="A230" t="str">
        <f>IF(Monthly!A230="","",Monthly!A230)</f>
        <v/>
      </c>
      <c r="B230" s="7" t="e">
        <f>IF(AND(A230&gt;=Dashboard!$F$5,A230&lt;=Dashboard!$J$5,A230&lt;&gt;""),SUMIFS(DashboardData!$D:$D,DashboardData!$A:$A,IF(Dashboard!$B$5="All","*",Dashboard!$B$5),DashboardData!$B:$B,A230),NA())</f>
        <v>#N/A</v>
      </c>
      <c r="C230" s="7" t="e">
        <f>IF(AND(A230&gt;=Dashboard!$F$5,A230&lt;=Dashboard!$J$5,A230&lt;&gt;""),-SUMIFS(DashboardData!$E:$E,DashboardData!$A:$A,IF(Dashboard!$B$5="All","*",Dashboard!$B$5),DashboardData!$B:$B,A230),NA())</f>
        <v>#N/A</v>
      </c>
    </row>
    <row r="231" spans="1:3" x14ac:dyDescent="0.25">
      <c r="A231" t="str">
        <f>IF(Monthly!A231="","",Monthly!A231)</f>
        <v/>
      </c>
      <c r="B231" s="7" t="e">
        <f>IF(AND(A231&gt;=Dashboard!$F$5,A231&lt;=Dashboard!$J$5,A231&lt;&gt;""),SUMIFS(DashboardData!$D:$D,DashboardData!$A:$A,IF(Dashboard!$B$5="All","*",Dashboard!$B$5),DashboardData!$B:$B,A231),NA())</f>
        <v>#N/A</v>
      </c>
      <c r="C231" s="7" t="e">
        <f>IF(AND(A231&gt;=Dashboard!$F$5,A231&lt;=Dashboard!$J$5,A231&lt;&gt;""),-SUMIFS(DashboardData!$E:$E,DashboardData!$A:$A,IF(Dashboard!$B$5="All","*",Dashboard!$B$5),DashboardData!$B:$B,A231),NA())</f>
        <v>#N/A</v>
      </c>
    </row>
    <row r="232" spans="1:3" x14ac:dyDescent="0.25">
      <c r="A232" t="str">
        <f>IF(Monthly!A232="","",Monthly!A232)</f>
        <v/>
      </c>
      <c r="B232" s="7" t="e">
        <f>IF(AND(A232&gt;=Dashboard!$F$5,A232&lt;=Dashboard!$J$5,A232&lt;&gt;""),SUMIFS(DashboardData!$D:$D,DashboardData!$A:$A,IF(Dashboard!$B$5="All","*",Dashboard!$B$5),DashboardData!$B:$B,A232),NA())</f>
        <v>#N/A</v>
      </c>
      <c r="C232" s="7" t="e">
        <f>IF(AND(A232&gt;=Dashboard!$F$5,A232&lt;=Dashboard!$J$5,A232&lt;&gt;""),-SUMIFS(DashboardData!$E:$E,DashboardData!$A:$A,IF(Dashboard!$B$5="All","*",Dashboard!$B$5),DashboardData!$B:$B,A232),NA())</f>
        <v>#N/A</v>
      </c>
    </row>
    <row r="233" spans="1:3" x14ac:dyDescent="0.25">
      <c r="A233" t="str">
        <f>IF(Monthly!A233="","",Monthly!A233)</f>
        <v/>
      </c>
      <c r="B233" s="7" t="e">
        <f>IF(AND(A233&gt;=Dashboard!$F$5,A233&lt;=Dashboard!$J$5,A233&lt;&gt;""),SUMIFS(DashboardData!$D:$D,DashboardData!$A:$A,IF(Dashboard!$B$5="All","*",Dashboard!$B$5),DashboardData!$B:$B,A233),NA())</f>
        <v>#N/A</v>
      </c>
      <c r="C233" s="7" t="e">
        <f>IF(AND(A233&gt;=Dashboard!$F$5,A233&lt;=Dashboard!$J$5,A233&lt;&gt;""),-SUMIFS(DashboardData!$E:$E,DashboardData!$A:$A,IF(Dashboard!$B$5="All","*",Dashboard!$B$5),DashboardData!$B:$B,A233),NA())</f>
        <v>#N/A</v>
      </c>
    </row>
    <row r="234" spans="1:3" x14ac:dyDescent="0.25">
      <c r="A234" t="str">
        <f>IF(Monthly!A234="","",Monthly!A234)</f>
        <v/>
      </c>
      <c r="B234" s="7" t="e">
        <f>IF(AND(A234&gt;=Dashboard!$F$5,A234&lt;=Dashboard!$J$5,A234&lt;&gt;""),SUMIFS(DashboardData!$D:$D,DashboardData!$A:$A,IF(Dashboard!$B$5="All","*",Dashboard!$B$5),DashboardData!$B:$B,A234),NA())</f>
        <v>#N/A</v>
      </c>
      <c r="C234" s="7" t="e">
        <f>IF(AND(A234&gt;=Dashboard!$F$5,A234&lt;=Dashboard!$J$5,A234&lt;&gt;""),-SUMIFS(DashboardData!$E:$E,DashboardData!$A:$A,IF(Dashboard!$B$5="All","*",Dashboard!$B$5),DashboardData!$B:$B,A234),NA())</f>
        <v>#N/A</v>
      </c>
    </row>
    <row r="235" spans="1:3" x14ac:dyDescent="0.25">
      <c r="A235" t="str">
        <f>IF(Monthly!A235="","",Monthly!A235)</f>
        <v/>
      </c>
      <c r="B235" s="7" t="e">
        <f>IF(AND(A235&gt;=Dashboard!$F$5,A235&lt;=Dashboard!$J$5,A235&lt;&gt;""),SUMIFS(DashboardData!$D:$D,DashboardData!$A:$A,IF(Dashboard!$B$5="All","*",Dashboard!$B$5),DashboardData!$B:$B,A235),NA())</f>
        <v>#N/A</v>
      </c>
      <c r="C235" s="7" t="e">
        <f>IF(AND(A235&gt;=Dashboard!$F$5,A235&lt;=Dashboard!$J$5,A235&lt;&gt;""),-SUMIFS(DashboardData!$E:$E,DashboardData!$A:$A,IF(Dashboard!$B$5="All","*",Dashboard!$B$5),DashboardData!$B:$B,A235),NA())</f>
        <v>#N/A</v>
      </c>
    </row>
    <row r="236" spans="1:3" x14ac:dyDescent="0.25">
      <c r="A236" t="str">
        <f>IF(Monthly!A236="","",Monthly!A236)</f>
        <v/>
      </c>
      <c r="B236" s="7" t="e">
        <f>IF(AND(A236&gt;=Dashboard!$F$5,A236&lt;=Dashboard!$J$5,A236&lt;&gt;""),SUMIFS(DashboardData!$D:$D,DashboardData!$A:$A,IF(Dashboard!$B$5="All","*",Dashboard!$B$5),DashboardData!$B:$B,A236),NA())</f>
        <v>#N/A</v>
      </c>
      <c r="C236" s="7" t="e">
        <f>IF(AND(A236&gt;=Dashboard!$F$5,A236&lt;=Dashboard!$J$5,A236&lt;&gt;""),-SUMIFS(DashboardData!$E:$E,DashboardData!$A:$A,IF(Dashboard!$B$5="All","*",Dashboard!$B$5),DashboardData!$B:$B,A236),NA())</f>
        <v>#N/A</v>
      </c>
    </row>
    <row r="237" spans="1:3" x14ac:dyDescent="0.25">
      <c r="A237" t="str">
        <f>IF(Monthly!A237="","",Monthly!A237)</f>
        <v/>
      </c>
      <c r="B237" s="7" t="e">
        <f>IF(AND(A237&gt;=Dashboard!$F$5,A237&lt;=Dashboard!$J$5,A237&lt;&gt;""),SUMIFS(DashboardData!$D:$D,DashboardData!$A:$A,IF(Dashboard!$B$5="All","*",Dashboard!$B$5),DashboardData!$B:$B,A237),NA())</f>
        <v>#N/A</v>
      </c>
      <c r="C237" s="7" t="e">
        <f>IF(AND(A237&gt;=Dashboard!$F$5,A237&lt;=Dashboard!$J$5,A237&lt;&gt;""),-SUMIFS(DashboardData!$E:$E,DashboardData!$A:$A,IF(Dashboard!$B$5="All","*",Dashboard!$B$5),DashboardData!$B:$B,A237),NA())</f>
        <v>#N/A</v>
      </c>
    </row>
    <row r="238" spans="1:3" x14ac:dyDescent="0.25">
      <c r="A238" t="str">
        <f>IF(Monthly!A238="","",Monthly!A238)</f>
        <v/>
      </c>
      <c r="B238" s="7" t="e">
        <f>IF(AND(A238&gt;=Dashboard!$F$5,A238&lt;=Dashboard!$J$5,A238&lt;&gt;""),SUMIFS(DashboardData!$D:$D,DashboardData!$A:$A,IF(Dashboard!$B$5="All","*",Dashboard!$B$5),DashboardData!$B:$B,A238),NA())</f>
        <v>#N/A</v>
      </c>
      <c r="C238" s="7" t="e">
        <f>IF(AND(A238&gt;=Dashboard!$F$5,A238&lt;=Dashboard!$J$5,A238&lt;&gt;""),-SUMIFS(DashboardData!$E:$E,DashboardData!$A:$A,IF(Dashboard!$B$5="All","*",Dashboard!$B$5),DashboardData!$B:$B,A238),NA())</f>
        <v>#N/A</v>
      </c>
    </row>
    <row r="239" spans="1:3" x14ac:dyDescent="0.25">
      <c r="A239" t="str">
        <f>IF(Monthly!A239="","",Monthly!A239)</f>
        <v/>
      </c>
      <c r="B239" s="7" t="e">
        <f>IF(AND(A239&gt;=Dashboard!$F$5,A239&lt;=Dashboard!$J$5,A239&lt;&gt;""),SUMIFS(DashboardData!$D:$D,DashboardData!$A:$A,IF(Dashboard!$B$5="All","*",Dashboard!$B$5),DashboardData!$B:$B,A239),NA())</f>
        <v>#N/A</v>
      </c>
      <c r="C239" s="7" t="e">
        <f>IF(AND(A239&gt;=Dashboard!$F$5,A239&lt;=Dashboard!$J$5,A239&lt;&gt;""),-SUMIFS(DashboardData!$E:$E,DashboardData!$A:$A,IF(Dashboard!$B$5="All","*",Dashboard!$B$5),DashboardData!$B:$B,A239),NA())</f>
        <v>#N/A</v>
      </c>
    </row>
    <row r="240" spans="1:3" x14ac:dyDescent="0.25">
      <c r="A240" t="str">
        <f>IF(Monthly!A240="","",Monthly!A240)</f>
        <v/>
      </c>
      <c r="B240" s="7" t="e">
        <f>IF(AND(A240&gt;=Dashboard!$F$5,A240&lt;=Dashboard!$J$5,A240&lt;&gt;""),SUMIFS(DashboardData!$D:$D,DashboardData!$A:$A,IF(Dashboard!$B$5="All","*",Dashboard!$B$5),DashboardData!$B:$B,A240),NA())</f>
        <v>#N/A</v>
      </c>
      <c r="C240" s="7" t="e">
        <f>IF(AND(A240&gt;=Dashboard!$F$5,A240&lt;=Dashboard!$J$5,A240&lt;&gt;""),-SUMIFS(DashboardData!$E:$E,DashboardData!$A:$A,IF(Dashboard!$B$5="All","*",Dashboard!$B$5),DashboardData!$B:$B,A240),NA())</f>
        <v>#N/A</v>
      </c>
    </row>
    <row r="241" spans="1:3" x14ac:dyDescent="0.25">
      <c r="A241" t="str">
        <f>IF(Monthly!A241="","",Monthly!A241)</f>
        <v/>
      </c>
      <c r="B241" s="7" t="e">
        <f>IF(AND(A241&gt;=Dashboard!$F$5,A241&lt;=Dashboard!$J$5,A241&lt;&gt;""),SUMIFS(DashboardData!$D:$D,DashboardData!$A:$A,IF(Dashboard!$B$5="All","*",Dashboard!$B$5),DashboardData!$B:$B,A241),NA())</f>
        <v>#N/A</v>
      </c>
      <c r="C241" s="7" t="e">
        <f>IF(AND(A241&gt;=Dashboard!$F$5,A241&lt;=Dashboard!$J$5,A241&lt;&gt;""),-SUMIFS(DashboardData!$E:$E,DashboardData!$A:$A,IF(Dashboard!$B$5="All","*",Dashboard!$B$5),DashboardData!$B:$B,A241),NA())</f>
        <v>#N/A</v>
      </c>
    </row>
    <row r="242" spans="1:3" x14ac:dyDescent="0.25">
      <c r="A242" t="str">
        <f>IF(Monthly!A242="","",Monthly!A242)</f>
        <v/>
      </c>
      <c r="B242" s="7" t="e">
        <f>IF(AND(A242&gt;=Dashboard!$F$5,A242&lt;=Dashboard!$J$5,A242&lt;&gt;""),SUMIFS(DashboardData!$D:$D,DashboardData!$A:$A,IF(Dashboard!$B$5="All","*",Dashboard!$B$5),DashboardData!$B:$B,A242),NA())</f>
        <v>#N/A</v>
      </c>
      <c r="C242" s="7" t="e">
        <f>IF(AND(A242&gt;=Dashboard!$F$5,A242&lt;=Dashboard!$J$5,A242&lt;&gt;""),-SUMIFS(DashboardData!$E:$E,DashboardData!$A:$A,IF(Dashboard!$B$5="All","*",Dashboard!$B$5),DashboardData!$B:$B,A242),NA())</f>
        <v>#N/A</v>
      </c>
    </row>
    <row r="243" spans="1:3" x14ac:dyDescent="0.25">
      <c r="A243" t="str">
        <f>IF(Monthly!A243="","",Monthly!A243)</f>
        <v/>
      </c>
      <c r="B243" s="7" t="e">
        <f>IF(AND(A243&gt;=Dashboard!$F$5,A243&lt;=Dashboard!$J$5,A243&lt;&gt;""),SUMIFS(DashboardData!$D:$D,DashboardData!$A:$A,IF(Dashboard!$B$5="All","*",Dashboard!$B$5),DashboardData!$B:$B,A243),NA())</f>
        <v>#N/A</v>
      </c>
      <c r="C243" s="7" t="e">
        <f>IF(AND(A243&gt;=Dashboard!$F$5,A243&lt;=Dashboard!$J$5,A243&lt;&gt;""),-SUMIFS(DashboardData!$E:$E,DashboardData!$A:$A,IF(Dashboard!$B$5="All","*",Dashboard!$B$5),DashboardData!$B:$B,A243),NA())</f>
        <v>#N/A</v>
      </c>
    </row>
    <row r="244" spans="1:3" x14ac:dyDescent="0.25">
      <c r="A244" t="str">
        <f>IF(Monthly!A244="","",Monthly!A244)</f>
        <v/>
      </c>
      <c r="B244" s="7" t="e">
        <f>IF(AND(A244&gt;=Dashboard!$F$5,A244&lt;=Dashboard!$J$5,A244&lt;&gt;""),SUMIFS(DashboardData!$D:$D,DashboardData!$A:$A,IF(Dashboard!$B$5="All","*",Dashboard!$B$5),DashboardData!$B:$B,A244),NA())</f>
        <v>#N/A</v>
      </c>
      <c r="C244" s="7" t="e">
        <f>IF(AND(A244&gt;=Dashboard!$F$5,A244&lt;=Dashboard!$J$5,A244&lt;&gt;""),-SUMIFS(DashboardData!$E:$E,DashboardData!$A:$A,IF(Dashboard!$B$5="All","*",Dashboard!$B$5),DashboardData!$B:$B,A244),NA())</f>
        <v>#N/A</v>
      </c>
    </row>
    <row r="245" spans="1:3" x14ac:dyDescent="0.25">
      <c r="A245" t="str">
        <f>IF(Monthly!A245="","",Monthly!A245)</f>
        <v/>
      </c>
      <c r="B245" s="7" t="e">
        <f>IF(AND(A245&gt;=Dashboard!$F$5,A245&lt;=Dashboard!$J$5,A245&lt;&gt;""),SUMIFS(DashboardData!$D:$D,DashboardData!$A:$A,IF(Dashboard!$B$5="All","*",Dashboard!$B$5),DashboardData!$B:$B,A245),NA())</f>
        <v>#N/A</v>
      </c>
      <c r="C245" s="7" t="e">
        <f>IF(AND(A245&gt;=Dashboard!$F$5,A245&lt;=Dashboard!$J$5,A245&lt;&gt;""),-SUMIFS(DashboardData!$E:$E,DashboardData!$A:$A,IF(Dashboard!$B$5="All","*",Dashboard!$B$5),DashboardData!$B:$B,A245),NA())</f>
        <v>#N/A</v>
      </c>
    </row>
    <row r="246" spans="1:3" x14ac:dyDescent="0.25">
      <c r="A246" t="str">
        <f>IF(Monthly!A246="","",Monthly!A246)</f>
        <v/>
      </c>
      <c r="B246" s="7" t="e">
        <f>IF(AND(A246&gt;=Dashboard!$F$5,A246&lt;=Dashboard!$J$5,A246&lt;&gt;""),SUMIFS(DashboardData!$D:$D,DashboardData!$A:$A,IF(Dashboard!$B$5="All","*",Dashboard!$B$5),DashboardData!$B:$B,A246),NA())</f>
        <v>#N/A</v>
      </c>
      <c r="C246" s="7" t="e">
        <f>IF(AND(A246&gt;=Dashboard!$F$5,A246&lt;=Dashboard!$J$5,A246&lt;&gt;""),-SUMIFS(DashboardData!$E:$E,DashboardData!$A:$A,IF(Dashboard!$B$5="All","*",Dashboard!$B$5),DashboardData!$B:$B,A246),NA())</f>
        <v>#N/A</v>
      </c>
    </row>
    <row r="247" spans="1:3" x14ac:dyDescent="0.25">
      <c r="A247" t="str">
        <f>IF(Monthly!A247="","",Monthly!A247)</f>
        <v/>
      </c>
      <c r="B247" s="7" t="e">
        <f>IF(AND(A247&gt;=Dashboard!$F$5,A247&lt;=Dashboard!$J$5,A247&lt;&gt;""),SUMIFS(DashboardData!$D:$D,DashboardData!$A:$A,IF(Dashboard!$B$5="All","*",Dashboard!$B$5),DashboardData!$B:$B,A247),NA())</f>
        <v>#N/A</v>
      </c>
      <c r="C247" s="7" t="e">
        <f>IF(AND(A247&gt;=Dashboard!$F$5,A247&lt;=Dashboard!$J$5,A247&lt;&gt;""),-SUMIFS(DashboardData!$E:$E,DashboardData!$A:$A,IF(Dashboard!$B$5="All","*",Dashboard!$B$5),DashboardData!$B:$B,A247),NA())</f>
        <v>#N/A</v>
      </c>
    </row>
    <row r="248" spans="1:3" x14ac:dyDescent="0.25">
      <c r="A248" t="str">
        <f>IF(Monthly!A248="","",Monthly!A248)</f>
        <v/>
      </c>
      <c r="B248" s="7" t="e">
        <f>IF(AND(A248&gt;=Dashboard!$F$5,A248&lt;=Dashboard!$J$5,A248&lt;&gt;""),SUMIFS(DashboardData!$D:$D,DashboardData!$A:$A,IF(Dashboard!$B$5="All","*",Dashboard!$B$5),DashboardData!$B:$B,A248),NA())</f>
        <v>#N/A</v>
      </c>
      <c r="C248" s="7" t="e">
        <f>IF(AND(A248&gt;=Dashboard!$F$5,A248&lt;=Dashboard!$J$5,A248&lt;&gt;""),-SUMIFS(DashboardData!$E:$E,DashboardData!$A:$A,IF(Dashboard!$B$5="All","*",Dashboard!$B$5),DashboardData!$B:$B,A248),NA())</f>
        <v>#N/A</v>
      </c>
    </row>
    <row r="249" spans="1:3" x14ac:dyDescent="0.25">
      <c r="A249" t="str">
        <f>IF(Monthly!A249="","",Monthly!A249)</f>
        <v/>
      </c>
      <c r="B249" s="7" t="e">
        <f>IF(AND(A249&gt;=Dashboard!$F$5,A249&lt;=Dashboard!$J$5,A249&lt;&gt;""),SUMIFS(DashboardData!$D:$D,DashboardData!$A:$A,IF(Dashboard!$B$5="All","*",Dashboard!$B$5),DashboardData!$B:$B,A249),NA())</f>
        <v>#N/A</v>
      </c>
      <c r="C249" s="7" t="e">
        <f>IF(AND(A249&gt;=Dashboard!$F$5,A249&lt;=Dashboard!$J$5,A249&lt;&gt;""),-SUMIFS(DashboardData!$E:$E,DashboardData!$A:$A,IF(Dashboard!$B$5="All","*",Dashboard!$B$5),DashboardData!$B:$B,A249),NA())</f>
        <v>#N/A</v>
      </c>
    </row>
    <row r="250" spans="1:3" x14ac:dyDescent="0.25">
      <c r="A250" t="str">
        <f>IF(Monthly!A250="","",Monthly!A250)</f>
        <v/>
      </c>
      <c r="B250" s="7" t="e">
        <f>IF(AND(A250&gt;=Dashboard!$F$5,A250&lt;=Dashboard!$J$5,A250&lt;&gt;""),SUMIFS(DashboardData!$D:$D,DashboardData!$A:$A,IF(Dashboard!$B$5="All","*",Dashboard!$B$5),DashboardData!$B:$B,A250),NA())</f>
        <v>#N/A</v>
      </c>
      <c r="C250" s="7" t="e">
        <f>IF(AND(A250&gt;=Dashboard!$F$5,A250&lt;=Dashboard!$J$5,A250&lt;&gt;""),-SUMIFS(DashboardData!$E:$E,DashboardData!$A:$A,IF(Dashboard!$B$5="All","*",Dashboard!$B$5),DashboardData!$B:$B,A250),NA())</f>
        <v>#N/A</v>
      </c>
    </row>
    <row r="251" spans="1:3" x14ac:dyDescent="0.25">
      <c r="A251" t="str">
        <f>IF(Monthly!A251="","",Monthly!A251)</f>
        <v/>
      </c>
      <c r="B251" s="7" t="e">
        <f>IF(AND(A251&gt;=Dashboard!$F$5,A251&lt;=Dashboard!$J$5,A251&lt;&gt;""),SUMIFS(DashboardData!$D:$D,DashboardData!$A:$A,IF(Dashboard!$B$5="All","*",Dashboard!$B$5),DashboardData!$B:$B,A251),NA())</f>
        <v>#N/A</v>
      </c>
      <c r="C251" s="7" t="e">
        <f>IF(AND(A251&gt;=Dashboard!$F$5,A251&lt;=Dashboard!$J$5,A251&lt;&gt;""),-SUMIFS(DashboardData!$E:$E,DashboardData!$A:$A,IF(Dashboard!$B$5="All","*",Dashboard!$B$5),DashboardData!$B:$B,A251),NA())</f>
        <v>#N/A</v>
      </c>
    </row>
    <row r="252" spans="1:3" x14ac:dyDescent="0.25">
      <c r="A252" t="str">
        <f>IF(Monthly!A252="","",Monthly!A252)</f>
        <v/>
      </c>
      <c r="B252" s="7" t="e">
        <f>IF(AND(A252&gt;=Dashboard!$F$5,A252&lt;=Dashboard!$J$5,A252&lt;&gt;""),SUMIFS(DashboardData!$D:$D,DashboardData!$A:$A,IF(Dashboard!$B$5="All","*",Dashboard!$B$5),DashboardData!$B:$B,A252),NA())</f>
        <v>#N/A</v>
      </c>
      <c r="C252" s="7" t="e">
        <f>IF(AND(A252&gt;=Dashboard!$F$5,A252&lt;=Dashboard!$J$5,A252&lt;&gt;""),-SUMIFS(DashboardData!$E:$E,DashboardData!$A:$A,IF(Dashboard!$B$5="All","*",Dashboard!$B$5),DashboardData!$B:$B,A252),NA())</f>
        <v>#N/A</v>
      </c>
    </row>
    <row r="253" spans="1:3" x14ac:dyDescent="0.25">
      <c r="A253" t="str">
        <f>IF(Monthly!A253="","",Monthly!A253)</f>
        <v/>
      </c>
      <c r="B253" s="7" t="e">
        <f>IF(AND(A253&gt;=Dashboard!$F$5,A253&lt;=Dashboard!$J$5,A253&lt;&gt;""),SUMIFS(DashboardData!$D:$D,DashboardData!$A:$A,IF(Dashboard!$B$5="All","*",Dashboard!$B$5),DashboardData!$B:$B,A253),NA())</f>
        <v>#N/A</v>
      </c>
      <c r="C253" s="7" t="e">
        <f>IF(AND(A253&gt;=Dashboard!$F$5,A253&lt;=Dashboard!$J$5,A253&lt;&gt;""),-SUMIFS(DashboardData!$E:$E,DashboardData!$A:$A,IF(Dashboard!$B$5="All","*",Dashboard!$B$5),DashboardData!$B:$B,A253),NA())</f>
        <v>#N/A</v>
      </c>
    </row>
    <row r="254" spans="1:3" x14ac:dyDescent="0.25">
      <c r="A254" t="str">
        <f>IF(Monthly!A254="","",Monthly!A254)</f>
        <v/>
      </c>
      <c r="B254" s="7" t="e">
        <f>IF(AND(A254&gt;=Dashboard!$F$5,A254&lt;=Dashboard!$J$5,A254&lt;&gt;""),SUMIFS(DashboardData!$D:$D,DashboardData!$A:$A,IF(Dashboard!$B$5="All","*",Dashboard!$B$5),DashboardData!$B:$B,A254),NA())</f>
        <v>#N/A</v>
      </c>
      <c r="C254" s="7" t="e">
        <f>IF(AND(A254&gt;=Dashboard!$F$5,A254&lt;=Dashboard!$J$5,A254&lt;&gt;""),-SUMIFS(DashboardData!$E:$E,DashboardData!$A:$A,IF(Dashboard!$B$5="All","*",Dashboard!$B$5),DashboardData!$B:$B,A254),NA())</f>
        <v>#N/A</v>
      </c>
    </row>
    <row r="255" spans="1:3" x14ac:dyDescent="0.25">
      <c r="A255" t="str">
        <f>IF(Monthly!A255="","",Monthly!A255)</f>
        <v/>
      </c>
      <c r="B255" s="7" t="e">
        <f>IF(AND(A255&gt;=Dashboard!$F$5,A255&lt;=Dashboard!$J$5,A255&lt;&gt;""),SUMIFS(DashboardData!$D:$D,DashboardData!$A:$A,IF(Dashboard!$B$5="All","*",Dashboard!$B$5),DashboardData!$B:$B,A255),NA())</f>
        <v>#N/A</v>
      </c>
      <c r="C255" s="7" t="e">
        <f>IF(AND(A255&gt;=Dashboard!$F$5,A255&lt;=Dashboard!$J$5,A255&lt;&gt;""),-SUMIFS(DashboardData!$E:$E,DashboardData!$A:$A,IF(Dashboard!$B$5="All","*",Dashboard!$B$5),DashboardData!$B:$B,A255),NA())</f>
        <v>#N/A</v>
      </c>
    </row>
    <row r="256" spans="1:3" x14ac:dyDescent="0.25">
      <c r="A256" t="str">
        <f>IF(Monthly!A256="","",Monthly!A256)</f>
        <v/>
      </c>
      <c r="B256" s="7" t="e">
        <f>IF(AND(A256&gt;=Dashboard!$F$5,A256&lt;=Dashboard!$J$5,A256&lt;&gt;""),SUMIFS(DashboardData!$D:$D,DashboardData!$A:$A,IF(Dashboard!$B$5="All","*",Dashboard!$B$5),DashboardData!$B:$B,A256),NA())</f>
        <v>#N/A</v>
      </c>
      <c r="C256" s="7" t="e">
        <f>IF(AND(A256&gt;=Dashboard!$F$5,A256&lt;=Dashboard!$J$5,A256&lt;&gt;""),-SUMIFS(DashboardData!$E:$E,DashboardData!$A:$A,IF(Dashboard!$B$5="All","*",Dashboard!$B$5),DashboardData!$B:$B,A256),NA())</f>
        <v>#N/A</v>
      </c>
    </row>
    <row r="257" spans="1:3" x14ac:dyDescent="0.25">
      <c r="A257" t="str">
        <f>IF(Monthly!A257="","",Monthly!A257)</f>
        <v/>
      </c>
      <c r="B257" s="7" t="e">
        <f>IF(AND(A257&gt;=Dashboard!$F$5,A257&lt;=Dashboard!$J$5,A257&lt;&gt;""),SUMIFS(DashboardData!$D:$D,DashboardData!$A:$A,IF(Dashboard!$B$5="All","*",Dashboard!$B$5),DashboardData!$B:$B,A257),NA())</f>
        <v>#N/A</v>
      </c>
      <c r="C257" s="7" t="e">
        <f>IF(AND(A257&gt;=Dashboard!$F$5,A257&lt;=Dashboard!$J$5,A257&lt;&gt;""),-SUMIFS(DashboardData!$E:$E,DashboardData!$A:$A,IF(Dashboard!$B$5="All","*",Dashboard!$B$5),DashboardData!$B:$B,A257),NA())</f>
        <v>#N/A</v>
      </c>
    </row>
    <row r="258" spans="1:3" x14ac:dyDescent="0.25">
      <c r="A258" t="str">
        <f>IF(Monthly!A258="","",Monthly!A258)</f>
        <v/>
      </c>
      <c r="B258" s="7" t="e">
        <f>IF(AND(A258&gt;=Dashboard!$F$5,A258&lt;=Dashboard!$J$5,A258&lt;&gt;""),SUMIFS(DashboardData!$D:$D,DashboardData!$A:$A,IF(Dashboard!$B$5="All","*",Dashboard!$B$5),DashboardData!$B:$B,A258),NA())</f>
        <v>#N/A</v>
      </c>
      <c r="C258" s="7" t="e">
        <f>IF(AND(A258&gt;=Dashboard!$F$5,A258&lt;=Dashboard!$J$5,A258&lt;&gt;""),-SUMIFS(DashboardData!$E:$E,DashboardData!$A:$A,IF(Dashboard!$B$5="All","*",Dashboard!$B$5),DashboardData!$B:$B,A258),NA())</f>
        <v>#N/A</v>
      </c>
    </row>
    <row r="259" spans="1:3" x14ac:dyDescent="0.25">
      <c r="A259" t="str">
        <f>IF(Monthly!A259="","",Monthly!A259)</f>
        <v/>
      </c>
      <c r="B259" s="7" t="e">
        <f>IF(AND(A259&gt;=Dashboard!$F$5,A259&lt;=Dashboard!$J$5,A259&lt;&gt;""),SUMIFS(DashboardData!$D:$D,DashboardData!$A:$A,IF(Dashboard!$B$5="All","*",Dashboard!$B$5),DashboardData!$B:$B,A259),NA())</f>
        <v>#N/A</v>
      </c>
      <c r="C259" s="7" t="e">
        <f>IF(AND(A259&gt;=Dashboard!$F$5,A259&lt;=Dashboard!$J$5,A259&lt;&gt;""),-SUMIFS(DashboardData!$E:$E,DashboardData!$A:$A,IF(Dashboard!$B$5="All","*",Dashboard!$B$5),DashboardData!$B:$B,A259),NA())</f>
        <v>#N/A</v>
      </c>
    </row>
    <row r="260" spans="1:3" x14ac:dyDescent="0.25">
      <c r="A260" t="str">
        <f>IF(Monthly!A260="","",Monthly!A260)</f>
        <v/>
      </c>
      <c r="B260" s="7" t="e">
        <f>IF(AND(A260&gt;=Dashboard!$F$5,A260&lt;=Dashboard!$J$5,A260&lt;&gt;""),SUMIFS(DashboardData!$D:$D,DashboardData!$A:$A,IF(Dashboard!$B$5="All","*",Dashboard!$B$5),DashboardData!$B:$B,A260),NA())</f>
        <v>#N/A</v>
      </c>
      <c r="C260" s="7" t="e">
        <f>IF(AND(A260&gt;=Dashboard!$F$5,A260&lt;=Dashboard!$J$5,A260&lt;&gt;""),-SUMIFS(DashboardData!$E:$E,DashboardData!$A:$A,IF(Dashboard!$B$5="All","*",Dashboard!$B$5),DashboardData!$B:$B,A260),NA())</f>
        <v>#N/A</v>
      </c>
    </row>
    <row r="261" spans="1:3" x14ac:dyDescent="0.25">
      <c r="A261" t="str">
        <f>IF(Monthly!A261="","",Monthly!A261)</f>
        <v/>
      </c>
      <c r="B261" s="7" t="e">
        <f>IF(AND(A261&gt;=Dashboard!$F$5,A261&lt;=Dashboard!$J$5,A261&lt;&gt;""),SUMIFS(DashboardData!$D:$D,DashboardData!$A:$A,IF(Dashboard!$B$5="All","*",Dashboard!$B$5),DashboardData!$B:$B,A261),NA())</f>
        <v>#N/A</v>
      </c>
      <c r="C261" s="7" t="e">
        <f>IF(AND(A261&gt;=Dashboard!$F$5,A261&lt;=Dashboard!$J$5,A261&lt;&gt;""),-SUMIFS(DashboardData!$E:$E,DashboardData!$A:$A,IF(Dashboard!$B$5="All","*",Dashboard!$B$5),DashboardData!$B:$B,A261),NA())</f>
        <v>#N/A</v>
      </c>
    </row>
    <row r="262" spans="1:3" x14ac:dyDescent="0.25">
      <c r="A262" t="str">
        <f>IF(Monthly!A262="","",Monthly!A262)</f>
        <v/>
      </c>
      <c r="B262" s="7" t="e">
        <f>IF(AND(A262&gt;=Dashboard!$F$5,A262&lt;=Dashboard!$J$5,A262&lt;&gt;""),SUMIFS(DashboardData!$D:$D,DashboardData!$A:$A,IF(Dashboard!$B$5="All","*",Dashboard!$B$5),DashboardData!$B:$B,A262),NA())</f>
        <v>#N/A</v>
      </c>
      <c r="C262" s="7" t="e">
        <f>IF(AND(A262&gt;=Dashboard!$F$5,A262&lt;=Dashboard!$J$5,A262&lt;&gt;""),-SUMIFS(DashboardData!$E:$E,DashboardData!$A:$A,IF(Dashboard!$B$5="All","*",Dashboard!$B$5),DashboardData!$B:$B,A262),NA())</f>
        <v>#N/A</v>
      </c>
    </row>
    <row r="263" spans="1:3" x14ac:dyDescent="0.25">
      <c r="A263" t="str">
        <f>IF(Monthly!A263="","",Monthly!A263)</f>
        <v/>
      </c>
      <c r="B263" s="7" t="e">
        <f>IF(AND(A263&gt;=Dashboard!$F$5,A263&lt;=Dashboard!$J$5,A263&lt;&gt;""),SUMIFS(DashboardData!$D:$D,DashboardData!$A:$A,IF(Dashboard!$B$5="All","*",Dashboard!$B$5),DashboardData!$B:$B,A263),NA())</f>
        <v>#N/A</v>
      </c>
      <c r="C263" s="7" t="e">
        <f>IF(AND(A263&gt;=Dashboard!$F$5,A263&lt;=Dashboard!$J$5,A263&lt;&gt;""),-SUMIFS(DashboardData!$E:$E,DashboardData!$A:$A,IF(Dashboard!$B$5="All","*",Dashboard!$B$5),DashboardData!$B:$B,A263),NA())</f>
        <v>#N/A</v>
      </c>
    </row>
    <row r="264" spans="1:3" x14ac:dyDescent="0.25">
      <c r="A264" t="str">
        <f>IF(Monthly!A264="","",Monthly!A264)</f>
        <v/>
      </c>
      <c r="B264" s="7" t="e">
        <f>IF(AND(A264&gt;=Dashboard!$F$5,A264&lt;=Dashboard!$J$5,A264&lt;&gt;""),SUMIFS(DashboardData!$D:$D,DashboardData!$A:$A,IF(Dashboard!$B$5="All","*",Dashboard!$B$5),DashboardData!$B:$B,A264),NA())</f>
        <v>#N/A</v>
      </c>
      <c r="C264" s="7" t="e">
        <f>IF(AND(A264&gt;=Dashboard!$F$5,A264&lt;=Dashboard!$J$5,A264&lt;&gt;""),-SUMIFS(DashboardData!$E:$E,DashboardData!$A:$A,IF(Dashboard!$B$5="All","*",Dashboard!$B$5),DashboardData!$B:$B,A264),NA())</f>
        <v>#N/A</v>
      </c>
    </row>
    <row r="265" spans="1:3" x14ac:dyDescent="0.25">
      <c r="A265" t="str">
        <f>IF(Monthly!A265="","",Monthly!A265)</f>
        <v/>
      </c>
      <c r="B265" s="7" t="e">
        <f>IF(AND(A265&gt;=Dashboard!$F$5,A265&lt;=Dashboard!$J$5,A265&lt;&gt;""),SUMIFS(DashboardData!$D:$D,DashboardData!$A:$A,IF(Dashboard!$B$5="All","*",Dashboard!$B$5),DashboardData!$B:$B,A265),NA())</f>
        <v>#N/A</v>
      </c>
      <c r="C265" s="7" t="e">
        <f>IF(AND(A265&gt;=Dashboard!$F$5,A265&lt;=Dashboard!$J$5,A265&lt;&gt;""),-SUMIFS(DashboardData!$E:$E,DashboardData!$A:$A,IF(Dashboard!$B$5="All","*",Dashboard!$B$5),DashboardData!$B:$B,A265),NA())</f>
        <v>#N/A</v>
      </c>
    </row>
    <row r="266" spans="1:3" x14ac:dyDescent="0.25">
      <c r="A266" t="str">
        <f>IF(Monthly!A266="","",Monthly!A266)</f>
        <v/>
      </c>
      <c r="B266" s="7" t="e">
        <f>IF(AND(A266&gt;=Dashboard!$F$5,A266&lt;=Dashboard!$J$5,A266&lt;&gt;""),SUMIFS(DashboardData!$D:$D,DashboardData!$A:$A,IF(Dashboard!$B$5="All","*",Dashboard!$B$5),DashboardData!$B:$B,A266),NA())</f>
        <v>#N/A</v>
      </c>
      <c r="C266" s="7" t="e">
        <f>IF(AND(A266&gt;=Dashboard!$F$5,A266&lt;=Dashboard!$J$5,A266&lt;&gt;""),-SUMIFS(DashboardData!$E:$E,DashboardData!$A:$A,IF(Dashboard!$B$5="All","*",Dashboard!$B$5),DashboardData!$B:$B,A266),NA())</f>
        <v>#N/A</v>
      </c>
    </row>
    <row r="267" spans="1:3" x14ac:dyDescent="0.25">
      <c r="A267" t="str">
        <f>IF(Monthly!A267="","",Monthly!A267)</f>
        <v/>
      </c>
      <c r="B267" s="7" t="e">
        <f>IF(AND(A267&gt;=Dashboard!$F$5,A267&lt;=Dashboard!$J$5,A267&lt;&gt;""),SUMIFS(DashboardData!$D:$D,DashboardData!$A:$A,IF(Dashboard!$B$5="All","*",Dashboard!$B$5),DashboardData!$B:$B,A267),NA())</f>
        <v>#N/A</v>
      </c>
      <c r="C267" s="7" t="e">
        <f>IF(AND(A267&gt;=Dashboard!$F$5,A267&lt;=Dashboard!$J$5,A267&lt;&gt;""),-SUMIFS(DashboardData!$E:$E,DashboardData!$A:$A,IF(Dashboard!$B$5="All","*",Dashboard!$B$5),DashboardData!$B:$B,A267),NA())</f>
        <v>#N/A</v>
      </c>
    </row>
    <row r="268" spans="1:3" x14ac:dyDescent="0.25">
      <c r="A268" t="str">
        <f>IF(Monthly!A268="","",Monthly!A268)</f>
        <v/>
      </c>
      <c r="B268" s="7" t="e">
        <f>IF(AND(A268&gt;=Dashboard!$F$5,A268&lt;=Dashboard!$J$5,A268&lt;&gt;""),SUMIFS(DashboardData!$D:$D,DashboardData!$A:$A,IF(Dashboard!$B$5="All","*",Dashboard!$B$5),DashboardData!$B:$B,A268),NA())</f>
        <v>#N/A</v>
      </c>
      <c r="C268" s="7" t="e">
        <f>IF(AND(A268&gt;=Dashboard!$F$5,A268&lt;=Dashboard!$J$5,A268&lt;&gt;""),-SUMIFS(DashboardData!$E:$E,DashboardData!$A:$A,IF(Dashboard!$B$5="All","*",Dashboard!$B$5),DashboardData!$B:$B,A268),NA())</f>
        <v>#N/A</v>
      </c>
    </row>
    <row r="269" spans="1:3" x14ac:dyDescent="0.25">
      <c r="A269" t="str">
        <f>IF(Monthly!A269="","",Monthly!A269)</f>
        <v/>
      </c>
      <c r="B269" s="7" t="e">
        <f>IF(AND(A269&gt;=Dashboard!$F$5,A269&lt;=Dashboard!$J$5,A269&lt;&gt;""),SUMIFS(DashboardData!$D:$D,DashboardData!$A:$A,IF(Dashboard!$B$5="All","*",Dashboard!$B$5),DashboardData!$B:$B,A269),NA())</f>
        <v>#N/A</v>
      </c>
      <c r="C269" s="7" t="e">
        <f>IF(AND(A269&gt;=Dashboard!$F$5,A269&lt;=Dashboard!$J$5,A269&lt;&gt;""),-SUMIFS(DashboardData!$E:$E,DashboardData!$A:$A,IF(Dashboard!$B$5="All","*",Dashboard!$B$5),DashboardData!$B:$B,A269),NA())</f>
        <v>#N/A</v>
      </c>
    </row>
    <row r="270" spans="1:3" x14ac:dyDescent="0.25">
      <c r="A270" t="str">
        <f>IF(Monthly!A270="","",Monthly!A270)</f>
        <v/>
      </c>
      <c r="B270" s="7" t="e">
        <f>IF(AND(A270&gt;=Dashboard!$F$5,A270&lt;=Dashboard!$J$5,A270&lt;&gt;""),SUMIFS(DashboardData!$D:$D,DashboardData!$A:$A,IF(Dashboard!$B$5="All","*",Dashboard!$B$5),DashboardData!$B:$B,A270),NA())</f>
        <v>#N/A</v>
      </c>
      <c r="C270" s="7" t="e">
        <f>IF(AND(A270&gt;=Dashboard!$F$5,A270&lt;=Dashboard!$J$5,A270&lt;&gt;""),-SUMIFS(DashboardData!$E:$E,DashboardData!$A:$A,IF(Dashboard!$B$5="All","*",Dashboard!$B$5),DashboardData!$B:$B,A270),NA())</f>
        <v>#N/A</v>
      </c>
    </row>
    <row r="271" spans="1:3" x14ac:dyDescent="0.25">
      <c r="A271" t="str">
        <f>IF(Monthly!A271="","",Monthly!A271)</f>
        <v/>
      </c>
      <c r="B271" s="7" t="e">
        <f>IF(AND(A271&gt;=Dashboard!$F$5,A271&lt;=Dashboard!$J$5,A271&lt;&gt;""),SUMIFS(DashboardData!$D:$D,DashboardData!$A:$A,IF(Dashboard!$B$5="All","*",Dashboard!$B$5),DashboardData!$B:$B,A271),NA())</f>
        <v>#N/A</v>
      </c>
      <c r="C271" s="7" t="e">
        <f>IF(AND(A271&gt;=Dashboard!$F$5,A271&lt;=Dashboard!$J$5,A271&lt;&gt;""),-SUMIFS(DashboardData!$E:$E,DashboardData!$A:$A,IF(Dashboard!$B$5="All","*",Dashboard!$B$5),DashboardData!$B:$B,A271),NA())</f>
        <v>#N/A</v>
      </c>
    </row>
    <row r="272" spans="1:3" x14ac:dyDescent="0.25">
      <c r="A272" t="str">
        <f>IF(Monthly!A272="","",Monthly!A272)</f>
        <v/>
      </c>
      <c r="B272" s="7" t="e">
        <f>IF(AND(A272&gt;=Dashboard!$F$5,A272&lt;=Dashboard!$J$5,A272&lt;&gt;""),SUMIFS(DashboardData!$D:$D,DashboardData!$A:$A,IF(Dashboard!$B$5="All","*",Dashboard!$B$5),DashboardData!$B:$B,A272),NA())</f>
        <v>#N/A</v>
      </c>
      <c r="C272" s="7" t="e">
        <f>IF(AND(A272&gt;=Dashboard!$F$5,A272&lt;=Dashboard!$J$5,A272&lt;&gt;""),-SUMIFS(DashboardData!$E:$E,DashboardData!$A:$A,IF(Dashboard!$B$5="All","*",Dashboard!$B$5),DashboardData!$B:$B,A272),NA())</f>
        <v>#N/A</v>
      </c>
    </row>
    <row r="273" spans="1:3" x14ac:dyDescent="0.25">
      <c r="A273" t="str">
        <f>IF(Monthly!A273="","",Monthly!A273)</f>
        <v/>
      </c>
      <c r="B273" s="7" t="e">
        <f>IF(AND(A273&gt;=Dashboard!$F$5,A273&lt;=Dashboard!$J$5,A273&lt;&gt;""),SUMIFS(DashboardData!$D:$D,DashboardData!$A:$A,IF(Dashboard!$B$5="All","*",Dashboard!$B$5),DashboardData!$B:$B,A273),NA())</f>
        <v>#N/A</v>
      </c>
      <c r="C273" s="7" t="e">
        <f>IF(AND(A273&gt;=Dashboard!$F$5,A273&lt;=Dashboard!$J$5,A273&lt;&gt;""),-SUMIFS(DashboardData!$E:$E,DashboardData!$A:$A,IF(Dashboard!$B$5="All","*",Dashboard!$B$5),DashboardData!$B:$B,A273),NA())</f>
        <v>#N/A</v>
      </c>
    </row>
    <row r="274" spans="1:3" x14ac:dyDescent="0.25">
      <c r="A274" t="str">
        <f>IF(Monthly!A274="","",Monthly!A274)</f>
        <v/>
      </c>
      <c r="B274" s="7" t="e">
        <f>IF(AND(A274&gt;=Dashboard!$F$5,A274&lt;=Dashboard!$J$5,A274&lt;&gt;""),SUMIFS(DashboardData!$D:$D,DashboardData!$A:$A,IF(Dashboard!$B$5="All","*",Dashboard!$B$5),DashboardData!$B:$B,A274),NA())</f>
        <v>#N/A</v>
      </c>
      <c r="C274" s="7" t="e">
        <f>IF(AND(A274&gt;=Dashboard!$F$5,A274&lt;=Dashboard!$J$5,A274&lt;&gt;""),-SUMIFS(DashboardData!$E:$E,DashboardData!$A:$A,IF(Dashboard!$B$5="All","*",Dashboard!$B$5),DashboardData!$B:$B,A274),NA())</f>
        <v>#N/A</v>
      </c>
    </row>
    <row r="275" spans="1:3" x14ac:dyDescent="0.25">
      <c r="A275" t="str">
        <f>IF(Monthly!A275="","",Monthly!A275)</f>
        <v/>
      </c>
      <c r="B275" s="7" t="e">
        <f>IF(AND(A275&gt;=Dashboard!$F$5,A275&lt;=Dashboard!$J$5,A275&lt;&gt;""),SUMIFS(DashboardData!$D:$D,DashboardData!$A:$A,IF(Dashboard!$B$5="All","*",Dashboard!$B$5),DashboardData!$B:$B,A275),NA())</f>
        <v>#N/A</v>
      </c>
      <c r="C275" s="7" t="e">
        <f>IF(AND(A275&gt;=Dashboard!$F$5,A275&lt;=Dashboard!$J$5,A275&lt;&gt;""),-SUMIFS(DashboardData!$E:$E,DashboardData!$A:$A,IF(Dashboard!$B$5="All","*",Dashboard!$B$5),DashboardData!$B:$B,A275),NA())</f>
        <v>#N/A</v>
      </c>
    </row>
    <row r="276" spans="1:3" x14ac:dyDescent="0.25">
      <c r="A276" t="str">
        <f>IF(Monthly!A276="","",Monthly!A276)</f>
        <v/>
      </c>
      <c r="B276" s="7" t="e">
        <f>IF(AND(A276&gt;=Dashboard!$F$5,A276&lt;=Dashboard!$J$5,A276&lt;&gt;""),SUMIFS(DashboardData!$D:$D,DashboardData!$A:$A,IF(Dashboard!$B$5="All","*",Dashboard!$B$5),DashboardData!$B:$B,A276),NA())</f>
        <v>#N/A</v>
      </c>
      <c r="C276" s="7" t="e">
        <f>IF(AND(A276&gt;=Dashboard!$F$5,A276&lt;=Dashboard!$J$5,A276&lt;&gt;""),-SUMIFS(DashboardData!$E:$E,DashboardData!$A:$A,IF(Dashboard!$B$5="All","*",Dashboard!$B$5),DashboardData!$B:$B,A276),NA())</f>
        <v>#N/A</v>
      </c>
    </row>
    <row r="277" spans="1:3" x14ac:dyDescent="0.25">
      <c r="A277" t="str">
        <f>IF(Monthly!A277="","",Monthly!A277)</f>
        <v/>
      </c>
      <c r="B277" s="7" t="e">
        <f>IF(AND(A277&gt;=Dashboard!$F$5,A277&lt;=Dashboard!$J$5,A277&lt;&gt;""),SUMIFS(DashboardData!$D:$D,DashboardData!$A:$A,IF(Dashboard!$B$5="All","*",Dashboard!$B$5),DashboardData!$B:$B,A277),NA())</f>
        <v>#N/A</v>
      </c>
      <c r="C277" s="7" t="e">
        <f>IF(AND(A277&gt;=Dashboard!$F$5,A277&lt;=Dashboard!$J$5,A277&lt;&gt;""),-SUMIFS(DashboardData!$E:$E,DashboardData!$A:$A,IF(Dashboard!$B$5="All","*",Dashboard!$B$5),DashboardData!$B:$B,A277),NA())</f>
        <v>#N/A</v>
      </c>
    </row>
    <row r="278" spans="1:3" x14ac:dyDescent="0.25">
      <c r="A278" t="str">
        <f>IF(Monthly!A278="","",Monthly!A278)</f>
        <v/>
      </c>
      <c r="B278" s="7" t="e">
        <f>IF(AND(A278&gt;=Dashboard!$F$5,A278&lt;=Dashboard!$J$5,A278&lt;&gt;""),SUMIFS(DashboardData!$D:$D,DashboardData!$A:$A,IF(Dashboard!$B$5="All","*",Dashboard!$B$5),DashboardData!$B:$B,A278),NA())</f>
        <v>#N/A</v>
      </c>
      <c r="C278" s="7" t="e">
        <f>IF(AND(A278&gt;=Dashboard!$F$5,A278&lt;=Dashboard!$J$5,A278&lt;&gt;""),-SUMIFS(DashboardData!$E:$E,DashboardData!$A:$A,IF(Dashboard!$B$5="All","*",Dashboard!$B$5),DashboardData!$B:$B,A278),NA())</f>
        <v>#N/A</v>
      </c>
    </row>
    <row r="279" spans="1:3" x14ac:dyDescent="0.25">
      <c r="A279" t="str">
        <f>IF(Monthly!A279="","",Monthly!A279)</f>
        <v/>
      </c>
      <c r="B279" s="7" t="e">
        <f>IF(AND(A279&gt;=Dashboard!$F$5,A279&lt;=Dashboard!$J$5,A279&lt;&gt;""),SUMIFS(DashboardData!$D:$D,DashboardData!$A:$A,IF(Dashboard!$B$5="All","*",Dashboard!$B$5),DashboardData!$B:$B,A279),NA())</f>
        <v>#N/A</v>
      </c>
      <c r="C279" s="7" t="e">
        <f>IF(AND(A279&gt;=Dashboard!$F$5,A279&lt;=Dashboard!$J$5,A279&lt;&gt;""),-SUMIFS(DashboardData!$E:$E,DashboardData!$A:$A,IF(Dashboard!$B$5="All","*",Dashboard!$B$5),DashboardData!$B:$B,A279),NA())</f>
        <v>#N/A</v>
      </c>
    </row>
    <row r="280" spans="1:3" x14ac:dyDescent="0.25">
      <c r="A280" t="str">
        <f>IF(Monthly!A280="","",Monthly!A280)</f>
        <v/>
      </c>
      <c r="B280" s="7" t="e">
        <f>IF(AND(A280&gt;=Dashboard!$F$5,A280&lt;=Dashboard!$J$5,A280&lt;&gt;""),SUMIFS(DashboardData!$D:$D,DashboardData!$A:$A,IF(Dashboard!$B$5="All","*",Dashboard!$B$5),DashboardData!$B:$B,A280),NA())</f>
        <v>#N/A</v>
      </c>
      <c r="C280" s="7" t="e">
        <f>IF(AND(A280&gt;=Dashboard!$F$5,A280&lt;=Dashboard!$J$5,A280&lt;&gt;""),-SUMIFS(DashboardData!$E:$E,DashboardData!$A:$A,IF(Dashboard!$B$5="All","*",Dashboard!$B$5),DashboardData!$B:$B,A280),NA())</f>
        <v>#N/A</v>
      </c>
    </row>
    <row r="281" spans="1:3" x14ac:dyDescent="0.25">
      <c r="A281" t="str">
        <f>IF(Monthly!A281="","",Monthly!A281)</f>
        <v/>
      </c>
      <c r="B281" s="7" t="e">
        <f>IF(AND(A281&gt;=Dashboard!$F$5,A281&lt;=Dashboard!$J$5,A281&lt;&gt;""),SUMIFS(DashboardData!$D:$D,DashboardData!$A:$A,IF(Dashboard!$B$5="All","*",Dashboard!$B$5),DashboardData!$B:$B,A281),NA())</f>
        <v>#N/A</v>
      </c>
      <c r="C281" s="7" t="e">
        <f>IF(AND(A281&gt;=Dashboard!$F$5,A281&lt;=Dashboard!$J$5,A281&lt;&gt;""),-SUMIFS(DashboardData!$E:$E,DashboardData!$A:$A,IF(Dashboard!$B$5="All","*",Dashboard!$B$5),DashboardData!$B:$B,A281),NA())</f>
        <v>#N/A</v>
      </c>
    </row>
    <row r="282" spans="1:3" x14ac:dyDescent="0.25">
      <c r="A282" t="str">
        <f>IF(Monthly!A282="","",Monthly!A282)</f>
        <v/>
      </c>
      <c r="B282" s="7" t="e">
        <f>IF(AND(A282&gt;=Dashboard!$F$5,A282&lt;=Dashboard!$J$5,A282&lt;&gt;""),SUMIFS(DashboardData!$D:$D,DashboardData!$A:$A,IF(Dashboard!$B$5="All","*",Dashboard!$B$5),DashboardData!$B:$B,A282),NA())</f>
        <v>#N/A</v>
      </c>
      <c r="C282" s="7" t="e">
        <f>IF(AND(A282&gt;=Dashboard!$F$5,A282&lt;=Dashboard!$J$5,A282&lt;&gt;""),-SUMIFS(DashboardData!$E:$E,DashboardData!$A:$A,IF(Dashboard!$B$5="All","*",Dashboard!$B$5),DashboardData!$B:$B,A282),NA())</f>
        <v>#N/A</v>
      </c>
    </row>
    <row r="283" spans="1:3" x14ac:dyDescent="0.25">
      <c r="A283" t="str">
        <f>IF(Monthly!A283="","",Monthly!A283)</f>
        <v/>
      </c>
      <c r="B283" s="7" t="e">
        <f>IF(AND(A283&gt;=Dashboard!$F$5,A283&lt;=Dashboard!$J$5,A283&lt;&gt;""),SUMIFS(DashboardData!$D:$D,DashboardData!$A:$A,IF(Dashboard!$B$5="All","*",Dashboard!$B$5),DashboardData!$B:$B,A283),NA())</f>
        <v>#N/A</v>
      </c>
      <c r="C283" s="7" t="e">
        <f>IF(AND(A283&gt;=Dashboard!$F$5,A283&lt;=Dashboard!$J$5,A283&lt;&gt;""),-SUMIFS(DashboardData!$E:$E,DashboardData!$A:$A,IF(Dashboard!$B$5="All","*",Dashboard!$B$5),DashboardData!$B:$B,A283),NA())</f>
        <v>#N/A</v>
      </c>
    </row>
    <row r="284" spans="1:3" x14ac:dyDescent="0.25">
      <c r="A284" t="str">
        <f>IF(Monthly!A284="","",Monthly!A284)</f>
        <v/>
      </c>
      <c r="B284" s="7" t="e">
        <f>IF(AND(A284&gt;=Dashboard!$F$5,A284&lt;=Dashboard!$J$5,A284&lt;&gt;""),SUMIFS(DashboardData!$D:$D,DashboardData!$A:$A,IF(Dashboard!$B$5="All","*",Dashboard!$B$5),DashboardData!$B:$B,A284),NA())</f>
        <v>#N/A</v>
      </c>
      <c r="C284" s="7" t="e">
        <f>IF(AND(A284&gt;=Dashboard!$F$5,A284&lt;=Dashboard!$J$5,A284&lt;&gt;""),-SUMIFS(DashboardData!$E:$E,DashboardData!$A:$A,IF(Dashboard!$B$5="All","*",Dashboard!$B$5),DashboardData!$B:$B,A284),NA())</f>
        <v>#N/A</v>
      </c>
    </row>
    <row r="285" spans="1:3" x14ac:dyDescent="0.25">
      <c r="A285" t="str">
        <f>IF(Monthly!A285="","",Monthly!A285)</f>
        <v/>
      </c>
      <c r="B285" s="7" t="e">
        <f>IF(AND(A285&gt;=Dashboard!$F$5,A285&lt;=Dashboard!$J$5,A285&lt;&gt;""),SUMIFS(DashboardData!$D:$D,DashboardData!$A:$A,IF(Dashboard!$B$5="All","*",Dashboard!$B$5),DashboardData!$B:$B,A285),NA())</f>
        <v>#N/A</v>
      </c>
      <c r="C285" s="7" t="e">
        <f>IF(AND(A285&gt;=Dashboard!$F$5,A285&lt;=Dashboard!$J$5,A285&lt;&gt;""),-SUMIFS(DashboardData!$E:$E,DashboardData!$A:$A,IF(Dashboard!$B$5="All","*",Dashboard!$B$5),DashboardData!$B:$B,A285),NA())</f>
        <v>#N/A</v>
      </c>
    </row>
    <row r="286" spans="1:3" x14ac:dyDescent="0.25">
      <c r="A286" t="str">
        <f>IF(Monthly!A286="","",Monthly!A286)</f>
        <v/>
      </c>
      <c r="B286" s="7" t="e">
        <f>IF(AND(A286&gt;=Dashboard!$F$5,A286&lt;=Dashboard!$J$5,A286&lt;&gt;""),SUMIFS(DashboardData!$D:$D,DashboardData!$A:$A,IF(Dashboard!$B$5="All","*",Dashboard!$B$5),DashboardData!$B:$B,A286),NA())</f>
        <v>#N/A</v>
      </c>
      <c r="C286" s="7" t="e">
        <f>IF(AND(A286&gt;=Dashboard!$F$5,A286&lt;=Dashboard!$J$5,A286&lt;&gt;""),-SUMIFS(DashboardData!$E:$E,DashboardData!$A:$A,IF(Dashboard!$B$5="All","*",Dashboard!$B$5),DashboardData!$B:$B,A286),NA())</f>
        <v>#N/A</v>
      </c>
    </row>
    <row r="287" spans="1:3" x14ac:dyDescent="0.25">
      <c r="A287" t="str">
        <f>IF(Monthly!A287="","",Monthly!A287)</f>
        <v/>
      </c>
      <c r="B287" s="7" t="e">
        <f>IF(AND(A287&gt;=Dashboard!$F$5,A287&lt;=Dashboard!$J$5,A287&lt;&gt;""),SUMIFS(DashboardData!$D:$D,DashboardData!$A:$A,IF(Dashboard!$B$5="All","*",Dashboard!$B$5),DashboardData!$B:$B,A287),NA())</f>
        <v>#N/A</v>
      </c>
      <c r="C287" s="7" t="e">
        <f>IF(AND(A287&gt;=Dashboard!$F$5,A287&lt;=Dashboard!$J$5,A287&lt;&gt;""),-SUMIFS(DashboardData!$E:$E,DashboardData!$A:$A,IF(Dashboard!$B$5="All","*",Dashboard!$B$5),DashboardData!$B:$B,A287),NA())</f>
        <v>#N/A</v>
      </c>
    </row>
    <row r="288" spans="1:3" x14ac:dyDescent="0.25">
      <c r="A288" t="str">
        <f>IF(Monthly!A288="","",Monthly!A288)</f>
        <v/>
      </c>
      <c r="B288" s="7" t="e">
        <f>IF(AND(A288&gt;=Dashboard!$F$5,A288&lt;=Dashboard!$J$5,A288&lt;&gt;""),SUMIFS(DashboardData!$D:$D,DashboardData!$A:$A,IF(Dashboard!$B$5="All","*",Dashboard!$B$5),DashboardData!$B:$B,A288),NA())</f>
        <v>#N/A</v>
      </c>
      <c r="C288" s="7" t="e">
        <f>IF(AND(A288&gt;=Dashboard!$F$5,A288&lt;=Dashboard!$J$5,A288&lt;&gt;""),-SUMIFS(DashboardData!$E:$E,DashboardData!$A:$A,IF(Dashboard!$B$5="All","*",Dashboard!$B$5),DashboardData!$B:$B,A288),NA())</f>
        <v>#N/A</v>
      </c>
    </row>
    <row r="289" spans="1:3" x14ac:dyDescent="0.25">
      <c r="A289" t="str">
        <f>IF(Monthly!A289="","",Monthly!A289)</f>
        <v/>
      </c>
      <c r="B289" s="7" t="e">
        <f>IF(AND(A289&gt;=Dashboard!$F$5,A289&lt;=Dashboard!$J$5,A289&lt;&gt;""),SUMIFS(DashboardData!$D:$D,DashboardData!$A:$A,IF(Dashboard!$B$5="All","*",Dashboard!$B$5),DashboardData!$B:$B,A289),NA())</f>
        <v>#N/A</v>
      </c>
      <c r="C289" s="7" t="e">
        <f>IF(AND(A289&gt;=Dashboard!$F$5,A289&lt;=Dashboard!$J$5,A289&lt;&gt;""),-SUMIFS(DashboardData!$E:$E,DashboardData!$A:$A,IF(Dashboard!$B$5="All","*",Dashboard!$B$5),DashboardData!$B:$B,A289),NA())</f>
        <v>#N/A</v>
      </c>
    </row>
    <row r="290" spans="1:3" x14ac:dyDescent="0.25">
      <c r="A290" t="str">
        <f>IF(Monthly!A290="","",Monthly!A290)</f>
        <v/>
      </c>
      <c r="B290" s="7" t="e">
        <f>IF(AND(A290&gt;=Dashboard!$F$5,A290&lt;=Dashboard!$J$5,A290&lt;&gt;""),SUMIFS(DashboardData!$D:$D,DashboardData!$A:$A,IF(Dashboard!$B$5="All","*",Dashboard!$B$5),DashboardData!$B:$B,A290),NA())</f>
        <v>#N/A</v>
      </c>
      <c r="C290" s="7" t="e">
        <f>IF(AND(A290&gt;=Dashboard!$F$5,A290&lt;=Dashboard!$J$5,A290&lt;&gt;""),-SUMIFS(DashboardData!$E:$E,DashboardData!$A:$A,IF(Dashboard!$B$5="All","*",Dashboard!$B$5),DashboardData!$B:$B,A290),NA())</f>
        <v>#N/A</v>
      </c>
    </row>
    <row r="291" spans="1:3" x14ac:dyDescent="0.25">
      <c r="A291" t="str">
        <f>IF(Monthly!A291="","",Monthly!A291)</f>
        <v/>
      </c>
      <c r="B291" s="7" t="e">
        <f>IF(AND(A291&gt;=Dashboard!$F$5,A291&lt;=Dashboard!$J$5,A291&lt;&gt;""),SUMIFS(DashboardData!$D:$D,DashboardData!$A:$A,IF(Dashboard!$B$5="All","*",Dashboard!$B$5),DashboardData!$B:$B,A291),NA())</f>
        <v>#N/A</v>
      </c>
      <c r="C291" s="7" t="e">
        <f>IF(AND(A291&gt;=Dashboard!$F$5,A291&lt;=Dashboard!$J$5,A291&lt;&gt;""),-SUMIFS(DashboardData!$E:$E,DashboardData!$A:$A,IF(Dashboard!$B$5="All","*",Dashboard!$B$5),DashboardData!$B:$B,A291),NA())</f>
        <v>#N/A</v>
      </c>
    </row>
    <row r="292" spans="1:3" x14ac:dyDescent="0.25">
      <c r="A292" t="str">
        <f>IF(Monthly!A292="","",Monthly!A292)</f>
        <v/>
      </c>
      <c r="B292" s="7" t="e">
        <f>IF(AND(A292&gt;=Dashboard!$F$5,A292&lt;=Dashboard!$J$5,A292&lt;&gt;""),SUMIFS(DashboardData!$D:$D,DashboardData!$A:$A,IF(Dashboard!$B$5="All","*",Dashboard!$B$5),DashboardData!$B:$B,A292),NA())</f>
        <v>#N/A</v>
      </c>
      <c r="C292" s="7" t="e">
        <f>IF(AND(A292&gt;=Dashboard!$F$5,A292&lt;=Dashboard!$J$5,A292&lt;&gt;""),-SUMIFS(DashboardData!$E:$E,DashboardData!$A:$A,IF(Dashboard!$B$5="All","*",Dashboard!$B$5),DashboardData!$B:$B,A292),NA())</f>
        <v>#N/A</v>
      </c>
    </row>
    <row r="293" spans="1:3" x14ac:dyDescent="0.25">
      <c r="A293" t="str">
        <f>IF(Monthly!A293="","",Monthly!A293)</f>
        <v/>
      </c>
      <c r="B293" s="7" t="e">
        <f>IF(AND(A293&gt;=Dashboard!$F$5,A293&lt;=Dashboard!$J$5,A293&lt;&gt;""),SUMIFS(DashboardData!$D:$D,DashboardData!$A:$A,IF(Dashboard!$B$5="All","*",Dashboard!$B$5),DashboardData!$B:$B,A293),NA())</f>
        <v>#N/A</v>
      </c>
      <c r="C293" s="7" t="e">
        <f>IF(AND(A293&gt;=Dashboard!$F$5,A293&lt;=Dashboard!$J$5,A293&lt;&gt;""),-SUMIFS(DashboardData!$E:$E,DashboardData!$A:$A,IF(Dashboard!$B$5="All","*",Dashboard!$B$5),DashboardData!$B:$B,A293),NA())</f>
        <v>#N/A</v>
      </c>
    </row>
    <row r="294" spans="1:3" x14ac:dyDescent="0.25">
      <c r="A294" t="str">
        <f>IF(Monthly!A294="","",Monthly!A294)</f>
        <v/>
      </c>
      <c r="B294" s="7" t="e">
        <f>IF(AND(A294&gt;=Dashboard!$F$5,A294&lt;=Dashboard!$J$5,A294&lt;&gt;""),SUMIFS(DashboardData!$D:$D,DashboardData!$A:$A,IF(Dashboard!$B$5="All","*",Dashboard!$B$5),DashboardData!$B:$B,A294),NA())</f>
        <v>#N/A</v>
      </c>
      <c r="C294" s="7" t="e">
        <f>IF(AND(A294&gt;=Dashboard!$F$5,A294&lt;=Dashboard!$J$5,A294&lt;&gt;""),-SUMIFS(DashboardData!$E:$E,DashboardData!$A:$A,IF(Dashboard!$B$5="All","*",Dashboard!$B$5),DashboardData!$B:$B,A294),NA())</f>
        <v>#N/A</v>
      </c>
    </row>
    <row r="295" spans="1:3" x14ac:dyDescent="0.25">
      <c r="A295" t="str">
        <f>IF(Monthly!A295="","",Monthly!A295)</f>
        <v/>
      </c>
      <c r="B295" s="7" t="e">
        <f>IF(AND(A295&gt;=Dashboard!$F$5,A295&lt;=Dashboard!$J$5,A295&lt;&gt;""),SUMIFS(DashboardData!$D:$D,DashboardData!$A:$A,IF(Dashboard!$B$5="All","*",Dashboard!$B$5),DashboardData!$B:$B,A295),NA())</f>
        <v>#N/A</v>
      </c>
      <c r="C295" s="7" t="e">
        <f>IF(AND(A295&gt;=Dashboard!$F$5,A295&lt;=Dashboard!$J$5,A295&lt;&gt;""),-SUMIFS(DashboardData!$E:$E,DashboardData!$A:$A,IF(Dashboard!$B$5="All","*",Dashboard!$B$5),DashboardData!$B:$B,A295),NA())</f>
        <v>#N/A</v>
      </c>
    </row>
    <row r="296" spans="1:3" x14ac:dyDescent="0.25">
      <c r="A296" t="str">
        <f>IF(Monthly!A296="","",Monthly!A296)</f>
        <v/>
      </c>
      <c r="B296" s="7" t="e">
        <f>IF(AND(A296&gt;=Dashboard!$F$5,A296&lt;=Dashboard!$J$5,A296&lt;&gt;""),SUMIFS(DashboardData!$D:$D,DashboardData!$A:$A,IF(Dashboard!$B$5="All","*",Dashboard!$B$5),DashboardData!$B:$B,A296),NA())</f>
        <v>#N/A</v>
      </c>
      <c r="C296" s="7" t="e">
        <f>IF(AND(A296&gt;=Dashboard!$F$5,A296&lt;=Dashboard!$J$5,A296&lt;&gt;""),-SUMIFS(DashboardData!$E:$E,DashboardData!$A:$A,IF(Dashboard!$B$5="All","*",Dashboard!$B$5),DashboardData!$B:$B,A296),NA())</f>
        <v>#N/A</v>
      </c>
    </row>
    <row r="297" spans="1:3" x14ac:dyDescent="0.25">
      <c r="A297" t="str">
        <f>IF(Monthly!A297="","",Monthly!A297)</f>
        <v/>
      </c>
      <c r="B297" s="7" t="e">
        <f>IF(AND(A297&gt;=Dashboard!$F$5,A297&lt;=Dashboard!$J$5,A297&lt;&gt;""),SUMIFS(DashboardData!$D:$D,DashboardData!$A:$A,IF(Dashboard!$B$5="All","*",Dashboard!$B$5),DashboardData!$B:$B,A297),NA())</f>
        <v>#N/A</v>
      </c>
      <c r="C297" s="7" t="e">
        <f>IF(AND(A297&gt;=Dashboard!$F$5,A297&lt;=Dashboard!$J$5,A297&lt;&gt;""),-SUMIFS(DashboardData!$E:$E,DashboardData!$A:$A,IF(Dashboard!$B$5="All","*",Dashboard!$B$5),DashboardData!$B:$B,A297),NA())</f>
        <v>#N/A</v>
      </c>
    </row>
    <row r="298" spans="1:3" x14ac:dyDescent="0.25">
      <c r="A298" t="str">
        <f>IF(Monthly!A298="","",Monthly!A298)</f>
        <v/>
      </c>
      <c r="B298" s="7" t="e">
        <f>IF(AND(A298&gt;=Dashboard!$F$5,A298&lt;=Dashboard!$J$5,A298&lt;&gt;""),SUMIFS(DashboardData!$D:$D,DashboardData!$A:$A,IF(Dashboard!$B$5="All","*",Dashboard!$B$5),DashboardData!$B:$B,A298),NA())</f>
        <v>#N/A</v>
      </c>
      <c r="C298" s="7" t="e">
        <f>IF(AND(A298&gt;=Dashboard!$F$5,A298&lt;=Dashboard!$J$5,A298&lt;&gt;""),-SUMIFS(DashboardData!$E:$E,DashboardData!$A:$A,IF(Dashboard!$B$5="All","*",Dashboard!$B$5),DashboardData!$B:$B,A298),NA())</f>
        <v>#N/A</v>
      </c>
    </row>
    <row r="299" spans="1:3" x14ac:dyDescent="0.25">
      <c r="A299" t="str">
        <f>IF(Monthly!A299="","",Monthly!A299)</f>
        <v/>
      </c>
      <c r="B299" s="7" t="e">
        <f>IF(AND(A299&gt;=Dashboard!$F$5,A299&lt;=Dashboard!$J$5,A299&lt;&gt;""),SUMIFS(DashboardData!$D:$D,DashboardData!$A:$A,IF(Dashboard!$B$5="All","*",Dashboard!$B$5),DashboardData!$B:$B,A299),NA())</f>
        <v>#N/A</v>
      </c>
      <c r="C299" s="7" t="e">
        <f>IF(AND(A299&gt;=Dashboard!$F$5,A299&lt;=Dashboard!$J$5,A299&lt;&gt;""),-SUMIFS(DashboardData!$E:$E,DashboardData!$A:$A,IF(Dashboard!$B$5="All","*",Dashboard!$B$5),DashboardData!$B:$B,A299),NA())</f>
        <v>#N/A</v>
      </c>
    </row>
    <row r="300" spans="1:3" x14ac:dyDescent="0.25">
      <c r="A300" t="str">
        <f>IF(Monthly!A300="","",Monthly!A300)</f>
        <v/>
      </c>
      <c r="B300" s="7" t="e">
        <f>IF(AND(A300&gt;=Dashboard!$F$5,A300&lt;=Dashboard!$J$5,A300&lt;&gt;""),SUMIFS(DashboardData!$D:$D,DashboardData!$A:$A,IF(Dashboard!$B$5="All","*",Dashboard!$B$5),DashboardData!$B:$B,A300),NA())</f>
        <v>#N/A</v>
      </c>
      <c r="C300" s="7" t="e">
        <f>IF(AND(A300&gt;=Dashboard!$F$5,A300&lt;=Dashboard!$J$5,A300&lt;&gt;""),-SUMIFS(DashboardData!$E:$E,DashboardData!$A:$A,IF(Dashboard!$B$5="All","*",Dashboard!$B$5),DashboardData!$B:$B,A300),NA())</f>
        <v>#N/A</v>
      </c>
    </row>
    <row r="301" spans="1:3" x14ac:dyDescent="0.25">
      <c r="A301" t="str">
        <f>IF(Monthly!A301="","",Monthly!A301)</f>
        <v/>
      </c>
      <c r="B301" s="7" t="e">
        <f>IF(AND(A301&gt;=Dashboard!$F$5,A301&lt;=Dashboard!$J$5,A301&lt;&gt;""),SUMIFS(DashboardData!$D:$D,DashboardData!$A:$A,IF(Dashboard!$B$5="All","*",Dashboard!$B$5),DashboardData!$B:$B,A301),NA())</f>
        <v>#N/A</v>
      </c>
      <c r="C301" s="7" t="e">
        <f>IF(AND(A301&gt;=Dashboard!$F$5,A301&lt;=Dashboard!$J$5,A301&lt;&gt;""),-SUMIFS(DashboardData!$E:$E,DashboardData!$A:$A,IF(Dashboard!$B$5="All","*",Dashboard!$B$5),DashboardData!$B:$B,A301),NA())</f>
        <v>#N/A</v>
      </c>
    </row>
    <row r="302" spans="1:3" x14ac:dyDescent="0.25">
      <c r="A302" t="str">
        <f>IF(Monthly!A302="","",Monthly!A302)</f>
        <v/>
      </c>
      <c r="B302" s="7" t="e">
        <f>IF(AND(A302&gt;=Dashboard!$F$5,A302&lt;=Dashboard!$J$5,A302&lt;&gt;""),SUMIFS(DashboardData!$D:$D,DashboardData!$A:$A,IF(Dashboard!$B$5="All","*",Dashboard!$B$5),DashboardData!$B:$B,A302),NA())</f>
        <v>#N/A</v>
      </c>
      <c r="C302" s="7" t="e">
        <f>IF(AND(A302&gt;=Dashboard!$F$5,A302&lt;=Dashboard!$J$5,A302&lt;&gt;""),-SUMIFS(DashboardData!$E:$E,DashboardData!$A:$A,IF(Dashboard!$B$5="All","*",Dashboard!$B$5),DashboardData!$B:$B,A302),NA())</f>
        <v>#N/A</v>
      </c>
    </row>
    <row r="303" spans="1:3" x14ac:dyDescent="0.25">
      <c r="A303" t="str">
        <f>IF(Monthly!A303="","",Monthly!A303)</f>
        <v/>
      </c>
      <c r="B303" s="7" t="e">
        <f>IF(AND(A303&gt;=Dashboard!$F$5,A303&lt;=Dashboard!$J$5,A303&lt;&gt;""),SUMIFS(DashboardData!$D:$D,DashboardData!$A:$A,IF(Dashboard!$B$5="All","*",Dashboard!$B$5),DashboardData!$B:$B,A303),NA())</f>
        <v>#N/A</v>
      </c>
      <c r="C303" s="7" t="e">
        <f>IF(AND(A303&gt;=Dashboard!$F$5,A303&lt;=Dashboard!$J$5,A303&lt;&gt;""),-SUMIFS(DashboardData!$E:$E,DashboardData!$A:$A,IF(Dashboard!$B$5="All","*",Dashboard!$B$5),DashboardData!$B:$B,A303),NA())</f>
        <v>#N/A</v>
      </c>
    </row>
    <row r="304" spans="1:3" x14ac:dyDescent="0.25">
      <c r="A304" t="str">
        <f>IF(Monthly!A304="","",Monthly!A304)</f>
        <v/>
      </c>
      <c r="B304" s="7" t="e">
        <f>IF(AND(A304&gt;=Dashboard!$F$5,A304&lt;=Dashboard!$J$5,A304&lt;&gt;""),SUMIFS(DashboardData!$D:$D,DashboardData!$A:$A,IF(Dashboard!$B$5="All","*",Dashboard!$B$5),DashboardData!$B:$B,A304),NA())</f>
        <v>#N/A</v>
      </c>
      <c r="C304" s="7" t="e">
        <f>IF(AND(A304&gt;=Dashboard!$F$5,A304&lt;=Dashboard!$J$5,A304&lt;&gt;""),-SUMIFS(DashboardData!$E:$E,DashboardData!$A:$A,IF(Dashboard!$B$5="All","*",Dashboard!$B$5),DashboardData!$B:$B,A304),NA())</f>
        <v>#N/A</v>
      </c>
    </row>
    <row r="305" spans="1:3" x14ac:dyDescent="0.25">
      <c r="A305" t="str">
        <f>IF(Monthly!A305="","",Monthly!A305)</f>
        <v/>
      </c>
      <c r="B305" s="7" t="e">
        <f>IF(AND(A305&gt;=Dashboard!$F$5,A305&lt;=Dashboard!$J$5,A305&lt;&gt;""),SUMIFS(DashboardData!$D:$D,DashboardData!$A:$A,IF(Dashboard!$B$5="All","*",Dashboard!$B$5),DashboardData!$B:$B,A305),NA())</f>
        <v>#N/A</v>
      </c>
      <c r="C305" s="7" t="e">
        <f>IF(AND(A305&gt;=Dashboard!$F$5,A305&lt;=Dashboard!$J$5,A305&lt;&gt;""),-SUMIFS(DashboardData!$E:$E,DashboardData!$A:$A,IF(Dashboard!$B$5="All","*",Dashboard!$B$5),DashboardData!$B:$B,A305),NA())</f>
        <v>#N/A</v>
      </c>
    </row>
    <row r="306" spans="1:3" x14ac:dyDescent="0.25">
      <c r="A306" t="str">
        <f>IF(Monthly!A306="","",Monthly!A306)</f>
        <v/>
      </c>
      <c r="B306" s="7" t="e">
        <f>IF(AND(A306&gt;=Dashboard!$F$5,A306&lt;=Dashboard!$J$5,A306&lt;&gt;""),SUMIFS(DashboardData!$D:$D,DashboardData!$A:$A,IF(Dashboard!$B$5="All","*",Dashboard!$B$5),DashboardData!$B:$B,A306),NA())</f>
        <v>#N/A</v>
      </c>
      <c r="C306" s="7" t="e">
        <f>IF(AND(A306&gt;=Dashboard!$F$5,A306&lt;=Dashboard!$J$5,A306&lt;&gt;""),-SUMIFS(DashboardData!$E:$E,DashboardData!$A:$A,IF(Dashboard!$B$5="All","*",Dashboard!$B$5),DashboardData!$B:$B,A306),NA())</f>
        <v>#N/A</v>
      </c>
    </row>
    <row r="307" spans="1:3" x14ac:dyDescent="0.25">
      <c r="A307" t="str">
        <f>IF(Monthly!A307="","",Monthly!A307)</f>
        <v/>
      </c>
      <c r="B307" s="7" t="e">
        <f>IF(AND(A307&gt;=Dashboard!$F$5,A307&lt;=Dashboard!$J$5,A307&lt;&gt;""),SUMIFS(DashboardData!$D:$D,DashboardData!$A:$A,IF(Dashboard!$B$5="All","*",Dashboard!$B$5),DashboardData!$B:$B,A307),NA())</f>
        <v>#N/A</v>
      </c>
      <c r="C307" s="7" t="e">
        <f>IF(AND(A307&gt;=Dashboard!$F$5,A307&lt;=Dashboard!$J$5,A307&lt;&gt;""),-SUMIFS(DashboardData!$E:$E,DashboardData!$A:$A,IF(Dashboard!$B$5="All","*",Dashboard!$B$5),DashboardData!$B:$B,A307),NA())</f>
        <v>#N/A</v>
      </c>
    </row>
    <row r="308" spans="1:3" x14ac:dyDescent="0.25">
      <c r="A308" t="str">
        <f>IF(Monthly!A308="","",Monthly!A308)</f>
        <v/>
      </c>
      <c r="B308" s="7" t="e">
        <f>IF(AND(A308&gt;=Dashboard!$F$5,A308&lt;=Dashboard!$J$5,A308&lt;&gt;""),SUMIFS(DashboardData!$D:$D,DashboardData!$A:$A,IF(Dashboard!$B$5="All","*",Dashboard!$B$5),DashboardData!$B:$B,A308),NA())</f>
        <v>#N/A</v>
      </c>
      <c r="C308" s="7" t="e">
        <f>IF(AND(A308&gt;=Dashboard!$F$5,A308&lt;=Dashboard!$J$5,A308&lt;&gt;""),-SUMIFS(DashboardData!$E:$E,DashboardData!$A:$A,IF(Dashboard!$B$5="All","*",Dashboard!$B$5),DashboardData!$B:$B,A308),NA())</f>
        <v>#N/A</v>
      </c>
    </row>
    <row r="309" spans="1:3" x14ac:dyDescent="0.25">
      <c r="A309" t="str">
        <f>IF(Monthly!A309="","",Monthly!A309)</f>
        <v/>
      </c>
      <c r="B309" s="7" t="e">
        <f>IF(AND(A309&gt;=Dashboard!$F$5,A309&lt;=Dashboard!$J$5,A309&lt;&gt;""),SUMIFS(DashboardData!$D:$D,DashboardData!$A:$A,IF(Dashboard!$B$5="All","*",Dashboard!$B$5),DashboardData!$B:$B,A309),NA())</f>
        <v>#N/A</v>
      </c>
      <c r="C309" s="7" t="e">
        <f>IF(AND(A309&gt;=Dashboard!$F$5,A309&lt;=Dashboard!$J$5,A309&lt;&gt;""),-SUMIFS(DashboardData!$E:$E,DashboardData!$A:$A,IF(Dashboard!$B$5="All","*",Dashboard!$B$5),DashboardData!$B:$B,A309),NA())</f>
        <v>#N/A</v>
      </c>
    </row>
    <row r="310" spans="1:3" x14ac:dyDescent="0.25">
      <c r="A310" t="str">
        <f>IF(Monthly!A310="","",Monthly!A310)</f>
        <v/>
      </c>
      <c r="B310" s="7" t="e">
        <f>IF(AND(A310&gt;=Dashboard!$F$5,A310&lt;=Dashboard!$J$5,A310&lt;&gt;""),SUMIFS(DashboardData!$D:$D,DashboardData!$A:$A,IF(Dashboard!$B$5="All","*",Dashboard!$B$5),DashboardData!$B:$B,A310),NA())</f>
        <v>#N/A</v>
      </c>
      <c r="C310" s="7" t="e">
        <f>IF(AND(A310&gt;=Dashboard!$F$5,A310&lt;=Dashboard!$J$5,A310&lt;&gt;""),-SUMIFS(DashboardData!$E:$E,DashboardData!$A:$A,IF(Dashboard!$B$5="All","*",Dashboard!$B$5),DashboardData!$B:$B,A310),NA())</f>
        <v>#N/A</v>
      </c>
    </row>
    <row r="311" spans="1:3" x14ac:dyDescent="0.25">
      <c r="A311" t="str">
        <f>IF(Monthly!A311="","",Monthly!A311)</f>
        <v/>
      </c>
      <c r="B311" s="7" t="e">
        <f>IF(AND(A311&gt;=Dashboard!$F$5,A311&lt;=Dashboard!$J$5,A311&lt;&gt;""),SUMIFS(DashboardData!$D:$D,DashboardData!$A:$A,IF(Dashboard!$B$5="All","*",Dashboard!$B$5),DashboardData!$B:$B,A311),NA())</f>
        <v>#N/A</v>
      </c>
      <c r="C311" s="7" t="e">
        <f>IF(AND(A311&gt;=Dashboard!$F$5,A311&lt;=Dashboard!$J$5,A311&lt;&gt;""),-SUMIFS(DashboardData!$E:$E,DashboardData!$A:$A,IF(Dashboard!$B$5="All","*",Dashboard!$B$5),DashboardData!$B:$B,A311),NA())</f>
        <v>#N/A</v>
      </c>
    </row>
    <row r="312" spans="1:3" x14ac:dyDescent="0.25">
      <c r="A312" t="str">
        <f>IF(Monthly!A312="","",Monthly!A312)</f>
        <v/>
      </c>
      <c r="B312" s="7" t="e">
        <f>IF(AND(A312&gt;=Dashboard!$F$5,A312&lt;=Dashboard!$J$5,A312&lt;&gt;""),SUMIFS(DashboardData!$D:$D,DashboardData!$A:$A,IF(Dashboard!$B$5="All","*",Dashboard!$B$5),DashboardData!$B:$B,A312),NA())</f>
        <v>#N/A</v>
      </c>
      <c r="C312" s="7" t="e">
        <f>IF(AND(A312&gt;=Dashboard!$F$5,A312&lt;=Dashboard!$J$5,A312&lt;&gt;""),-SUMIFS(DashboardData!$E:$E,DashboardData!$A:$A,IF(Dashboard!$B$5="All","*",Dashboard!$B$5),DashboardData!$B:$B,A312),NA())</f>
        <v>#N/A</v>
      </c>
    </row>
    <row r="313" spans="1:3" x14ac:dyDescent="0.25">
      <c r="A313" t="str">
        <f>IF(Monthly!A313="","",Monthly!A313)</f>
        <v/>
      </c>
      <c r="B313" s="7" t="e">
        <f>IF(AND(A313&gt;=Dashboard!$F$5,A313&lt;=Dashboard!$J$5,A313&lt;&gt;""),SUMIFS(DashboardData!$D:$D,DashboardData!$A:$A,IF(Dashboard!$B$5="All","*",Dashboard!$B$5),DashboardData!$B:$B,A313),NA())</f>
        <v>#N/A</v>
      </c>
      <c r="C313" s="7" t="e">
        <f>IF(AND(A313&gt;=Dashboard!$F$5,A313&lt;=Dashboard!$J$5,A313&lt;&gt;""),-SUMIFS(DashboardData!$E:$E,DashboardData!$A:$A,IF(Dashboard!$B$5="All","*",Dashboard!$B$5),DashboardData!$B:$B,A313),NA())</f>
        <v>#N/A</v>
      </c>
    </row>
    <row r="314" spans="1:3" x14ac:dyDescent="0.25">
      <c r="A314" t="str">
        <f>IF(Monthly!A314="","",Monthly!A314)</f>
        <v/>
      </c>
      <c r="B314" s="7" t="e">
        <f>IF(AND(A314&gt;=Dashboard!$F$5,A314&lt;=Dashboard!$J$5,A314&lt;&gt;""),SUMIFS(DashboardData!$D:$D,DashboardData!$A:$A,IF(Dashboard!$B$5="All","*",Dashboard!$B$5),DashboardData!$B:$B,A314),NA())</f>
        <v>#N/A</v>
      </c>
      <c r="C314" s="7" t="e">
        <f>IF(AND(A314&gt;=Dashboard!$F$5,A314&lt;=Dashboard!$J$5,A314&lt;&gt;""),-SUMIFS(DashboardData!$E:$E,DashboardData!$A:$A,IF(Dashboard!$B$5="All","*",Dashboard!$B$5),DashboardData!$B:$B,A314),NA())</f>
        <v>#N/A</v>
      </c>
    </row>
    <row r="315" spans="1:3" x14ac:dyDescent="0.25">
      <c r="A315" t="str">
        <f>IF(Monthly!A315="","",Monthly!A315)</f>
        <v/>
      </c>
      <c r="B315" s="7" t="e">
        <f>IF(AND(A315&gt;=Dashboard!$F$5,A315&lt;=Dashboard!$J$5,A315&lt;&gt;""),SUMIFS(DashboardData!$D:$D,DashboardData!$A:$A,IF(Dashboard!$B$5="All","*",Dashboard!$B$5),DashboardData!$B:$B,A315),NA())</f>
        <v>#N/A</v>
      </c>
      <c r="C315" s="7" t="e">
        <f>IF(AND(A315&gt;=Dashboard!$F$5,A315&lt;=Dashboard!$J$5,A315&lt;&gt;""),-SUMIFS(DashboardData!$E:$E,DashboardData!$A:$A,IF(Dashboard!$B$5="All","*",Dashboard!$B$5),DashboardData!$B:$B,A315),NA())</f>
        <v>#N/A</v>
      </c>
    </row>
    <row r="316" spans="1:3" x14ac:dyDescent="0.25">
      <c r="A316" t="str">
        <f>IF(Monthly!A316="","",Monthly!A316)</f>
        <v/>
      </c>
      <c r="B316" s="7" t="e">
        <f>IF(AND(A316&gt;=Dashboard!$F$5,A316&lt;=Dashboard!$J$5,A316&lt;&gt;""),SUMIFS(DashboardData!$D:$D,DashboardData!$A:$A,IF(Dashboard!$B$5="All","*",Dashboard!$B$5),DashboardData!$B:$B,A316),NA())</f>
        <v>#N/A</v>
      </c>
      <c r="C316" s="7" t="e">
        <f>IF(AND(A316&gt;=Dashboard!$F$5,A316&lt;=Dashboard!$J$5,A316&lt;&gt;""),-SUMIFS(DashboardData!$E:$E,DashboardData!$A:$A,IF(Dashboard!$B$5="All","*",Dashboard!$B$5),DashboardData!$B:$B,A316),NA())</f>
        <v>#N/A</v>
      </c>
    </row>
    <row r="317" spans="1:3" x14ac:dyDescent="0.25">
      <c r="A317" t="str">
        <f>IF(Monthly!A317="","",Monthly!A317)</f>
        <v/>
      </c>
      <c r="B317" s="7" t="e">
        <f>IF(AND(A317&gt;=Dashboard!$F$5,A317&lt;=Dashboard!$J$5,A317&lt;&gt;""),SUMIFS(DashboardData!$D:$D,DashboardData!$A:$A,IF(Dashboard!$B$5="All","*",Dashboard!$B$5),DashboardData!$B:$B,A317),NA())</f>
        <v>#N/A</v>
      </c>
      <c r="C317" s="7" t="e">
        <f>IF(AND(A317&gt;=Dashboard!$F$5,A317&lt;=Dashboard!$J$5,A317&lt;&gt;""),-SUMIFS(DashboardData!$E:$E,DashboardData!$A:$A,IF(Dashboard!$B$5="All","*",Dashboard!$B$5),DashboardData!$B:$B,A317),NA())</f>
        <v>#N/A</v>
      </c>
    </row>
    <row r="318" spans="1:3" x14ac:dyDescent="0.25">
      <c r="A318" t="str">
        <f>IF(Monthly!A318="","",Monthly!A318)</f>
        <v/>
      </c>
      <c r="B318" s="7" t="e">
        <f>IF(AND(A318&gt;=Dashboard!$F$5,A318&lt;=Dashboard!$J$5,A318&lt;&gt;""),SUMIFS(DashboardData!$D:$D,DashboardData!$A:$A,IF(Dashboard!$B$5="All","*",Dashboard!$B$5),DashboardData!$B:$B,A318),NA())</f>
        <v>#N/A</v>
      </c>
      <c r="C318" s="7" t="e">
        <f>IF(AND(A318&gt;=Dashboard!$F$5,A318&lt;=Dashboard!$J$5,A318&lt;&gt;""),-SUMIFS(DashboardData!$E:$E,DashboardData!$A:$A,IF(Dashboard!$B$5="All","*",Dashboard!$B$5),DashboardData!$B:$B,A318),NA())</f>
        <v>#N/A</v>
      </c>
    </row>
    <row r="319" spans="1:3" x14ac:dyDescent="0.25">
      <c r="A319" t="str">
        <f>IF(Monthly!A319="","",Monthly!A319)</f>
        <v/>
      </c>
      <c r="B319" s="7" t="e">
        <f>IF(AND(A319&gt;=Dashboard!$F$5,A319&lt;=Dashboard!$J$5,A319&lt;&gt;""),SUMIFS(DashboardData!$D:$D,DashboardData!$A:$A,IF(Dashboard!$B$5="All","*",Dashboard!$B$5),DashboardData!$B:$B,A319),NA())</f>
        <v>#N/A</v>
      </c>
      <c r="C319" s="7" t="e">
        <f>IF(AND(A319&gt;=Dashboard!$F$5,A319&lt;=Dashboard!$J$5,A319&lt;&gt;""),-SUMIFS(DashboardData!$E:$E,DashboardData!$A:$A,IF(Dashboard!$B$5="All","*",Dashboard!$B$5),DashboardData!$B:$B,A319),NA())</f>
        <v>#N/A</v>
      </c>
    </row>
    <row r="320" spans="1:3" x14ac:dyDescent="0.25">
      <c r="A320" t="str">
        <f>IF(Monthly!A320="","",Monthly!A320)</f>
        <v/>
      </c>
      <c r="B320" s="7" t="e">
        <f>IF(AND(A320&gt;=Dashboard!$F$5,A320&lt;=Dashboard!$J$5,A320&lt;&gt;""),SUMIFS(DashboardData!$D:$D,DashboardData!$A:$A,IF(Dashboard!$B$5="All","*",Dashboard!$B$5),DashboardData!$B:$B,A320),NA())</f>
        <v>#N/A</v>
      </c>
      <c r="C320" s="7" t="e">
        <f>IF(AND(A320&gt;=Dashboard!$F$5,A320&lt;=Dashboard!$J$5,A320&lt;&gt;""),-SUMIFS(DashboardData!$E:$E,DashboardData!$A:$A,IF(Dashboard!$B$5="All","*",Dashboard!$B$5),DashboardData!$B:$B,A320),NA())</f>
        <v>#N/A</v>
      </c>
    </row>
    <row r="321" spans="1:3" x14ac:dyDescent="0.25">
      <c r="A321" t="str">
        <f>IF(Monthly!A321="","",Monthly!A321)</f>
        <v/>
      </c>
      <c r="B321" s="7" t="e">
        <f>IF(AND(A321&gt;=Dashboard!$F$5,A321&lt;=Dashboard!$J$5,A321&lt;&gt;""),SUMIFS(DashboardData!$D:$D,DashboardData!$A:$A,IF(Dashboard!$B$5="All","*",Dashboard!$B$5),DashboardData!$B:$B,A321),NA())</f>
        <v>#N/A</v>
      </c>
      <c r="C321" s="7" t="e">
        <f>IF(AND(A321&gt;=Dashboard!$F$5,A321&lt;=Dashboard!$J$5,A321&lt;&gt;""),-SUMIFS(DashboardData!$E:$E,DashboardData!$A:$A,IF(Dashboard!$B$5="All","*",Dashboard!$B$5),DashboardData!$B:$B,A321),NA())</f>
        <v>#N/A</v>
      </c>
    </row>
    <row r="322" spans="1:3" x14ac:dyDescent="0.25">
      <c r="A322" t="str">
        <f>IF(Monthly!A322="","",Monthly!A322)</f>
        <v/>
      </c>
      <c r="B322" s="7" t="e">
        <f>IF(AND(A322&gt;=Dashboard!$F$5,A322&lt;=Dashboard!$J$5,A322&lt;&gt;""),SUMIFS(DashboardData!$D:$D,DashboardData!$A:$A,IF(Dashboard!$B$5="All","*",Dashboard!$B$5),DashboardData!$B:$B,A322),NA())</f>
        <v>#N/A</v>
      </c>
      <c r="C322" s="7" t="e">
        <f>IF(AND(A322&gt;=Dashboard!$F$5,A322&lt;=Dashboard!$J$5,A322&lt;&gt;""),-SUMIFS(DashboardData!$E:$E,DashboardData!$A:$A,IF(Dashboard!$B$5="All","*",Dashboard!$B$5),DashboardData!$B:$B,A322),NA())</f>
        <v>#N/A</v>
      </c>
    </row>
    <row r="323" spans="1:3" x14ac:dyDescent="0.25">
      <c r="A323" t="str">
        <f>IF(Monthly!A323="","",Monthly!A323)</f>
        <v/>
      </c>
      <c r="B323" s="7" t="e">
        <f>IF(AND(A323&gt;=Dashboard!$F$5,A323&lt;=Dashboard!$J$5,A323&lt;&gt;""),SUMIFS(DashboardData!$D:$D,DashboardData!$A:$A,IF(Dashboard!$B$5="All","*",Dashboard!$B$5),DashboardData!$B:$B,A323),NA())</f>
        <v>#N/A</v>
      </c>
      <c r="C323" s="7" t="e">
        <f>IF(AND(A323&gt;=Dashboard!$F$5,A323&lt;=Dashboard!$J$5,A323&lt;&gt;""),-SUMIFS(DashboardData!$E:$E,DashboardData!$A:$A,IF(Dashboard!$B$5="All","*",Dashboard!$B$5),DashboardData!$B:$B,A323),NA())</f>
        <v>#N/A</v>
      </c>
    </row>
    <row r="324" spans="1:3" x14ac:dyDescent="0.25">
      <c r="A324" t="str">
        <f>IF(Monthly!A324="","",Monthly!A324)</f>
        <v/>
      </c>
      <c r="B324" s="7" t="e">
        <f>IF(AND(A324&gt;=Dashboard!$F$5,A324&lt;=Dashboard!$J$5,A324&lt;&gt;""),SUMIFS(DashboardData!$D:$D,DashboardData!$A:$A,IF(Dashboard!$B$5="All","*",Dashboard!$B$5),DashboardData!$B:$B,A324),NA())</f>
        <v>#N/A</v>
      </c>
      <c r="C324" s="7" t="e">
        <f>IF(AND(A324&gt;=Dashboard!$F$5,A324&lt;=Dashboard!$J$5,A324&lt;&gt;""),-SUMIFS(DashboardData!$E:$E,DashboardData!$A:$A,IF(Dashboard!$B$5="All","*",Dashboard!$B$5),DashboardData!$B:$B,A324),NA())</f>
        <v>#N/A</v>
      </c>
    </row>
    <row r="325" spans="1:3" x14ac:dyDescent="0.25">
      <c r="A325" t="str">
        <f>IF(Monthly!A325="","",Monthly!A325)</f>
        <v/>
      </c>
      <c r="B325" s="7" t="e">
        <f>IF(AND(A325&gt;=Dashboard!$F$5,A325&lt;=Dashboard!$J$5,A325&lt;&gt;""),SUMIFS(DashboardData!$D:$D,DashboardData!$A:$A,IF(Dashboard!$B$5="All","*",Dashboard!$B$5),DashboardData!$B:$B,A325),NA())</f>
        <v>#N/A</v>
      </c>
      <c r="C325" s="7" t="e">
        <f>IF(AND(A325&gt;=Dashboard!$F$5,A325&lt;=Dashboard!$J$5,A325&lt;&gt;""),-SUMIFS(DashboardData!$E:$E,DashboardData!$A:$A,IF(Dashboard!$B$5="All","*",Dashboard!$B$5),DashboardData!$B:$B,A325),NA())</f>
        <v>#N/A</v>
      </c>
    </row>
    <row r="326" spans="1:3" x14ac:dyDescent="0.25">
      <c r="A326" t="str">
        <f>IF(Monthly!A326="","",Monthly!A326)</f>
        <v/>
      </c>
      <c r="B326" s="7" t="e">
        <f>IF(AND(A326&gt;=Dashboard!$F$5,A326&lt;=Dashboard!$J$5,A326&lt;&gt;""),SUMIFS(DashboardData!$D:$D,DashboardData!$A:$A,IF(Dashboard!$B$5="All","*",Dashboard!$B$5),DashboardData!$B:$B,A326),NA())</f>
        <v>#N/A</v>
      </c>
      <c r="C326" s="7" t="e">
        <f>IF(AND(A326&gt;=Dashboard!$F$5,A326&lt;=Dashboard!$J$5,A326&lt;&gt;""),-SUMIFS(DashboardData!$E:$E,DashboardData!$A:$A,IF(Dashboard!$B$5="All","*",Dashboard!$B$5),DashboardData!$B:$B,A326),NA())</f>
        <v>#N/A</v>
      </c>
    </row>
    <row r="327" spans="1:3" x14ac:dyDescent="0.25">
      <c r="A327" t="str">
        <f>IF(Monthly!A327="","",Monthly!A327)</f>
        <v/>
      </c>
      <c r="B327" s="7" t="e">
        <f>IF(AND(A327&gt;=Dashboard!$F$5,A327&lt;=Dashboard!$J$5,A327&lt;&gt;""),SUMIFS(DashboardData!$D:$D,DashboardData!$A:$A,IF(Dashboard!$B$5="All","*",Dashboard!$B$5),DashboardData!$B:$B,A327),NA())</f>
        <v>#N/A</v>
      </c>
      <c r="C327" s="7" t="e">
        <f>IF(AND(A327&gt;=Dashboard!$F$5,A327&lt;=Dashboard!$J$5,A327&lt;&gt;""),-SUMIFS(DashboardData!$E:$E,DashboardData!$A:$A,IF(Dashboard!$B$5="All","*",Dashboard!$B$5),DashboardData!$B:$B,A327),NA())</f>
        <v>#N/A</v>
      </c>
    </row>
    <row r="328" spans="1:3" x14ac:dyDescent="0.25">
      <c r="A328" t="str">
        <f>IF(Monthly!A328="","",Monthly!A328)</f>
        <v/>
      </c>
      <c r="B328" s="7" t="e">
        <f>IF(AND(A328&gt;=Dashboard!$F$5,A328&lt;=Dashboard!$J$5,A328&lt;&gt;""),SUMIFS(DashboardData!$D:$D,DashboardData!$A:$A,IF(Dashboard!$B$5="All","*",Dashboard!$B$5),DashboardData!$B:$B,A328),NA())</f>
        <v>#N/A</v>
      </c>
      <c r="C328" s="7" t="e">
        <f>IF(AND(A328&gt;=Dashboard!$F$5,A328&lt;=Dashboard!$J$5,A328&lt;&gt;""),-SUMIFS(DashboardData!$E:$E,DashboardData!$A:$A,IF(Dashboard!$B$5="All","*",Dashboard!$B$5),DashboardData!$B:$B,A328),NA())</f>
        <v>#N/A</v>
      </c>
    </row>
    <row r="329" spans="1:3" x14ac:dyDescent="0.25">
      <c r="A329" t="str">
        <f>IF(Monthly!A329="","",Monthly!A329)</f>
        <v/>
      </c>
      <c r="B329" s="7" t="e">
        <f>IF(AND(A329&gt;=Dashboard!$F$5,A329&lt;=Dashboard!$J$5,A329&lt;&gt;""),SUMIFS(DashboardData!$D:$D,DashboardData!$A:$A,IF(Dashboard!$B$5="All","*",Dashboard!$B$5),DashboardData!$B:$B,A329),NA())</f>
        <v>#N/A</v>
      </c>
      <c r="C329" s="7" t="e">
        <f>IF(AND(A329&gt;=Dashboard!$F$5,A329&lt;=Dashboard!$J$5,A329&lt;&gt;""),-SUMIFS(DashboardData!$E:$E,DashboardData!$A:$A,IF(Dashboard!$B$5="All","*",Dashboard!$B$5),DashboardData!$B:$B,A329),NA())</f>
        <v>#N/A</v>
      </c>
    </row>
    <row r="330" spans="1:3" x14ac:dyDescent="0.25">
      <c r="A330" t="str">
        <f>IF(Monthly!A330="","",Monthly!A330)</f>
        <v/>
      </c>
      <c r="B330" s="7" t="e">
        <f>IF(AND(A330&gt;=Dashboard!$F$5,A330&lt;=Dashboard!$J$5,A330&lt;&gt;""),SUMIFS(DashboardData!$D:$D,DashboardData!$A:$A,IF(Dashboard!$B$5="All","*",Dashboard!$B$5),DashboardData!$B:$B,A330),NA())</f>
        <v>#N/A</v>
      </c>
      <c r="C330" s="7" t="e">
        <f>IF(AND(A330&gt;=Dashboard!$F$5,A330&lt;=Dashboard!$J$5,A330&lt;&gt;""),-SUMIFS(DashboardData!$E:$E,DashboardData!$A:$A,IF(Dashboard!$B$5="All","*",Dashboard!$B$5),DashboardData!$B:$B,A330),NA())</f>
        <v>#N/A</v>
      </c>
    </row>
    <row r="331" spans="1:3" x14ac:dyDescent="0.25">
      <c r="A331" t="str">
        <f>IF(Monthly!A331="","",Monthly!A331)</f>
        <v/>
      </c>
      <c r="B331" s="7" t="e">
        <f>IF(AND(A331&gt;=Dashboard!$F$5,A331&lt;=Dashboard!$J$5,A331&lt;&gt;""),SUMIFS(DashboardData!$D:$D,DashboardData!$A:$A,IF(Dashboard!$B$5="All","*",Dashboard!$B$5),DashboardData!$B:$B,A331),NA())</f>
        <v>#N/A</v>
      </c>
      <c r="C331" s="7" t="e">
        <f>IF(AND(A331&gt;=Dashboard!$F$5,A331&lt;=Dashboard!$J$5,A331&lt;&gt;""),-SUMIFS(DashboardData!$E:$E,DashboardData!$A:$A,IF(Dashboard!$B$5="All","*",Dashboard!$B$5),DashboardData!$B:$B,A331),NA())</f>
        <v>#N/A</v>
      </c>
    </row>
    <row r="332" spans="1:3" x14ac:dyDescent="0.25">
      <c r="A332" t="str">
        <f>IF(Monthly!A332="","",Monthly!A332)</f>
        <v/>
      </c>
      <c r="B332" s="7" t="e">
        <f>IF(AND(A332&gt;=Dashboard!$F$5,A332&lt;=Dashboard!$J$5,A332&lt;&gt;""),SUMIFS(DashboardData!$D:$D,DashboardData!$A:$A,IF(Dashboard!$B$5="All","*",Dashboard!$B$5),DashboardData!$B:$B,A332),NA())</f>
        <v>#N/A</v>
      </c>
      <c r="C332" s="7" t="e">
        <f>IF(AND(A332&gt;=Dashboard!$F$5,A332&lt;=Dashboard!$J$5,A332&lt;&gt;""),-SUMIFS(DashboardData!$E:$E,DashboardData!$A:$A,IF(Dashboard!$B$5="All","*",Dashboard!$B$5),DashboardData!$B:$B,A332),NA())</f>
        <v>#N/A</v>
      </c>
    </row>
    <row r="333" spans="1:3" x14ac:dyDescent="0.25">
      <c r="A333" t="str">
        <f>IF(Monthly!A333="","",Monthly!A333)</f>
        <v/>
      </c>
      <c r="B333" s="7" t="e">
        <f>IF(AND(A333&gt;=Dashboard!$F$5,A333&lt;=Dashboard!$J$5,A333&lt;&gt;""),SUMIFS(DashboardData!$D:$D,DashboardData!$A:$A,IF(Dashboard!$B$5="All","*",Dashboard!$B$5),DashboardData!$B:$B,A333),NA())</f>
        <v>#N/A</v>
      </c>
      <c r="C333" s="7" t="e">
        <f>IF(AND(A333&gt;=Dashboard!$F$5,A333&lt;=Dashboard!$J$5,A333&lt;&gt;""),-SUMIFS(DashboardData!$E:$E,DashboardData!$A:$A,IF(Dashboard!$B$5="All","*",Dashboard!$B$5),DashboardData!$B:$B,A333),NA())</f>
        <v>#N/A</v>
      </c>
    </row>
    <row r="334" spans="1:3" x14ac:dyDescent="0.25">
      <c r="A334" t="str">
        <f>IF(Monthly!A334="","",Monthly!A334)</f>
        <v/>
      </c>
      <c r="B334" s="7" t="e">
        <f>IF(AND(A334&gt;=Dashboard!$F$5,A334&lt;=Dashboard!$J$5,A334&lt;&gt;""),SUMIFS(DashboardData!$D:$D,DashboardData!$A:$A,IF(Dashboard!$B$5="All","*",Dashboard!$B$5),DashboardData!$B:$B,A334),NA())</f>
        <v>#N/A</v>
      </c>
      <c r="C334" s="7" t="e">
        <f>IF(AND(A334&gt;=Dashboard!$F$5,A334&lt;=Dashboard!$J$5,A334&lt;&gt;""),-SUMIFS(DashboardData!$E:$E,DashboardData!$A:$A,IF(Dashboard!$B$5="All","*",Dashboard!$B$5),DashboardData!$B:$B,A334),NA())</f>
        <v>#N/A</v>
      </c>
    </row>
    <row r="335" spans="1:3" x14ac:dyDescent="0.25">
      <c r="A335" t="str">
        <f>IF(Monthly!A335="","",Monthly!A335)</f>
        <v/>
      </c>
      <c r="B335" s="7" t="e">
        <f>IF(AND(A335&gt;=Dashboard!$F$5,A335&lt;=Dashboard!$J$5,A335&lt;&gt;""),SUMIFS(DashboardData!$D:$D,DashboardData!$A:$A,IF(Dashboard!$B$5="All","*",Dashboard!$B$5),DashboardData!$B:$B,A335),NA())</f>
        <v>#N/A</v>
      </c>
      <c r="C335" s="7" t="e">
        <f>IF(AND(A335&gt;=Dashboard!$F$5,A335&lt;=Dashboard!$J$5,A335&lt;&gt;""),-SUMIFS(DashboardData!$E:$E,DashboardData!$A:$A,IF(Dashboard!$B$5="All","*",Dashboard!$B$5),DashboardData!$B:$B,A335),NA())</f>
        <v>#N/A</v>
      </c>
    </row>
    <row r="336" spans="1:3" x14ac:dyDescent="0.25">
      <c r="A336" t="str">
        <f>IF(Monthly!A336="","",Monthly!A336)</f>
        <v/>
      </c>
      <c r="B336" s="7" t="e">
        <f>IF(AND(A336&gt;=Dashboard!$F$5,A336&lt;=Dashboard!$J$5,A336&lt;&gt;""),SUMIFS(DashboardData!$D:$D,DashboardData!$A:$A,IF(Dashboard!$B$5="All","*",Dashboard!$B$5),DashboardData!$B:$B,A336),NA())</f>
        <v>#N/A</v>
      </c>
      <c r="C336" s="7" t="e">
        <f>IF(AND(A336&gt;=Dashboard!$F$5,A336&lt;=Dashboard!$J$5,A336&lt;&gt;""),-SUMIFS(DashboardData!$E:$E,DashboardData!$A:$A,IF(Dashboard!$B$5="All","*",Dashboard!$B$5),DashboardData!$B:$B,A336),NA())</f>
        <v>#N/A</v>
      </c>
    </row>
    <row r="337" spans="1:3" x14ac:dyDescent="0.25">
      <c r="A337" t="str">
        <f>IF(Monthly!A337="","",Monthly!A337)</f>
        <v/>
      </c>
      <c r="B337" s="7" t="e">
        <f>IF(AND(A337&gt;=Dashboard!$F$5,A337&lt;=Dashboard!$J$5,A337&lt;&gt;""),SUMIFS(DashboardData!$D:$D,DashboardData!$A:$A,IF(Dashboard!$B$5="All","*",Dashboard!$B$5),DashboardData!$B:$B,A337),NA())</f>
        <v>#N/A</v>
      </c>
      <c r="C337" s="7" t="e">
        <f>IF(AND(A337&gt;=Dashboard!$F$5,A337&lt;=Dashboard!$J$5,A337&lt;&gt;""),-SUMIFS(DashboardData!$E:$E,DashboardData!$A:$A,IF(Dashboard!$B$5="All","*",Dashboard!$B$5),DashboardData!$B:$B,A337),NA())</f>
        <v>#N/A</v>
      </c>
    </row>
    <row r="338" spans="1:3" x14ac:dyDescent="0.25">
      <c r="A338" t="str">
        <f>IF(Monthly!A338="","",Monthly!A338)</f>
        <v/>
      </c>
      <c r="B338" s="7" t="e">
        <f>IF(AND(A338&gt;=Dashboard!$F$5,A338&lt;=Dashboard!$J$5,A338&lt;&gt;""),SUMIFS(DashboardData!$D:$D,DashboardData!$A:$A,IF(Dashboard!$B$5="All","*",Dashboard!$B$5),DashboardData!$B:$B,A338),NA())</f>
        <v>#N/A</v>
      </c>
      <c r="C338" s="7" t="e">
        <f>IF(AND(A338&gt;=Dashboard!$F$5,A338&lt;=Dashboard!$J$5,A338&lt;&gt;""),-SUMIFS(DashboardData!$E:$E,DashboardData!$A:$A,IF(Dashboard!$B$5="All","*",Dashboard!$B$5),DashboardData!$B:$B,A338),NA())</f>
        <v>#N/A</v>
      </c>
    </row>
    <row r="339" spans="1:3" x14ac:dyDescent="0.25">
      <c r="A339" t="str">
        <f>IF(Monthly!A339="","",Monthly!A339)</f>
        <v/>
      </c>
      <c r="B339" s="7" t="e">
        <f>IF(AND(A339&gt;=Dashboard!$F$5,A339&lt;=Dashboard!$J$5,A339&lt;&gt;""),SUMIFS(DashboardData!$D:$D,DashboardData!$A:$A,IF(Dashboard!$B$5="All","*",Dashboard!$B$5),DashboardData!$B:$B,A339),NA())</f>
        <v>#N/A</v>
      </c>
      <c r="C339" s="7" t="e">
        <f>IF(AND(A339&gt;=Dashboard!$F$5,A339&lt;=Dashboard!$J$5,A339&lt;&gt;""),-SUMIFS(DashboardData!$E:$E,DashboardData!$A:$A,IF(Dashboard!$B$5="All","*",Dashboard!$B$5),DashboardData!$B:$B,A339),NA())</f>
        <v>#N/A</v>
      </c>
    </row>
    <row r="340" spans="1:3" x14ac:dyDescent="0.25">
      <c r="A340" t="str">
        <f>IF(Monthly!A340="","",Monthly!A340)</f>
        <v/>
      </c>
      <c r="B340" s="7" t="e">
        <f>IF(AND(A340&gt;=Dashboard!$F$5,A340&lt;=Dashboard!$J$5,A340&lt;&gt;""),SUMIFS(DashboardData!$D:$D,DashboardData!$A:$A,IF(Dashboard!$B$5="All","*",Dashboard!$B$5),DashboardData!$B:$B,A340),NA())</f>
        <v>#N/A</v>
      </c>
      <c r="C340" s="7" t="e">
        <f>IF(AND(A340&gt;=Dashboard!$F$5,A340&lt;=Dashboard!$J$5,A340&lt;&gt;""),-SUMIFS(DashboardData!$E:$E,DashboardData!$A:$A,IF(Dashboard!$B$5="All","*",Dashboard!$B$5),DashboardData!$B:$B,A340),NA())</f>
        <v>#N/A</v>
      </c>
    </row>
    <row r="341" spans="1:3" x14ac:dyDescent="0.25">
      <c r="A341" t="str">
        <f>IF(Monthly!A341="","",Monthly!A341)</f>
        <v/>
      </c>
      <c r="B341" s="7" t="e">
        <f>IF(AND(A341&gt;=Dashboard!$F$5,A341&lt;=Dashboard!$J$5,A341&lt;&gt;""),SUMIFS(DashboardData!$D:$D,DashboardData!$A:$A,IF(Dashboard!$B$5="All","*",Dashboard!$B$5),DashboardData!$B:$B,A341),NA())</f>
        <v>#N/A</v>
      </c>
      <c r="C341" s="7" t="e">
        <f>IF(AND(A341&gt;=Dashboard!$F$5,A341&lt;=Dashboard!$J$5,A341&lt;&gt;""),-SUMIFS(DashboardData!$E:$E,DashboardData!$A:$A,IF(Dashboard!$B$5="All","*",Dashboard!$B$5),DashboardData!$B:$B,A341),NA())</f>
        <v>#N/A</v>
      </c>
    </row>
    <row r="342" spans="1:3" x14ac:dyDescent="0.25">
      <c r="A342" t="str">
        <f>IF(Monthly!A342="","",Monthly!A342)</f>
        <v/>
      </c>
      <c r="B342" s="7" t="e">
        <f>IF(AND(A342&gt;=Dashboard!$F$5,A342&lt;=Dashboard!$J$5,A342&lt;&gt;""),SUMIFS(DashboardData!$D:$D,DashboardData!$A:$A,IF(Dashboard!$B$5="All","*",Dashboard!$B$5),DashboardData!$B:$B,A342),NA())</f>
        <v>#N/A</v>
      </c>
      <c r="C342" s="7" t="e">
        <f>IF(AND(A342&gt;=Dashboard!$F$5,A342&lt;=Dashboard!$J$5,A342&lt;&gt;""),-SUMIFS(DashboardData!$E:$E,DashboardData!$A:$A,IF(Dashboard!$B$5="All","*",Dashboard!$B$5),DashboardData!$B:$B,A342),NA())</f>
        <v>#N/A</v>
      </c>
    </row>
    <row r="343" spans="1:3" x14ac:dyDescent="0.25">
      <c r="A343" t="str">
        <f>IF(Monthly!A343="","",Monthly!A343)</f>
        <v/>
      </c>
      <c r="B343" s="7" t="e">
        <f>IF(AND(A343&gt;=Dashboard!$F$5,A343&lt;=Dashboard!$J$5,A343&lt;&gt;""),SUMIFS(DashboardData!$D:$D,DashboardData!$A:$A,IF(Dashboard!$B$5="All","*",Dashboard!$B$5),DashboardData!$B:$B,A343),NA())</f>
        <v>#N/A</v>
      </c>
      <c r="C343" s="7" t="e">
        <f>IF(AND(A343&gt;=Dashboard!$F$5,A343&lt;=Dashboard!$J$5,A343&lt;&gt;""),-SUMIFS(DashboardData!$E:$E,DashboardData!$A:$A,IF(Dashboard!$B$5="All","*",Dashboard!$B$5),DashboardData!$B:$B,A343),NA())</f>
        <v>#N/A</v>
      </c>
    </row>
    <row r="344" spans="1:3" x14ac:dyDescent="0.25">
      <c r="A344" t="str">
        <f>IF(Monthly!A344="","",Monthly!A344)</f>
        <v/>
      </c>
      <c r="B344" s="7" t="e">
        <f>IF(AND(A344&gt;=Dashboard!$F$5,A344&lt;=Dashboard!$J$5,A344&lt;&gt;""),SUMIFS(DashboardData!$D:$D,DashboardData!$A:$A,IF(Dashboard!$B$5="All","*",Dashboard!$B$5),DashboardData!$B:$B,A344),NA())</f>
        <v>#N/A</v>
      </c>
      <c r="C344" s="7" t="e">
        <f>IF(AND(A344&gt;=Dashboard!$F$5,A344&lt;=Dashboard!$J$5,A344&lt;&gt;""),-SUMIFS(DashboardData!$E:$E,DashboardData!$A:$A,IF(Dashboard!$B$5="All","*",Dashboard!$B$5),DashboardData!$B:$B,A344),NA())</f>
        <v>#N/A</v>
      </c>
    </row>
    <row r="345" spans="1:3" x14ac:dyDescent="0.25">
      <c r="A345" t="str">
        <f>IF(Monthly!A345="","",Monthly!A345)</f>
        <v/>
      </c>
      <c r="B345" s="7" t="e">
        <f>IF(AND(A345&gt;=Dashboard!$F$5,A345&lt;=Dashboard!$J$5,A345&lt;&gt;""),SUMIFS(DashboardData!$D:$D,DashboardData!$A:$A,IF(Dashboard!$B$5="All","*",Dashboard!$B$5),DashboardData!$B:$B,A345),NA())</f>
        <v>#N/A</v>
      </c>
      <c r="C345" s="7" t="e">
        <f>IF(AND(A345&gt;=Dashboard!$F$5,A345&lt;=Dashboard!$J$5,A345&lt;&gt;""),-SUMIFS(DashboardData!$E:$E,DashboardData!$A:$A,IF(Dashboard!$B$5="All","*",Dashboard!$B$5),DashboardData!$B:$B,A345),NA())</f>
        <v>#N/A</v>
      </c>
    </row>
    <row r="346" spans="1:3" x14ac:dyDescent="0.25">
      <c r="A346" t="str">
        <f>IF(Monthly!A346="","",Monthly!A346)</f>
        <v/>
      </c>
      <c r="B346" s="7" t="e">
        <f>IF(AND(A346&gt;=Dashboard!$F$5,A346&lt;=Dashboard!$J$5,A346&lt;&gt;""),SUMIFS(DashboardData!$D:$D,DashboardData!$A:$A,IF(Dashboard!$B$5="All","*",Dashboard!$B$5),DashboardData!$B:$B,A346),NA())</f>
        <v>#N/A</v>
      </c>
      <c r="C346" s="7" t="e">
        <f>IF(AND(A346&gt;=Dashboard!$F$5,A346&lt;=Dashboard!$J$5,A346&lt;&gt;""),-SUMIFS(DashboardData!$E:$E,DashboardData!$A:$A,IF(Dashboard!$B$5="All","*",Dashboard!$B$5),DashboardData!$B:$B,A346),NA())</f>
        <v>#N/A</v>
      </c>
    </row>
    <row r="347" spans="1:3" x14ac:dyDescent="0.25">
      <c r="A347" t="str">
        <f>IF(Monthly!A347="","",Monthly!A347)</f>
        <v/>
      </c>
      <c r="B347" s="7" t="e">
        <f>IF(AND(A347&gt;=Dashboard!$F$5,A347&lt;=Dashboard!$J$5,A347&lt;&gt;""),SUMIFS(DashboardData!$D:$D,DashboardData!$A:$A,IF(Dashboard!$B$5="All","*",Dashboard!$B$5),DashboardData!$B:$B,A347),NA())</f>
        <v>#N/A</v>
      </c>
      <c r="C347" s="7" t="e">
        <f>IF(AND(A347&gt;=Dashboard!$F$5,A347&lt;=Dashboard!$J$5,A347&lt;&gt;""),-SUMIFS(DashboardData!$E:$E,DashboardData!$A:$A,IF(Dashboard!$B$5="All","*",Dashboard!$B$5),DashboardData!$B:$B,A347),NA())</f>
        <v>#N/A</v>
      </c>
    </row>
    <row r="348" spans="1:3" x14ac:dyDescent="0.25">
      <c r="A348" t="str">
        <f>IF(Monthly!A348="","",Monthly!A348)</f>
        <v/>
      </c>
      <c r="B348" s="7" t="e">
        <f>IF(AND(A348&gt;=Dashboard!$F$5,A348&lt;=Dashboard!$J$5,A348&lt;&gt;""),SUMIFS(DashboardData!$D:$D,DashboardData!$A:$A,IF(Dashboard!$B$5="All","*",Dashboard!$B$5),DashboardData!$B:$B,A348),NA())</f>
        <v>#N/A</v>
      </c>
      <c r="C348" s="7" t="e">
        <f>IF(AND(A348&gt;=Dashboard!$F$5,A348&lt;=Dashboard!$J$5,A348&lt;&gt;""),-SUMIFS(DashboardData!$E:$E,DashboardData!$A:$A,IF(Dashboard!$B$5="All","*",Dashboard!$B$5),DashboardData!$B:$B,A348),NA())</f>
        <v>#N/A</v>
      </c>
    </row>
    <row r="349" spans="1:3" x14ac:dyDescent="0.25">
      <c r="A349" t="str">
        <f>IF(Monthly!A349="","",Monthly!A349)</f>
        <v/>
      </c>
      <c r="B349" s="7" t="e">
        <f>IF(AND(A349&gt;=Dashboard!$F$5,A349&lt;=Dashboard!$J$5,A349&lt;&gt;""),SUMIFS(DashboardData!$D:$D,DashboardData!$A:$A,IF(Dashboard!$B$5="All","*",Dashboard!$B$5),DashboardData!$B:$B,A349),NA())</f>
        <v>#N/A</v>
      </c>
      <c r="C349" s="7" t="e">
        <f>IF(AND(A349&gt;=Dashboard!$F$5,A349&lt;=Dashboard!$J$5,A349&lt;&gt;""),-SUMIFS(DashboardData!$E:$E,DashboardData!$A:$A,IF(Dashboard!$B$5="All","*",Dashboard!$B$5),DashboardData!$B:$B,A349),NA())</f>
        <v>#N/A</v>
      </c>
    </row>
    <row r="350" spans="1:3" x14ac:dyDescent="0.25">
      <c r="A350" t="str">
        <f>IF(Monthly!A350="","",Monthly!A350)</f>
        <v/>
      </c>
      <c r="B350" s="7" t="e">
        <f>IF(AND(A350&gt;=Dashboard!$F$5,A350&lt;=Dashboard!$J$5,A350&lt;&gt;""),SUMIFS(DashboardData!$D:$D,DashboardData!$A:$A,IF(Dashboard!$B$5="All","*",Dashboard!$B$5),DashboardData!$B:$B,A350),NA())</f>
        <v>#N/A</v>
      </c>
      <c r="C350" s="7" t="e">
        <f>IF(AND(A350&gt;=Dashboard!$F$5,A350&lt;=Dashboard!$J$5,A350&lt;&gt;""),-SUMIFS(DashboardData!$E:$E,DashboardData!$A:$A,IF(Dashboard!$B$5="All","*",Dashboard!$B$5),DashboardData!$B:$B,A350),NA())</f>
        <v>#N/A</v>
      </c>
    </row>
    <row r="351" spans="1:3" x14ac:dyDescent="0.25">
      <c r="A351" t="str">
        <f>IF(Monthly!A351="","",Monthly!A351)</f>
        <v/>
      </c>
      <c r="B351" s="7" t="e">
        <f>IF(AND(A351&gt;=Dashboard!$F$5,A351&lt;=Dashboard!$J$5,A351&lt;&gt;""),SUMIFS(DashboardData!$D:$D,DashboardData!$A:$A,IF(Dashboard!$B$5="All","*",Dashboard!$B$5),DashboardData!$B:$B,A351),NA())</f>
        <v>#N/A</v>
      </c>
      <c r="C351" s="7" t="e">
        <f>IF(AND(A351&gt;=Dashboard!$F$5,A351&lt;=Dashboard!$J$5,A351&lt;&gt;""),-SUMIFS(DashboardData!$E:$E,DashboardData!$A:$A,IF(Dashboard!$B$5="All","*",Dashboard!$B$5),DashboardData!$B:$B,A351),NA())</f>
        <v>#N/A</v>
      </c>
    </row>
    <row r="352" spans="1:3" x14ac:dyDescent="0.25">
      <c r="A352" t="str">
        <f>IF(Monthly!A352="","",Monthly!A352)</f>
        <v/>
      </c>
      <c r="B352" s="7" t="e">
        <f>IF(AND(A352&gt;=Dashboard!$F$5,A352&lt;=Dashboard!$J$5,A352&lt;&gt;""),SUMIFS(DashboardData!$D:$D,DashboardData!$A:$A,IF(Dashboard!$B$5="All","*",Dashboard!$B$5),DashboardData!$B:$B,A352),NA())</f>
        <v>#N/A</v>
      </c>
      <c r="C352" s="7" t="e">
        <f>IF(AND(A352&gt;=Dashboard!$F$5,A352&lt;=Dashboard!$J$5,A352&lt;&gt;""),-SUMIFS(DashboardData!$E:$E,DashboardData!$A:$A,IF(Dashboard!$B$5="All","*",Dashboard!$B$5),DashboardData!$B:$B,A352),NA())</f>
        <v>#N/A</v>
      </c>
    </row>
    <row r="353" spans="1:3" x14ac:dyDescent="0.25">
      <c r="A353" t="str">
        <f>IF(Monthly!A353="","",Monthly!A353)</f>
        <v/>
      </c>
      <c r="B353" s="7" t="e">
        <f>IF(AND(A353&gt;=Dashboard!$F$5,A353&lt;=Dashboard!$J$5,A353&lt;&gt;""),SUMIFS(DashboardData!$D:$D,DashboardData!$A:$A,IF(Dashboard!$B$5="All","*",Dashboard!$B$5),DashboardData!$B:$B,A353),NA())</f>
        <v>#N/A</v>
      </c>
      <c r="C353" s="7" t="e">
        <f>IF(AND(A353&gt;=Dashboard!$F$5,A353&lt;=Dashboard!$J$5,A353&lt;&gt;""),-SUMIFS(DashboardData!$E:$E,DashboardData!$A:$A,IF(Dashboard!$B$5="All","*",Dashboard!$B$5),DashboardData!$B:$B,A353),NA())</f>
        <v>#N/A</v>
      </c>
    </row>
    <row r="354" spans="1:3" x14ac:dyDescent="0.25">
      <c r="A354" t="str">
        <f>IF(Monthly!A354="","",Monthly!A354)</f>
        <v/>
      </c>
      <c r="B354" s="7" t="e">
        <f>IF(AND(A354&gt;=Dashboard!$F$5,A354&lt;=Dashboard!$J$5,A354&lt;&gt;""),SUMIFS(DashboardData!$D:$D,DashboardData!$A:$A,IF(Dashboard!$B$5="All","*",Dashboard!$B$5),DashboardData!$B:$B,A354),NA())</f>
        <v>#N/A</v>
      </c>
      <c r="C354" s="7" t="e">
        <f>IF(AND(A354&gt;=Dashboard!$F$5,A354&lt;=Dashboard!$J$5,A354&lt;&gt;""),-SUMIFS(DashboardData!$E:$E,DashboardData!$A:$A,IF(Dashboard!$B$5="All","*",Dashboard!$B$5),DashboardData!$B:$B,A354),NA())</f>
        <v>#N/A</v>
      </c>
    </row>
    <row r="355" spans="1:3" x14ac:dyDescent="0.25">
      <c r="A355" t="str">
        <f>IF(Monthly!A355="","",Monthly!A355)</f>
        <v/>
      </c>
      <c r="B355" s="7" t="e">
        <f>IF(AND(A355&gt;=Dashboard!$F$5,A355&lt;=Dashboard!$J$5,A355&lt;&gt;""),SUMIFS(DashboardData!$D:$D,DashboardData!$A:$A,IF(Dashboard!$B$5="All","*",Dashboard!$B$5),DashboardData!$B:$B,A355),NA())</f>
        <v>#N/A</v>
      </c>
      <c r="C355" s="7" t="e">
        <f>IF(AND(A355&gt;=Dashboard!$F$5,A355&lt;=Dashboard!$J$5,A355&lt;&gt;""),-SUMIFS(DashboardData!$E:$E,DashboardData!$A:$A,IF(Dashboard!$B$5="All","*",Dashboard!$B$5),DashboardData!$B:$B,A355),NA())</f>
        <v>#N/A</v>
      </c>
    </row>
    <row r="356" spans="1:3" x14ac:dyDescent="0.25">
      <c r="A356" t="str">
        <f>IF(Monthly!A356="","",Monthly!A356)</f>
        <v/>
      </c>
      <c r="B356" s="7" t="e">
        <f>IF(AND(A356&gt;=Dashboard!$F$5,A356&lt;=Dashboard!$J$5,A356&lt;&gt;""),SUMIFS(DashboardData!$D:$D,DashboardData!$A:$A,IF(Dashboard!$B$5="All","*",Dashboard!$B$5),DashboardData!$B:$B,A356),NA())</f>
        <v>#N/A</v>
      </c>
      <c r="C356" s="7" t="e">
        <f>IF(AND(A356&gt;=Dashboard!$F$5,A356&lt;=Dashboard!$J$5,A356&lt;&gt;""),-SUMIFS(DashboardData!$E:$E,DashboardData!$A:$A,IF(Dashboard!$B$5="All","*",Dashboard!$B$5),DashboardData!$B:$B,A356),NA())</f>
        <v>#N/A</v>
      </c>
    </row>
    <row r="357" spans="1:3" x14ac:dyDescent="0.25">
      <c r="A357" t="str">
        <f>IF(Monthly!A357="","",Monthly!A357)</f>
        <v/>
      </c>
      <c r="B357" s="7" t="e">
        <f>IF(AND(A357&gt;=Dashboard!$F$5,A357&lt;=Dashboard!$J$5,A357&lt;&gt;""),SUMIFS(DashboardData!$D:$D,DashboardData!$A:$A,IF(Dashboard!$B$5="All","*",Dashboard!$B$5),DashboardData!$B:$B,A357),NA())</f>
        <v>#N/A</v>
      </c>
      <c r="C357" s="7" t="e">
        <f>IF(AND(A357&gt;=Dashboard!$F$5,A357&lt;=Dashboard!$J$5,A357&lt;&gt;""),-SUMIFS(DashboardData!$E:$E,DashboardData!$A:$A,IF(Dashboard!$B$5="All","*",Dashboard!$B$5),DashboardData!$B:$B,A357),NA())</f>
        <v>#N/A</v>
      </c>
    </row>
    <row r="358" spans="1:3" x14ac:dyDescent="0.25">
      <c r="A358" t="str">
        <f>IF(Monthly!A358="","",Monthly!A358)</f>
        <v/>
      </c>
      <c r="B358" s="7" t="e">
        <f>IF(AND(A358&gt;=Dashboard!$F$5,A358&lt;=Dashboard!$J$5,A358&lt;&gt;""),SUMIFS(DashboardData!$D:$D,DashboardData!$A:$A,IF(Dashboard!$B$5="All","*",Dashboard!$B$5),DashboardData!$B:$B,A358),NA())</f>
        <v>#N/A</v>
      </c>
      <c r="C358" s="7" t="e">
        <f>IF(AND(A358&gt;=Dashboard!$F$5,A358&lt;=Dashboard!$J$5,A358&lt;&gt;""),-SUMIFS(DashboardData!$E:$E,DashboardData!$A:$A,IF(Dashboard!$B$5="All","*",Dashboard!$B$5),DashboardData!$B:$B,A358),NA())</f>
        <v>#N/A</v>
      </c>
    </row>
    <row r="359" spans="1:3" x14ac:dyDescent="0.25">
      <c r="A359" t="str">
        <f>IF(Monthly!A359="","",Monthly!A359)</f>
        <v/>
      </c>
      <c r="B359" s="7" t="e">
        <f>IF(AND(A359&gt;=Dashboard!$F$5,A359&lt;=Dashboard!$J$5,A359&lt;&gt;""),SUMIFS(DashboardData!$D:$D,DashboardData!$A:$A,IF(Dashboard!$B$5="All","*",Dashboard!$B$5),DashboardData!$B:$B,A359),NA())</f>
        <v>#N/A</v>
      </c>
      <c r="C359" s="7" t="e">
        <f>IF(AND(A359&gt;=Dashboard!$F$5,A359&lt;=Dashboard!$J$5,A359&lt;&gt;""),-SUMIFS(DashboardData!$E:$E,DashboardData!$A:$A,IF(Dashboard!$B$5="All","*",Dashboard!$B$5),DashboardData!$B:$B,A359),NA())</f>
        <v>#N/A</v>
      </c>
    </row>
    <row r="360" spans="1:3" x14ac:dyDescent="0.25">
      <c r="A360" t="str">
        <f>IF(Monthly!A360="","",Monthly!A360)</f>
        <v/>
      </c>
      <c r="B360" s="7" t="e">
        <f>IF(AND(A360&gt;=Dashboard!$F$5,A360&lt;=Dashboard!$J$5,A360&lt;&gt;""),SUMIFS(DashboardData!$D:$D,DashboardData!$A:$A,IF(Dashboard!$B$5="All","*",Dashboard!$B$5),DashboardData!$B:$B,A360),NA())</f>
        <v>#N/A</v>
      </c>
      <c r="C360" s="7" t="e">
        <f>IF(AND(A360&gt;=Dashboard!$F$5,A360&lt;=Dashboard!$J$5,A360&lt;&gt;""),-SUMIFS(DashboardData!$E:$E,DashboardData!$A:$A,IF(Dashboard!$B$5="All","*",Dashboard!$B$5),DashboardData!$B:$B,A360),NA())</f>
        <v>#N/A</v>
      </c>
    </row>
    <row r="361" spans="1:3" x14ac:dyDescent="0.25">
      <c r="A361" t="str">
        <f>IF(Monthly!A361="","",Monthly!A361)</f>
        <v/>
      </c>
      <c r="B361" s="7" t="e">
        <f>IF(AND(A361&gt;=Dashboard!$F$5,A361&lt;=Dashboard!$J$5,A361&lt;&gt;""),SUMIFS(DashboardData!$D:$D,DashboardData!$A:$A,IF(Dashboard!$B$5="All","*",Dashboard!$B$5),DashboardData!$B:$B,A361),NA())</f>
        <v>#N/A</v>
      </c>
      <c r="C361" s="7" t="e">
        <f>IF(AND(A361&gt;=Dashboard!$F$5,A361&lt;=Dashboard!$J$5,A361&lt;&gt;""),-SUMIFS(DashboardData!$E:$E,DashboardData!$A:$A,IF(Dashboard!$B$5="All","*",Dashboard!$B$5),DashboardData!$B:$B,A361),NA())</f>
        <v>#N/A</v>
      </c>
    </row>
    <row r="362" spans="1:3" x14ac:dyDescent="0.25">
      <c r="A362" t="str">
        <f>IF(Monthly!A362="","",Monthly!A362)</f>
        <v/>
      </c>
      <c r="B362" s="7" t="e">
        <f>IF(AND(A362&gt;=Dashboard!$F$5,A362&lt;=Dashboard!$J$5,A362&lt;&gt;""),SUMIFS(DashboardData!$D:$D,DashboardData!$A:$A,IF(Dashboard!$B$5="All","*",Dashboard!$B$5),DashboardData!$B:$B,A362),NA())</f>
        <v>#N/A</v>
      </c>
      <c r="C362" s="7" t="e">
        <f>IF(AND(A362&gt;=Dashboard!$F$5,A362&lt;=Dashboard!$J$5,A362&lt;&gt;""),-SUMIFS(DashboardData!$E:$E,DashboardData!$A:$A,IF(Dashboard!$B$5="All","*",Dashboard!$B$5),DashboardData!$B:$B,A362),NA())</f>
        <v>#N/A</v>
      </c>
    </row>
    <row r="363" spans="1:3" x14ac:dyDescent="0.25">
      <c r="A363" t="str">
        <f>IF(Monthly!A363="","",Monthly!A363)</f>
        <v/>
      </c>
      <c r="B363" s="7" t="e">
        <f>IF(AND(A363&gt;=Dashboard!$F$5,A363&lt;=Dashboard!$J$5,A363&lt;&gt;""),SUMIFS(DashboardData!$D:$D,DashboardData!$A:$A,IF(Dashboard!$B$5="All","*",Dashboard!$B$5),DashboardData!$B:$B,A363),NA())</f>
        <v>#N/A</v>
      </c>
      <c r="C363" s="7" t="e">
        <f>IF(AND(A363&gt;=Dashboard!$F$5,A363&lt;=Dashboard!$J$5,A363&lt;&gt;""),-SUMIFS(DashboardData!$E:$E,DashboardData!$A:$A,IF(Dashboard!$B$5="All","*",Dashboard!$B$5),DashboardData!$B:$B,A363),NA())</f>
        <v>#N/A</v>
      </c>
    </row>
    <row r="364" spans="1:3" x14ac:dyDescent="0.25">
      <c r="A364" t="str">
        <f>IF(Monthly!A364="","",Monthly!A364)</f>
        <v/>
      </c>
      <c r="B364" s="7" t="e">
        <f>IF(AND(A364&gt;=Dashboard!$F$5,A364&lt;=Dashboard!$J$5,A364&lt;&gt;""),SUMIFS(DashboardData!$D:$D,DashboardData!$A:$A,IF(Dashboard!$B$5="All","*",Dashboard!$B$5),DashboardData!$B:$B,A364),NA())</f>
        <v>#N/A</v>
      </c>
      <c r="C364" s="7" t="e">
        <f>IF(AND(A364&gt;=Dashboard!$F$5,A364&lt;=Dashboard!$J$5,A364&lt;&gt;""),-SUMIFS(DashboardData!$E:$E,DashboardData!$A:$A,IF(Dashboard!$B$5="All","*",Dashboard!$B$5),DashboardData!$B:$B,A364),NA())</f>
        <v>#N/A</v>
      </c>
    </row>
    <row r="365" spans="1:3" x14ac:dyDescent="0.25">
      <c r="A365" t="str">
        <f>IF(Monthly!A365="","",Monthly!A365)</f>
        <v/>
      </c>
      <c r="B365" s="7" t="e">
        <f>IF(AND(A365&gt;=Dashboard!$F$5,A365&lt;=Dashboard!$J$5,A365&lt;&gt;""),SUMIFS(DashboardData!$D:$D,DashboardData!$A:$A,IF(Dashboard!$B$5="All","*",Dashboard!$B$5),DashboardData!$B:$B,A365),NA())</f>
        <v>#N/A</v>
      </c>
      <c r="C365" s="7" t="e">
        <f>IF(AND(A365&gt;=Dashboard!$F$5,A365&lt;=Dashboard!$J$5,A365&lt;&gt;""),-SUMIFS(DashboardData!$E:$E,DashboardData!$A:$A,IF(Dashboard!$B$5="All","*",Dashboard!$B$5),DashboardData!$B:$B,A365),NA())</f>
        <v>#N/A</v>
      </c>
    </row>
    <row r="366" spans="1:3" x14ac:dyDescent="0.25">
      <c r="A366" t="str">
        <f>IF(Monthly!A366="","",Monthly!A366)</f>
        <v/>
      </c>
      <c r="B366" s="7" t="e">
        <f>IF(AND(A366&gt;=Dashboard!$F$5,A366&lt;=Dashboard!$J$5,A366&lt;&gt;""),SUMIFS(DashboardData!$D:$D,DashboardData!$A:$A,IF(Dashboard!$B$5="All","*",Dashboard!$B$5),DashboardData!$B:$B,A366),NA())</f>
        <v>#N/A</v>
      </c>
      <c r="C366" s="7" t="e">
        <f>IF(AND(A366&gt;=Dashboard!$F$5,A366&lt;=Dashboard!$J$5,A366&lt;&gt;""),-SUMIFS(DashboardData!$E:$E,DashboardData!$A:$A,IF(Dashboard!$B$5="All","*",Dashboard!$B$5),DashboardData!$B:$B,A366),NA())</f>
        <v>#N/A</v>
      </c>
    </row>
    <row r="367" spans="1:3" x14ac:dyDescent="0.25">
      <c r="A367" t="str">
        <f>IF(Monthly!A367="","",Monthly!A367)</f>
        <v/>
      </c>
      <c r="B367" s="7" t="e">
        <f>IF(AND(A367&gt;=Dashboard!$F$5,A367&lt;=Dashboard!$J$5,A367&lt;&gt;""),SUMIFS(DashboardData!$D:$D,DashboardData!$A:$A,IF(Dashboard!$B$5="All","*",Dashboard!$B$5),DashboardData!$B:$B,A367),NA())</f>
        <v>#N/A</v>
      </c>
      <c r="C367" s="7" t="e">
        <f>IF(AND(A367&gt;=Dashboard!$F$5,A367&lt;=Dashboard!$J$5,A367&lt;&gt;""),-SUMIFS(DashboardData!$E:$E,DashboardData!$A:$A,IF(Dashboard!$B$5="All","*",Dashboard!$B$5),DashboardData!$B:$B,A367),NA())</f>
        <v>#N/A</v>
      </c>
    </row>
    <row r="368" spans="1:3" x14ac:dyDescent="0.25">
      <c r="A368" t="str">
        <f>IF(Monthly!A368="","",Monthly!A368)</f>
        <v/>
      </c>
      <c r="B368" s="7" t="e">
        <f>IF(AND(A368&gt;=Dashboard!$F$5,A368&lt;=Dashboard!$J$5,A368&lt;&gt;""),SUMIFS(DashboardData!$D:$D,DashboardData!$A:$A,IF(Dashboard!$B$5="All","*",Dashboard!$B$5),DashboardData!$B:$B,A368),NA())</f>
        <v>#N/A</v>
      </c>
      <c r="C368" s="7" t="e">
        <f>IF(AND(A368&gt;=Dashboard!$F$5,A368&lt;=Dashboard!$J$5,A368&lt;&gt;""),-SUMIFS(DashboardData!$E:$E,DashboardData!$A:$A,IF(Dashboard!$B$5="All","*",Dashboard!$B$5),DashboardData!$B:$B,A368),NA())</f>
        <v>#N/A</v>
      </c>
    </row>
    <row r="369" spans="1:3" x14ac:dyDescent="0.25">
      <c r="A369" t="str">
        <f>IF(Monthly!A369="","",Monthly!A369)</f>
        <v/>
      </c>
      <c r="B369" s="7" t="e">
        <f>IF(AND(A369&gt;=Dashboard!$F$5,A369&lt;=Dashboard!$J$5,A369&lt;&gt;""),SUMIFS(DashboardData!$D:$D,DashboardData!$A:$A,IF(Dashboard!$B$5="All","*",Dashboard!$B$5),DashboardData!$B:$B,A369),NA())</f>
        <v>#N/A</v>
      </c>
      <c r="C369" s="7" t="e">
        <f>IF(AND(A369&gt;=Dashboard!$F$5,A369&lt;=Dashboard!$J$5,A369&lt;&gt;""),-SUMIFS(DashboardData!$E:$E,DashboardData!$A:$A,IF(Dashboard!$B$5="All","*",Dashboard!$B$5),DashboardData!$B:$B,A369),NA())</f>
        <v>#N/A</v>
      </c>
    </row>
    <row r="370" spans="1:3" x14ac:dyDescent="0.25">
      <c r="A370" t="str">
        <f>IF(Monthly!A370="","",Monthly!A370)</f>
        <v/>
      </c>
      <c r="B370" s="7" t="e">
        <f>IF(AND(A370&gt;=Dashboard!$F$5,A370&lt;=Dashboard!$J$5,A370&lt;&gt;""),SUMIFS(DashboardData!$D:$D,DashboardData!$A:$A,IF(Dashboard!$B$5="All","*",Dashboard!$B$5),DashboardData!$B:$B,A370),NA())</f>
        <v>#N/A</v>
      </c>
      <c r="C370" s="7" t="e">
        <f>IF(AND(A370&gt;=Dashboard!$F$5,A370&lt;=Dashboard!$J$5,A370&lt;&gt;""),-SUMIFS(DashboardData!$E:$E,DashboardData!$A:$A,IF(Dashboard!$B$5="All","*",Dashboard!$B$5),DashboardData!$B:$B,A370),NA())</f>
        <v>#N/A</v>
      </c>
    </row>
    <row r="371" spans="1:3" x14ac:dyDescent="0.25">
      <c r="A371" t="str">
        <f>IF(Monthly!A371="","",Monthly!A371)</f>
        <v/>
      </c>
      <c r="B371" s="7" t="e">
        <f>IF(AND(A371&gt;=Dashboard!$F$5,A371&lt;=Dashboard!$J$5,A371&lt;&gt;""),SUMIFS(DashboardData!$D:$D,DashboardData!$A:$A,IF(Dashboard!$B$5="All","*",Dashboard!$B$5),DashboardData!$B:$B,A371),NA())</f>
        <v>#N/A</v>
      </c>
      <c r="C371" s="7" t="e">
        <f>IF(AND(A371&gt;=Dashboard!$F$5,A371&lt;=Dashboard!$J$5,A371&lt;&gt;""),-SUMIFS(DashboardData!$E:$E,DashboardData!$A:$A,IF(Dashboard!$B$5="All","*",Dashboard!$B$5),DashboardData!$B:$B,A371),NA())</f>
        <v>#N/A</v>
      </c>
    </row>
    <row r="372" spans="1:3" x14ac:dyDescent="0.25">
      <c r="A372" t="str">
        <f>IF(Monthly!A372="","",Monthly!A372)</f>
        <v/>
      </c>
      <c r="B372" s="7" t="e">
        <f>IF(AND(A372&gt;=Dashboard!$F$5,A372&lt;=Dashboard!$J$5,A372&lt;&gt;""),SUMIFS(DashboardData!$D:$D,DashboardData!$A:$A,IF(Dashboard!$B$5="All","*",Dashboard!$B$5),DashboardData!$B:$B,A372),NA())</f>
        <v>#N/A</v>
      </c>
      <c r="C372" s="7" t="e">
        <f>IF(AND(A372&gt;=Dashboard!$F$5,A372&lt;=Dashboard!$J$5,A372&lt;&gt;""),-SUMIFS(DashboardData!$E:$E,DashboardData!$A:$A,IF(Dashboard!$B$5="All","*",Dashboard!$B$5),DashboardData!$B:$B,A372),NA())</f>
        <v>#N/A</v>
      </c>
    </row>
    <row r="373" spans="1:3" x14ac:dyDescent="0.25">
      <c r="A373" t="str">
        <f>IF(Monthly!A373="","",Monthly!A373)</f>
        <v/>
      </c>
      <c r="B373" s="7" t="e">
        <f>IF(AND(A373&gt;=Dashboard!$F$5,A373&lt;=Dashboard!$J$5,A373&lt;&gt;""),SUMIFS(DashboardData!$D:$D,DashboardData!$A:$A,IF(Dashboard!$B$5="All","*",Dashboard!$B$5),DashboardData!$B:$B,A373),NA())</f>
        <v>#N/A</v>
      </c>
      <c r="C373" s="7" t="e">
        <f>IF(AND(A373&gt;=Dashboard!$F$5,A373&lt;=Dashboard!$J$5,A373&lt;&gt;""),-SUMIFS(DashboardData!$E:$E,DashboardData!$A:$A,IF(Dashboard!$B$5="All","*",Dashboard!$B$5),DashboardData!$B:$B,A373),NA())</f>
        <v>#N/A</v>
      </c>
    </row>
    <row r="374" spans="1:3" x14ac:dyDescent="0.25">
      <c r="A374" t="str">
        <f>IF(Monthly!A374="","",Monthly!A374)</f>
        <v/>
      </c>
      <c r="B374" s="7" t="e">
        <f>IF(AND(A374&gt;=Dashboard!$F$5,A374&lt;=Dashboard!$J$5,A374&lt;&gt;""),SUMIFS(DashboardData!$D:$D,DashboardData!$A:$A,IF(Dashboard!$B$5="All","*",Dashboard!$B$5),DashboardData!$B:$B,A374),NA())</f>
        <v>#N/A</v>
      </c>
      <c r="C374" s="7" t="e">
        <f>IF(AND(A374&gt;=Dashboard!$F$5,A374&lt;=Dashboard!$J$5,A374&lt;&gt;""),-SUMIFS(DashboardData!$E:$E,DashboardData!$A:$A,IF(Dashboard!$B$5="All","*",Dashboard!$B$5),DashboardData!$B:$B,A374),NA())</f>
        <v>#N/A</v>
      </c>
    </row>
    <row r="375" spans="1:3" x14ac:dyDescent="0.25">
      <c r="A375" t="str">
        <f>IF(Monthly!A375="","",Monthly!A375)</f>
        <v/>
      </c>
      <c r="B375" s="7" t="e">
        <f>IF(AND(A375&gt;=Dashboard!$F$5,A375&lt;=Dashboard!$J$5,A375&lt;&gt;""),SUMIFS(DashboardData!$D:$D,DashboardData!$A:$A,IF(Dashboard!$B$5="All","*",Dashboard!$B$5),DashboardData!$B:$B,A375),NA())</f>
        <v>#N/A</v>
      </c>
      <c r="C375" s="7" t="e">
        <f>IF(AND(A375&gt;=Dashboard!$F$5,A375&lt;=Dashboard!$J$5,A375&lt;&gt;""),-SUMIFS(DashboardData!$E:$E,DashboardData!$A:$A,IF(Dashboard!$B$5="All","*",Dashboard!$B$5),DashboardData!$B:$B,A375),NA())</f>
        <v>#N/A</v>
      </c>
    </row>
    <row r="376" spans="1:3" x14ac:dyDescent="0.25">
      <c r="A376" t="str">
        <f>IF(Monthly!A376="","",Monthly!A376)</f>
        <v/>
      </c>
      <c r="B376" s="7" t="e">
        <f>IF(AND(A376&gt;=Dashboard!$F$5,A376&lt;=Dashboard!$J$5,A376&lt;&gt;""),SUMIFS(DashboardData!$D:$D,DashboardData!$A:$A,IF(Dashboard!$B$5="All","*",Dashboard!$B$5),DashboardData!$B:$B,A376),NA())</f>
        <v>#N/A</v>
      </c>
      <c r="C376" s="7" t="e">
        <f>IF(AND(A376&gt;=Dashboard!$F$5,A376&lt;=Dashboard!$J$5,A376&lt;&gt;""),-SUMIFS(DashboardData!$E:$E,DashboardData!$A:$A,IF(Dashboard!$B$5="All","*",Dashboard!$B$5),DashboardData!$B:$B,A376),NA())</f>
        <v>#N/A</v>
      </c>
    </row>
    <row r="377" spans="1:3" x14ac:dyDescent="0.25">
      <c r="A377" t="str">
        <f>IF(Monthly!A377="","",Monthly!A377)</f>
        <v/>
      </c>
      <c r="B377" s="7" t="e">
        <f>IF(AND(A377&gt;=Dashboard!$F$5,A377&lt;=Dashboard!$J$5,A377&lt;&gt;""),SUMIFS(DashboardData!$D:$D,DashboardData!$A:$A,IF(Dashboard!$B$5="All","*",Dashboard!$B$5),DashboardData!$B:$B,A377),NA())</f>
        <v>#N/A</v>
      </c>
      <c r="C377" s="7" t="e">
        <f>IF(AND(A377&gt;=Dashboard!$F$5,A377&lt;=Dashboard!$J$5,A377&lt;&gt;""),-SUMIFS(DashboardData!$E:$E,DashboardData!$A:$A,IF(Dashboard!$B$5="All","*",Dashboard!$B$5),DashboardData!$B:$B,A377),NA())</f>
        <v>#N/A</v>
      </c>
    </row>
    <row r="378" spans="1:3" x14ac:dyDescent="0.25">
      <c r="A378" t="str">
        <f>IF(Monthly!A378="","",Monthly!A378)</f>
        <v/>
      </c>
      <c r="B378" s="7" t="e">
        <f>IF(AND(A378&gt;=Dashboard!$F$5,A378&lt;=Dashboard!$J$5,A378&lt;&gt;""),SUMIFS(DashboardData!$D:$D,DashboardData!$A:$A,IF(Dashboard!$B$5="All","*",Dashboard!$B$5),DashboardData!$B:$B,A378),NA())</f>
        <v>#N/A</v>
      </c>
      <c r="C378" s="7" t="e">
        <f>IF(AND(A378&gt;=Dashboard!$F$5,A378&lt;=Dashboard!$J$5,A378&lt;&gt;""),-SUMIFS(DashboardData!$E:$E,DashboardData!$A:$A,IF(Dashboard!$B$5="All","*",Dashboard!$B$5),DashboardData!$B:$B,A378),NA())</f>
        <v>#N/A</v>
      </c>
    </row>
    <row r="379" spans="1:3" x14ac:dyDescent="0.25">
      <c r="A379" t="str">
        <f>IF(Monthly!A379="","",Monthly!A379)</f>
        <v/>
      </c>
      <c r="B379" s="7" t="e">
        <f>IF(AND(A379&gt;=Dashboard!$F$5,A379&lt;=Dashboard!$J$5,A379&lt;&gt;""),SUMIFS(DashboardData!$D:$D,DashboardData!$A:$A,IF(Dashboard!$B$5="All","*",Dashboard!$B$5),DashboardData!$B:$B,A379),NA())</f>
        <v>#N/A</v>
      </c>
      <c r="C379" s="7" t="e">
        <f>IF(AND(A379&gt;=Dashboard!$F$5,A379&lt;=Dashboard!$J$5,A379&lt;&gt;""),-SUMIFS(DashboardData!$E:$E,DashboardData!$A:$A,IF(Dashboard!$B$5="All","*",Dashboard!$B$5),DashboardData!$B:$B,A379),NA())</f>
        <v>#N/A</v>
      </c>
    </row>
    <row r="380" spans="1:3" x14ac:dyDescent="0.25">
      <c r="A380" t="str">
        <f>IF(Monthly!A380="","",Monthly!A380)</f>
        <v/>
      </c>
      <c r="B380" s="7" t="e">
        <f>IF(AND(A380&gt;=Dashboard!$F$5,A380&lt;=Dashboard!$J$5,A380&lt;&gt;""),SUMIFS(DashboardData!$D:$D,DashboardData!$A:$A,IF(Dashboard!$B$5="All","*",Dashboard!$B$5),DashboardData!$B:$B,A380),NA())</f>
        <v>#N/A</v>
      </c>
      <c r="C380" s="7" t="e">
        <f>IF(AND(A380&gt;=Dashboard!$F$5,A380&lt;=Dashboard!$J$5,A380&lt;&gt;""),-SUMIFS(DashboardData!$E:$E,DashboardData!$A:$A,IF(Dashboard!$B$5="All","*",Dashboard!$B$5),DashboardData!$B:$B,A380),NA())</f>
        <v>#N/A</v>
      </c>
    </row>
    <row r="381" spans="1:3" x14ac:dyDescent="0.25">
      <c r="A381" t="str">
        <f>IF(Monthly!A381="","",Monthly!A381)</f>
        <v/>
      </c>
      <c r="B381" s="7" t="e">
        <f>IF(AND(A381&gt;=Dashboard!$F$5,A381&lt;=Dashboard!$J$5,A381&lt;&gt;""),SUMIFS(DashboardData!$D:$D,DashboardData!$A:$A,IF(Dashboard!$B$5="All","*",Dashboard!$B$5),DashboardData!$B:$B,A381),NA())</f>
        <v>#N/A</v>
      </c>
      <c r="C381" s="7" t="e">
        <f>IF(AND(A381&gt;=Dashboard!$F$5,A381&lt;=Dashboard!$J$5,A381&lt;&gt;""),-SUMIFS(DashboardData!$E:$E,DashboardData!$A:$A,IF(Dashboard!$B$5="All","*",Dashboard!$B$5),DashboardData!$B:$B,A381),NA())</f>
        <v>#N/A</v>
      </c>
    </row>
    <row r="382" spans="1:3" x14ac:dyDescent="0.25">
      <c r="A382" t="str">
        <f>IF(Monthly!A382="","",Monthly!A382)</f>
        <v/>
      </c>
      <c r="B382" s="7" t="e">
        <f>IF(AND(A382&gt;=Dashboard!$F$5,A382&lt;=Dashboard!$J$5,A382&lt;&gt;""),SUMIFS(DashboardData!$D:$D,DashboardData!$A:$A,IF(Dashboard!$B$5="All","*",Dashboard!$B$5),DashboardData!$B:$B,A382),NA())</f>
        <v>#N/A</v>
      </c>
      <c r="C382" s="7" t="e">
        <f>IF(AND(A382&gt;=Dashboard!$F$5,A382&lt;=Dashboard!$J$5,A382&lt;&gt;""),-SUMIFS(DashboardData!$E:$E,DashboardData!$A:$A,IF(Dashboard!$B$5="All","*",Dashboard!$B$5),DashboardData!$B:$B,A382),NA())</f>
        <v>#N/A</v>
      </c>
    </row>
    <row r="383" spans="1:3" x14ac:dyDescent="0.25">
      <c r="A383" t="str">
        <f>IF(Monthly!A383="","",Monthly!A383)</f>
        <v/>
      </c>
      <c r="B383" s="7" t="e">
        <f>IF(AND(A383&gt;=Dashboard!$F$5,A383&lt;=Dashboard!$J$5,A383&lt;&gt;""),SUMIFS(DashboardData!$D:$D,DashboardData!$A:$A,IF(Dashboard!$B$5="All","*",Dashboard!$B$5),DashboardData!$B:$B,A383),NA())</f>
        <v>#N/A</v>
      </c>
      <c r="C383" s="7" t="e">
        <f>IF(AND(A383&gt;=Dashboard!$F$5,A383&lt;=Dashboard!$J$5,A383&lt;&gt;""),-SUMIFS(DashboardData!$E:$E,DashboardData!$A:$A,IF(Dashboard!$B$5="All","*",Dashboard!$B$5),DashboardData!$B:$B,A383),NA())</f>
        <v>#N/A</v>
      </c>
    </row>
    <row r="384" spans="1:3" x14ac:dyDescent="0.25">
      <c r="A384" t="str">
        <f>IF(Monthly!A384="","",Monthly!A384)</f>
        <v/>
      </c>
      <c r="B384" s="7" t="e">
        <f>IF(AND(A384&gt;=Dashboard!$F$5,A384&lt;=Dashboard!$J$5,A384&lt;&gt;""),SUMIFS(DashboardData!$D:$D,DashboardData!$A:$A,IF(Dashboard!$B$5="All","*",Dashboard!$B$5),DashboardData!$B:$B,A384),NA())</f>
        <v>#N/A</v>
      </c>
      <c r="C384" s="7" t="e">
        <f>IF(AND(A384&gt;=Dashboard!$F$5,A384&lt;=Dashboard!$J$5,A384&lt;&gt;""),-SUMIFS(DashboardData!$E:$E,DashboardData!$A:$A,IF(Dashboard!$B$5="All","*",Dashboard!$B$5),DashboardData!$B:$B,A384),NA())</f>
        <v>#N/A</v>
      </c>
    </row>
    <row r="385" spans="1:3" x14ac:dyDescent="0.25">
      <c r="A385" t="str">
        <f>IF(Monthly!A385="","",Monthly!A385)</f>
        <v/>
      </c>
      <c r="B385" s="7" t="e">
        <f>IF(AND(A385&gt;=Dashboard!$F$5,A385&lt;=Dashboard!$J$5,A385&lt;&gt;""),SUMIFS(DashboardData!$D:$D,DashboardData!$A:$A,IF(Dashboard!$B$5="All","*",Dashboard!$B$5),DashboardData!$B:$B,A385),NA())</f>
        <v>#N/A</v>
      </c>
      <c r="C385" s="7" t="e">
        <f>IF(AND(A385&gt;=Dashboard!$F$5,A385&lt;=Dashboard!$J$5,A385&lt;&gt;""),-SUMIFS(DashboardData!$E:$E,DashboardData!$A:$A,IF(Dashboard!$B$5="All","*",Dashboard!$B$5),DashboardData!$B:$B,A385),NA())</f>
        <v>#N/A</v>
      </c>
    </row>
    <row r="386" spans="1:3" x14ac:dyDescent="0.25">
      <c r="A386" t="str">
        <f>IF(Monthly!A386="","",Monthly!A386)</f>
        <v/>
      </c>
      <c r="B386" s="7" t="e">
        <f>IF(AND(A386&gt;=Dashboard!$F$5,A386&lt;=Dashboard!$J$5,A386&lt;&gt;""),SUMIFS(DashboardData!$D:$D,DashboardData!$A:$A,IF(Dashboard!$B$5="All","*",Dashboard!$B$5),DashboardData!$B:$B,A386),NA())</f>
        <v>#N/A</v>
      </c>
      <c r="C386" s="7" t="e">
        <f>IF(AND(A386&gt;=Dashboard!$F$5,A386&lt;=Dashboard!$J$5,A386&lt;&gt;""),-SUMIFS(DashboardData!$E:$E,DashboardData!$A:$A,IF(Dashboard!$B$5="All","*",Dashboard!$B$5),DashboardData!$B:$B,A386),NA())</f>
        <v>#N/A</v>
      </c>
    </row>
    <row r="387" spans="1:3" x14ac:dyDescent="0.25">
      <c r="A387" t="str">
        <f>IF(Monthly!A387="","",Monthly!A387)</f>
        <v/>
      </c>
      <c r="B387" s="7" t="e">
        <f>IF(AND(A387&gt;=Dashboard!$F$5,A387&lt;=Dashboard!$J$5,A387&lt;&gt;""),SUMIFS(DashboardData!$D:$D,DashboardData!$A:$A,IF(Dashboard!$B$5="All","*",Dashboard!$B$5),DashboardData!$B:$B,A387),NA())</f>
        <v>#N/A</v>
      </c>
      <c r="C387" s="7" t="e">
        <f>IF(AND(A387&gt;=Dashboard!$F$5,A387&lt;=Dashboard!$J$5,A387&lt;&gt;""),-SUMIFS(DashboardData!$E:$E,DashboardData!$A:$A,IF(Dashboard!$B$5="All","*",Dashboard!$B$5),DashboardData!$B:$B,A387),NA())</f>
        <v>#N/A</v>
      </c>
    </row>
    <row r="388" spans="1:3" x14ac:dyDescent="0.25">
      <c r="A388" t="str">
        <f>IF(Monthly!A388="","",Monthly!A388)</f>
        <v/>
      </c>
      <c r="B388" s="7" t="e">
        <f>IF(AND(A388&gt;=Dashboard!$F$5,A388&lt;=Dashboard!$J$5,A388&lt;&gt;""),SUMIFS(DashboardData!$D:$D,DashboardData!$A:$A,IF(Dashboard!$B$5="All","*",Dashboard!$B$5),DashboardData!$B:$B,A388),NA())</f>
        <v>#N/A</v>
      </c>
      <c r="C388" s="7" t="e">
        <f>IF(AND(A388&gt;=Dashboard!$F$5,A388&lt;=Dashboard!$J$5,A388&lt;&gt;""),-SUMIFS(DashboardData!$E:$E,DashboardData!$A:$A,IF(Dashboard!$B$5="All","*",Dashboard!$B$5),DashboardData!$B:$B,A388),NA())</f>
        <v>#N/A</v>
      </c>
    </row>
    <row r="389" spans="1:3" x14ac:dyDescent="0.25">
      <c r="A389" t="str">
        <f>IF(Monthly!A389="","",Monthly!A389)</f>
        <v/>
      </c>
      <c r="B389" s="7" t="e">
        <f>IF(AND(A389&gt;=Dashboard!$F$5,A389&lt;=Dashboard!$J$5,A389&lt;&gt;""),SUMIFS(DashboardData!$D:$D,DashboardData!$A:$A,IF(Dashboard!$B$5="All","*",Dashboard!$B$5),DashboardData!$B:$B,A389),NA())</f>
        <v>#N/A</v>
      </c>
      <c r="C389" s="7" t="e">
        <f>IF(AND(A389&gt;=Dashboard!$F$5,A389&lt;=Dashboard!$J$5,A389&lt;&gt;""),-SUMIFS(DashboardData!$E:$E,DashboardData!$A:$A,IF(Dashboard!$B$5="All","*",Dashboard!$B$5),DashboardData!$B:$B,A389),NA())</f>
        <v>#N/A</v>
      </c>
    </row>
    <row r="390" spans="1:3" x14ac:dyDescent="0.25">
      <c r="A390" t="str">
        <f>IF(Monthly!A390="","",Monthly!A390)</f>
        <v/>
      </c>
      <c r="B390" s="7" t="e">
        <f>IF(AND(A390&gt;=Dashboard!$F$5,A390&lt;=Dashboard!$J$5,A390&lt;&gt;""),SUMIFS(DashboardData!$D:$D,DashboardData!$A:$A,IF(Dashboard!$B$5="All","*",Dashboard!$B$5),DashboardData!$B:$B,A390),NA())</f>
        <v>#N/A</v>
      </c>
      <c r="C390" s="7" t="e">
        <f>IF(AND(A390&gt;=Dashboard!$F$5,A390&lt;=Dashboard!$J$5,A390&lt;&gt;""),-SUMIFS(DashboardData!$E:$E,DashboardData!$A:$A,IF(Dashboard!$B$5="All","*",Dashboard!$B$5),DashboardData!$B:$B,A390),NA())</f>
        <v>#N/A</v>
      </c>
    </row>
    <row r="391" spans="1:3" x14ac:dyDescent="0.25">
      <c r="A391" t="str">
        <f>IF(Monthly!A391="","",Monthly!A391)</f>
        <v/>
      </c>
      <c r="B391" s="7" t="e">
        <f>IF(AND(A391&gt;=Dashboard!$F$5,A391&lt;=Dashboard!$J$5,A391&lt;&gt;""),SUMIFS(DashboardData!$D:$D,DashboardData!$A:$A,IF(Dashboard!$B$5="All","*",Dashboard!$B$5),DashboardData!$B:$B,A391),NA())</f>
        <v>#N/A</v>
      </c>
      <c r="C391" s="7" t="e">
        <f>IF(AND(A391&gt;=Dashboard!$F$5,A391&lt;=Dashboard!$J$5,A391&lt;&gt;""),-SUMIFS(DashboardData!$E:$E,DashboardData!$A:$A,IF(Dashboard!$B$5="All","*",Dashboard!$B$5),DashboardData!$B:$B,A391),NA())</f>
        <v>#N/A</v>
      </c>
    </row>
    <row r="392" spans="1:3" x14ac:dyDescent="0.25">
      <c r="A392" t="str">
        <f>IF(Monthly!A392="","",Monthly!A392)</f>
        <v/>
      </c>
      <c r="B392" s="7" t="e">
        <f>IF(AND(A392&gt;=Dashboard!$F$5,A392&lt;=Dashboard!$J$5,A392&lt;&gt;""),SUMIFS(DashboardData!$D:$D,DashboardData!$A:$A,IF(Dashboard!$B$5="All","*",Dashboard!$B$5),DashboardData!$B:$B,A392),NA())</f>
        <v>#N/A</v>
      </c>
      <c r="C392" s="7" t="e">
        <f>IF(AND(A392&gt;=Dashboard!$F$5,A392&lt;=Dashboard!$J$5,A392&lt;&gt;""),-SUMIFS(DashboardData!$E:$E,DashboardData!$A:$A,IF(Dashboard!$B$5="All","*",Dashboard!$B$5),DashboardData!$B:$B,A392),NA())</f>
        <v>#N/A</v>
      </c>
    </row>
    <row r="393" spans="1:3" x14ac:dyDescent="0.25">
      <c r="A393" t="str">
        <f>IF(Monthly!A393="","",Monthly!A393)</f>
        <v/>
      </c>
      <c r="B393" s="7" t="e">
        <f>IF(AND(A393&gt;=Dashboard!$F$5,A393&lt;=Dashboard!$J$5,A393&lt;&gt;""),SUMIFS(DashboardData!$D:$D,DashboardData!$A:$A,IF(Dashboard!$B$5="All","*",Dashboard!$B$5),DashboardData!$B:$B,A393),NA())</f>
        <v>#N/A</v>
      </c>
      <c r="C393" s="7" t="e">
        <f>IF(AND(A393&gt;=Dashboard!$F$5,A393&lt;=Dashboard!$J$5,A393&lt;&gt;""),-SUMIFS(DashboardData!$E:$E,DashboardData!$A:$A,IF(Dashboard!$B$5="All","*",Dashboard!$B$5),DashboardData!$B:$B,A393),NA())</f>
        <v>#N/A</v>
      </c>
    </row>
    <row r="394" spans="1:3" x14ac:dyDescent="0.25">
      <c r="A394" t="str">
        <f>IF(Monthly!A394="","",Monthly!A394)</f>
        <v/>
      </c>
      <c r="B394" s="7" t="e">
        <f>IF(AND(A394&gt;=Dashboard!$F$5,A394&lt;=Dashboard!$J$5,A394&lt;&gt;""),SUMIFS(DashboardData!$D:$D,DashboardData!$A:$A,IF(Dashboard!$B$5="All","*",Dashboard!$B$5),DashboardData!$B:$B,A394),NA())</f>
        <v>#N/A</v>
      </c>
      <c r="C394" s="7" t="e">
        <f>IF(AND(A394&gt;=Dashboard!$F$5,A394&lt;=Dashboard!$J$5,A394&lt;&gt;""),-SUMIFS(DashboardData!$E:$E,DashboardData!$A:$A,IF(Dashboard!$B$5="All","*",Dashboard!$B$5),DashboardData!$B:$B,A394),NA())</f>
        <v>#N/A</v>
      </c>
    </row>
    <row r="395" spans="1:3" x14ac:dyDescent="0.25">
      <c r="A395" t="str">
        <f>IF(Monthly!A395="","",Monthly!A395)</f>
        <v/>
      </c>
      <c r="B395" s="7" t="e">
        <f>IF(AND(A395&gt;=Dashboard!$F$5,A395&lt;=Dashboard!$J$5,A395&lt;&gt;""),SUMIFS(DashboardData!$D:$D,DashboardData!$A:$A,IF(Dashboard!$B$5="All","*",Dashboard!$B$5),DashboardData!$B:$B,A395),NA())</f>
        <v>#N/A</v>
      </c>
      <c r="C395" s="7" t="e">
        <f>IF(AND(A395&gt;=Dashboard!$F$5,A395&lt;=Dashboard!$J$5,A395&lt;&gt;""),-SUMIFS(DashboardData!$E:$E,DashboardData!$A:$A,IF(Dashboard!$B$5="All","*",Dashboard!$B$5),DashboardData!$B:$B,A395),NA())</f>
        <v>#N/A</v>
      </c>
    </row>
    <row r="396" spans="1:3" x14ac:dyDescent="0.25">
      <c r="A396" t="str">
        <f>IF(Monthly!A396="","",Monthly!A396)</f>
        <v/>
      </c>
      <c r="B396" s="7" t="e">
        <f>IF(AND(A396&gt;=Dashboard!$F$5,A396&lt;=Dashboard!$J$5,A396&lt;&gt;""),SUMIFS(DashboardData!$D:$D,DashboardData!$A:$A,IF(Dashboard!$B$5="All","*",Dashboard!$B$5),DashboardData!$B:$B,A396),NA())</f>
        <v>#N/A</v>
      </c>
      <c r="C396" s="7" t="e">
        <f>IF(AND(A396&gt;=Dashboard!$F$5,A396&lt;=Dashboard!$J$5,A396&lt;&gt;""),-SUMIFS(DashboardData!$E:$E,DashboardData!$A:$A,IF(Dashboard!$B$5="All","*",Dashboard!$B$5),DashboardData!$B:$B,A396),NA())</f>
        <v>#N/A</v>
      </c>
    </row>
    <row r="397" spans="1:3" x14ac:dyDescent="0.25">
      <c r="A397" t="str">
        <f>IF(Monthly!A397="","",Monthly!A397)</f>
        <v/>
      </c>
      <c r="B397" s="7" t="e">
        <f>IF(AND(A397&gt;=Dashboard!$F$5,A397&lt;=Dashboard!$J$5,A397&lt;&gt;""),SUMIFS(DashboardData!$D:$D,DashboardData!$A:$A,IF(Dashboard!$B$5="All","*",Dashboard!$B$5),DashboardData!$B:$B,A397),NA())</f>
        <v>#N/A</v>
      </c>
      <c r="C397" s="7" t="e">
        <f>IF(AND(A397&gt;=Dashboard!$F$5,A397&lt;=Dashboard!$J$5,A397&lt;&gt;""),-SUMIFS(DashboardData!$E:$E,DashboardData!$A:$A,IF(Dashboard!$B$5="All","*",Dashboard!$B$5),DashboardData!$B:$B,A397),NA())</f>
        <v>#N/A</v>
      </c>
    </row>
    <row r="398" spans="1:3" x14ac:dyDescent="0.25">
      <c r="A398" t="str">
        <f>IF(Monthly!A398="","",Monthly!A398)</f>
        <v/>
      </c>
      <c r="B398" s="7" t="e">
        <f>IF(AND(A398&gt;=Dashboard!$F$5,A398&lt;=Dashboard!$J$5,A398&lt;&gt;""),SUMIFS(DashboardData!$D:$D,DashboardData!$A:$A,IF(Dashboard!$B$5="All","*",Dashboard!$B$5),DashboardData!$B:$B,A398),NA())</f>
        <v>#N/A</v>
      </c>
      <c r="C398" s="7" t="e">
        <f>IF(AND(A398&gt;=Dashboard!$F$5,A398&lt;=Dashboard!$J$5,A398&lt;&gt;""),-SUMIFS(DashboardData!$E:$E,DashboardData!$A:$A,IF(Dashboard!$B$5="All","*",Dashboard!$B$5),DashboardData!$B:$B,A398),NA())</f>
        <v>#N/A</v>
      </c>
    </row>
    <row r="399" spans="1:3" x14ac:dyDescent="0.25">
      <c r="A399" t="str">
        <f>IF(Monthly!A399="","",Monthly!A399)</f>
        <v/>
      </c>
      <c r="B399" s="7" t="e">
        <f>IF(AND(A399&gt;=Dashboard!$F$5,A399&lt;=Dashboard!$J$5,A399&lt;&gt;""),SUMIFS(DashboardData!$D:$D,DashboardData!$A:$A,IF(Dashboard!$B$5="All","*",Dashboard!$B$5),DashboardData!$B:$B,A399),NA())</f>
        <v>#N/A</v>
      </c>
      <c r="C399" s="7" t="e">
        <f>IF(AND(A399&gt;=Dashboard!$F$5,A399&lt;=Dashboard!$J$5,A399&lt;&gt;""),-SUMIFS(DashboardData!$E:$E,DashboardData!$A:$A,IF(Dashboard!$B$5="All","*",Dashboard!$B$5),DashboardData!$B:$B,A399),NA())</f>
        <v>#N/A</v>
      </c>
    </row>
    <row r="400" spans="1:3" x14ac:dyDescent="0.25">
      <c r="A400" t="str">
        <f>IF(Monthly!A400="","",Monthly!A400)</f>
        <v/>
      </c>
      <c r="B400" s="7" t="e">
        <f>IF(AND(A400&gt;=Dashboard!$F$5,A400&lt;=Dashboard!$J$5,A400&lt;&gt;""),SUMIFS(DashboardData!$D:$D,DashboardData!$A:$A,IF(Dashboard!$B$5="All","*",Dashboard!$B$5),DashboardData!$B:$B,A400),NA())</f>
        <v>#N/A</v>
      </c>
      <c r="C400" s="7" t="e">
        <f>IF(AND(A400&gt;=Dashboard!$F$5,A400&lt;=Dashboard!$J$5,A400&lt;&gt;""),-SUMIFS(DashboardData!$E:$E,DashboardData!$A:$A,IF(Dashboard!$B$5="All","*",Dashboard!$B$5),DashboardData!$B:$B,A400),NA())</f>
        <v>#N/A</v>
      </c>
    </row>
    <row r="401" spans="1:3" x14ac:dyDescent="0.25">
      <c r="A401" t="str">
        <f>IF(Monthly!A401="","",Monthly!A401)</f>
        <v/>
      </c>
      <c r="B401" s="7" t="e">
        <f>IF(AND(A401&gt;=Dashboard!$F$5,A401&lt;=Dashboard!$J$5,A401&lt;&gt;""),SUMIFS(DashboardData!$D:$D,DashboardData!$A:$A,IF(Dashboard!$B$5="All","*",Dashboard!$B$5),DashboardData!$B:$B,A401),NA())</f>
        <v>#N/A</v>
      </c>
      <c r="C401" s="7" t="e">
        <f>IF(AND(A401&gt;=Dashboard!$F$5,A401&lt;=Dashboard!$J$5,A401&lt;&gt;""),-SUMIFS(DashboardData!$E:$E,DashboardData!$A:$A,IF(Dashboard!$B$5="All","*",Dashboard!$B$5),DashboardData!$B:$B,A401),NA())</f>
        <v>#N/A</v>
      </c>
    </row>
    <row r="402" spans="1:3" x14ac:dyDescent="0.25">
      <c r="A402" t="str">
        <f>IF(Monthly!A402="","",Monthly!A402)</f>
        <v/>
      </c>
      <c r="B402" s="7" t="e">
        <f>IF(AND(A402&gt;=Dashboard!$F$5,A402&lt;=Dashboard!$J$5,A402&lt;&gt;""),SUMIFS(DashboardData!$D:$D,DashboardData!$A:$A,IF(Dashboard!$B$5="All","*",Dashboard!$B$5),DashboardData!$B:$B,A402),NA())</f>
        <v>#N/A</v>
      </c>
      <c r="C402" s="7" t="e">
        <f>IF(AND(A402&gt;=Dashboard!$F$5,A402&lt;=Dashboard!$J$5,A402&lt;&gt;""),-SUMIFS(DashboardData!$E:$E,DashboardData!$A:$A,IF(Dashboard!$B$5="All","*",Dashboard!$B$5),DashboardData!$B:$B,A402),NA())</f>
        <v>#N/A</v>
      </c>
    </row>
    <row r="403" spans="1:3" x14ac:dyDescent="0.25">
      <c r="A403" t="str">
        <f>IF(Monthly!A403="","",Monthly!A403)</f>
        <v/>
      </c>
      <c r="B403" s="7" t="e">
        <f>IF(AND(A403&gt;=Dashboard!$F$5,A403&lt;=Dashboard!$J$5,A403&lt;&gt;""),SUMIFS(DashboardData!$D:$D,DashboardData!$A:$A,IF(Dashboard!$B$5="All","*",Dashboard!$B$5),DashboardData!$B:$B,A403),NA())</f>
        <v>#N/A</v>
      </c>
      <c r="C403" s="7" t="e">
        <f>IF(AND(A403&gt;=Dashboard!$F$5,A403&lt;=Dashboard!$J$5,A403&lt;&gt;""),-SUMIFS(DashboardData!$E:$E,DashboardData!$A:$A,IF(Dashboard!$B$5="All","*",Dashboard!$B$5),DashboardData!$B:$B,A403),NA())</f>
        <v>#N/A</v>
      </c>
    </row>
    <row r="404" spans="1:3" x14ac:dyDescent="0.25">
      <c r="A404" t="str">
        <f>IF(Monthly!A404="","",Monthly!A404)</f>
        <v/>
      </c>
      <c r="B404" s="7" t="e">
        <f>IF(AND(A404&gt;=Dashboard!$F$5,A404&lt;=Dashboard!$J$5,A404&lt;&gt;""),SUMIFS(DashboardData!$D:$D,DashboardData!$A:$A,IF(Dashboard!$B$5="All","*",Dashboard!$B$5),DashboardData!$B:$B,A404),NA())</f>
        <v>#N/A</v>
      </c>
      <c r="C404" s="7" t="e">
        <f>IF(AND(A404&gt;=Dashboard!$F$5,A404&lt;=Dashboard!$J$5,A404&lt;&gt;""),-SUMIFS(DashboardData!$E:$E,DashboardData!$A:$A,IF(Dashboard!$B$5="All","*",Dashboard!$B$5),DashboardData!$B:$B,A404),NA())</f>
        <v>#N/A</v>
      </c>
    </row>
    <row r="405" spans="1:3" x14ac:dyDescent="0.25">
      <c r="A405" t="str">
        <f>IF(Monthly!A405="","",Monthly!A405)</f>
        <v/>
      </c>
      <c r="B405" s="7" t="e">
        <f>IF(AND(A405&gt;=Dashboard!$F$5,A405&lt;=Dashboard!$J$5,A405&lt;&gt;""),SUMIFS(DashboardData!$D:$D,DashboardData!$A:$A,IF(Dashboard!$B$5="All","*",Dashboard!$B$5),DashboardData!$B:$B,A405),NA())</f>
        <v>#N/A</v>
      </c>
      <c r="C405" s="7" t="e">
        <f>IF(AND(A405&gt;=Dashboard!$F$5,A405&lt;=Dashboard!$J$5,A405&lt;&gt;""),-SUMIFS(DashboardData!$E:$E,DashboardData!$A:$A,IF(Dashboard!$B$5="All","*",Dashboard!$B$5),DashboardData!$B:$B,A405),NA())</f>
        <v>#N/A</v>
      </c>
    </row>
    <row r="406" spans="1:3" x14ac:dyDescent="0.25">
      <c r="A406" t="str">
        <f>IF(Monthly!A406="","",Monthly!A406)</f>
        <v/>
      </c>
      <c r="B406" s="7" t="e">
        <f>IF(AND(A406&gt;=Dashboard!$F$5,A406&lt;=Dashboard!$J$5,A406&lt;&gt;""),SUMIFS(DashboardData!$D:$D,DashboardData!$A:$A,IF(Dashboard!$B$5="All","*",Dashboard!$B$5),DashboardData!$B:$B,A406),NA())</f>
        <v>#N/A</v>
      </c>
      <c r="C406" s="7" t="e">
        <f>IF(AND(A406&gt;=Dashboard!$F$5,A406&lt;=Dashboard!$J$5,A406&lt;&gt;""),-SUMIFS(DashboardData!$E:$E,DashboardData!$A:$A,IF(Dashboard!$B$5="All","*",Dashboard!$B$5),DashboardData!$B:$B,A406),NA())</f>
        <v>#N/A</v>
      </c>
    </row>
    <row r="407" spans="1:3" x14ac:dyDescent="0.25">
      <c r="A407" t="str">
        <f>IF(Monthly!A407="","",Monthly!A407)</f>
        <v/>
      </c>
      <c r="B407" s="7" t="e">
        <f>IF(AND(A407&gt;=Dashboard!$F$5,A407&lt;=Dashboard!$J$5,A407&lt;&gt;""),SUMIFS(DashboardData!$D:$D,DashboardData!$A:$A,IF(Dashboard!$B$5="All","*",Dashboard!$B$5),DashboardData!$B:$B,A407),NA())</f>
        <v>#N/A</v>
      </c>
      <c r="C407" s="7" t="e">
        <f>IF(AND(A407&gt;=Dashboard!$F$5,A407&lt;=Dashboard!$J$5,A407&lt;&gt;""),-SUMIFS(DashboardData!$E:$E,DashboardData!$A:$A,IF(Dashboard!$B$5="All","*",Dashboard!$B$5),DashboardData!$B:$B,A407),NA())</f>
        <v>#N/A</v>
      </c>
    </row>
    <row r="408" spans="1:3" x14ac:dyDescent="0.25">
      <c r="A408" t="str">
        <f>IF(Monthly!A408="","",Monthly!A408)</f>
        <v/>
      </c>
      <c r="B408" s="7" t="e">
        <f>IF(AND(A408&gt;=Dashboard!$F$5,A408&lt;=Dashboard!$J$5,A408&lt;&gt;""),SUMIFS(DashboardData!$D:$D,DashboardData!$A:$A,IF(Dashboard!$B$5="All","*",Dashboard!$B$5),DashboardData!$B:$B,A408),NA())</f>
        <v>#N/A</v>
      </c>
      <c r="C408" s="7" t="e">
        <f>IF(AND(A408&gt;=Dashboard!$F$5,A408&lt;=Dashboard!$J$5,A408&lt;&gt;""),-SUMIFS(DashboardData!$E:$E,DashboardData!$A:$A,IF(Dashboard!$B$5="All","*",Dashboard!$B$5),DashboardData!$B:$B,A408),NA())</f>
        <v>#N/A</v>
      </c>
    </row>
    <row r="409" spans="1:3" x14ac:dyDescent="0.25">
      <c r="A409" t="str">
        <f>IF(Monthly!A409="","",Monthly!A409)</f>
        <v/>
      </c>
      <c r="B409" s="7" t="e">
        <f>IF(AND(A409&gt;=Dashboard!$F$5,A409&lt;=Dashboard!$J$5,A409&lt;&gt;""),SUMIFS(DashboardData!$D:$D,DashboardData!$A:$A,IF(Dashboard!$B$5="All","*",Dashboard!$B$5),DashboardData!$B:$B,A409),NA())</f>
        <v>#N/A</v>
      </c>
      <c r="C409" s="7" t="e">
        <f>IF(AND(A409&gt;=Dashboard!$F$5,A409&lt;=Dashboard!$J$5,A409&lt;&gt;""),-SUMIFS(DashboardData!$E:$E,DashboardData!$A:$A,IF(Dashboard!$B$5="All","*",Dashboard!$B$5),DashboardData!$B:$B,A409),NA())</f>
        <v>#N/A</v>
      </c>
    </row>
    <row r="410" spans="1:3" x14ac:dyDescent="0.25">
      <c r="A410" t="str">
        <f>IF(Monthly!A410="","",Monthly!A410)</f>
        <v/>
      </c>
      <c r="B410" s="7" t="e">
        <f>IF(AND(A410&gt;=Dashboard!$F$5,A410&lt;=Dashboard!$J$5,A410&lt;&gt;""),SUMIFS(DashboardData!$D:$D,DashboardData!$A:$A,IF(Dashboard!$B$5="All","*",Dashboard!$B$5),DashboardData!$B:$B,A410),NA())</f>
        <v>#N/A</v>
      </c>
      <c r="C410" s="7" t="e">
        <f>IF(AND(A410&gt;=Dashboard!$F$5,A410&lt;=Dashboard!$J$5,A410&lt;&gt;""),-SUMIFS(DashboardData!$E:$E,DashboardData!$A:$A,IF(Dashboard!$B$5="All","*",Dashboard!$B$5),DashboardData!$B:$B,A410),NA())</f>
        <v>#N/A</v>
      </c>
    </row>
    <row r="411" spans="1:3" x14ac:dyDescent="0.25">
      <c r="A411" t="str">
        <f>IF(Monthly!A411="","",Monthly!A411)</f>
        <v/>
      </c>
      <c r="B411" s="7" t="e">
        <f>IF(AND(A411&gt;=Dashboard!$F$5,A411&lt;=Dashboard!$J$5,A411&lt;&gt;""),SUMIFS(DashboardData!$D:$D,DashboardData!$A:$A,IF(Dashboard!$B$5="All","*",Dashboard!$B$5),DashboardData!$B:$B,A411),NA())</f>
        <v>#N/A</v>
      </c>
      <c r="C411" s="7" t="e">
        <f>IF(AND(A411&gt;=Dashboard!$F$5,A411&lt;=Dashboard!$J$5,A411&lt;&gt;""),-SUMIFS(DashboardData!$E:$E,DashboardData!$A:$A,IF(Dashboard!$B$5="All","*",Dashboard!$B$5),DashboardData!$B:$B,A411),NA())</f>
        <v>#N/A</v>
      </c>
    </row>
    <row r="412" spans="1:3" x14ac:dyDescent="0.25">
      <c r="A412" t="str">
        <f>IF(Monthly!A412="","",Monthly!A412)</f>
        <v/>
      </c>
      <c r="B412" s="7" t="e">
        <f>IF(AND(A412&gt;=Dashboard!$F$5,A412&lt;=Dashboard!$J$5,A412&lt;&gt;""),SUMIFS(DashboardData!$D:$D,DashboardData!$A:$A,IF(Dashboard!$B$5="All","*",Dashboard!$B$5),DashboardData!$B:$B,A412),NA())</f>
        <v>#N/A</v>
      </c>
      <c r="C412" s="7" t="e">
        <f>IF(AND(A412&gt;=Dashboard!$F$5,A412&lt;=Dashboard!$J$5,A412&lt;&gt;""),-SUMIFS(DashboardData!$E:$E,DashboardData!$A:$A,IF(Dashboard!$B$5="All","*",Dashboard!$B$5),DashboardData!$B:$B,A412),NA())</f>
        <v>#N/A</v>
      </c>
    </row>
    <row r="413" spans="1:3" x14ac:dyDescent="0.25">
      <c r="A413" t="str">
        <f>IF(Monthly!A413="","",Monthly!A413)</f>
        <v/>
      </c>
      <c r="B413" s="7" t="e">
        <f>IF(AND(A413&gt;=Dashboard!$F$5,A413&lt;=Dashboard!$J$5,A413&lt;&gt;""),SUMIFS(DashboardData!$D:$D,DashboardData!$A:$A,IF(Dashboard!$B$5="All","*",Dashboard!$B$5),DashboardData!$B:$B,A413),NA())</f>
        <v>#N/A</v>
      </c>
      <c r="C413" s="7" t="e">
        <f>IF(AND(A413&gt;=Dashboard!$F$5,A413&lt;=Dashboard!$J$5,A413&lt;&gt;""),-SUMIFS(DashboardData!$E:$E,DashboardData!$A:$A,IF(Dashboard!$B$5="All","*",Dashboard!$B$5),DashboardData!$B:$B,A413),NA())</f>
        <v>#N/A</v>
      </c>
    </row>
    <row r="414" spans="1:3" x14ac:dyDescent="0.25">
      <c r="A414" t="str">
        <f>IF(Monthly!A414="","",Monthly!A414)</f>
        <v/>
      </c>
      <c r="B414" s="7" t="e">
        <f>IF(AND(A414&gt;=Dashboard!$F$5,A414&lt;=Dashboard!$J$5,A414&lt;&gt;""),SUMIFS(DashboardData!$D:$D,DashboardData!$A:$A,IF(Dashboard!$B$5="All","*",Dashboard!$B$5),DashboardData!$B:$B,A414),NA())</f>
        <v>#N/A</v>
      </c>
      <c r="C414" s="7" t="e">
        <f>IF(AND(A414&gt;=Dashboard!$F$5,A414&lt;=Dashboard!$J$5,A414&lt;&gt;""),-SUMIFS(DashboardData!$E:$E,DashboardData!$A:$A,IF(Dashboard!$B$5="All","*",Dashboard!$B$5),DashboardData!$B:$B,A414),NA())</f>
        <v>#N/A</v>
      </c>
    </row>
    <row r="415" spans="1:3" x14ac:dyDescent="0.25">
      <c r="A415" t="str">
        <f>IF(Monthly!A415="","",Monthly!A415)</f>
        <v/>
      </c>
      <c r="B415" s="7" t="e">
        <f>IF(AND(A415&gt;=Dashboard!$F$5,A415&lt;=Dashboard!$J$5,A415&lt;&gt;""),SUMIFS(DashboardData!$D:$D,DashboardData!$A:$A,IF(Dashboard!$B$5="All","*",Dashboard!$B$5),DashboardData!$B:$B,A415),NA())</f>
        <v>#N/A</v>
      </c>
      <c r="C415" s="7" t="e">
        <f>IF(AND(A415&gt;=Dashboard!$F$5,A415&lt;=Dashboard!$J$5,A415&lt;&gt;""),-SUMIFS(DashboardData!$E:$E,DashboardData!$A:$A,IF(Dashboard!$B$5="All","*",Dashboard!$B$5),DashboardData!$B:$B,A415),NA())</f>
        <v>#N/A</v>
      </c>
    </row>
    <row r="416" spans="1:3" x14ac:dyDescent="0.25">
      <c r="A416" t="str">
        <f>IF(Monthly!A416="","",Monthly!A416)</f>
        <v/>
      </c>
      <c r="B416" s="7" t="e">
        <f>IF(AND(A416&gt;=Dashboard!$F$5,A416&lt;=Dashboard!$J$5,A416&lt;&gt;""),SUMIFS(DashboardData!$D:$D,DashboardData!$A:$A,IF(Dashboard!$B$5="All","*",Dashboard!$B$5),DashboardData!$B:$B,A416),NA())</f>
        <v>#N/A</v>
      </c>
      <c r="C416" s="7" t="e">
        <f>IF(AND(A416&gt;=Dashboard!$F$5,A416&lt;=Dashboard!$J$5,A416&lt;&gt;""),-SUMIFS(DashboardData!$E:$E,DashboardData!$A:$A,IF(Dashboard!$B$5="All","*",Dashboard!$B$5),DashboardData!$B:$B,A416),NA())</f>
        <v>#N/A</v>
      </c>
    </row>
    <row r="417" spans="1:3" x14ac:dyDescent="0.25">
      <c r="A417" t="str">
        <f>IF(Monthly!A417="","",Monthly!A417)</f>
        <v/>
      </c>
      <c r="B417" s="7" t="e">
        <f>IF(AND(A417&gt;=Dashboard!$F$5,A417&lt;=Dashboard!$J$5,A417&lt;&gt;""),SUMIFS(DashboardData!$D:$D,DashboardData!$A:$A,IF(Dashboard!$B$5="All","*",Dashboard!$B$5),DashboardData!$B:$B,A417),NA())</f>
        <v>#N/A</v>
      </c>
      <c r="C417" s="7" t="e">
        <f>IF(AND(A417&gt;=Dashboard!$F$5,A417&lt;=Dashboard!$J$5,A417&lt;&gt;""),-SUMIFS(DashboardData!$E:$E,DashboardData!$A:$A,IF(Dashboard!$B$5="All","*",Dashboard!$B$5),DashboardData!$B:$B,A417),NA())</f>
        <v>#N/A</v>
      </c>
    </row>
    <row r="418" spans="1:3" x14ac:dyDescent="0.25">
      <c r="A418" t="str">
        <f>IF(Monthly!A418="","",Monthly!A418)</f>
        <v/>
      </c>
      <c r="B418" s="7" t="e">
        <f>IF(AND(A418&gt;=Dashboard!$F$5,A418&lt;=Dashboard!$J$5,A418&lt;&gt;""),SUMIFS(DashboardData!$D:$D,DashboardData!$A:$A,IF(Dashboard!$B$5="All","*",Dashboard!$B$5),DashboardData!$B:$B,A418),NA())</f>
        <v>#N/A</v>
      </c>
      <c r="C418" s="7" t="e">
        <f>IF(AND(A418&gt;=Dashboard!$F$5,A418&lt;=Dashboard!$J$5,A418&lt;&gt;""),-SUMIFS(DashboardData!$E:$E,DashboardData!$A:$A,IF(Dashboard!$B$5="All","*",Dashboard!$B$5),DashboardData!$B:$B,A418),NA())</f>
        <v>#N/A</v>
      </c>
    </row>
    <row r="419" spans="1:3" x14ac:dyDescent="0.25">
      <c r="A419" t="str">
        <f>IF(Monthly!A419="","",Monthly!A419)</f>
        <v/>
      </c>
      <c r="B419" s="7" t="e">
        <f>IF(AND(A419&gt;=Dashboard!$F$5,A419&lt;=Dashboard!$J$5,A419&lt;&gt;""),SUMIFS(DashboardData!$D:$D,DashboardData!$A:$A,IF(Dashboard!$B$5="All","*",Dashboard!$B$5),DashboardData!$B:$B,A419),NA())</f>
        <v>#N/A</v>
      </c>
      <c r="C419" s="7" t="e">
        <f>IF(AND(A419&gt;=Dashboard!$F$5,A419&lt;=Dashboard!$J$5,A419&lt;&gt;""),-SUMIFS(DashboardData!$E:$E,DashboardData!$A:$A,IF(Dashboard!$B$5="All","*",Dashboard!$B$5),DashboardData!$B:$B,A419),NA())</f>
        <v>#N/A</v>
      </c>
    </row>
    <row r="420" spans="1:3" x14ac:dyDescent="0.25">
      <c r="A420" t="str">
        <f>IF(Monthly!A420="","",Monthly!A420)</f>
        <v/>
      </c>
      <c r="B420" s="7" t="e">
        <f>IF(AND(A420&gt;=Dashboard!$F$5,A420&lt;=Dashboard!$J$5,A420&lt;&gt;""),SUMIFS(DashboardData!$D:$D,DashboardData!$A:$A,IF(Dashboard!$B$5="All","*",Dashboard!$B$5),DashboardData!$B:$B,A420),NA())</f>
        <v>#N/A</v>
      </c>
      <c r="C420" s="7" t="e">
        <f>IF(AND(A420&gt;=Dashboard!$F$5,A420&lt;=Dashboard!$J$5,A420&lt;&gt;""),-SUMIFS(DashboardData!$E:$E,DashboardData!$A:$A,IF(Dashboard!$B$5="All","*",Dashboard!$B$5),DashboardData!$B:$B,A420),NA())</f>
        <v>#N/A</v>
      </c>
    </row>
    <row r="421" spans="1:3" x14ac:dyDescent="0.25">
      <c r="A421" t="str">
        <f>IF(Monthly!A421="","",Monthly!A421)</f>
        <v/>
      </c>
      <c r="B421" s="7" t="e">
        <f>IF(AND(A421&gt;=Dashboard!$F$5,A421&lt;=Dashboard!$J$5,A421&lt;&gt;""),SUMIFS(DashboardData!$D:$D,DashboardData!$A:$A,IF(Dashboard!$B$5="All","*",Dashboard!$B$5),DashboardData!$B:$B,A421),NA())</f>
        <v>#N/A</v>
      </c>
      <c r="C421" s="7" t="e">
        <f>IF(AND(A421&gt;=Dashboard!$F$5,A421&lt;=Dashboard!$J$5,A421&lt;&gt;""),-SUMIFS(DashboardData!$E:$E,DashboardData!$A:$A,IF(Dashboard!$B$5="All","*",Dashboard!$B$5),DashboardData!$B:$B,A421),NA())</f>
        <v>#N/A</v>
      </c>
    </row>
    <row r="422" spans="1:3" x14ac:dyDescent="0.25">
      <c r="A422" t="str">
        <f>IF(Monthly!A422="","",Monthly!A422)</f>
        <v/>
      </c>
      <c r="B422" s="7" t="e">
        <f>IF(AND(A422&gt;=Dashboard!$F$5,A422&lt;=Dashboard!$J$5,A422&lt;&gt;""),SUMIFS(DashboardData!$D:$D,DashboardData!$A:$A,IF(Dashboard!$B$5="All","*",Dashboard!$B$5),DashboardData!$B:$B,A422),NA())</f>
        <v>#N/A</v>
      </c>
      <c r="C422" s="7" t="e">
        <f>IF(AND(A422&gt;=Dashboard!$F$5,A422&lt;=Dashboard!$J$5,A422&lt;&gt;""),-SUMIFS(DashboardData!$E:$E,DashboardData!$A:$A,IF(Dashboard!$B$5="All","*",Dashboard!$B$5),DashboardData!$B:$B,A422),NA())</f>
        <v>#N/A</v>
      </c>
    </row>
    <row r="423" spans="1:3" x14ac:dyDescent="0.25">
      <c r="A423" t="str">
        <f>IF(Monthly!A423="","",Monthly!A423)</f>
        <v/>
      </c>
      <c r="B423" s="7" t="e">
        <f>IF(AND(A423&gt;=Dashboard!$F$5,A423&lt;=Dashboard!$J$5,A423&lt;&gt;""),SUMIFS(DashboardData!$D:$D,DashboardData!$A:$A,IF(Dashboard!$B$5="All","*",Dashboard!$B$5),DashboardData!$B:$B,A423),NA())</f>
        <v>#N/A</v>
      </c>
      <c r="C423" s="7" t="e">
        <f>IF(AND(A423&gt;=Dashboard!$F$5,A423&lt;=Dashboard!$J$5,A423&lt;&gt;""),-SUMIFS(DashboardData!$E:$E,DashboardData!$A:$A,IF(Dashboard!$B$5="All","*",Dashboard!$B$5),DashboardData!$B:$B,A423),NA())</f>
        <v>#N/A</v>
      </c>
    </row>
    <row r="424" spans="1:3" x14ac:dyDescent="0.25">
      <c r="A424" t="str">
        <f>IF(Monthly!A424="","",Monthly!A424)</f>
        <v/>
      </c>
      <c r="B424" s="7" t="e">
        <f>IF(AND(A424&gt;=Dashboard!$F$5,A424&lt;=Dashboard!$J$5,A424&lt;&gt;""),SUMIFS(DashboardData!$D:$D,DashboardData!$A:$A,IF(Dashboard!$B$5="All","*",Dashboard!$B$5),DashboardData!$B:$B,A424),NA())</f>
        <v>#N/A</v>
      </c>
      <c r="C424" s="7" t="e">
        <f>IF(AND(A424&gt;=Dashboard!$F$5,A424&lt;=Dashboard!$J$5,A424&lt;&gt;""),-SUMIFS(DashboardData!$E:$E,DashboardData!$A:$A,IF(Dashboard!$B$5="All","*",Dashboard!$B$5),DashboardData!$B:$B,A424),NA())</f>
        <v>#N/A</v>
      </c>
    </row>
    <row r="425" spans="1:3" x14ac:dyDescent="0.25">
      <c r="A425" t="str">
        <f>IF(Monthly!A425="","",Monthly!A425)</f>
        <v/>
      </c>
      <c r="B425" s="7" t="e">
        <f>IF(AND(A425&gt;=Dashboard!$F$5,A425&lt;=Dashboard!$J$5,A425&lt;&gt;""),SUMIFS(DashboardData!$D:$D,DashboardData!$A:$A,IF(Dashboard!$B$5="All","*",Dashboard!$B$5),DashboardData!$B:$B,A425),NA())</f>
        <v>#N/A</v>
      </c>
      <c r="C425" s="7" t="e">
        <f>IF(AND(A425&gt;=Dashboard!$F$5,A425&lt;=Dashboard!$J$5,A425&lt;&gt;""),-SUMIFS(DashboardData!$E:$E,DashboardData!$A:$A,IF(Dashboard!$B$5="All","*",Dashboard!$B$5),DashboardData!$B:$B,A425),NA())</f>
        <v>#N/A</v>
      </c>
    </row>
    <row r="426" spans="1:3" x14ac:dyDescent="0.25">
      <c r="A426" t="str">
        <f>IF(Monthly!A426="","",Monthly!A426)</f>
        <v/>
      </c>
      <c r="B426" s="7" t="e">
        <f>IF(AND(A426&gt;=Dashboard!$F$5,A426&lt;=Dashboard!$J$5,A426&lt;&gt;""),SUMIFS(DashboardData!$D:$D,DashboardData!$A:$A,IF(Dashboard!$B$5="All","*",Dashboard!$B$5),DashboardData!$B:$B,A426),NA())</f>
        <v>#N/A</v>
      </c>
      <c r="C426" s="7" t="e">
        <f>IF(AND(A426&gt;=Dashboard!$F$5,A426&lt;=Dashboard!$J$5,A426&lt;&gt;""),-SUMIFS(DashboardData!$E:$E,DashboardData!$A:$A,IF(Dashboard!$B$5="All","*",Dashboard!$B$5),DashboardData!$B:$B,A426),NA())</f>
        <v>#N/A</v>
      </c>
    </row>
    <row r="427" spans="1:3" x14ac:dyDescent="0.25">
      <c r="A427" t="str">
        <f>IF(Monthly!A427="","",Monthly!A427)</f>
        <v/>
      </c>
      <c r="B427" s="7" t="e">
        <f>IF(AND(A427&gt;=Dashboard!$F$5,A427&lt;=Dashboard!$J$5,A427&lt;&gt;""),SUMIFS(DashboardData!$D:$D,DashboardData!$A:$A,IF(Dashboard!$B$5="All","*",Dashboard!$B$5),DashboardData!$B:$B,A427),NA())</f>
        <v>#N/A</v>
      </c>
      <c r="C427" s="7" t="e">
        <f>IF(AND(A427&gt;=Dashboard!$F$5,A427&lt;=Dashboard!$J$5,A427&lt;&gt;""),-SUMIFS(DashboardData!$E:$E,DashboardData!$A:$A,IF(Dashboard!$B$5="All","*",Dashboard!$B$5),DashboardData!$B:$B,A427),NA())</f>
        <v>#N/A</v>
      </c>
    </row>
    <row r="428" spans="1:3" x14ac:dyDescent="0.25">
      <c r="A428" t="str">
        <f>IF(Monthly!A428="","",Monthly!A428)</f>
        <v/>
      </c>
      <c r="B428" s="7" t="e">
        <f>IF(AND(A428&gt;=Dashboard!$F$5,A428&lt;=Dashboard!$J$5,A428&lt;&gt;""),SUMIFS(DashboardData!$D:$D,DashboardData!$A:$A,IF(Dashboard!$B$5="All","*",Dashboard!$B$5),DashboardData!$B:$B,A428),NA())</f>
        <v>#N/A</v>
      </c>
      <c r="C428" s="7" t="e">
        <f>IF(AND(A428&gt;=Dashboard!$F$5,A428&lt;=Dashboard!$J$5,A428&lt;&gt;""),-SUMIFS(DashboardData!$E:$E,DashboardData!$A:$A,IF(Dashboard!$B$5="All","*",Dashboard!$B$5),DashboardData!$B:$B,A428),NA())</f>
        <v>#N/A</v>
      </c>
    </row>
    <row r="429" spans="1:3" x14ac:dyDescent="0.25">
      <c r="A429" t="str">
        <f>IF(Monthly!A429="","",Monthly!A429)</f>
        <v/>
      </c>
      <c r="B429" s="7" t="e">
        <f>IF(AND(A429&gt;=Dashboard!$F$5,A429&lt;=Dashboard!$J$5,A429&lt;&gt;""),SUMIFS(DashboardData!$D:$D,DashboardData!$A:$A,IF(Dashboard!$B$5="All","*",Dashboard!$B$5),DashboardData!$B:$B,A429),NA())</f>
        <v>#N/A</v>
      </c>
      <c r="C429" s="7" t="e">
        <f>IF(AND(A429&gt;=Dashboard!$F$5,A429&lt;=Dashboard!$J$5,A429&lt;&gt;""),-SUMIFS(DashboardData!$E:$E,DashboardData!$A:$A,IF(Dashboard!$B$5="All","*",Dashboard!$B$5),DashboardData!$B:$B,A429),NA())</f>
        <v>#N/A</v>
      </c>
    </row>
    <row r="430" spans="1:3" x14ac:dyDescent="0.25">
      <c r="A430" t="str">
        <f>IF(Monthly!A430="","",Monthly!A430)</f>
        <v/>
      </c>
      <c r="B430" s="7" t="e">
        <f>IF(AND(A430&gt;=Dashboard!$F$5,A430&lt;=Dashboard!$J$5,A430&lt;&gt;""),SUMIFS(DashboardData!$D:$D,DashboardData!$A:$A,IF(Dashboard!$B$5="All","*",Dashboard!$B$5),DashboardData!$B:$B,A430),NA())</f>
        <v>#N/A</v>
      </c>
      <c r="C430" s="7" t="e">
        <f>IF(AND(A430&gt;=Dashboard!$F$5,A430&lt;=Dashboard!$J$5,A430&lt;&gt;""),-SUMIFS(DashboardData!$E:$E,DashboardData!$A:$A,IF(Dashboard!$B$5="All","*",Dashboard!$B$5),DashboardData!$B:$B,A430),NA())</f>
        <v>#N/A</v>
      </c>
    </row>
    <row r="431" spans="1:3" x14ac:dyDescent="0.25">
      <c r="A431" t="str">
        <f>IF(Monthly!A431="","",Monthly!A431)</f>
        <v/>
      </c>
      <c r="B431" s="7" t="e">
        <f>IF(AND(A431&gt;=Dashboard!$F$5,A431&lt;=Dashboard!$J$5,A431&lt;&gt;""),SUMIFS(DashboardData!$D:$D,DashboardData!$A:$A,IF(Dashboard!$B$5="All","*",Dashboard!$B$5),DashboardData!$B:$B,A431),NA())</f>
        <v>#N/A</v>
      </c>
      <c r="C431" s="7" t="e">
        <f>IF(AND(A431&gt;=Dashboard!$F$5,A431&lt;=Dashboard!$J$5,A431&lt;&gt;""),-SUMIFS(DashboardData!$E:$E,DashboardData!$A:$A,IF(Dashboard!$B$5="All","*",Dashboard!$B$5),DashboardData!$B:$B,A431),NA())</f>
        <v>#N/A</v>
      </c>
    </row>
    <row r="432" spans="1:3" x14ac:dyDescent="0.25">
      <c r="A432" t="str">
        <f>IF(Monthly!A432="","",Monthly!A432)</f>
        <v/>
      </c>
      <c r="B432" s="7" t="e">
        <f>IF(AND(A432&gt;=Dashboard!$F$5,A432&lt;=Dashboard!$J$5,A432&lt;&gt;""),SUMIFS(DashboardData!$D:$D,DashboardData!$A:$A,IF(Dashboard!$B$5="All","*",Dashboard!$B$5),DashboardData!$B:$B,A432),NA())</f>
        <v>#N/A</v>
      </c>
      <c r="C432" s="7" t="e">
        <f>IF(AND(A432&gt;=Dashboard!$F$5,A432&lt;=Dashboard!$J$5,A432&lt;&gt;""),-SUMIFS(DashboardData!$E:$E,DashboardData!$A:$A,IF(Dashboard!$B$5="All","*",Dashboard!$B$5),DashboardData!$B:$B,A432),NA())</f>
        <v>#N/A</v>
      </c>
    </row>
    <row r="433" spans="1:3" x14ac:dyDescent="0.25">
      <c r="A433" t="str">
        <f>IF(Monthly!A433="","",Monthly!A433)</f>
        <v/>
      </c>
      <c r="B433" s="7" t="e">
        <f>IF(AND(A433&gt;=Dashboard!$F$5,A433&lt;=Dashboard!$J$5,A433&lt;&gt;""),SUMIFS(DashboardData!$D:$D,DashboardData!$A:$A,IF(Dashboard!$B$5="All","*",Dashboard!$B$5),DashboardData!$B:$B,A433),NA())</f>
        <v>#N/A</v>
      </c>
      <c r="C433" s="7" t="e">
        <f>IF(AND(A433&gt;=Dashboard!$F$5,A433&lt;=Dashboard!$J$5,A433&lt;&gt;""),-SUMIFS(DashboardData!$E:$E,DashboardData!$A:$A,IF(Dashboard!$B$5="All","*",Dashboard!$B$5),DashboardData!$B:$B,A433),NA())</f>
        <v>#N/A</v>
      </c>
    </row>
    <row r="434" spans="1:3" x14ac:dyDescent="0.25">
      <c r="A434" t="str">
        <f>IF(Monthly!A434="","",Monthly!A434)</f>
        <v/>
      </c>
      <c r="B434" s="7" t="e">
        <f>IF(AND(A434&gt;=Dashboard!$F$5,A434&lt;=Dashboard!$J$5,A434&lt;&gt;""),SUMIFS(DashboardData!$D:$D,DashboardData!$A:$A,IF(Dashboard!$B$5="All","*",Dashboard!$B$5),DashboardData!$B:$B,A434),NA())</f>
        <v>#N/A</v>
      </c>
      <c r="C434" s="7" t="e">
        <f>IF(AND(A434&gt;=Dashboard!$F$5,A434&lt;=Dashboard!$J$5,A434&lt;&gt;""),-SUMIFS(DashboardData!$E:$E,DashboardData!$A:$A,IF(Dashboard!$B$5="All","*",Dashboard!$B$5),DashboardData!$B:$B,A434),NA())</f>
        <v>#N/A</v>
      </c>
    </row>
    <row r="435" spans="1:3" x14ac:dyDescent="0.25">
      <c r="A435" t="str">
        <f>IF(Monthly!A435="","",Monthly!A435)</f>
        <v/>
      </c>
      <c r="B435" s="7" t="e">
        <f>IF(AND(A435&gt;=Dashboard!$F$5,A435&lt;=Dashboard!$J$5,A435&lt;&gt;""),SUMIFS(DashboardData!$D:$D,DashboardData!$A:$A,IF(Dashboard!$B$5="All","*",Dashboard!$B$5),DashboardData!$B:$B,A435),NA())</f>
        <v>#N/A</v>
      </c>
      <c r="C435" s="7" t="e">
        <f>IF(AND(A435&gt;=Dashboard!$F$5,A435&lt;=Dashboard!$J$5,A435&lt;&gt;""),-SUMIFS(DashboardData!$E:$E,DashboardData!$A:$A,IF(Dashboard!$B$5="All","*",Dashboard!$B$5),DashboardData!$B:$B,A435),NA())</f>
        <v>#N/A</v>
      </c>
    </row>
    <row r="436" spans="1:3" x14ac:dyDescent="0.25">
      <c r="A436" t="str">
        <f>IF(Monthly!A436="","",Monthly!A436)</f>
        <v/>
      </c>
      <c r="B436" s="7" t="e">
        <f>IF(AND(A436&gt;=Dashboard!$F$5,A436&lt;=Dashboard!$J$5,A436&lt;&gt;""),SUMIFS(DashboardData!$D:$D,DashboardData!$A:$A,IF(Dashboard!$B$5="All","*",Dashboard!$B$5),DashboardData!$B:$B,A436),NA())</f>
        <v>#N/A</v>
      </c>
      <c r="C436" s="7" t="e">
        <f>IF(AND(A436&gt;=Dashboard!$F$5,A436&lt;=Dashboard!$J$5,A436&lt;&gt;""),-SUMIFS(DashboardData!$E:$E,DashboardData!$A:$A,IF(Dashboard!$B$5="All","*",Dashboard!$B$5),DashboardData!$B:$B,A436),NA())</f>
        <v>#N/A</v>
      </c>
    </row>
    <row r="437" spans="1:3" x14ac:dyDescent="0.25">
      <c r="A437" t="str">
        <f>IF(Monthly!A437="","",Monthly!A437)</f>
        <v/>
      </c>
      <c r="B437" s="7" t="e">
        <f>IF(AND(A437&gt;=Dashboard!$F$5,A437&lt;=Dashboard!$J$5,A437&lt;&gt;""),SUMIFS(DashboardData!$D:$D,DashboardData!$A:$A,IF(Dashboard!$B$5="All","*",Dashboard!$B$5),DashboardData!$B:$B,A437),NA())</f>
        <v>#N/A</v>
      </c>
      <c r="C437" s="7" t="e">
        <f>IF(AND(A437&gt;=Dashboard!$F$5,A437&lt;=Dashboard!$J$5,A437&lt;&gt;""),-SUMIFS(DashboardData!$E:$E,DashboardData!$A:$A,IF(Dashboard!$B$5="All","*",Dashboard!$B$5),DashboardData!$B:$B,A437),NA())</f>
        <v>#N/A</v>
      </c>
    </row>
    <row r="438" spans="1:3" x14ac:dyDescent="0.25">
      <c r="A438" t="str">
        <f>IF(Monthly!A438="","",Monthly!A438)</f>
        <v/>
      </c>
      <c r="B438" s="7" t="e">
        <f>IF(AND(A438&gt;=Dashboard!$F$5,A438&lt;=Dashboard!$J$5,A438&lt;&gt;""),SUMIFS(DashboardData!$D:$D,DashboardData!$A:$A,IF(Dashboard!$B$5="All","*",Dashboard!$B$5),DashboardData!$B:$B,A438),NA())</f>
        <v>#N/A</v>
      </c>
      <c r="C438" s="7" t="e">
        <f>IF(AND(A438&gt;=Dashboard!$F$5,A438&lt;=Dashboard!$J$5,A438&lt;&gt;""),-SUMIFS(DashboardData!$E:$E,DashboardData!$A:$A,IF(Dashboard!$B$5="All","*",Dashboard!$B$5),DashboardData!$B:$B,A438),NA())</f>
        <v>#N/A</v>
      </c>
    </row>
    <row r="439" spans="1:3" x14ac:dyDescent="0.25">
      <c r="A439" t="str">
        <f>IF(Monthly!A439="","",Monthly!A439)</f>
        <v/>
      </c>
      <c r="B439" s="7" t="e">
        <f>IF(AND(A439&gt;=Dashboard!$F$5,A439&lt;=Dashboard!$J$5,A439&lt;&gt;""),SUMIFS(DashboardData!$D:$D,DashboardData!$A:$A,IF(Dashboard!$B$5="All","*",Dashboard!$B$5),DashboardData!$B:$B,A439),NA())</f>
        <v>#N/A</v>
      </c>
      <c r="C439" s="7" t="e">
        <f>IF(AND(A439&gt;=Dashboard!$F$5,A439&lt;=Dashboard!$J$5,A439&lt;&gt;""),-SUMIFS(DashboardData!$E:$E,DashboardData!$A:$A,IF(Dashboard!$B$5="All","*",Dashboard!$B$5),DashboardData!$B:$B,A439),NA())</f>
        <v>#N/A</v>
      </c>
    </row>
    <row r="440" spans="1:3" x14ac:dyDescent="0.25">
      <c r="A440" t="str">
        <f>IF(Monthly!A440="","",Monthly!A440)</f>
        <v/>
      </c>
      <c r="B440" s="7" t="e">
        <f>IF(AND(A440&gt;=Dashboard!$F$5,A440&lt;=Dashboard!$J$5,A440&lt;&gt;""),SUMIFS(DashboardData!$D:$D,DashboardData!$A:$A,IF(Dashboard!$B$5="All","*",Dashboard!$B$5),DashboardData!$B:$B,A440),NA())</f>
        <v>#N/A</v>
      </c>
      <c r="C440" s="7" t="e">
        <f>IF(AND(A440&gt;=Dashboard!$F$5,A440&lt;=Dashboard!$J$5,A440&lt;&gt;""),-SUMIFS(DashboardData!$E:$E,DashboardData!$A:$A,IF(Dashboard!$B$5="All","*",Dashboard!$B$5),DashboardData!$B:$B,A440),NA())</f>
        <v>#N/A</v>
      </c>
    </row>
    <row r="441" spans="1:3" x14ac:dyDescent="0.25">
      <c r="A441" t="str">
        <f>IF(Monthly!A441="","",Monthly!A441)</f>
        <v/>
      </c>
      <c r="B441" s="7" t="e">
        <f>IF(AND(A441&gt;=Dashboard!$F$5,A441&lt;=Dashboard!$J$5,A441&lt;&gt;""),SUMIFS(DashboardData!$D:$D,DashboardData!$A:$A,IF(Dashboard!$B$5="All","*",Dashboard!$B$5),DashboardData!$B:$B,A441),NA())</f>
        <v>#N/A</v>
      </c>
      <c r="C441" s="7" t="e">
        <f>IF(AND(A441&gt;=Dashboard!$F$5,A441&lt;=Dashboard!$J$5,A441&lt;&gt;""),-SUMIFS(DashboardData!$E:$E,DashboardData!$A:$A,IF(Dashboard!$B$5="All","*",Dashboard!$B$5),DashboardData!$B:$B,A441),NA())</f>
        <v>#N/A</v>
      </c>
    </row>
    <row r="442" spans="1:3" x14ac:dyDescent="0.25">
      <c r="A442" t="str">
        <f>IF(Monthly!A442="","",Monthly!A442)</f>
        <v/>
      </c>
      <c r="B442" s="7" t="e">
        <f>IF(AND(A442&gt;=Dashboard!$F$5,A442&lt;=Dashboard!$J$5,A442&lt;&gt;""),SUMIFS(DashboardData!$D:$D,DashboardData!$A:$A,IF(Dashboard!$B$5="All","*",Dashboard!$B$5),DashboardData!$B:$B,A442),NA())</f>
        <v>#N/A</v>
      </c>
      <c r="C442" s="7" t="e">
        <f>IF(AND(A442&gt;=Dashboard!$F$5,A442&lt;=Dashboard!$J$5,A442&lt;&gt;""),-SUMIFS(DashboardData!$E:$E,DashboardData!$A:$A,IF(Dashboard!$B$5="All","*",Dashboard!$B$5),DashboardData!$B:$B,A442),NA())</f>
        <v>#N/A</v>
      </c>
    </row>
    <row r="443" spans="1:3" x14ac:dyDescent="0.25">
      <c r="A443" t="str">
        <f>IF(Monthly!A443="","",Monthly!A443)</f>
        <v/>
      </c>
      <c r="B443" s="7" t="e">
        <f>IF(AND(A443&gt;=Dashboard!$F$5,A443&lt;=Dashboard!$J$5,A443&lt;&gt;""),SUMIFS(DashboardData!$D:$D,DashboardData!$A:$A,IF(Dashboard!$B$5="All","*",Dashboard!$B$5),DashboardData!$B:$B,A443),NA())</f>
        <v>#N/A</v>
      </c>
      <c r="C443" s="7" t="e">
        <f>IF(AND(A443&gt;=Dashboard!$F$5,A443&lt;=Dashboard!$J$5,A443&lt;&gt;""),-SUMIFS(DashboardData!$E:$E,DashboardData!$A:$A,IF(Dashboard!$B$5="All","*",Dashboard!$B$5),DashboardData!$B:$B,A443),NA())</f>
        <v>#N/A</v>
      </c>
    </row>
    <row r="444" spans="1:3" x14ac:dyDescent="0.25">
      <c r="A444" t="str">
        <f>IF(Monthly!A444="","",Monthly!A444)</f>
        <v/>
      </c>
      <c r="B444" s="7" t="e">
        <f>IF(AND(A444&gt;=Dashboard!$F$5,A444&lt;=Dashboard!$J$5,A444&lt;&gt;""),SUMIFS(DashboardData!$D:$D,DashboardData!$A:$A,IF(Dashboard!$B$5="All","*",Dashboard!$B$5),DashboardData!$B:$B,A444),NA())</f>
        <v>#N/A</v>
      </c>
      <c r="C444" s="7" t="e">
        <f>IF(AND(A444&gt;=Dashboard!$F$5,A444&lt;=Dashboard!$J$5,A444&lt;&gt;""),-SUMIFS(DashboardData!$E:$E,DashboardData!$A:$A,IF(Dashboard!$B$5="All","*",Dashboard!$B$5),DashboardData!$B:$B,A444),NA())</f>
        <v>#N/A</v>
      </c>
    </row>
    <row r="445" spans="1:3" x14ac:dyDescent="0.25">
      <c r="A445" t="str">
        <f>IF(Monthly!A445="","",Monthly!A445)</f>
        <v/>
      </c>
      <c r="B445" s="7" t="e">
        <f>IF(AND(A445&gt;=Dashboard!$F$5,A445&lt;=Dashboard!$J$5,A445&lt;&gt;""),SUMIFS(DashboardData!$D:$D,DashboardData!$A:$A,IF(Dashboard!$B$5="All","*",Dashboard!$B$5),DashboardData!$B:$B,A445),NA())</f>
        <v>#N/A</v>
      </c>
      <c r="C445" s="7" t="e">
        <f>IF(AND(A445&gt;=Dashboard!$F$5,A445&lt;=Dashboard!$J$5,A445&lt;&gt;""),-SUMIFS(DashboardData!$E:$E,DashboardData!$A:$A,IF(Dashboard!$B$5="All","*",Dashboard!$B$5),DashboardData!$B:$B,A445),NA())</f>
        <v>#N/A</v>
      </c>
    </row>
    <row r="446" spans="1:3" x14ac:dyDescent="0.25">
      <c r="A446" t="str">
        <f>IF(Monthly!A446="","",Monthly!A446)</f>
        <v/>
      </c>
      <c r="B446" s="7" t="e">
        <f>IF(AND(A446&gt;=Dashboard!$F$5,A446&lt;=Dashboard!$J$5,A446&lt;&gt;""),SUMIFS(DashboardData!$D:$D,DashboardData!$A:$A,IF(Dashboard!$B$5="All","*",Dashboard!$B$5),DashboardData!$B:$B,A446),NA())</f>
        <v>#N/A</v>
      </c>
      <c r="C446" s="7" t="e">
        <f>IF(AND(A446&gt;=Dashboard!$F$5,A446&lt;=Dashboard!$J$5,A446&lt;&gt;""),-SUMIFS(DashboardData!$E:$E,DashboardData!$A:$A,IF(Dashboard!$B$5="All","*",Dashboard!$B$5),DashboardData!$B:$B,A446),NA())</f>
        <v>#N/A</v>
      </c>
    </row>
    <row r="447" spans="1:3" x14ac:dyDescent="0.25">
      <c r="A447" t="str">
        <f>IF(Monthly!A447="","",Monthly!A447)</f>
        <v/>
      </c>
      <c r="B447" s="7" t="e">
        <f>IF(AND(A447&gt;=Dashboard!$F$5,A447&lt;=Dashboard!$J$5,A447&lt;&gt;""),SUMIFS(DashboardData!$D:$D,DashboardData!$A:$A,IF(Dashboard!$B$5="All","*",Dashboard!$B$5),DashboardData!$B:$B,A447),NA())</f>
        <v>#N/A</v>
      </c>
      <c r="C447" s="7" t="e">
        <f>IF(AND(A447&gt;=Dashboard!$F$5,A447&lt;=Dashboard!$J$5,A447&lt;&gt;""),-SUMIFS(DashboardData!$E:$E,DashboardData!$A:$A,IF(Dashboard!$B$5="All","*",Dashboard!$B$5),DashboardData!$B:$B,A447),NA())</f>
        <v>#N/A</v>
      </c>
    </row>
    <row r="448" spans="1:3" x14ac:dyDescent="0.25">
      <c r="A448" t="str">
        <f>IF(Monthly!A448="","",Monthly!A448)</f>
        <v/>
      </c>
      <c r="B448" s="7" t="e">
        <f>IF(AND(A448&gt;=Dashboard!$F$5,A448&lt;=Dashboard!$J$5,A448&lt;&gt;""),SUMIFS(DashboardData!$D:$D,DashboardData!$A:$A,IF(Dashboard!$B$5="All","*",Dashboard!$B$5),DashboardData!$B:$B,A448),NA())</f>
        <v>#N/A</v>
      </c>
      <c r="C448" s="7" t="e">
        <f>IF(AND(A448&gt;=Dashboard!$F$5,A448&lt;=Dashboard!$J$5,A448&lt;&gt;""),-SUMIFS(DashboardData!$E:$E,DashboardData!$A:$A,IF(Dashboard!$B$5="All","*",Dashboard!$B$5),DashboardData!$B:$B,A448),NA())</f>
        <v>#N/A</v>
      </c>
    </row>
    <row r="449" spans="1:3" x14ac:dyDescent="0.25">
      <c r="A449" t="str">
        <f>IF(Monthly!A449="","",Monthly!A449)</f>
        <v/>
      </c>
      <c r="B449" s="7" t="e">
        <f>IF(AND(A449&gt;=Dashboard!$F$5,A449&lt;=Dashboard!$J$5,A449&lt;&gt;""),SUMIFS(DashboardData!$D:$D,DashboardData!$A:$A,IF(Dashboard!$B$5="All","*",Dashboard!$B$5),DashboardData!$B:$B,A449),NA())</f>
        <v>#N/A</v>
      </c>
      <c r="C449" s="7" t="e">
        <f>IF(AND(A449&gt;=Dashboard!$F$5,A449&lt;=Dashboard!$J$5,A449&lt;&gt;""),-SUMIFS(DashboardData!$E:$E,DashboardData!$A:$A,IF(Dashboard!$B$5="All","*",Dashboard!$B$5),DashboardData!$B:$B,A449),NA())</f>
        <v>#N/A</v>
      </c>
    </row>
    <row r="450" spans="1:3" x14ac:dyDescent="0.25">
      <c r="A450" t="str">
        <f>IF(Monthly!A450="","",Monthly!A450)</f>
        <v/>
      </c>
      <c r="B450" s="7" t="e">
        <f>IF(AND(A450&gt;=Dashboard!$F$5,A450&lt;=Dashboard!$J$5,A450&lt;&gt;""),SUMIFS(DashboardData!$D:$D,DashboardData!$A:$A,IF(Dashboard!$B$5="All","*",Dashboard!$B$5),DashboardData!$B:$B,A450),NA())</f>
        <v>#N/A</v>
      </c>
      <c r="C450" s="7" t="e">
        <f>IF(AND(A450&gt;=Dashboard!$F$5,A450&lt;=Dashboard!$J$5,A450&lt;&gt;""),-SUMIFS(DashboardData!$E:$E,DashboardData!$A:$A,IF(Dashboard!$B$5="All","*",Dashboard!$B$5),DashboardData!$B:$B,A450),NA())</f>
        <v>#N/A</v>
      </c>
    </row>
    <row r="451" spans="1:3" x14ac:dyDescent="0.25">
      <c r="A451" t="str">
        <f>IF(Monthly!A451="","",Monthly!A451)</f>
        <v/>
      </c>
      <c r="B451" s="7" t="e">
        <f>IF(AND(A451&gt;=Dashboard!$F$5,A451&lt;=Dashboard!$J$5,A451&lt;&gt;""),SUMIFS(DashboardData!$D:$D,DashboardData!$A:$A,IF(Dashboard!$B$5="All","*",Dashboard!$B$5),DashboardData!$B:$B,A451),NA())</f>
        <v>#N/A</v>
      </c>
      <c r="C451" s="7" t="e">
        <f>IF(AND(A451&gt;=Dashboard!$F$5,A451&lt;=Dashboard!$J$5,A451&lt;&gt;""),-SUMIFS(DashboardData!$E:$E,DashboardData!$A:$A,IF(Dashboard!$B$5="All","*",Dashboard!$B$5),DashboardData!$B:$B,A451),NA())</f>
        <v>#N/A</v>
      </c>
    </row>
    <row r="452" spans="1:3" x14ac:dyDescent="0.25">
      <c r="A452" t="str">
        <f>IF(Monthly!A452="","",Monthly!A452)</f>
        <v/>
      </c>
      <c r="B452" s="7" t="e">
        <f>IF(AND(A452&gt;=Dashboard!$F$5,A452&lt;=Dashboard!$J$5,A452&lt;&gt;""),SUMIFS(DashboardData!$D:$D,DashboardData!$A:$A,IF(Dashboard!$B$5="All","*",Dashboard!$B$5),DashboardData!$B:$B,A452),NA())</f>
        <v>#N/A</v>
      </c>
      <c r="C452" s="7" t="e">
        <f>IF(AND(A452&gt;=Dashboard!$F$5,A452&lt;=Dashboard!$J$5,A452&lt;&gt;""),-SUMIFS(DashboardData!$E:$E,DashboardData!$A:$A,IF(Dashboard!$B$5="All","*",Dashboard!$B$5),DashboardData!$B:$B,A452),NA())</f>
        <v>#N/A</v>
      </c>
    </row>
    <row r="453" spans="1:3" x14ac:dyDescent="0.25">
      <c r="A453" t="str">
        <f>IF(Monthly!A453="","",Monthly!A453)</f>
        <v/>
      </c>
      <c r="B453" s="7" t="e">
        <f>IF(AND(A453&gt;=Dashboard!$F$5,A453&lt;=Dashboard!$J$5,A453&lt;&gt;""),SUMIFS(DashboardData!$D:$D,DashboardData!$A:$A,IF(Dashboard!$B$5="All","*",Dashboard!$B$5),DashboardData!$B:$B,A453),NA())</f>
        <v>#N/A</v>
      </c>
      <c r="C453" s="7" t="e">
        <f>IF(AND(A453&gt;=Dashboard!$F$5,A453&lt;=Dashboard!$J$5,A453&lt;&gt;""),-SUMIFS(DashboardData!$E:$E,DashboardData!$A:$A,IF(Dashboard!$B$5="All","*",Dashboard!$B$5),DashboardData!$B:$B,A453),NA())</f>
        <v>#N/A</v>
      </c>
    </row>
    <row r="454" spans="1:3" x14ac:dyDescent="0.25">
      <c r="A454" t="str">
        <f>IF(Monthly!A454="","",Monthly!A454)</f>
        <v/>
      </c>
      <c r="B454" s="7" t="e">
        <f>IF(AND(A454&gt;=Dashboard!$F$5,A454&lt;=Dashboard!$J$5,A454&lt;&gt;""),SUMIFS(DashboardData!$D:$D,DashboardData!$A:$A,IF(Dashboard!$B$5="All","*",Dashboard!$B$5),DashboardData!$B:$B,A454),NA())</f>
        <v>#N/A</v>
      </c>
      <c r="C454" s="7" t="e">
        <f>IF(AND(A454&gt;=Dashboard!$F$5,A454&lt;=Dashboard!$J$5,A454&lt;&gt;""),-SUMIFS(DashboardData!$E:$E,DashboardData!$A:$A,IF(Dashboard!$B$5="All","*",Dashboard!$B$5),DashboardData!$B:$B,A454),NA())</f>
        <v>#N/A</v>
      </c>
    </row>
    <row r="455" spans="1:3" x14ac:dyDescent="0.25">
      <c r="A455" t="str">
        <f>IF(Monthly!A455="","",Monthly!A455)</f>
        <v/>
      </c>
      <c r="B455" s="7" t="e">
        <f>IF(AND(A455&gt;=Dashboard!$F$5,A455&lt;=Dashboard!$J$5,A455&lt;&gt;""),SUMIFS(DashboardData!$D:$D,DashboardData!$A:$A,IF(Dashboard!$B$5="All","*",Dashboard!$B$5),DashboardData!$B:$B,A455),NA())</f>
        <v>#N/A</v>
      </c>
      <c r="C455" s="7" t="e">
        <f>IF(AND(A455&gt;=Dashboard!$F$5,A455&lt;=Dashboard!$J$5,A455&lt;&gt;""),-SUMIFS(DashboardData!$E:$E,DashboardData!$A:$A,IF(Dashboard!$B$5="All","*",Dashboard!$B$5),DashboardData!$B:$B,A455),NA())</f>
        <v>#N/A</v>
      </c>
    </row>
    <row r="456" spans="1:3" x14ac:dyDescent="0.25">
      <c r="A456" t="str">
        <f>IF(Monthly!A456="","",Monthly!A456)</f>
        <v/>
      </c>
      <c r="B456" s="7" t="e">
        <f>IF(AND(A456&gt;=Dashboard!$F$5,A456&lt;=Dashboard!$J$5,A456&lt;&gt;""),SUMIFS(DashboardData!$D:$D,DashboardData!$A:$A,IF(Dashboard!$B$5="All","*",Dashboard!$B$5),DashboardData!$B:$B,A456),NA())</f>
        <v>#N/A</v>
      </c>
      <c r="C456" s="7" t="e">
        <f>IF(AND(A456&gt;=Dashboard!$F$5,A456&lt;=Dashboard!$J$5,A456&lt;&gt;""),-SUMIFS(DashboardData!$E:$E,DashboardData!$A:$A,IF(Dashboard!$B$5="All","*",Dashboard!$B$5),DashboardData!$B:$B,A456),NA())</f>
        <v>#N/A</v>
      </c>
    </row>
    <row r="457" spans="1:3" x14ac:dyDescent="0.25">
      <c r="A457" t="str">
        <f>IF(Monthly!A457="","",Monthly!A457)</f>
        <v/>
      </c>
      <c r="B457" s="7" t="e">
        <f>IF(AND(A457&gt;=Dashboard!$F$5,A457&lt;=Dashboard!$J$5,A457&lt;&gt;""),SUMIFS(DashboardData!$D:$D,DashboardData!$A:$A,IF(Dashboard!$B$5="All","*",Dashboard!$B$5),DashboardData!$B:$B,A457),NA())</f>
        <v>#N/A</v>
      </c>
      <c r="C457" s="7" t="e">
        <f>IF(AND(A457&gt;=Dashboard!$F$5,A457&lt;=Dashboard!$J$5,A457&lt;&gt;""),-SUMIFS(DashboardData!$E:$E,DashboardData!$A:$A,IF(Dashboard!$B$5="All","*",Dashboard!$B$5),DashboardData!$B:$B,A457),NA())</f>
        <v>#N/A</v>
      </c>
    </row>
    <row r="458" spans="1:3" x14ac:dyDescent="0.25">
      <c r="A458" t="str">
        <f>IF(Monthly!A458="","",Monthly!A458)</f>
        <v/>
      </c>
      <c r="B458" s="7" t="e">
        <f>IF(AND(A458&gt;=Dashboard!$F$5,A458&lt;=Dashboard!$J$5,A458&lt;&gt;""),SUMIFS(DashboardData!$D:$D,DashboardData!$A:$A,IF(Dashboard!$B$5="All","*",Dashboard!$B$5),DashboardData!$B:$B,A458),NA())</f>
        <v>#N/A</v>
      </c>
      <c r="C458" s="7" t="e">
        <f>IF(AND(A458&gt;=Dashboard!$F$5,A458&lt;=Dashboard!$J$5,A458&lt;&gt;""),-SUMIFS(DashboardData!$E:$E,DashboardData!$A:$A,IF(Dashboard!$B$5="All","*",Dashboard!$B$5),DashboardData!$B:$B,A458),NA())</f>
        <v>#N/A</v>
      </c>
    </row>
    <row r="459" spans="1:3" x14ac:dyDescent="0.25">
      <c r="A459" t="str">
        <f>IF(Monthly!A459="","",Monthly!A459)</f>
        <v/>
      </c>
      <c r="B459" s="7" t="e">
        <f>IF(AND(A459&gt;=Dashboard!$F$5,A459&lt;=Dashboard!$J$5,A459&lt;&gt;""),SUMIFS(DashboardData!$D:$D,DashboardData!$A:$A,IF(Dashboard!$B$5="All","*",Dashboard!$B$5),DashboardData!$B:$B,A459),NA())</f>
        <v>#N/A</v>
      </c>
      <c r="C459" s="7" t="e">
        <f>IF(AND(A459&gt;=Dashboard!$F$5,A459&lt;=Dashboard!$J$5,A459&lt;&gt;""),-SUMIFS(DashboardData!$E:$E,DashboardData!$A:$A,IF(Dashboard!$B$5="All","*",Dashboard!$B$5),DashboardData!$B:$B,A459),NA())</f>
        <v>#N/A</v>
      </c>
    </row>
    <row r="460" spans="1:3" x14ac:dyDescent="0.25">
      <c r="A460" t="str">
        <f>IF(Monthly!A460="","",Monthly!A460)</f>
        <v/>
      </c>
      <c r="B460" s="7" t="e">
        <f>IF(AND(A460&gt;=Dashboard!$F$5,A460&lt;=Dashboard!$J$5,A460&lt;&gt;""),SUMIFS(DashboardData!$D:$D,DashboardData!$A:$A,IF(Dashboard!$B$5="All","*",Dashboard!$B$5),DashboardData!$B:$B,A460),NA())</f>
        <v>#N/A</v>
      </c>
      <c r="C460" s="7" t="e">
        <f>IF(AND(A460&gt;=Dashboard!$F$5,A460&lt;=Dashboard!$J$5,A460&lt;&gt;""),-SUMIFS(DashboardData!$E:$E,DashboardData!$A:$A,IF(Dashboard!$B$5="All","*",Dashboard!$B$5),DashboardData!$B:$B,A460),NA())</f>
        <v>#N/A</v>
      </c>
    </row>
    <row r="461" spans="1:3" x14ac:dyDescent="0.25">
      <c r="A461" t="str">
        <f>IF(Monthly!A461="","",Monthly!A461)</f>
        <v/>
      </c>
      <c r="B461" s="7" t="e">
        <f>IF(AND(A461&gt;=Dashboard!$F$5,A461&lt;=Dashboard!$J$5,A461&lt;&gt;""),SUMIFS(DashboardData!$D:$D,DashboardData!$A:$A,IF(Dashboard!$B$5="All","*",Dashboard!$B$5),DashboardData!$B:$B,A461),NA())</f>
        <v>#N/A</v>
      </c>
      <c r="C461" s="7" t="e">
        <f>IF(AND(A461&gt;=Dashboard!$F$5,A461&lt;=Dashboard!$J$5,A461&lt;&gt;""),-SUMIFS(DashboardData!$E:$E,DashboardData!$A:$A,IF(Dashboard!$B$5="All","*",Dashboard!$B$5),DashboardData!$B:$B,A461),NA())</f>
        <v>#N/A</v>
      </c>
    </row>
    <row r="462" spans="1:3" x14ac:dyDescent="0.25">
      <c r="A462" t="str">
        <f>IF(Monthly!A462="","",Monthly!A462)</f>
        <v/>
      </c>
      <c r="B462" s="7" t="e">
        <f>IF(AND(A462&gt;=Dashboard!$F$5,A462&lt;=Dashboard!$J$5,A462&lt;&gt;""),SUMIFS(DashboardData!$D:$D,DashboardData!$A:$A,IF(Dashboard!$B$5="All","*",Dashboard!$B$5),DashboardData!$B:$B,A462),NA())</f>
        <v>#N/A</v>
      </c>
      <c r="C462" s="7" t="e">
        <f>IF(AND(A462&gt;=Dashboard!$F$5,A462&lt;=Dashboard!$J$5,A462&lt;&gt;""),-SUMIFS(DashboardData!$E:$E,DashboardData!$A:$A,IF(Dashboard!$B$5="All","*",Dashboard!$B$5),DashboardData!$B:$B,A462),NA())</f>
        <v>#N/A</v>
      </c>
    </row>
    <row r="463" spans="1:3" x14ac:dyDescent="0.25">
      <c r="A463" t="str">
        <f>IF(Monthly!A463="","",Monthly!A463)</f>
        <v/>
      </c>
      <c r="B463" s="7" t="e">
        <f>IF(AND(A463&gt;=Dashboard!$F$5,A463&lt;=Dashboard!$J$5,A463&lt;&gt;""),SUMIFS(DashboardData!$D:$D,DashboardData!$A:$A,IF(Dashboard!$B$5="All","*",Dashboard!$B$5),DashboardData!$B:$B,A463),NA())</f>
        <v>#N/A</v>
      </c>
      <c r="C463" s="7" t="e">
        <f>IF(AND(A463&gt;=Dashboard!$F$5,A463&lt;=Dashboard!$J$5,A463&lt;&gt;""),-SUMIFS(DashboardData!$E:$E,DashboardData!$A:$A,IF(Dashboard!$B$5="All","*",Dashboard!$B$5),DashboardData!$B:$B,A463),NA())</f>
        <v>#N/A</v>
      </c>
    </row>
    <row r="464" spans="1:3" x14ac:dyDescent="0.25">
      <c r="A464" t="str">
        <f>IF(Monthly!A464="","",Monthly!A464)</f>
        <v/>
      </c>
      <c r="B464" s="7" t="e">
        <f>IF(AND(A464&gt;=Dashboard!$F$5,A464&lt;=Dashboard!$J$5,A464&lt;&gt;""),SUMIFS(DashboardData!$D:$D,DashboardData!$A:$A,IF(Dashboard!$B$5="All","*",Dashboard!$B$5),DashboardData!$B:$B,A464),NA())</f>
        <v>#N/A</v>
      </c>
      <c r="C464" s="7" t="e">
        <f>IF(AND(A464&gt;=Dashboard!$F$5,A464&lt;=Dashboard!$J$5,A464&lt;&gt;""),-SUMIFS(DashboardData!$E:$E,DashboardData!$A:$A,IF(Dashboard!$B$5="All","*",Dashboard!$B$5),DashboardData!$B:$B,A464),NA())</f>
        <v>#N/A</v>
      </c>
    </row>
    <row r="465" spans="1:3" x14ac:dyDescent="0.25">
      <c r="A465" t="str">
        <f>IF(Monthly!A465="","",Monthly!A465)</f>
        <v/>
      </c>
      <c r="B465" s="7" t="e">
        <f>IF(AND(A465&gt;=Dashboard!$F$5,A465&lt;=Dashboard!$J$5,A465&lt;&gt;""),SUMIFS(DashboardData!$D:$D,DashboardData!$A:$A,IF(Dashboard!$B$5="All","*",Dashboard!$B$5),DashboardData!$B:$B,A465),NA())</f>
        <v>#N/A</v>
      </c>
      <c r="C465" s="7" t="e">
        <f>IF(AND(A465&gt;=Dashboard!$F$5,A465&lt;=Dashboard!$J$5,A465&lt;&gt;""),-SUMIFS(DashboardData!$E:$E,DashboardData!$A:$A,IF(Dashboard!$B$5="All","*",Dashboard!$B$5),DashboardData!$B:$B,A465),NA())</f>
        <v>#N/A</v>
      </c>
    </row>
    <row r="466" spans="1:3" x14ac:dyDescent="0.25">
      <c r="A466" t="str">
        <f>IF(Monthly!A466="","",Monthly!A466)</f>
        <v/>
      </c>
      <c r="B466" s="7" t="e">
        <f>IF(AND(A466&gt;=Dashboard!$F$5,A466&lt;=Dashboard!$J$5,A466&lt;&gt;""),SUMIFS(DashboardData!$D:$D,DashboardData!$A:$A,IF(Dashboard!$B$5="All","*",Dashboard!$B$5),DashboardData!$B:$B,A466),NA())</f>
        <v>#N/A</v>
      </c>
      <c r="C466" s="7" t="e">
        <f>IF(AND(A466&gt;=Dashboard!$F$5,A466&lt;=Dashboard!$J$5,A466&lt;&gt;""),-SUMIFS(DashboardData!$E:$E,DashboardData!$A:$A,IF(Dashboard!$B$5="All","*",Dashboard!$B$5),DashboardData!$B:$B,A466),NA())</f>
        <v>#N/A</v>
      </c>
    </row>
    <row r="467" spans="1:3" x14ac:dyDescent="0.25">
      <c r="A467" t="str">
        <f>IF(Monthly!A467="","",Monthly!A467)</f>
        <v/>
      </c>
      <c r="B467" s="7" t="e">
        <f>IF(AND(A467&gt;=Dashboard!$F$5,A467&lt;=Dashboard!$J$5,A467&lt;&gt;""),SUMIFS(DashboardData!$D:$D,DashboardData!$A:$A,IF(Dashboard!$B$5="All","*",Dashboard!$B$5),DashboardData!$B:$B,A467),NA())</f>
        <v>#N/A</v>
      </c>
      <c r="C467" s="7" t="e">
        <f>IF(AND(A467&gt;=Dashboard!$F$5,A467&lt;=Dashboard!$J$5,A467&lt;&gt;""),-SUMIFS(DashboardData!$E:$E,DashboardData!$A:$A,IF(Dashboard!$B$5="All","*",Dashboard!$B$5),DashboardData!$B:$B,A467),NA())</f>
        <v>#N/A</v>
      </c>
    </row>
    <row r="468" spans="1:3" x14ac:dyDescent="0.25">
      <c r="A468" t="str">
        <f>IF(Monthly!A468="","",Monthly!A468)</f>
        <v/>
      </c>
      <c r="B468" s="7" t="e">
        <f>IF(AND(A468&gt;=Dashboard!$F$5,A468&lt;=Dashboard!$J$5,A468&lt;&gt;""),SUMIFS(DashboardData!$D:$D,DashboardData!$A:$A,IF(Dashboard!$B$5="All","*",Dashboard!$B$5),DashboardData!$B:$B,A468),NA())</f>
        <v>#N/A</v>
      </c>
      <c r="C468" s="7" t="e">
        <f>IF(AND(A468&gt;=Dashboard!$F$5,A468&lt;=Dashboard!$J$5,A468&lt;&gt;""),-SUMIFS(DashboardData!$E:$E,DashboardData!$A:$A,IF(Dashboard!$B$5="All","*",Dashboard!$B$5),DashboardData!$B:$B,A468),NA())</f>
        <v>#N/A</v>
      </c>
    </row>
    <row r="469" spans="1:3" x14ac:dyDescent="0.25">
      <c r="A469" t="str">
        <f>IF(Monthly!A469="","",Monthly!A469)</f>
        <v/>
      </c>
      <c r="B469" s="7" t="e">
        <f>IF(AND(A469&gt;=Dashboard!$F$5,A469&lt;=Dashboard!$J$5,A469&lt;&gt;""),SUMIFS(DashboardData!$D:$D,DashboardData!$A:$A,IF(Dashboard!$B$5="All","*",Dashboard!$B$5),DashboardData!$B:$B,A469),NA())</f>
        <v>#N/A</v>
      </c>
      <c r="C469" s="7" t="e">
        <f>IF(AND(A469&gt;=Dashboard!$F$5,A469&lt;=Dashboard!$J$5,A469&lt;&gt;""),-SUMIFS(DashboardData!$E:$E,DashboardData!$A:$A,IF(Dashboard!$B$5="All","*",Dashboard!$B$5),DashboardData!$B:$B,A469),NA())</f>
        <v>#N/A</v>
      </c>
    </row>
    <row r="470" spans="1:3" x14ac:dyDescent="0.25">
      <c r="A470" t="str">
        <f>IF(Monthly!A470="","",Monthly!A470)</f>
        <v/>
      </c>
      <c r="B470" s="7" t="e">
        <f>IF(AND(A470&gt;=Dashboard!$F$5,A470&lt;=Dashboard!$J$5,A470&lt;&gt;""),SUMIFS(DashboardData!$D:$D,DashboardData!$A:$A,IF(Dashboard!$B$5="All","*",Dashboard!$B$5),DashboardData!$B:$B,A470),NA())</f>
        <v>#N/A</v>
      </c>
      <c r="C470" s="7" t="e">
        <f>IF(AND(A470&gt;=Dashboard!$F$5,A470&lt;=Dashboard!$J$5,A470&lt;&gt;""),-SUMIFS(DashboardData!$E:$E,DashboardData!$A:$A,IF(Dashboard!$B$5="All","*",Dashboard!$B$5),DashboardData!$B:$B,A470),NA())</f>
        <v>#N/A</v>
      </c>
    </row>
    <row r="471" spans="1:3" x14ac:dyDescent="0.25">
      <c r="A471" t="str">
        <f>IF(Monthly!A471="","",Monthly!A471)</f>
        <v/>
      </c>
      <c r="B471" s="7" t="e">
        <f>IF(AND(A471&gt;=Dashboard!$F$5,A471&lt;=Dashboard!$J$5,A471&lt;&gt;""),SUMIFS(DashboardData!$D:$D,DashboardData!$A:$A,IF(Dashboard!$B$5="All","*",Dashboard!$B$5),DashboardData!$B:$B,A471),NA())</f>
        <v>#N/A</v>
      </c>
      <c r="C471" s="7" t="e">
        <f>IF(AND(A471&gt;=Dashboard!$F$5,A471&lt;=Dashboard!$J$5,A471&lt;&gt;""),-SUMIFS(DashboardData!$E:$E,DashboardData!$A:$A,IF(Dashboard!$B$5="All","*",Dashboard!$B$5),DashboardData!$B:$B,A471),NA())</f>
        <v>#N/A</v>
      </c>
    </row>
    <row r="472" spans="1:3" x14ac:dyDescent="0.25">
      <c r="A472" t="str">
        <f>IF(Monthly!A472="","",Monthly!A472)</f>
        <v/>
      </c>
      <c r="B472" s="7" t="e">
        <f>IF(AND(A472&gt;=Dashboard!$F$5,A472&lt;=Dashboard!$J$5,A472&lt;&gt;""),SUMIFS(DashboardData!$D:$D,DashboardData!$A:$A,IF(Dashboard!$B$5="All","*",Dashboard!$B$5),DashboardData!$B:$B,A472),NA())</f>
        <v>#N/A</v>
      </c>
      <c r="C472" s="7" t="e">
        <f>IF(AND(A472&gt;=Dashboard!$F$5,A472&lt;=Dashboard!$J$5,A472&lt;&gt;""),-SUMIFS(DashboardData!$E:$E,DashboardData!$A:$A,IF(Dashboard!$B$5="All","*",Dashboard!$B$5),DashboardData!$B:$B,A472),NA())</f>
        <v>#N/A</v>
      </c>
    </row>
    <row r="473" spans="1:3" x14ac:dyDescent="0.25">
      <c r="A473" t="str">
        <f>IF(Monthly!A473="","",Monthly!A473)</f>
        <v/>
      </c>
      <c r="B473" s="7" t="e">
        <f>IF(AND(A473&gt;=Dashboard!$F$5,A473&lt;=Dashboard!$J$5,A473&lt;&gt;""),SUMIFS(DashboardData!$D:$D,DashboardData!$A:$A,IF(Dashboard!$B$5="All","*",Dashboard!$B$5),DashboardData!$B:$B,A473),NA())</f>
        <v>#N/A</v>
      </c>
      <c r="C473" s="7" t="e">
        <f>IF(AND(A473&gt;=Dashboard!$F$5,A473&lt;=Dashboard!$J$5,A473&lt;&gt;""),-SUMIFS(DashboardData!$E:$E,DashboardData!$A:$A,IF(Dashboard!$B$5="All","*",Dashboard!$B$5),DashboardData!$B:$B,A473),NA())</f>
        <v>#N/A</v>
      </c>
    </row>
    <row r="474" spans="1:3" x14ac:dyDescent="0.25">
      <c r="A474" t="str">
        <f>IF(Monthly!A474="","",Monthly!A474)</f>
        <v/>
      </c>
      <c r="B474" s="7" t="e">
        <f>IF(AND(A474&gt;=Dashboard!$F$5,A474&lt;=Dashboard!$J$5,A474&lt;&gt;""),SUMIFS(DashboardData!$D:$D,DashboardData!$A:$A,IF(Dashboard!$B$5="All","*",Dashboard!$B$5),DashboardData!$B:$B,A474),NA())</f>
        <v>#N/A</v>
      </c>
      <c r="C474" s="7" t="e">
        <f>IF(AND(A474&gt;=Dashboard!$F$5,A474&lt;=Dashboard!$J$5,A474&lt;&gt;""),-SUMIFS(DashboardData!$E:$E,DashboardData!$A:$A,IF(Dashboard!$B$5="All","*",Dashboard!$B$5),DashboardData!$B:$B,A474),NA())</f>
        <v>#N/A</v>
      </c>
    </row>
    <row r="475" spans="1:3" x14ac:dyDescent="0.25">
      <c r="A475" t="str">
        <f>IF(Monthly!A475="","",Monthly!A475)</f>
        <v/>
      </c>
      <c r="B475" s="7" t="e">
        <f>IF(AND(A475&gt;=Dashboard!$F$5,A475&lt;=Dashboard!$J$5,A475&lt;&gt;""),SUMIFS(DashboardData!$D:$D,DashboardData!$A:$A,IF(Dashboard!$B$5="All","*",Dashboard!$B$5),DashboardData!$B:$B,A475),NA())</f>
        <v>#N/A</v>
      </c>
      <c r="C475" s="7" t="e">
        <f>IF(AND(A475&gt;=Dashboard!$F$5,A475&lt;=Dashboard!$J$5,A475&lt;&gt;""),-SUMIFS(DashboardData!$E:$E,DashboardData!$A:$A,IF(Dashboard!$B$5="All","*",Dashboard!$B$5),DashboardData!$B:$B,A475),NA())</f>
        <v>#N/A</v>
      </c>
    </row>
    <row r="476" spans="1:3" x14ac:dyDescent="0.25">
      <c r="A476" t="str">
        <f>IF(Monthly!A476="","",Monthly!A476)</f>
        <v/>
      </c>
      <c r="B476" s="7" t="e">
        <f>IF(AND(A476&gt;=Dashboard!$F$5,A476&lt;=Dashboard!$J$5,A476&lt;&gt;""),SUMIFS(DashboardData!$D:$D,DashboardData!$A:$A,IF(Dashboard!$B$5="All","*",Dashboard!$B$5),DashboardData!$B:$B,A476),NA())</f>
        <v>#N/A</v>
      </c>
      <c r="C476" s="7" t="e">
        <f>IF(AND(A476&gt;=Dashboard!$F$5,A476&lt;=Dashboard!$J$5,A476&lt;&gt;""),-SUMIFS(DashboardData!$E:$E,DashboardData!$A:$A,IF(Dashboard!$B$5="All","*",Dashboard!$B$5),DashboardData!$B:$B,A476),NA())</f>
        <v>#N/A</v>
      </c>
    </row>
    <row r="477" spans="1:3" x14ac:dyDescent="0.25">
      <c r="A477" t="str">
        <f>IF(Monthly!A477="","",Monthly!A477)</f>
        <v/>
      </c>
      <c r="B477" s="7" t="e">
        <f>IF(AND(A477&gt;=Dashboard!$F$5,A477&lt;=Dashboard!$J$5,A477&lt;&gt;""),SUMIFS(DashboardData!$D:$D,DashboardData!$A:$A,IF(Dashboard!$B$5="All","*",Dashboard!$B$5),DashboardData!$B:$B,A477),NA())</f>
        <v>#N/A</v>
      </c>
      <c r="C477" s="7" t="e">
        <f>IF(AND(A477&gt;=Dashboard!$F$5,A477&lt;=Dashboard!$J$5,A477&lt;&gt;""),-SUMIFS(DashboardData!$E:$E,DashboardData!$A:$A,IF(Dashboard!$B$5="All","*",Dashboard!$B$5),DashboardData!$B:$B,A477),NA())</f>
        <v>#N/A</v>
      </c>
    </row>
    <row r="478" spans="1:3" x14ac:dyDescent="0.25">
      <c r="A478" t="str">
        <f>IF(Monthly!A478="","",Monthly!A478)</f>
        <v/>
      </c>
      <c r="B478" s="7" t="e">
        <f>IF(AND(A478&gt;=Dashboard!$F$5,A478&lt;=Dashboard!$J$5,A478&lt;&gt;""),SUMIFS(DashboardData!$D:$D,DashboardData!$A:$A,IF(Dashboard!$B$5="All","*",Dashboard!$B$5),DashboardData!$B:$B,A478),NA())</f>
        <v>#N/A</v>
      </c>
      <c r="C478" s="7" t="e">
        <f>IF(AND(A478&gt;=Dashboard!$F$5,A478&lt;=Dashboard!$J$5,A478&lt;&gt;""),-SUMIFS(DashboardData!$E:$E,DashboardData!$A:$A,IF(Dashboard!$B$5="All","*",Dashboard!$B$5),DashboardData!$B:$B,A478),NA())</f>
        <v>#N/A</v>
      </c>
    </row>
    <row r="479" spans="1:3" x14ac:dyDescent="0.25">
      <c r="A479" t="str">
        <f>IF(Monthly!A479="","",Monthly!A479)</f>
        <v/>
      </c>
      <c r="B479" s="7" t="e">
        <f>IF(AND(A479&gt;=Dashboard!$F$5,A479&lt;=Dashboard!$J$5,A479&lt;&gt;""),SUMIFS(DashboardData!$D:$D,DashboardData!$A:$A,IF(Dashboard!$B$5="All","*",Dashboard!$B$5),DashboardData!$B:$B,A479),NA())</f>
        <v>#N/A</v>
      </c>
      <c r="C479" s="7" t="e">
        <f>IF(AND(A479&gt;=Dashboard!$F$5,A479&lt;=Dashboard!$J$5,A479&lt;&gt;""),-SUMIFS(DashboardData!$E:$E,DashboardData!$A:$A,IF(Dashboard!$B$5="All","*",Dashboard!$B$5),DashboardData!$B:$B,A479),NA())</f>
        <v>#N/A</v>
      </c>
    </row>
    <row r="480" spans="1:3" x14ac:dyDescent="0.25">
      <c r="A480" t="str">
        <f>IF(Monthly!A480="","",Monthly!A480)</f>
        <v/>
      </c>
      <c r="B480" s="7" t="e">
        <f>IF(AND(A480&gt;=Dashboard!$F$5,A480&lt;=Dashboard!$J$5,A480&lt;&gt;""),SUMIFS(DashboardData!$D:$D,DashboardData!$A:$A,IF(Dashboard!$B$5="All","*",Dashboard!$B$5),DashboardData!$B:$B,A480),NA())</f>
        <v>#N/A</v>
      </c>
      <c r="C480" s="7" t="e">
        <f>IF(AND(A480&gt;=Dashboard!$F$5,A480&lt;=Dashboard!$J$5,A480&lt;&gt;""),-SUMIFS(DashboardData!$E:$E,DashboardData!$A:$A,IF(Dashboard!$B$5="All","*",Dashboard!$B$5),DashboardData!$B:$B,A480),NA())</f>
        <v>#N/A</v>
      </c>
    </row>
    <row r="481" spans="1:3" x14ac:dyDescent="0.25">
      <c r="A481" t="str">
        <f>IF(Monthly!A481="","",Monthly!A481)</f>
        <v/>
      </c>
      <c r="B481" s="7" t="e">
        <f>IF(AND(A481&gt;=Dashboard!$F$5,A481&lt;=Dashboard!$J$5,A481&lt;&gt;""),SUMIFS(DashboardData!$D:$D,DashboardData!$A:$A,IF(Dashboard!$B$5="All","*",Dashboard!$B$5),DashboardData!$B:$B,A481),NA())</f>
        <v>#N/A</v>
      </c>
      <c r="C481" s="7" t="e">
        <f>IF(AND(A481&gt;=Dashboard!$F$5,A481&lt;=Dashboard!$J$5,A481&lt;&gt;""),-SUMIFS(DashboardData!$E:$E,DashboardData!$A:$A,IF(Dashboard!$B$5="All","*",Dashboard!$B$5),DashboardData!$B:$B,A481),NA())</f>
        <v>#N/A</v>
      </c>
    </row>
    <row r="482" spans="1:3" x14ac:dyDescent="0.25">
      <c r="A482" t="str">
        <f>IF(Monthly!A482="","",Monthly!A482)</f>
        <v/>
      </c>
      <c r="B482" s="7" t="e">
        <f>IF(AND(A482&gt;=Dashboard!$F$5,A482&lt;=Dashboard!$J$5,A482&lt;&gt;""),SUMIFS(DashboardData!$D:$D,DashboardData!$A:$A,IF(Dashboard!$B$5="All","*",Dashboard!$B$5),DashboardData!$B:$B,A482),NA())</f>
        <v>#N/A</v>
      </c>
      <c r="C482" s="7" t="e">
        <f>IF(AND(A482&gt;=Dashboard!$F$5,A482&lt;=Dashboard!$J$5,A482&lt;&gt;""),-SUMIFS(DashboardData!$E:$E,DashboardData!$A:$A,IF(Dashboard!$B$5="All","*",Dashboard!$B$5),DashboardData!$B:$B,A482),NA())</f>
        <v>#N/A</v>
      </c>
    </row>
    <row r="483" spans="1:3" x14ac:dyDescent="0.25">
      <c r="A483" t="str">
        <f>IF(Monthly!A483="","",Monthly!A483)</f>
        <v/>
      </c>
      <c r="B483" s="7" t="e">
        <f>IF(AND(A483&gt;=Dashboard!$F$5,A483&lt;=Dashboard!$J$5,A483&lt;&gt;""),SUMIFS(DashboardData!$D:$D,DashboardData!$A:$A,IF(Dashboard!$B$5="All","*",Dashboard!$B$5),DashboardData!$B:$B,A483),NA())</f>
        <v>#N/A</v>
      </c>
      <c r="C483" s="7" t="e">
        <f>IF(AND(A483&gt;=Dashboard!$F$5,A483&lt;=Dashboard!$J$5,A483&lt;&gt;""),-SUMIFS(DashboardData!$E:$E,DashboardData!$A:$A,IF(Dashboard!$B$5="All","*",Dashboard!$B$5),DashboardData!$B:$B,A483),NA())</f>
        <v>#N/A</v>
      </c>
    </row>
    <row r="484" spans="1:3" x14ac:dyDescent="0.25">
      <c r="A484" t="str">
        <f>IF(Monthly!A484="","",Monthly!A484)</f>
        <v/>
      </c>
      <c r="B484" s="7" t="e">
        <f>IF(AND(A484&gt;=Dashboard!$F$5,A484&lt;=Dashboard!$J$5,A484&lt;&gt;""),SUMIFS(DashboardData!$D:$D,DashboardData!$A:$A,IF(Dashboard!$B$5="All","*",Dashboard!$B$5),DashboardData!$B:$B,A484),NA())</f>
        <v>#N/A</v>
      </c>
      <c r="C484" s="7" t="e">
        <f>IF(AND(A484&gt;=Dashboard!$F$5,A484&lt;=Dashboard!$J$5,A484&lt;&gt;""),-SUMIFS(DashboardData!$E:$E,DashboardData!$A:$A,IF(Dashboard!$B$5="All","*",Dashboard!$B$5),DashboardData!$B:$B,A484),NA())</f>
        <v>#N/A</v>
      </c>
    </row>
    <row r="485" spans="1:3" x14ac:dyDescent="0.25">
      <c r="A485" t="str">
        <f>IF(Monthly!A485="","",Monthly!A485)</f>
        <v/>
      </c>
      <c r="B485" s="7" t="e">
        <f>IF(AND(A485&gt;=Dashboard!$F$5,A485&lt;=Dashboard!$J$5,A485&lt;&gt;""),SUMIFS(DashboardData!$D:$D,DashboardData!$A:$A,IF(Dashboard!$B$5="All","*",Dashboard!$B$5),DashboardData!$B:$B,A485),NA())</f>
        <v>#N/A</v>
      </c>
      <c r="C485" s="7" t="e">
        <f>IF(AND(A485&gt;=Dashboard!$F$5,A485&lt;=Dashboard!$J$5,A485&lt;&gt;""),-SUMIFS(DashboardData!$E:$E,DashboardData!$A:$A,IF(Dashboard!$B$5="All","*",Dashboard!$B$5),DashboardData!$B:$B,A485),NA())</f>
        <v>#N/A</v>
      </c>
    </row>
    <row r="486" spans="1:3" x14ac:dyDescent="0.25">
      <c r="A486" t="str">
        <f>IF(Monthly!A486="","",Monthly!A486)</f>
        <v/>
      </c>
      <c r="B486" s="7" t="e">
        <f>IF(AND(A486&gt;=Dashboard!$F$5,A486&lt;=Dashboard!$J$5,A486&lt;&gt;""),SUMIFS(DashboardData!$D:$D,DashboardData!$A:$A,IF(Dashboard!$B$5="All","*",Dashboard!$B$5),DashboardData!$B:$B,A486),NA())</f>
        <v>#N/A</v>
      </c>
      <c r="C486" s="7" t="e">
        <f>IF(AND(A486&gt;=Dashboard!$F$5,A486&lt;=Dashboard!$J$5,A486&lt;&gt;""),-SUMIFS(DashboardData!$E:$E,DashboardData!$A:$A,IF(Dashboard!$B$5="All","*",Dashboard!$B$5),DashboardData!$B:$B,A486),NA())</f>
        <v>#N/A</v>
      </c>
    </row>
    <row r="487" spans="1:3" x14ac:dyDescent="0.25">
      <c r="A487" t="str">
        <f>IF(Monthly!A487="","",Monthly!A487)</f>
        <v/>
      </c>
      <c r="B487" s="7" t="e">
        <f>IF(AND(A487&gt;=Dashboard!$F$5,A487&lt;=Dashboard!$J$5,A487&lt;&gt;""),SUMIFS(DashboardData!$D:$D,DashboardData!$A:$A,IF(Dashboard!$B$5="All","*",Dashboard!$B$5),DashboardData!$B:$B,A487),NA())</f>
        <v>#N/A</v>
      </c>
      <c r="C487" s="7" t="e">
        <f>IF(AND(A487&gt;=Dashboard!$F$5,A487&lt;=Dashboard!$J$5,A487&lt;&gt;""),-SUMIFS(DashboardData!$E:$E,DashboardData!$A:$A,IF(Dashboard!$B$5="All","*",Dashboard!$B$5),DashboardData!$B:$B,A487),NA())</f>
        <v>#N/A</v>
      </c>
    </row>
    <row r="488" spans="1:3" x14ac:dyDescent="0.25">
      <c r="A488" t="str">
        <f>IF(Monthly!A488="","",Monthly!A488)</f>
        <v/>
      </c>
      <c r="B488" s="7" t="e">
        <f>IF(AND(A488&gt;=Dashboard!$F$5,A488&lt;=Dashboard!$J$5,A488&lt;&gt;""),SUMIFS(DashboardData!$D:$D,DashboardData!$A:$A,IF(Dashboard!$B$5="All","*",Dashboard!$B$5),DashboardData!$B:$B,A488),NA())</f>
        <v>#N/A</v>
      </c>
      <c r="C488" s="7" t="e">
        <f>IF(AND(A488&gt;=Dashboard!$F$5,A488&lt;=Dashboard!$J$5,A488&lt;&gt;""),-SUMIFS(DashboardData!$E:$E,DashboardData!$A:$A,IF(Dashboard!$B$5="All","*",Dashboard!$B$5),DashboardData!$B:$B,A488),NA())</f>
        <v>#N/A</v>
      </c>
    </row>
    <row r="489" spans="1:3" x14ac:dyDescent="0.25">
      <c r="A489" t="str">
        <f>IF(Monthly!A489="","",Monthly!A489)</f>
        <v/>
      </c>
      <c r="B489" s="7" t="e">
        <f>IF(AND(A489&gt;=Dashboard!$F$5,A489&lt;=Dashboard!$J$5,A489&lt;&gt;""),SUMIFS(DashboardData!$D:$D,DashboardData!$A:$A,IF(Dashboard!$B$5="All","*",Dashboard!$B$5),DashboardData!$B:$B,A489),NA())</f>
        <v>#N/A</v>
      </c>
      <c r="C489" s="7" t="e">
        <f>IF(AND(A489&gt;=Dashboard!$F$5,A489&lt;=Dashboard!$J$5,A489&lt;&gt;""),-SUMIFS(DashboardData!$E:$E,DashboardData!$A:$A,IF(Dashboard!$B$5="All","*",Dashboard!$B$5),DashboardData!$B:$B,A489),NA())</f>
        <v>#N/A</v>
      </c>
    </row>
    <row r="490" spans="1:3" x14ac:dyDescent="0.25">
      <c r="A490" t="str">
        <f>IF(Monthly!A490="","",Monthly!A490)</f>
        <v/>
      </c>
      <c r="B490" s="7" t="e">
        <f>IF(AND(A490&gt;=Dashboard!$F$5,A490&lt;=Dashboard!$J$5,A490&lt;&gt;""),SUMIFS(DashboardData!$D:$D,DashboardData!$A:$A,IF(Dashboard!$B$5="All","*",Dashboard!$B$5),DashboardData!$B:$B,A490),NA())</f>
        <v>#N/A</v>
      </c>
      <c r="C490" s="7" t="e">
        <f>IF(AND(A490&gt;=Dashboard!$F$5,A490&lt;=Dashboard!$J$5,A490&lt;&gt;""),-SUMIFS(DashboardData!$E:$E,DashboardData!$A:$A,IF(Dashboard!$B$5="All","*",Dashboard!$B$5),DashboardData!$B:$B,A490),NA())</f>
        <v>#N/A</v>
      </c>
    </row>
    <row r="491" spans="1:3" x14ac:dyDescent="0.25">
      <c r="A491" t="str">
        <f>IF(Monthly!A491="","",Monthly!A491)</f>
        <v/>
      </c>
      <c r="B491" s="7" t="e">
        <f>IF(AND(A491&gt;=Dashboard!$F$5,A491&lt;=Dashboard!$J$5,A491&lt;&gt;""),SUMIFS(DashboardData!$D:$D,DashboardData!$A:$A,IF(Dashboard!$B$5="All","*",Dashboard!$B$5),DashboardData!$B:$B,A491),NA())</f>
        <v>#N/A</v>
      </c>
      <c r="C491" s="7" t="e">
        <f>IF(AND(A491&gt;=Dashboard!$F$5,A491&lt;=Dashboard!$J$5,A491&lt;&gt;""),-SUMIFS(DashboardData!$E:$E,DashboardData!$A:$A,IF(Dashboard!$B$5="All","*",Dashboard!$B$5),DashboardData!$B:$B,A491),NA())</f>
        <v>#N/A</v>
      </c>
    </row>
    <row r="492" spans="1:3" x14ac:dyDescent="0.25">
      <c r="A492" t="str">
        <f>IF(Monthly!A492="","",Monthly!A492)</f>
        <v/>
      </c>
      <c r="B492" s="7" t="e">
        <f>IF(AND(A492&gt;=Dashboard!$F$5,A492&lt;=Dashboard!$J$5,A492&lt;&gt;""),SUMIFS(DashboardData!$D:$D,DashboardData!$A:$A,IF(Dashboard!$B$5="All","*",Dashboard!$B$5),DashboardData!$B:$B,A492),NA())</f>
        <v>#N/A</v>
      </c>
      <c r="C492" s="7" t="e">
        <f>IF(AND(A492&gt;=Dashboard!$F$5,A492&lt;=Dashboard!$J$5,A492&lt;&gt;""),-SUMIFS(DashboardData!$E:$E,DashboardData!$A:$A,IF(Dashboard!$B$5="All","*",Dashboard!$B$5),DashboardData!$B:$B,A492),NA())</f>
        <v>#N/A</v>
      </c>
    </row>
    <row r="493" spans="1:3" x14ac:dyDescent="0.25">
      <c r="A493" t="str">
        <f>IF(Monthly!A493="","",Monthly!A493)</f>
        <v/>
      </c>
      <c r="B493" s="7" t="e">
        <f>IF(AND(A493&gt;=Dashboard!$F$5,A493&lt;=Dashboard!$J$5,A493&lt;&gt;""),SUMIFS(DashboardData!$D:$D,DashboardData!$A:$A,IF(Dashboard!$B$5="All","*",Dashboard!$B$5),DashboardData!$B:$B,A493),NA())</f>
        <v>#N/A</v>
      </c>
      <c r="C493" s="7" t="e">
        <f>IF(AND(A493&gt;=Dashboard!$F$5,A493&lt;=Dashboard!$J$5,A493&lt;&gt;""),-SUMIFS(DashboardData!$E:$E,DashboardData!$A:$A,IF(Dashboard!$B$5="All","*",Dashboard!$B$5),DashboardData!$B:$B,A493),NA())</f>
        <v>#N/A</v>
      </c>
    </row>
    <row r="494" spans="1:3" x14ac:dyDescent="0.25">
      <c r="A494" t="str">
        <f>IF(Monthly!A494="","",Monthly!A494)</f>
        <v/>
      </c>
      <c r="B494" s="7" t="e">
        <f>IF(AND(A494&gt;=Dashboard!$F$5,A494&lt;=Dashboard!$J$5,A494&lt;&gt;""),SUMIFS(DashboardData!$D:$D,DashboardData!$A:$A,IF(Dashboard!$B$5="All","*",Dashboard!$B$5),DashboardData!$B:$B,A494),NA())</f>
        <v>#N/A</v>
      </c>
      <c r="C494" s="7" t="e">
        <f>IF(AND(A494&gt;=Dashboard!$F$5,A494&lt;=Dashboard!$J$5,A494&lt;&gt;""),-SUMIFS(DashboardData!$E:$E,DashboardData!$A:$A,IF(Dashboard!$B$5="All","*",Dashboard!$B$5),DashboardData!$B:$B,A494),NA())</f>
        <v>#N/A</v>
      </c>
    </row>
    <row r="495" spans="1:3" x14ac:dyDescent="0.25">
      <c r="A495" t="str">
        <f>IF(Monthly!A495="","",Monthly!A495)</f>
        <v/>
      </c>
      <c r="B495" s="7" t="e">
        <f>IF(AND(A495&gt;=Dashboard!$F$5,A495&lt;=Dashboard!$J$5,A495&lt;&gt;""),SUMIFS(DashboardData!$D:$D,DashboardData!$A:$A,IF(Dashboard!$B$5="All","*",Dashboard!$B$5),DashboardData!$B:$B,A495),NA())</f>
        <v>#N/A</v>
      </c>
      <c r="C495" s="7" t="e">
        <f>IF(AND(A495&gt;=Dashboard!$F$5,A495&lt;=Dashboard!$J$5,A495&lt;&gt;""),-SUMIFS(DashboardData!$E:$E,DashboardData!$A:$A,IF(Dashboard!$B$5="All","*",Dashboard!$B$5),DashboardData!$B:$B,A495),NA())</f>
        <v>#N/A</v>
      </c>
    </row>
    <row r="496" spans="1:3" x14ac:dyDescent="0.25">
      <c r="A496" t="str">
        <f>IF(Monthly!A496="","",Monthly!A496)</f>
        <v/>
      </c>
      <c r="B496" s="7" t="e">
        <f>IF(AND(A496&gt;=Dashboard!$F$5,A496&lt;=Dashboard!$J$5,A496&lt;&gt;""),SUMIFS(DashboardData!$D:$D,DashboardData!$A:$A,IF(Dashboard!$B$5="All","*",Dashboard!$B$5),DashboardData!$B:$B,A496),NA())</f>
        <v>#N/A</v>
      </c>
      <c r="C496" s="7" t="e">
        <f>IF(AND(A496&gt;=Dashboard!$F$5,A496&lt;=Dashboard!$J$5,A496&lt;&gt;""),-SUMIFS(DashboardData!$E:$E,DashboardData!$A:$A,IF(Dashboard!$B$5="All","*",Dashboard!$B$5),DashboardData!$B:$B,A496),NA())</f>
        <v>#N/A</v>
      </c>
    </row>
    <row r="497" spans="1:3" x14ac:dyDescent="0.25">
      <c r="A497" t="str">
        <f>IF(Monthly!A497="","",Monthly!A497)</f>
        <v/>
      </c>
      <c r="B497" s="7" t="e">
        <f>IF(AND(A497&gt;=Dashboard!$F$5,A497&lt;=Dashboard!$J$5,A497&lt;&gt;""),SUMIFS(DashboardData!$D:$D,DashboardData!$A:$A,IF(Dashboard!$B$5="All","*",Dashboard!$B$5),DashboardData!$B:$B,A497),NA())</f>
        <v>#N/A</v>
      </c>
      <c r="C497" s="7" t="e">
        <f>IF(AND(A497&gt;=Dashboard!$F$5,A497&lt;=Dashboard!$J$5,A497&lt;&gt;""),-SUMIFS(DashboardData!$E:$E,DashboardData!$A:$A,IF(Dashboard!$B$5="All","*",Dashboard!$B$5),DashboardData!$B:$B,A497),NA())</f>
        <v>#N/A</v>
      </c>
    </row>
    <row r="498" spans="1:3" x14ac:dyDescent="0.25">
      <c r="A498" t="str">
        <f>IF(Monthly!A498="","",Monthly!A498)</f>
        <v/>
      </c>
      <c r="B498" s="7" t="e">
        <f>IF(AND(A498&gt;=Dashboard!$F$5,A498&lt;=Dashboard!$J$5,A498&lt;&gt;""),SUMIFS(DashboardData!$D:$D,DashboardData!$A:$A,IF(Dashboard!$B$5="All","*",Dashboard!$B$5),DashboardData!$B:$B,A498),NA())</f>
        <v>#N/A</v>
      </c>
      <c r="C498" s="7" t="e">
        <f>IF(AND(A498&gt;=Dashboard!$F$5,A498&lt;=Dashboard!$J$5,A498&lt;&gt;""),-SUMIFS(DashboardData!$E:$E,DashboardData!$A:$A,IF(Dashboard!$B$5="All","*",Dashboard!$B$5),DashboardData!$B:$B,A498),NA())</f>
        <v>#N/A</v>
      </c>
    </row>
    <row r="499" spans="1:3" x14ac:dyDescent="0.25">
      <c r="A499" t="str">
        <f>IF(Monthly!A499="","",Monthly!A499)</f>
        <v/>
      </c>
      <c r="B499" s="7" t="e">
        <f>IF(AND(A499&gt;=Dashboard!$F$5,A499&lt;=Dashboard!$J$5,A499&lt;&gt;""),SUMIFS(DashboardData!$D:$D,DashboardData!$A:$A,IF(Dashboard!$B$5="All","*",Dashboard!$B$5),DashboardData!$B:$B,A499),NA())</f>
        <v>#N/A</v>
      </c>
      <c r="C499" s="7" t="e">
        <f>IF(AND(A499&gt;=Dashboard!$F$5,A499&lt;=Dashboard!$J$5,A499&lt;&gt;""),-SUMIFS(DashboardData!$E:$E,DashboardData!$A:$A,IF(Dashboard!$B$5="All","*",Dashboard!$B$5),DashboardData!$B:$B,A499),NA())</f>
        <v>#N/A</v>
      </c>
    </row>
    <row r="500" spans="1:3" x14ac:dyDescent="0.25">
      <c r="A500" t="str">
        <f>IF(Monthly!A500="","",Monthly!A500)</f>
        <v/>
      </c>
      <c r="B500" s="7" t="e">
        <f>IF(AND(A500&gt;=Dashboard!$F$5,A500&lt;=Dashboard!$J$5,A500&lt;&gt;""),SUMIFS(DashboardData!$D:$D,DashboardData!$A:$A,IF(Dashboard!$B$5="All","*",Dashboard!$B$5),DashboardData!$B:$B,A500),NA())</f>
        <v>#N/A</v>
      </c>
      <c r="C500" s="7" t="e">
        <f>IF(AND(A500&gt;=Dashboard!$F$5,A500&lt;=Dashboard!$J$5,A500&lt;&gt;""),-SUMIFS(DashboardData!$E:$E,DashboardData!$A:$A,IF(Dashboard!$B$5="All","*",Dashboard!$B$5),DashboardData!$B:$B,A500),NA())</f>
        <v>#N/A</v>
      </c>
    </row>
    <row r="501" spans="1:3" x14ac:dyDescent="0.25">
      <c r="A501" t="str">
        <f>IF(Monthly!A501="","",Monthly!A501)</f>
        <v/>
      </c>
      <c r="B501" s="7" t="e">
        <f>IF(AND(A501&gt;=Dashboard!$F$5,A501&lt;=Dashboard!$J$5,A501&lt;&gt;""),SUMIFS(DashboardData!$D:$D,DashboardData!$A:$A,IF(Dashboard!$B$5="All","*",Dashboard!$B$5),DashboardData!$B:$B,A501),NA())</f>
        <v>#N/A</v>
      </c>
      <c r="C501" s="7" t="e">
        <f>IF(AND(A501&gt;=Dashboard!$F$5,A501&lt;=Dashboard!$J$5,A501&lt;&gt;""),-SUMIFS(DashboardData!$E:$E,DashboardData!$A:$A,IF(Dashboard!$B$5="All","*",Dashboard!$B$5),DashboardData!$B:$B,A501),NA())</f>
        <v>#N/A</v>
      </c>
    </row>
    <row r="502" spans="1:3" x14ac:dyDescent="0.25">
      <c r="A502" t="str">
        <f>IF(Monthly!A502="","",Monthly!A502)</f>
        <v/>
      </c>
      <c r="B502" s="7" t="e">
        <f>IF(AND(A502&gt;=Dashboard!$F$5,A502&lt;=Dashboard!$J$5,A502&lt;&gt;""),SUMIFS(DashboardData!$D:$D,DashboardData!$A:$A,IF(Dashboard!$B$5="All","*",Dashboard!$B$5),DashboardData!$B:$B,A502),NA())</f>
        <v>#N/A</v>
      </c>
      <c r="C502" s="7" t="e">
        <f>IF(AND(A502&gt;=Dashboard!$F$5,A502&lt;=Dashboard!$J$5,A502&lt;&gt;""),-SUMIFS(DashboardData!$E:$E,DashboardData!$A:$A,IF(Dashboard!$B$5="All","*",Dashboard!$B$5),DashboardData!$B:$B,A502),NA())</f>
        <v>#N/A</v>
      </c>
    </row>
    <row r="503" spans="1:3" x14ac:dyDescent="0.25">
      <c r="A503" t="str">
        <f>IF(Monthly!A503="","",Monthly!A503)</f>
        <v/>
      </c>
      <c r="B503" s="7" t="e">
        <f>IF(AND(A503&gt;=Dashboard!$F$5,A503&lt;=Dashboard!$J$5,A503&lt;&gt;""),SUMIFS(DashboardData!$D:$D,DashboardData!$A:$A,IF(Dashboard!$B$5="All","*",Dashboard!$B$5),DashboardData!$B:$B,A503),NA())</f>
        <v>#N/A</v>
      </c>
      <c r="C503" s="7" t="e">
        <f>IF(AND(A503&gt;=Dashboard!$F$5,A503&lt;=Dashboard!$J$5,A503&lt;&gt;""),-SUMIFS(DashboardData!$E:$E,DashboardData!$A:$A,IF(Dashboard!$B$5="All","*",Dashboard!$B$5),DashboardData!$B:$B,A503),NA())</f>
        <v>#N/A</v>
      </c>
    </row>
    <row r="504" spans="1:3" x14ac:dyDescent="0.25">
      <c r="A504" t="str">
        <f>IF(Monthly!A504="","",Monthly!A504)</f>
        <v/>
      </c>
      <c r="B504" s="7" t="e">
        <f>IF(AND(A504&gt;=Dashboard!$F$5,A504&lt;=Dashboard!$J$5,A504&lt;&gt;""),SUMIFS(DashboardData!$D:$D,DashboardData!$A:$A,IF(Dashboard!$B$5="All","*",Dashboard!$B$5),DashboardData!$B:$B,A504),NA())</f>
        <v>#N/A</v>
      </c>
      <c r="C504" s="7" t="e">
        <f>IF(AND(A504&gt;=Dashboard!$F$5,A504&lt;=Dashboard!$J$5,A504&lt;&gt;""),-SUMIFS(DashboardData!$E:$E,DashboardData!$A:$A,IF(Dashboard!$B$5="All","*",Dashboard!$B$5),DashboardData!$B:$B,A504),NA())</f>
        <v>#N/A</v>
      </c>
    </row>
    <row r="505" spans="1:3" x14ac:dyDescent="0.25">
      <c r="A505" t="str">
        <f>IF(Monthly!A505="","",Monthly!A505)</f>
        <v/>
      </c>
      <c r="B505" s="7" t="e">
        <f>IF(AND(A505&gt;=Dashboard!$F$5,A505&lt;=Dashboard!$J$5,A505&lt;&gt;""),SUMIFS(DashboardData!$D:$D,DashboardData!$A:$A,IF(Dashboard!$B$5="All","*",Dashboard!$B$5),DashboardData!$B:$B,A505),NA())</f>
        <v>#N/A</v>
      </c>
      <c r="C505" s="7" t="e">
        <f>IF(AND(A505&gt;=Dashboard!$F$5,A505&lt;=Dashboard!$J$5,A505&lt;&gt;""),-SUMIFS(DashboardData!$E:$E,DashboardData!$A:$A,IF(Dashboard!$B$5="All","*",Dashboard!$B$5),DashboardData!$B:$B,A505),NA())</f>
        <v>#N/A</v>
      </c>
    </row>
    <row r="506" spans="1:3" x14ac:dyDescent="0.25">
      <c r="A506" t="str">
        <f>IF(Monthly!A506="","",Monthly!A506)</f>
        <v/>
      </c>
      <c r="B506" s="7" t="e">
        <f>IF(AND(A506&gt;=Dashboard!$F$5,A506&lt;=Dashboard!$J$5,A506&lt;&gt;""),SUMIFS(DashboardData!$D:$D,DashboardData!$A:$A,IF(Dashboard!$B$5="All","*",Dashboard!$B$5),DashboardData!$B:$B,A506),NA())</f>
        <v>#N/A</v>
      </c>
      <c r="C506" s="7" t="e">
        <f>IF(AND(A506&gt;=Dashboard!$F$5,A506&lt;=Dashboard!$J$5,A506&lt;&gt;""),-SUMIFS(DashboardData!$E:$E,DashboardData!$A:$A,IF(Dashboard!$B$5="All","*",Dashboard!$B$5),DashboardData!$B:$B,A506),NA())</f>
        <v>#N/A</v>
      </c>
    </row>
    <row r="507" spans="1:3" x14ac:dyDescent="0.25">
      <c r="A507" t="str">
        <f>IF(Monthly!A507="","",Monthly!A507)</f>
        <v/>
      </c>
      <c r="B507" s="7" t="e">
        <f>IF(AND(A507&gt;=Dashboard!$F$5,A507&lt;=Dashboard!$J$5,A507&lt;&gt;""),SUMIFS(DashboardData!$D:$D,DashboardData!$A:$A,IF(Dashboard!$B$5="All","*",Dashboard!$B$5),DashboardData!$B:$B,A507),NA())</f>
        <v>#N/A</v>
      </c>
      <c r="C507" s="7" t="e">
        <f>IF(AND(A507&gt;=Dashboard!$F$5,A507&lt;=Dashboard!$J$5,A507&lt;&gt;""),-SUMIFS(DashboardData!$E:$E,DashboardData!$A:$A,IF(Dashboard!$B$5="All","*",Dashboard!$B$5),DashboardData!$B:$B,A507),NA())</f>
        <v>#N/A</v>
      </c>
    </row>
    <row r="508" spans="1:3" x14ac:dyDescent="0.25">
      <c r="A508" t="str">
        <f>IF(Monthly!A508="","",Monthly!A508)</f>
        <v/>
      </c>
      <c r="B508" s="7" t="e">
        <f>IF(AND(A508&gt;=Dashboard!$F$5,A508&lt;=Dashboard!$J$5,A508&lt;&gt;""),SUMIFS(DashboardData!$D:$D,DashboardData!$A:$A,IF(Dashboard!$B$5="All","*",Dashboard!$B$5),DashboardData!$B:$B,A508),NA())</f>
        <v>#N/A</v>
      </c>
      <c r="C508" s="7" t="e">
        <f>IF(AND(A508&gt;=Dashboard!$F$5,A508&lt;=Dashboard!$J$5,A508&lt;&gt;""),-SUMIFS(DashboardData!$E:$E,DashboardData!$A:$A,IF(Dashboard!$B$5="All","*",Dashboard!$B$5),DashboardData!$B:$B,A508),NA())</f>
        <v>#N/A</v>
      </c>
    </row>
    <row r="509" spans="1:3" x14ac:dyDescent="0.25">
      <c r="A509" t="str">
        <f>IF(Monthly!A509="","",Monthly!A509)</f>
        <v/>
      </c>
      <c r="B509" s="7" t="e">
        <f>IF(AND(A509&gt;=Dashboard!$F$5,A509&lt;=Dashboard!$J$5,A509&lt;&gt;""),SUMIFS(DashboardData!$D:$D,DashboardData!$A:$A,IF(Dashboard!$B$5="All","*",Dashboard!$B$5),DashboardData!$B:$B,A509),NA())</f>
        <v>#N/A</v>
      </c>
      <c r="C509" s="7" t="e">
        <f>IF(AND(A509&gt;=Dashboard!$F$5,A509&lt;=Dashboard!$J$5,A509&lt;&gt;""),-SUMIFS(DashboardData!$E:$E,DashboardData!$A:$A,IF(Dashboard!$B$5="All","*",Dashboard!$B$5),DashboardData!$B:$B,A509),NA())</f>
        <v>#N/A</v>
      </c>
    </row>
    <row r="510" spans="1:3" x14ac:dyDescent="0.25">
      <c r="A510" t="str">
        <f>IF(Monthly!A510="","",Monthly!A510)</f>
        <v/>
      </c>
      <c r="B510" s="7" t="e">
        <f>IF(AND(A510&gt;=Dashboard!$F$5,A510&lt;=Dashboard!$J$5,A510&lt;&gt;""),SUMIFS(DashboardData!$D:$D,DashboardData!$A:$A,IF(Dashboard!$B$5="All","*",Dashboard!$B$5),DashboardData!$B:$B,A510),NA())</f>
        <v>#N/A</v>
      </c>
      <c r="C510" s="7" t="e">
        <f>IF(AND(A510&gt;=Dashboard!$F$5,A510&lt;=Dashboard!$J$5,A510&lt;&gt;""),-SUMIFS(DashboardData!$E:$E,DashboardData!$A:$A,IF(Dashboard!$B$5="All","*",Dashboard!$B$5),DashboardData!$B:$B,A510),NA())</f>
        <v>#N/A</v>
      </c>
    </row>
    <row r="511" spans="1:3" x14ac:dyDescent="0.25">
      <c r="A511" t="str">
        <f>IF(Monthly!A511="","",Monthly!A511)</f>
        <v/>
      </c>
      <c r="B511" s="7" t="e">
        <f>IF(AND(A511&gt;=Dashboard!$F$5,A511&lt;=Dashboard!$J$5,A511&lt;&gt;""),SUMIFS(DashboardData!$D:$D,DashboardData!$A:$A,IF(Dashboard!$B$5="All","*",Dashboard!$B$5),DashboardData!$B:$B,A511),NA())</f>
        <v>#N/A</v>
      </c>
      <c r="C511" s="7" t="e">
        <f>IF(AND(A511&gt;=Dashboard!$F$5,A511&lt;=Dashboard!$J$5,A511&lt;&gt;""),-SUMIFS(DashboardData!$E:$E,DashboardData!$A:$A,IF(Dashboard!$B$5="All","*",Dashboard!$B$5),DashboardData!$B:$B,A511),NA())</f>
        <v>#N/A</v>
      </c>
    </row>
    <row r="512" spans="1:3" x14ac:dyDescent="0.25">
      <c r="A512" t="str">
        <f>IF(Monthly!A512="","",Monthly!A512)</f>
        <v/>
      </c>
      <c r="B512" s="7" t="e">
        <f>IF(AND(A512&gt;=Dashboard!$F$5,A512&lt;=Dashboard!$J$5,A512&lt;&gt;""),SUMIFS(DashboardData!$D:$D,DashboardData!$A:$A,IF(Dashboard!$B$5="All","*",Dashboard!$B$5),DashboardData!$B:$B,A512),NA())</f>
        <v>#N/A</v>
      </c>
      <c r="C512" s="7" t="e">
        <f>IF(AND(A512&gt;=Dashboard!$F$5,A512&lt;=Dashboard!$J$5,A512&lt;&gt;""),-SUMIFS(DashboardData!$E:$E,DashboardData!$A:$A,IF(Dashboard!$B$5="All","*",Dashboard!$B$5),DashboardData!$B:$B,A512),NA())</f>
        <v>#N/A</v>
      </c>
    </row>
    <row r="513" spans="1:3" x14ac:dyDescent="0.25">
      <c r="A513" t="str">
        <f>IF(Monthly!A513="","",Monthly!A513)</f>
        <v/>
      </c>
      <c r="B513" s="7" t="e">
        <f>IF(AND(A513&gt;=Dashboard!$F$5,A513&lt;=Dashboard!$J$5,A513&lt;&gt;""),SUMIFS(DashboardData!$D:$D,DashboardData!$A:$A,IF(Dashboard!$B$5="All","*",Dashboard!$B$5),DashboardData!$B:$B,A513),NA())</f>
        <v>#N/A</v>
      </c>
      <c r="C513" s="7" t="e">
        <f>IF(AND(A513&gt;=Dashboard!$F$5,A513&lt;=Dashboard!$J$5,A513&lt;&gt;""),-SUMIFS(DashboardData!$E:$E,DashboardData!$A:$A,IF(Dashboard!$B$5="All","*",Dashboard!$B$5),DashboardData!$B:$B,A513),NA())</f>
        <v>#N/A</v>
      </c>
    </row>
    <row r="514" spans="1:3" x14ac:dyDescent="0.25">
      <c r="A514" t="str">
        <f>IF(Monthly!A514="","",Monthly!A514)</f>
        <v/>
      </c>
      <c r="B514" s="7" t="e">
        <f>IF(AND(A514&gt;=Dashboard!$F$5,A514&lt;=Dashboard!$J$5,A514&lt;&gt;""),SUMIFS(DashboardData!$D:$D,DashboardData!$A:$A,IF(Dashboard!$B$5="All","*",Dashboard!$B$5),DashboardData!$B:$B,A514),NA())</f>
        <v>#N/A</v>
      </c>
      <c r="C514" s="7" t="e">
        <f>IF(AND(A514&gt;=Dashboard!$F$5,A514&lt;=Dashboard!$J$5,A514&lt;&gt;""),-SUMIFS(DashboardData!$E:$E,DashboardData!$A:$A,IF(Dashboard!$B$5="All","*",Dashboard!$B$5),DashboardData!$B:$B,A514),NA())</f>
        <v>#N/A</v>
      </c>
    </row>
    <row r="515" spans="1:3" x14ac:dyDescent="0.25">
      <c r="A515" t="str">
        <f>IF(Monthly!A515="","",Monthly!A515)</f>
        <v/>
      </c>
      <c r="B515" s="7" t="e">
        <f>IF(AND(A515&gt;=Dashboard!$F$5,A515&lt;=Dashboard!$J$5,A515&lt;&gt;""),SUMIFS(DashboardData!$D:$D,DashboardData!$A:$A,IF(Dashboard!$B$5="All","*",Dashboard!$B$5),DashboardData!$B:$B,A515),NA())</f>
        <v>#N/A</v>
      </c>
      <c r="C515" s="7" t="e">
        <f>IF(AND(A515&gt;=Dashboard!$F$5,A515&lt;=Dashboard!$J$5,A515&lt;&gt;""),-SUMIFS(DashboardData!$E:$E,DashboardData!$A:$A,IF(Dashboard!$B$5="All","*",Dashboard!$B$5),DashboardData!$B:$B,A515),NA())</f>
        <v>#N/A</v>
      </c>
    </row>
    <row r="516" spans="1:3" x14ac:dyDescent="0.25">
      <c r="A516" t="str">
        <f>IF(Monthly!A516="","",Monthly!A516)</f>
        <v/>
      </c>
      <c r="B516" s="7" t="e">
        <f>IF(AND(A516&gt;=Dashboard!$F$5,A516&lt;=Dashboard!$J$5,A516&lt;&gt;""),SUMIFS(DashboardData!$D:$D,DashboardData!$A:$A,IF(Dashboard!$B$5="All","*",Dashboard!$B$5),DashboardData!$B:$B,A516),NA())</f>
        <v>#N/A</v>
      </c>
      <c r="C516" s="7" t="e">
        <f>IF(AND(A516&gt;=Dashboard!$F$5,A516&lt;=Dashboard!$J$5,A516&lt;&gt;""),-SUMIFS(DashboardData!$E:$E,DashboardData!$A:$A,IF(Dashboard!$B$5="All","*",Dashboard!$B$5),DashboardData!$B:$B,A516),NA())</f>
        <v>#N/A</v>
      </c>
    </row>
    <row r="517" spans="1:3" x14ac:dyDescent="0.25">
      <c r="A517" t="str">
        <f>IF(Monthly!A517="","",Monthly!A517)</f>
        <v/>
      </c>
      <c r="B517" s="7" t="e">
        <f>IF(AND(A517&gt;=Dashboard!$F$5,A517&lt;=Dashboard!$J$5,A517&lt;&gt;""),SUMIFS(DashboardData!$D:$D,DashboardData!$A:$A,IF(Dashboard!$B$5="All","*",Dashboard!$B$5),DashboardData!$B:$B,A517),NA())</f>
        <v>#N/A</v>
      </c>
      <c r="C517" s="7" t="e">
        <f>IF(AND(A517&gt;=Dashboard!$F$5,A517&lt;=Dashboard!$J$5,A517&lt;&gt;""),-SUMIFS(DashboardData!$E:$E,DashboardData!$A:$A,IF(Dashboard!$B$5="All","*",Dashboard!$B$5),DashboardData!$B:$B,A517),NA())</f>
        <v>#N/A</v>
      </c>
    </row>
    <row r="518" spans="1:3" x14ac:dyDescent="0.25">
      <c r="A518" t="str">
        <f>IF(Monthly!A518="","",Monthly!A518)</f>
        <v/>
      </c>
      <c r="B518" s="7" t="e">
        <f>IF(AND(A518&gt;=Dashboard!$F$5,A518&lt;=Dashboard!$J$5,A518&lt;&gt;""),SUMIFS(DashboardData!$D:$D,DashboardData!$A:$A,IF(Dashboard!$B$5="All","*",Dashboard!$B$5),DashboardData!$B:$B,A518),NA())</f>
        <v>#N/A</v>
      </c>
      <c r="C518" s="7" t="e">
        <f>IF(AND(A518&gt;=Dashboard!$F$5,A518&lt;=Dashboard!$J$5,A518&lt;&gt;""),-SUMIFS(DashboardData!$E:$E,DashboardData!$A:$A,IF(Dashboard!$B$5="All","*",Dashboard!$B$5),DashboardData!$B:$B,A518),NA())</f>
        <v>#N/A</v>
      </c>
    </row>
    <row r="519" spans="1:3" x14ac:dyDescent="0.25">
      <c r="A519" t="str">
        <f>IF(Monthly!A519="","",Monthly!A519)</f>
        <v/>
      </c>
      <c r="B519" s="7" t="e">
        <f>IF(AND(A519&gt;=Dashboard!$F$5,A519&lt;=Dashboard!$J$5,A519&lt;&gt;""),SUMIFS(DashboardData!$D:$D,DashboardData!$A:$A,IF(Dashboard!$B$5="All","*",Dashboard!$B$5),DashboardData!$B:$B,A519),NA())</f>
        <v>#N/A</v>
      </c>
      <c r="C519" s="7" t="e">
        <f>IF(AND(A519&gt;=Dashboard!$F$5,A519&lt;=Dashboard!$J$5,A519&lt;&gt;""),-SUMIFS(DashboardData!$E:$E,DashboardData!$A:$A,IF(Dashboard!$B$5="All","*",Dashboard!$B$5),DashboardData!$B:$B,A519),NA())</f>
        <v>#N/A</v>
      </c>
    </row>
    <row r="520" spans="1:3" x14ac:dyDescent="0.25">
      <c r="A520" t="str">
        <f>IF(Monthly!A520="","",Monthly!A520)</f>
        <v/>
      </c>
      <c r="B520" s="7" t="e">
        <f>IF(AND(A520&gt;=Dashboard!$F$5,A520&lt;=Dashboard!$J$5,A520&lt;&gt;""),SUMIFS(DashboardData!$D:$D,DashboardData!$A:$A,IF(Dashboard!$B$5="All","*",Dashboard!$B$5),DashboardData!$B:$B,A520),NA())</f>
        <v>#N/A</v>
      </c>
      <c r="C520" s="7" t="e">
        <f>IF(AND(A520&gt;=Dashboard!$F$5,A520&lt;=Dashboard!$J$5,A520&lt;&gt;""),-SUMIFS(DashboardData!$E:$E,DashboardData!$A:$A,IF(Dashboard!$B$5="All","*",Dashboard!$B$5),DashboardData!$B:$B,A520),NA())</f>
        <v>#N/A</v>
      </c>
    </row>
    <row r="521" spans="1:3" x14ac:dyDescent="0.25">
      <c r="A521" t="str">
        <f>IF(Monthly!A521="","",Monthly!A521)</f>
        <v/>
      </c>
      <c r="B521" s="7" t="e">
        <f>IF(AND(A521&gt;=Dashboard!$F$5,A521&lt;=Dashboard!$J$5,A521&lt;&gt;""),SUMIFS(DashboardData!$D:$D,DashboardData!$A:$A,IF(Dashboard!$B$5="All","*",Dashboard!$B$5),DashboardData!$B:$B,A521),NA())</f>
        <v>#N/A</v>
      </c>
      <c r="C521" s="7" t="e">
        <f>IF(AND(A521&gt;=Dashboard!$F$5,A521&lt;=Dashboard!$J$5,A521&lt;&gt;""),-SUMIFS(DashboardData!$E:$E,DashboardData!$A:$A,IF(Dashboard!$B$5="All","*",Dashboard!$B$5),DashboardData!$B:$B,A521),NA())</f>
        <v>#N/A</v>
      </c>
    </row>
    <row r="522" spans="1:3" x14ac:dyDescent="0.25">
      <c r="A522" t="str">
        <f>IF(Monthly!A522="","",Monthly!A522)</f>
        <v/>
      </c>
      <c r="B522" s="7" t="e">
        <f>IF(AND(A522&gt;=Dashboard!$F$5,A522&lt;=Dashboard!$J$5,A522&lt;&gt;""),SUMIFS(DashboardData!$D:$D,DashboardData!$A:$A,IF(Dashboard!$B$5="All","*",Dashboard!$B$5),DashboardData!$B:$B,A522),NA())</f>
        <v>#N/A</v>
      </c>
      <c r="C522" s="7" t="e">
        <f>IF(AND(A522&gt;=Dashboard!$F$5,A522&lt;=Dashboard!$J$5,A522&lt;&gt;""),-SUMIFS(DashboardData!$E:$E,DashboardData!$A:$A,IF(Dashboard!$B$5="All","*",Dashboard!$B$5),DashboardData!$B:$B,A522),NA())</f>
        <v>#N/A</v>
      </c>
    </row>
    <row r="523" spans="1:3" x14ac:dyDescent="0.25">
      <c r="A523" t="str">
        <f>IF(Monthly!A523="","",Monthly!A523)</f>
        <v/>
      </c>
      <c r="B523" s="7" t="e">
        <f>IF(AND(A523&gt;=Dashboard!$F$5,A523&lt;=Dashboard!$J$5,A523&lt;&gt;""),SUMIFS(DashboardData!$D:$D,DashboardData!$A:$A,IF(Dashboard!$B$5="All","*",Dashboard!$B$5),DashboardData!$B:$B,A523),NA())</f>
        <v>#N/A</v>
      </c>
      <c r="C523" s="7" t="e">
        <f>IF(AND(A523&gt;=Dashboard!$F$5,A523&lt;=Dashboard!$J$5,A523&lt;&gt;""),-SUMIFS(DashboardData!$E:$E,DashboardData!$A:$A,IF(Dashboard!$B$5="All","*",Dashboard!$B$5),DashboardData!$B:$B,A523),NA())</f>
        <v>#N/A</v>
      </c>
    </row>
    <row r="524" spans="1:3" x14ac:dyDescent="0.25">
      <c r="A524" t="str">
        <f>IF(Monthly!A524="","",Monthly!A524)</f>
        <v/>
      </c>
      <c r="B524" s="7" t="e">
        <f>IF(AND(A524&gt;=Dashboard!$F$5,A524&lt;=Dashboard!$J$5,A524&lt;&gt;""),SUMIFS(DashboardData!$D:$D,DashboardData!$A:$A,IF(Dashboard!$B$5="All","*",Dashboard!$B$5),DashboardData!$B:$B,A524),NA())</f>
        <v>#N/A</v>
      </c>
      <c r="C524" s="7" t="e">
        <f>IF(AND(A524&gt;=Dashboard!$F$5,A524&lt;=Dashboard!$J$5,A524&lt;&gt;""),-SUMIFS(DashboardData!$E:$E,DashboardData!$A:$A,IF(Dashboard!$B$5="All","*",Dashboard!$B$5),DashboardData!$B:$B,A524),NA())</f>
        <v>#N/A</v>
      </c>
    </row>
    <row r="525" spans="1:3" x14ac:dyDescent="0.25">
      <c r="A525" t="str">
        <f>IF(Monthly!A525="","",Monthly!A525)</f>
        <v/>
      </c>
      <c r="B525" s="7" t="e">
        <f>IF(AND(A525&gt;=Dashboard!$F$5,A525&lt;=Dashboard!$J$5,A525&lt;&gt;""),SUMIFS(DashboardData!$D:$D,DashboardData!$A:$A,IF(Dashboard!$B$5="All","*",Dashboard!$B$5),DashboardData!$B:$B,A525),NA())</f>
        <v>#N/A</v>
      </c>
      <c r="C525" s="7" t="e">
        <f>IF(AND(A525&gt;=Dashboard!$F$5,A525&lt;=Dashboard!$J$5,A525&lt;&gt;""),-SUMIFS(DashboardData!$E:$E,DashboardData!$A:$A,IF(Dashboard!$B$5="All","*",Dashboard!$B$5),DashboardData!$B:$B,A525),NA())</f>
        <v>#N/A</v>
      </c>
    </row>
    <row r="526" spans="1:3" x14ac:dyDescent="0.25">
      <c r="A526" t="str">
        <f>IF(Monthly!A526="","",Monthly!A526)</f>
        <v/>
      </c>
      <c r="B526" s="7" t="e">
        <f>IF(AND(A526&gt;=Dashboard!$F$5,A526&lt;=Dashboard!$J$5,A526&lt;&gt;""),SUMIFS(DashboardData!$D:$D,DashboardData!$A:$A,IF(Dashboard!$B$5="All","*",Dashboard!$B$5),DashboardData!$B:$B,A526),NA())</f>
        <v>#N/A</v>
      </c>
      <c r="C526" s="7" t="e">
        <f>IF(AND(A526&gt;=Dashboard!$F$5,A526&lt;=Dashboard!$J$5,A526&lt;&gt;""),-SUMIFS(DashboardData!$E:$E,DashboardData!$A:$A,IF(Dashboard!$B$5="All","*",Dashboard!$B$5),DashboardData!$B:$B,A526),NA())</f>
        <v>#N/A</v>
      </c>
    </row>
    <row r="527" spans="1:3" x14ac:dyDescent="0.25">
      <c r="A527" t="str">
        <f>IF(Monthly!A527="","",Monthly!A527)</f>
        <v/>
      </c>
      <c r="B527" s="7" t="e">
        <f>IF(AND(A527&gt;=Dashboard!$F$5,A527&lt;=Dashboard!$J$5,A527&lt;&gt;""),SUMIFS(DashboardData!$D:$D,DashboardData!$A:$A,IF(Dashboard!$B$5="All","*",Dashboard!$B$5),DashboardData!$B:$B,A527),NA())</f>
        <v>#N/A</v>
      </c>
      <c r="C527" s="7" t="e">
        <f>IF(AND(A527&gt;=Dashboard!$F$5,A527&lt;=Dashboard!$J$5,A527&lt;&gt;""),-SUMIFS(DashboardData!$E:$E,DashboardData!$A:$A,IF(Dashboard!$B$5="All","*",Dashboard!$B$5),DashboardData!$B:$B,A527),NA())</f>
        <v>#N/A</v>
      </c>
    </row>
    <row r="528" spans="1:3" x14ac:dyDescent="0.25">
      <c r="A528" t="str">
        <f>IF(Monthly!A528="","",Monthly!A528)</f>
        <v/>
      </c>
      <c r="B528" s="7" t="e">
        <f>IF(AND(A528&gt;=Dashboard!$F$5,A528&lt;=Dashboard!$J$5,A528&lt;&gt;""),SUMIFS(DashboardData!$D:$D,DashboardData!$A:$A,IF(Dashboard!$B$5="All","*",Dashboard!$B$5),DashboardData!$B:$B,A528),NA())</f>
        <v>#N/A</v>
      </c>
      <c r="C528" s="7" t="e">
        <f>IF(AND(A528&gt;=Dashboard!$F$5,A528&lt;=Dashboard!$J$5,A528&lt;&gt;""),-SUMIFS(DashboardData!$E:$E,DashboardData!$A:$A,IF(Dashboard!$B$5="All","*",Dashboard!$B$5),DashboardData!$B:$B,A528),NA())</f>
        <v>#N/A</v>
      </c>
    </row>
    <row r="529" spans="1:3" x14ac:dyDescent="0.25">
      <c r="A529" t="str">
        <f>IF(Monthly!A529="","",Monthly!A529)</f>
        <v/>
      </c>
      <c r="B529" s="7" t="e">
        <f>IF(AND(A529&gt;=Dashboard!$F$5,A529&lt;=Dashboard!$J$5,A529&lt;&gt;""),SUMIFS(DashboardData!$D:$D,DashboardData!$A:$A,IF(Dashboard!$B$5="All","*",Dashboard!$B$5),DashboardData!$B:$B,A529),NA())</f>
        <v>#N/A</v>
      </c>
      <c r="C529" s="7" t="e">
        <f>IF(AND(A529&gt;=Dashboard!$F$5,A529&lt;=Dashboard!$J$5,A529&lt;&gt;""),-SUMIFS(DashboardData!$E:$E,DashboardData!$A:$A,IF(Dashboard!$B$5="All","*",Dashboard!$B$5),DashboardData!$B:$B,A529),NA())</f>
        <v>#N/A</v>
      </c>
    </row>
    <row r="530" spans="1:3" x14ac:dyDescent="0.25">
      <c r="A530" t="str">
        <f>IF(Monthly!A530="","",Monthly!A530)</f>
        <v/>
      </c>
      <c r="B530" s="7" t="e">
        <f>IF(AND(A530&gt;=Dashboard!$F$5,A530&lt;=Dashboard!$J$5,A530&lt;&gt;""),SUMIFS(DashboardData!$D:$D,DashboardData!$A:$A,IF(Dashboard!$B$5="All","*",Dashboard!$B$5),DashboardData!$B:$B,A530),NA())</f>
        <v>#N/A</v>
      </c>
      <c r="C530" s="7" t="e">
        <f>IF(AND(A530&gt;=Dashboard!$F$5,A530&lt;=Dashboard!$J$5,A530&lt;&gt;""),-SUMIFS(DashboardData!$E:$E,DashboardData!$A:$A,IF(Dashboard!$B$5="All","*",Dashboard!$B$5),DashboardData!$B:$B,A530),NA())</f>
        <v>#N/A</v>
      </c>
    </row>
    <row r="531" spans="1:3" x14ac:dyDescent="0.25">
      <c r="A531" t="str">
        <f>IF(Monthly!A531="","",Monthly!A531)</f>
        <v/>
      </c>
      <c r="B531" s="7" t="e">
        <f>IF(AND(A531&gt;=Dashboard!$F$5,A531&lt;=Dashboard!$J$5,A531&lt;&gt;""),SUMIFS(DashboardData!$D:$D,DashboardData!$A:$A,IF(Dashboard!$B$5="All","*",Dashboard!$B$5),DashboardData!$B:$B,A531),NA())</f>
        <v>#N/A</v>
      </c>
      <c r="C531" s="7" t="e">
        <f>IF(AND(A531&gt;=Dashboard!$F$5,A531&lt;=Dashboard!$J$5,A531&lt;&gt;""),-SUMIFS(DashboardData!$E:$E,DashboardData!$A:$A,IF(Dashboard!$B$5="All","*",Dashboard!$B$5),DashboardData!$B:$B,A531),NA())</f>
        <v>#N/A</v>
      </c>
    </row>
    <row r="532" spans="1:3" x14ac:dyDescent="0.25">
      <c r="A532" t="str">
        <f>IF(Monthly!A532="","",Monthly!A532)</f>
        <v/>
      </c>
      <c r="B532" s="7" t="e">
        <f>IF(AND(A532&gt;=Dashboard!$F$5,A532&lt;=Dashboard!$J$5,A532&lt;&gt;""),SUMIFS(DashboardData!$D:$D,DashboardData!$A:$A,IF(Dashboard!$B$5="All","*",Dashboard!$B$5),DashboardData!$B:$B,A532),NA())</f>
        <v>#N/A</v>
      </c>
      <c r="C532" s="7" t="e">
        <f>IF(AND(A532&gt;=Dashboard!$F$5,A532&lt;=Dashboard!$J$5,A532&lt;&gt;""),-SUMIFS(DashboardData!$E:$E,DashboardData!$A:$A,IF(Dashboard!$B$5="All","*",Dashboard!$B$5),DashboardData!$B:$B,A532),NA())</f>
        <v>#N/A</v>
      </c>
    </row>
    <row r="533" spans="1:3" x14ac:dyDescent="0.25">
      <c r="A533" t="str">
        <f>IF(Monthly!A533="","",Monthly!A533)</f>
        <v/>
      </c>
      <c r="B533" s="7" t="e">
        <f>IF(AND(A533&gt;=Dashboard!$F$5,A533&lt;=Dashboard!$J$5,A533&lt;&gt;""),SUMIFS(DashboardData!$D:$D,DashboardData!$A:$A,IF(Dashboard!$B$5="All","*",Dashboard!$B$5),DashboardData!$B:$B,A533),NA())</f>
        <v>#N/A</v>
      </c>
      <c r="C533" s="7" t="e">
        <f>IF(AND(A533&gt;=Dashboard!$F$5,A533&lt;=Dashboard!$J$5,A533&lt;&gt;""),-SUMIFS(DashboardData!$E:$E,DashboardData!$A:$A,IF(Dashboard!$B$5="All","*",Dashboard!$B$5),DashboardData!$B:$B,A533),NA())</f>
        <v>#N/A</v>
      </c>
    </row>
    <row r="534" spans="1:3" x14ac:dyDescent="0.25">
      <c r="A534" t="str">
        <f>IF(Monthly!A534="","",Monthly!A534)</f>
        <v/>
      </c>
      <c r="B534" s="7" t="e">
        <f>IF(AND(A534&gt;=Dashboard!$F$5,A534&lt;=Dashboard!$J$5,A534&lt;&gt;""),SUMIFS(DashboardData!$D:$D,DashboardData!$A:$A,IF(Dashboard!$B$5="All","*",Dashboard!$B$5),DashboardData!$B:$B,A534),NA())</f>
        <v>#N/A</v>
      </c>
      <c r="C534" s="7" t="e">
        <f>IF(AND(A534&gt;=Dashboard!$F$5,A534&lt;=Dashboard!$J$5,A534&lt;&gt;""),-SUMIFS(DashboardData!$E:$E,DashboardData!$A:$A,IF(Dashboard!$B$5="All","*",Dashboard!$B$5),DashboardData!$B:$B,A534),NA())</f>
        <v>#N/A</v>
      </c>
    </row>
    <row r="535" spans="1:3" x14ac:dyDescent="0.25">
      <c r="A535" t="str">
        <f>IF(Monthly!A535="","",Monthly!A535)</f>
        <v/>
      </c>
      <c r="B535" s="7" t="e">
        <f>IF(AND(A535&gt;=Dashboard!$F$5,A535&lt;=Dashboard!$J$5,A535&lt;&gt;""),SUMIFS(DashboardData!$D:$D,DashboardData!$A:$A,IF(Dashboard!$B$5="All","*",Dashboard!$B$5),DashboardData!$B:$B,A535),NA())</f>
        <v>#N/A</v>
      </c>
      <c r="C535" s="7" t="e">
        <f>IF(AND(A535&gt;=Dashboard!$F$5,A535&lt;=Dashboard!$J$5,A535&lt;&gt;""),-SUMIFS(DashboardData!$E:$E,DashboardData!$A:$A,IF(Dashboard!$B$5="All","*",Dashboard!$B$5),DashboardData!$B:$B,A535),NA())</f>
        <v>#N/A</v>
      </c>
    </row>
    <row r="536" spans="1:3" x14ac:dyDescent="0.25">
      <c r="A536" t="str">
        <f>IF(Monthly!A536="","",Monthly!A536)</f>
        <v/>
      </c>
      <c r="B536" s="7" t="e">
        <f>IF(AND(A536&gt;=Dashboard!$F$5,A536&lt;=Dashboard!$J$5,A536&lt;&gt;""),SUMIFS(DashboardData!$D:$D,DashboardData!$A:$A,IF(Dashboard!$B$5="All","*",Dashboard!$B$5),DashboardData!$B:$B,A536),NA())</f>
        <v>#N/A</v>
      </c>
      <c r="C536" s="7" t="e">
        <f>IF(AND(A536&gt;=Dashboard!$F$5,A536&lt;=Dashboard!$J$5,A536&lt;&gt;""),-SUMIFS(DashboardData!$E:$E,DashboardData!$A:$A,IF(Dashboard!$B$5="All","*",Dashboard!$B$5),DashboardData!$B:$B,A536),NA())</f>
        <v>#N/A</v>
      </c>
    </row>
    <row r="537" spans="1:3" x14ac:dyDescent="0.25">
      <c r="A537" t="str">
        <f>IF(Monthly!A537="","",Monthly!A537)</f>
        <v/>
      </c>
      <c r="B537" s="7" t="e">
        <f>IF(AND(A537&gt;=Dashboard!$F$5,A537&lt;=Dashboard!$J$5,A537&lt;&gt;""),SUMIFS(DashboardData!$D:$D,DashboardData!$A:$A,IF(Dashboard!$B$5="All","*",Dashboard!$B$5),DashboardData!$B:$B,A537),NA())</f>
        <v>#N/A</v>
      </c>
      <c r="C537" s="7" t="e">
        <f>IF(AND(A537&gt;=Dashboard!$F$5,A537&lt;=Dashboard!$J$5,A537&lt;&gt;""),-SUMIFS(DashboardData!$E:$E,DashboardData!$A:$A,IF(Dashboard!$B$5="All","*",Dashboard!$B$5),DashboardData!$B:$B,A537),NA())</f>
        <v>#N/A</v>
      </c>
    </row>
    <row r="538" spans="1:3" x14ac:dyDescent="0.25">
      <c r="A538" t="str">
        <f>IF(Monthly!A538="","",Monthly!A538)</f>
        <v/>
      </c>
      <c r="B538" s="7" t="e">
        <f>IF(AND(A538&gt;=Dashboard!$F$5,A538&lt;=Dashboard!$J$5,A538&lt;&gt;""),SUMIFS(DashboardData!$D:$D,DashboardData!$A:$A,IF(Dashboard!$B$5="All","*",Dashboard!$B$5),DashboardData!$B:$B,A538),NA())</f>
        <v>#N/A</v>
      </c>
      <c r="C538" s="7" t="e">
        <f>IF(AND(A538&gt;=Dashboard!$F$5,A538&lt;=Dashboard!$J$5,A538&lt;&gt;""),-SUMIFS(DashboardData!$E:$E,DashboardData!$A:$A,IF(Dashboard!$B$5="All","*",Dashboard!$B$5),DashboardData!$B:$B,A538),NA())</f>
        <v>#N/A</v>
      </c>
    </row>
    <row r="539" spans="1:3" x14ac:dyDescent="0.25">
      <c r="A539" t="str">
        <f>IF(Monthly!A539="","",Monthly!A539)</f>
        <v/>
      </c>
      <c r="B539" s="7" t="e">
        <f>IF(AND(A539&gt;=Dashboard!$F$5,A539&lt;=Dashboard!$J$5,A539&lt;&gt;""),SUMIFS(DashboardData!$D:$D,DashboardData!$A:$A,IF(Dashboard!$B$5="All","*",Dashboard!$B$5),DashboardData!$B:$B,A539),NA())</f>
        <v>#N/A</v>
      </c>
      <c r="C539" s="7" t="e">
        <f>IF(AND(A539&gt;=Dashboard!$F$5,A539&lt;=Dashboard!$J$5,A539&lt;&gt;""),-SUMIFS(DashboardData!$E:$E,DashboardData!$A:$A,IF(Dashboard!$B$5="All","*",Dashboard!$B$5),DashboardData!$B:$B,A539),NA())</f>
        <v>#N/A</v>
      </c>
    </row>
    <row r="540" spans="1:3" x14ac:dyDescent="0.25">
      <c r="A540" t="str">
        <f>IF(Monthly!A540="","",Monthly!A540)</f>
        <v/>
      </c>
      <c r="B540" s="7" t="e">
        <f>IF(AND(A540&gt;=Dashboard!$F$5,A540&lt;=Dashboard!$J$5,A540&lt;&gt;""),SUMIFS(DashboardData!$D:$D,DashboardData!$A:$A,IF(Dashboard!$B$5="All","*",Dashboard!$B$5),DashboardData!$B:$B,A540),NA())</f>
        <v>#N/A</v>
      </c>
      <c r="C540" s="7" t="e">
        <f>IF(AND(A540&gt;=Dashboard!$F$5,A540&lt;=Dashboard!$J$5,A540&lt;&gt;""),-SUMIFS(DashboardData!$E:$E,DashboardData!$A:$A,IF(Dashboard!$B$5="All","*",Dashboard!$B$5),DashboardData!$B:$B,A540),NA())</f>
        <v>#N/A</v>
      </c>
    </row>
    <row r="541" spans="1:3" x14ac:dyDescent="0.25">
      <c r="A541" t="str">
        <f>IF(Monthly!A541="","",Monthly!A541)</f>
        <v/>
      </c>
      <c r="B541" s="7" t="e">
        <f>IF(AND(A541&gt;=Dashboard!$F$5,A541&lt;=Dashboard!$J$5,A541&lt;&gt;""),SUMIFS(DashboardData!$D:$D,DashboardData!$A:$A,IF(Dashboard!$B$5="All","*",Dashboard!$B$5),DashboardData!$B:$B,A541),NA())</f>
        <v>#N/A</v>
      </c>
      <c r="C541" s="7" t="e">
        <f>IF(AND(A541&gt;=Dashboard!$F$5,A541&lt;=Dashboard!$J$5,A541&lt;&gt;""),-SUMIFS(DashboardData!$E:$E,DashboardData!$A:$A,IF(Dashboard!$B$5="All","*",Dashboard!$B$5),DashboardData!$B:$B,A541),NA())</f>
        <v>#N/A</v>
      </c>
    </row>
    <row r="542" spans="1:3" x14ac:dyDescent="0.25">
      <c r="A542" t="str">
        <f>IF(Monthly!A542="","",Monthly!A542)</f>
        <v/>
      </c>
      <c r="B542" s="7" t="e">
        <f>IF(AND(A542&gt;=Dashboard!$F$5,A542&lt;=Dashboard!$J$5,A542&lt;&gt;""),SUMIFS(DashboardData!$D:$D,DashboardData!$A:$A,IF(Dashboard!$B$5="All","*",Dashboard!$B$5),DashboardData!$B:$B,A542),NA())</f>
        <v>#N/A</v>
      </c>
      <c r="C542" s="7" t="e">
        <f>IF(AND(A542&gt;=Dashboard!$F$5,A542&lt;=Dashboard!$J$5,A542&lt;&gt;""),-SUMIFS(DashboardData!$E:$E,DashboardData!$A:$A,IF(Dashboard!$B$5="All","*",Dashboard!$B$5),DashboardData!$B:$B,A542),NA())</f>
        <v>#N/A</v>
      </c>
    </row>
    <row r="543" spans="1:3" x14ac:dyDescent="0.25">
      <c r="A543" t="str">
        <f>IF(Monthly!A543="","",Monthly!A543)</f>
        <v/>
      </c>
      <c r="B543" s="7" t="e">
        <f>IF(AND(A543&gt;=Dashboard!$F$5,A543&lt;=Dashboard!$J$5,A543&lt;&gt;""),SUMIFS(DashboardData!$D:$D,DashboardData!$A:$A,IF(Dashboard!$B$5="All","*",Dashboard!$B$5),DashboardData!$B:$B,A543),NA())</f>
        <v>#N/A</v>
      </c>
      <c r="C543" s="7" t="e">
        <f>IF(AND(A543&gt;=Dashboard!$F$5,A543&lt;=Dashboard!$J$5,A543&lt;&gt;""),-SUMIFS(DashboardData!$E:$E,DashboardData!$A:$A,IF(Dashboard!$B$5="All","*",Dashboard!$B$5),DashboardData!$B:$B,A543),NA())</f>
        <v>#N/A</v>
      </c>
    </row>
    <row r="544" spans="1:3" x14ac:dyDescent="0.25">
      <c r="A544" t="str">
        <f>IF(Monthly!A544="","",Monthly!A544)</f>
        <v/>
      </c>
      <c r="B544" s="7" t="e">
        <f>IF(AND(A544&gt;=Dashboard!$F$5,A544&lt;=Dashboard!$J$5,A544&lt;&gt;""),SUMIFS(DashboardData!$D:$D,DashboardData!$A:$A,IF(Dashboard!$B$5="All","*",Dashboard!$B$5),DashboardData!$B:$B,A544),NA())</f>
        <v>#N/A</v>
      </c>
      <c r="C544" s="7" t="e">
        <f>IF(AND(A544&gt;=Dashboard!$F$5,A544&lt;=Dashboard!$J$5,A544&lt;&gt;""),-SUMIFS(DashboardData!$E:$E,DashboardData!$A:$A,IF(Dashboard!$B$5="All","*",Dashboard!$B$5),DashboardData!$B:$B,A544),NA())</f>
        <v>#N/A</v>
      </c>
    </row>
    <row r="545" spans="1:3" x14ac:dyDescent="0.25">
      <c r="A545" t="str">
        <f>IF(Monthly!A545="","",Monthly!A545)</f>
        <v/>
      </c>
      <c r="B545" s="7" t="e">
        <f>IF(AND(A545&gt;=Dashboard!$F$5,A545&lt;=Dashboard!$J$5,A545&lt;&gt;""),SUMIFS(DashboardData!$D:$D,DashboardData!$A:$A,IF(Dashboard!$B$5="All","*",Dashboard!$B$5),DashboardData!$B:$B,A545),NA())</f>
        <v>#N/A</v>
      </c>
      <c r="C545" s="7" t="e">
        <f>IF(AND(A545&gt;=Dashboard!$F$5,A545&lt;=Dashboard!$J$5,A545&lt;&gt;""),-SUMIFS(DashboardData!$E:$E,DashboardData!$A:$A,IF(Dashboard!$B$5="All","*",Dashboard!$B$5),DashboardData!$B:$B,A545),NA())</f>
        <v>#N/A</v>
      </c>
    </row>
    <row r="546" spans="1:3" x14ac:dyDescent="0.25">
      <c r="A546" t="str">
        <f>IF(Monthly!A546="","",Monthly!A546)</f>
        <v/>
      </c>
      <c r="B546" s="7" t="e">
        <f>IF(AND(A546&gt;=Dashboard!$F$5,A546&lt;=Dashboard!$J$5,A546&lt;&gt;""),SUMIFS(DashboardData!$D:$D,DashboardData!$A:$A,IF(Dashboard!$B$5="All","*",Dashboard!$B$5),DashboardData!$B:$B,A546),NA())</f>
        <v>#N/A</v>
      </c>
      <c r="C546" s="7" t="e">
        <f>IF(AND(A546&gt;=Dashboard!$F$5,A546&lt;=Dashboard!$J$5,A546&lt;&gt;""),-SUMIFS(DashboardData!$E:$E,DashboardData!$A:$A,IF(Dashboard!$B$5="All","*",Dashboard!$B$5),DashboardData!$B:$B,A546),NA())</f>
        <v>#N/A</v>
      </c>
    </row>
    <row r="547" spans="1:3" x14ac:dyDescent="0.25">
      <c r="A547" t="str">
        <f>IF(Monthly!A547="","",Monthly!A547)</f>
        <v/>
      </c>
      <c r="B547" s="7" t="e">
        <f>IF(AND(A547&gt;=Dashboard!$F$5,A547&lt;=Dashboard!$J$5,A547&lt;&gt;""),SUMIFS(DashboardData!$D:$D,DashboardData!$A:$A,IF(Dashboard!$B$5="All","*",Dashboard!$B$5),DashboardData!$B:$B,A547),NA())</f>
        <v>#N/A</v>
      </c>
      <c r="C547" s="7" t="e">
        <f>IF(AND(A547&gt;=Dashboard!$F$5,A547&lt;=Dashboard!$J$5,A547&lt;&gt;""),-SUMIFS(DashboardData!$E:$E,DashboardData!$A:$A,IF(Dashboard!$B$5="All","*",Dashboard!$B$5),DashboardData!$B:$B,A547),NA())</f>
        <v>#N/A</v>
      </c>
    </row>
    <row r="548" spans="1:3" x14ac:dyDescent="0.25">
      <c r="A548" t="str">
        <f>IF(Monthly!A548="","",Monthly!A548)</f>
        <v/>
      </c>
      <c r="B548" s="7" t="e">
        <f>IF(AND(A548&gt;=Dashboard!$F$5,A548&lt;=Dashboard!$J$5,A548&lt;&gt;""),SUMIFS(DashboardData!$D:$D,DashboardData!$A:$A,IF(Dashboard!$B$5="All","*",Dashboard!$B$5),DashboardData!$B:$B,A548),NA())</f>
        <v>#N/A</v>
      </c>
      <c r="C548" s="7" t="e">
        <f>IF(AND(A548&gt;=Dashboard!$F$5,A548&lt;=Dashboard!$J$5,A548&lt;&gt;""),-SUMIFS(DashboardData!$E:$E,DashboardData!$A:$A,IF(Dashboard!$B$5="All","*",Dashboard!$B$5),DashboardData!$B:$B,A548),NA())</f>
        <v>#N/A</v>
      </c>
    </row>
    <row r="549" spans="1:3" x14ac:dyDescent="0.25">
      <c r="A549" t="str">
        <f>IF(Monthly!A549="","",Monthly!A549)</f>
        <v/>
      </c>
      <c r="B549" s="7" t="e">
        <f>IF(AND(A549&gt;=Dashboard!$F$5,A549&lt;=Dashboard!$J$5,A549&lt;&gt;""),SUMIFS(DashboardData!$D:$D,DashboardData!$A:$A,IF(Dashboard!$B$5="All","*",Dashboard!$B$5),DashboardData!$B:$B,A549),NA())</f>
        <v>#N/A</v>
      </c>
      <c r="C549" s="7" t="e">
        <f>IF(AND(A549&gt;=Dashboard!$F$5,A549&lt;=Dashboard!$J$5,A549&lt;&gt;""),-SUMIFS(DashboardData!$E:$E,DashboardData!$A:$A,IF(Dashboard!$B$5="All","*",Dashboard!$B$5),DashboardData!$B:$B,A549),NA())</f>
        <v>#N/A</v>
      </c>
    </row>
    <row r="550" spans="1:3" x14ac:dyDescent="0.25">
      <c r="A550" t="str">
        <f>IF(Monthly!A550="","",Monthly!A550)</f>
        <v/>
      </c>
      <c r="B550" s="7" t="e">
        <f>IF(AND(A550&gt;=Dashboard!$F$5,A550&lt;=Dashboard!$J$5,A550&lt;&gt;""),SUMIFS(DashboardData!$D:$D,DashboardData!$A:$A,IF(Dashboard!$B$5="All","*",Dashboard!$B$5),DashboardData!$B:$B,A550),NA())</f>
        <v>#N/A</v>
      </c>
      <c r="C550" s="7" t="e">
        <f>IF(AND(A550&gt;=Dashboard!$F$5,A550&lt;=Dashboard!$J$5,A550&lt;&gt;""),-SUMIFS(DashboardData!$E:$E,DashboardData!$A:$A,IF(Dashboard!$B$5="All","*",Dashboard!$B$5),DashboardData!$B:$B,A550),NA())</f>
        <v>#N/A</v>
      </c>
    </row>
    <row r="551" spans="1:3" x14ac:dyDescent="0.25">
      <c r="A551" t="str">
        <f>IF(Monthly!A551="","",Monthly!A551)</f>
        <v/>
      </c>
      <c r="B551" s="7" t="e">
        <f>IF(AND(A551&gt;=Dashboard!$F$5,A551&lt;=Dashboard!$J$5,A551&lt;&gt;""),SUMIFS(DashboardData!$D:$D,DashboardData!$A:$A,IF(Dashboard!$B$5="All","*",Dashboard!$B$5),DashboardData!$B:$B,A551),NA())</f>
        <v>#N/A</v>
      </c>
      <c r="C551" s="7" t="e">
        <f>IF(AND(A551&gt;=Dashboard!$F$5,A551&lt;=Dashboard!$J$5,A551&lt;&gt;""),-SUMIFS(DashboardData!$E:$E,DashboardData!$A:$A,IF(Dashboard!$B$5="All","*",Dashboard!$B$5),DashboardData!$B:$B,A551),NA())</f>
        <v>#N/A</v>
      </c>
    </row>
    <row r="552" spans="1:3" x14ac:dyDescent="0.25">
      <c r="A552" t="str">
        <f>IF(Monthly!A552="","",Monthly!A552)</f>
        <v/>
      </c>
      <c r="B552" s="7" t="e">
        <f>IF(AND(A552&gt;=Dashboard!$F$5,A552&lt;=Dashboard!$J$5,A552&lt;&gt;""),SUMIFS(DashboardData!$D:$D,DashboardData!$A:$A,IF(Dashboard!$B$5="All","*",Dashboard!$B$5),DashboardData!$B:$B,A552),NA())</f>
        <v>#N/A</v>
      </c>
      <c r="C552" s="7" t="e">
        <f>IF(AND(A552&gt;=Dashboard!$F$5,A552&lt;=Dashboard!$J$5,A552&lt;&gt;""),-SUMIFS(DashboardData!$E:$E,DashboardData!$A:$A,IF(Dashboard!$B$5="All","*",Dashboard!$B$5),DashboardData!$B:$B,A552),NA())</f>
        <v>#N/A</v>
      </c>
    </row>
    <row r="553" spans="1:3" x14ac:dyDescent="0.25">
      <c r="A553" t="str">
        <f>IF(Monthly!A553="","",Monthly!A553)</f>
        <v/>
      </c>
      <c r="B553" s="7" t="e">
        <f>IF(AND(A553&gt;=Dashboard!$F$5,A553&lt;=Dashboard!$J$5,A553&lt;&gt;""),SUMIFS(DashboardData!$D:$D,DashboardData!$A:$A,IF(Dashboard!$B$5="All","*",Dashboard!$B$5),DashboardData!$B:$B,A553),NA())</f>
        <v>#N/A</v>
      </c>
      <c r="C553" s="7" t="e">
        <f>IF(AND(A553&gt;=Dashboard!$F$5,A553&lt;=Dashboard!$J$5,A553&lt;&gt;""),-SUMIFS(DashboardData!$E:$E,DashboardData!$A:$A,IF(Dashboard!$B$5="All","*",Dashboard!$B$5),DashboardData!$B:$B,A553),NA())</f>
        <v>#N/A</v>
      </c>
    </row>
    <row r="554" spans="1:3" x14ac:dyDescent="0.25">
      <c r="A554" t="str">
        <f>IF(Monthly!A554="","",Monthly!A554)</f>
        <v/>
      </c>
      <c r="B554" s="7" t="e">
        <f>IF(AND(A554&gt;=Dashboard!$F$5,A554&lt;=Dashboard!$J$5,A554&lt;&gt;""),SUMIFS(DashboardData!$D:$D,DashboardData!$A:$A,IF(Dashboard!$B$5="All","*",Dashboard!$B$5),DashboardData!$B:$B,A554),NA())</f>
        <v>#N/A</v>
      </c>
      <c r="C554" s="7" t="e">
        <f>IF(AND(A554&gt;=Dashboard!$F$5,A554&lt;=Dashboard!$J$5,A554&lt;&gt;""),-SUMIFS(DashboardData!$E:$E,DashboardData!$A:$A,IF(Dashboard!$B$5="All","*",Dashboard!$B$5),DashboardData!$B:$B,A554),NA())</f>
        <v>#N/A</v>
      </c>
    </row>
    <row r="555" spans="1:3" x14ac:dyDescent="0.25">
      <c r="A555" t="str">
        <f>IF(Monthly!A555="","",Monthly!A555)</f>
        <v/>
      </c>
      <c r="B555" s="7" t="e">
        <f>IF(AND(A555&gt;=Dashboard!$F$5,A555&lt;=Dashboard!$J$5,A555&lt;&gt;""),SUMIFS(DashboardData!$D:$D,DashboardData!$A:$A,IF(Dashboard!$B$5="All","*",Dashboard!$B$5),DashboardData!$B:$B,A555),NA())</f>
        <v>#N/A</v>
      </c>
      <c r="C555" s="7" t="e">
        <f>IF(AND(A555&gt;=Dashboard!$F$5,A555&lt;=Dashboard!$J$5,A555&lt;&gt;""),-SUMIFS(DashboardData!$E:$E,DashboardData!$A:$A,IF(Dashboard!$B$5="All","*",Dashboard!$B$5),DashboardData!$B:$B,A555),NA())</f>
        <v>#N/A</v>
      </c>
    </row>
    <row r="556" spans="1:3" x14ac:dyDescent="0.25">
      <c r="A556" t="str">
        <f>IF(Monthly!A556="","",Monthly!A556)</f>
        <v/>
      </c>
      <c r="B556" s="7" t="e">
        <f>IF(AND(A556&gt;=Dashboard!$F$5,A556&lt;=Dashboard!$J$5,A556&lt;&gt;""),SUMIFS(DashboardData!$D:$D,DashboardData!$A:$A,IF(Dashboard!$B$5="All","*",Dashboard!$B$5),DashboardData!$B:$B,A556),NA())</f>
        <v>#N/A</v>
      </c>
      <c r="C556" s="7" t="e">
        <f>IF(AND(A556&gt;=Dashboard!$F$5,A556&lt;=Dashboard!$J$5,A556&lt;&gt;""),-SUMIFS(DashboardData!$E:$E,DashboardData!$A:$A,IF(Dashboard!$B$5="All","*",Dashboard!$B$5),DashboardData!$B:$B,A556),NA())</f>
        <v>#N/A</v>
      </c>
    </row>
    <row r="557" spans="1:3" x14ac:dyDescent="0.25">
      <c r="A557" t="str">
        <f>IF(Monthly!A557="","",Monthly!A557)</f>
        <v/>
      </c>
      <c r="B557" s="7" t="e">
        <f>IF(AND(A557&gt;=Dashboard!$F$5,A557&lt;=Dashboard!$J$5,A557&lt;&gt;""),SUMIFS(DashboardData!$D:$D,DashboardData!$A:$A,IF(Dashboard!$B$5="All","*",Dashboard!$B$5),DashboardData!$B:$B,A557),NA())</f>
        <v>#N/A</v>
      </c>
      <c r="C557" s="7" t="e">
        <f>IF(AND(A557&gt;=Dashboard!$F$5,A557&lt;=Dashboard!$J$5,A557&lt;&gt;""),-SUMIFS(DashboardData!$E:$E,DashboardData!$A:$A,IF(Dashboard!$B$5="All","*",Dashboard!$B$5),DashboardData!$B:$B,A557),NA())</f>
        <v>#N/A</v>
      </c>
    </row>
    <row r="558" spans="1:3" x14ac:dyDescent="0.25">
      <c r="A558" t="str">
        <f>IF(Monthly!A558="","",Monthly!A558)</f>
        <v/>
      </c>
      <c r="B558" s="7" t="e">
        <f>IF(AND(A558&gt;=Dashboard!$F$5,A558&lt;=Dashboard!$J$5,A558&lt;&gt;""),SUMIFS(DashboardData!$D:$D,DashboardData!$A:$A,IF(Dashboard!$B$5="All","*",Dashboard!$B$5),DashboardData!$B:$B,A558),NA())</f>
        <v>#N/A</v>
      </c>
      <c r="C558" s="7" t="e">
        <f>IF(AND(A558&gt;=Dashboard!$F$5,A558&lt;=Dashboard!$J$5,A558&lt;&gt;""),-SUMIFS(DashboardData!$E:$E,DashboardData!$A:$A,IF(Dashboard!$B$5="All","*",Dashboard!$B$5),DashboardData!$B:$B,A558),NA())</f>
        <v>#N/A</v>
      </c>
    </row>
    <row r="559" spans="1:3" x14ac:dyDescent="0.25">
      <c r="A559" t="str">
        <f>IF(Monthly!A559="","",Monthly!A559)</f>
        <v/>
      </c>
      <c r="B559" s="7" t="e">
        <f>IF(AND(A559&gt;=Dashboard!$F$5,A559&lt;=Dashboard!$J$5,A559&lt;&gt;""),SUMIFS(DashboardData!$D:$D,DashboardData!$A:$A,IF(Dashboard!$B$5="All","*",Dashboard!$B$5),DashboardData!$B:$B,A559),NA())</f>
        <v>#N/A</v>
      </c>
      <c r="C559" s="7" t="e">
        <f>IF(AND(A559&gt;=Dashboard!$F$5,A559&lt;=Dashboard!$J$5,A559&lt;&gt;""),-SUMIFS(DashboardData!$E:$E,DashboardData!$A:$A,IF(Dashboard!$B$5="All","*",Dashboard!$B$5),DashboardData!$B:$B,A559),NA())</f>
        <v>#N/A</v>
      </c>
    </row>
    <row r="560" spans="1:3" x14ac:dyDescent="0.25">
      <c r="A560" t="str">
        <f>IF(Monthly!A560="","",Monthly!A560)</f>
        <v/>
      </c>
      <c r="B560" s="7" t="e">
        <f>IF(AND(A560&gt;=Dashboard!$F$5,A560&lt;=Dashboard!$J$5,A560&lt;&gt;""),SUMIFS(DashboardData!$D:$D,DashboardData!$A:$A,IF(Dashboard!$B$5="All","*",Dashboard!$B$5),DashboardData!$B:$B,A560),NA())</f>
        <v>#N/A</v>
      </c>
      <c r="C560" s="7" t="e">
        <f>IF(AND(A560&gt;=Dashboard!$F$5,A560&lt;=Dashboard!$J$5,A560&lt;&gt;""),-SUMIFS(DashboardData!$E:$E,DashboardData!$A:$A,IF(Dashboard!$B$5="All","*",Dashboard!$B$5),DashboardData!$B:$B,A560),NA())</f>
        <v>#N/A</v>
      </c>
    </row>
    <row r="561" spans="1:3" x14ac:dyDescent="0.25">
      <c r="A561" t="str">
        <f>IF(Monthly!A561="","",Monthly!A561)</f>
        <v/>
      </c>
      <c r="B561" s="7" t="e">
        <f>IF(AND(A561&gt;=Dashboard!$F$5,A561&lt;=Dashboard!$J$5,A561&lt;&gt;""),SUMIFS(DashboardData!$D:$D,DashboardData!$A:$A,IF(Dashboard!$B$5="All","*",Dashboard!$B$5),DashboardData!$B:$B,A561),NA())</f>
        <v>#N/A</v>
      </c>
      <c r="C561" s="7" t="e">
        <f>IF(AND(A561&gt;=Dashboard!$F$5,A561&lt;=Dashboard!$J$5,A561&lt;&gt;""),-SUMIFS(DashboardData!$E:$E,DashboardData!$A:$A,IF(Dashboard!$B$5="All","*",Dashboard!$B$5),DashboardData!$B:$B,A561),NA())</f>
        <v>#N/A</v>
      </c>
    </row>
    <row r="562" spans="1:3" x14ac:dyDescent="0.25">
      <c r="A562" t="str">
        <f>IF(Monthly!A562="","",Monthly!A562)</f>
        <v/>
      </c>
      <c r="B562" s="7" t="e">
        <f>IF(AND(A562&gt;=Dashboard!$F$5,A562&lt;=Dashboard!$J$5,A562&lt;&gt;""),SUMIFS(DashboardData!$D:$D,DashboardData!$A:$A,IF(Dashboard!$B$5="All","*",Dashboard!$B$5),DashboardData!$B:$B,A562),NA())</f>
        <v>#N/A</v>
      </c>
      <c r="C562" s="7" t="e">
        <f>IF(AND(A562&gt;=Dashboard!$F$5,A562&lt;=Dashboard!$J$5,A562&lt;&gt;""),-SUMIFS(DashboardData!$E:$E,DashboardData!$A:$A,IF(Dashboard!$B$5="All","*",Dashboard!$B$5),DashboardData!$B:$B,A562),NA())</f>
        <v>#N/A</v>
      </c>
    </row>
    <row r="563" spans="1:3" x14ac:dyDescent="0.25">
      <c r="A563" t="str">
        <f>IF(Monthly!A563="","",Monthly!A563)</f>
        <v/>
      </c>
      <c r="B563" s="7" t="e">
        <f>IF(AND(A563&gt;=Dashboard!$F$5,A563&lt;=Dashboard!$J$5,A563&lt;&gt;""),SUMIFS(DashboardData!$D:$D,DashboardData!$A:$A,IF(Dashboard!$B$5="All","*",Dashboard!$B$5),DashboardData!$B:$B,A563),NA())</f>
        <v>#N/A</v>
      </c>
      <c r="C563" s="7" t="e">
        <f>IF(AND(A563&gt;=Dashboard!$F$5,A563&lt;=Dashboard!$J$5,A563&lt;&gt;""),-SUMIFS(DashboardData!$E:$E,DashboardData!$A:$A,IF(Dashboard!$B$5="All","*",Dashboard!$B$5),DashboardData!$B:$B,A563),NA())</f>
        <v>#N/A</v>
      </c>
    </row>
    <row r="564" spans="1:3" x14ac:dyDescent="0.25">
      <c r="A564" t="str">
        <f>IF(Monthly!A564="","",Monthly!A564)</f>
        <v/>
      </c>
      <c r="B564" s="7" t="e">
        <f>IF(AND(A564&gt;=Dashboard!$F$5,A564&lt;=Dashboard!$J$5,A564&lt;&gt;""),SUMIFS(DashboardData!$D:$D,DashboardData!$A:$A,IF(Dashboard!$B$5="All","*",Dashboard!$B$5),DashboardData!$B:$B,A564),NA())</f>
        <v>#N/A</v>
      </c>
      <c r="C564" s="7" t="e">
        <f>IF(AND(A564&gt;=Dashboard!$F$5,A564&lt;=Dashboard!$J$5,A564&lt;&gt;""),-SUMIFS(DashboardData!$E:$E,DashboardData!$A:$A,IF(Dashboard!$B$5="All","*",Dashboard!$B$5),DashboardData!$B:$B,A564),NA())</f>
        <v>#N/A</v>
      </c>
    </row>
    <row r="565" spans="1:3" x14ac:dyDescent="0.25">
      <c r="A565" t="str">
        <f>IF(Monthly!A565="","",Monthly!A565)</f>
        <v/>
      </c>
      <c r="B565" s="7" t="e">
        <f>IF(AND(A565&gt;=Dashboard!$F$5,A565&lt;=Dashboard!$J$5,A565&lt;&gt;""),SUMIFS(DashboardData!$D:$D,DashboardData!$A:$A,IF(Dashboard!$B$5="All","*",Dashboard!$B$5),DashboardData!$B:$B,A565),NA())</f>
        <v>#N/A</v>
      </c>
      <c r="C565" s="7" t="e">
        <f>IF(AND(A565&gt;=Dashboard!$F$5,A565&lt;=Dashboard!$J$5,A565&lt;&gt;""),-SUMIFS(DashboardData!$E:$E,DashboardData!$A:$A,IF(Dashboard!$B$5="All","*",Dashboard!$B$5),DashboardData!$B:$B,A565),NA())</f>
        <v>#N/A</v>
      </c>
    </row>
    <row r="566" spans="1:3" x14ac:dyDescent="0.25">
      <c r="A566" t="str">
        <f>IF(Monthly!A566="","",Monthly!A566)</f>
        <v/>
      </c>
      <c r="B566" s="7" t="e">
        <f>IF(AND(A566&gt;=Dashboard!$F$5,A566&lt;=Dashboard!$J$5,A566&lt;&gt;""),SUMIFS(DashboardData!$D:$D,DashboardData!$A:$A,IF(Dashboard!$B$5="All","*",Dashboard!$B$5),DashboardData!$B:$B,A566),NA())</f>
        <v>#N/A</v>
      </c>
      <c r="C566" s="7" t="e">
        <f>IF(AND(A566&gt;=Dashboard!$F$5,A566&lt;=Dashboard!$J$5,A566&lt;&gt;""),-SUMIFS(DashboardData!$E:$E,DashboardData!$A:$A,IF(Dashboard!$B$5="All","*",Dashboard!$B$5),DashboardData!$B:$B,A566),NA())</f>
        <v>#N/A</v>
      </c>
    </row>
    <row r="567" spans="1:3" x14ac:dyDescent="0.25">
      <c r="A567" t="str">
        <f>IF(Monthly!A567="","",Monthly!A567)</f>
        <v/>
      </c>
      <c r="B567" s="7" t="e">
        <f>IF(AND(A567&gt;=Dashboard!$F$5,A567&lt;=Dashboard!$J$5,A567&lt;&gt;""),SUMIFS(DashboardData!$D:$D,DashboardData!$A:$A,IF(Dashboard!$B$5="All","*",Dashboard!$B$5),DashboardData!$B:$B,A567),NA())</f>
        <v>#N/A</v>
      </c>
      <c r="C567" s="7" t="e">
        <f>IF(AND(A567&gt;=Dashboard!$F$5,A567&lt;=Dashboard!$J$5,A567&lt;&gt;""),-SUMIFS(DashboardData!$E:$E,DashboardData!$A:$A,IF(Dashboard!$B$5="All","*",Dashboard!$B$5),DashboardData!$B:$B,A567),NA())</f>
        <v>#N/A</v>
      </c>
    </row>
    <row r="568" spans="1:3" x14ac:dyDescent="0.25">
      <c r="A568" t="str">
        <f>IF(Monthly!A568="","",Monthly!A568)</f>
        <v/>
      </c>
      <c r="B568" s="7" t="e">
        <f>IF(AND(A568&gt;=Dashboard!$F$5,A568&lt;=Dashboard!$J$5,A568&lt;&gt;""),SUMIFS(DashboardData!$D:$D,DashboardData!$A:$A,IF(Dashboard!$B$5="All","*",Dashboard!$B$5),DashboardData!$B:$B,A568),NA())</f>
        <v>#N/A</v>
      </c>
      <c r="C568" s="7" t="e">
        <f>IF(AND(A568&gt;=Dashboard!$F$5,A568&lt;=Dashboard!$J$5,A568&lt;&gt;""),-SUMIFS(DashboardData!$E:$E,DashboardData!$A:$A,IF(Dashboard!$B$5="All","*",Dashboard!$B$5),DashboardData!$B:$B,A568),NA())</f>
        <v>#N/A</v>
      </c>
    </row>
    <row r="569" spans="1:3" x14ac:dyDescent="0.25">
      <c r="A569" t="str">
        <f>IF(Monthly!A569="","",Monthly!A569)</f>
        <v/>
      </c>
      <c r="B569" s="7" t="e">
        <f>IF(AND(A569&gt;=Dashboard!$F$5,A569&lt;=Dashboard!$J$5,A569&lt;&gt;""),SUMIFS(DashboardData!$D:$D,DashboardData!$A:$A,IF(Dashboard!$B$5="All","*",Dashboard!$B$5),DashboardData!$B:$B,A569),NA())</f>
        <v>#N/A</v>
      </c>
      <c r="C569" s="7" t="e">
        <f>IF(AND(A569&gt;=Dashboard!$F$5,A569&lt;=Dashboard!$J$5,A569&lt;&gt;""),-SUMIFS(DashboardData!$E:$E,DashboardData!$A:$A,IF(Dashboard!$B$5="All","*",Dashboard!$B$5),DashboardData!$B:$B,A569),NA())</f>
        <v>#N/A</v>
      </c>
    </row>
    <row r="570" spans="1:3" x14ac:dyDescent="0.25">
      <c r="A570" t="str">
        <f>IF(Monthly!A570="","",Monthly!A570)</f>
        <v/>
      </c>
      <c r="B570" s="7" t="e">
        <f>IF(AND(A570&gt;=Dashboard!$F$5,A570&lt;=Dashboard!$J$5,A570&lt;&gt;""),SUMIFS(DashboardData!$D:$D,DashboardData!$A:$A,IF(Dashboard!$B$5="All","*",Dashboard!$B$5),DashboardData!$B:$B,A570),NA())</f>
        <v>#N/A</v>
      </c>
      <c r="C570" s="7" t="e">
        <f>IF(AND(A570&gt;=Dashboard!$F$5,A570&lt;=Dashboard!$J$5,A570&lt;&gt;""),-SUMIFS(DashboardData!$E:$E,DashboardData!$A:$A,IF(Dashboard!$B$5="All","*",Dashboard!$B$5),DashboardData!$B:$B,A570),NA())</f>
        <v>#N/A</v>
      </c>
    </row>
    <row r="571" spans="1:3" x14ac:dyDescent="0.25">
      <c r="A571" t="str">
        <f>IF(Monthly!A571="","",Monthly!A571)</f>
        <v/>
      </c>
      <c r="B571" s="7" t="e">
        <f>IF(AND(A571&gt;=Dashboard!$F$5,A571&lt;=Dashboard!$J$5,A571&lt;&gt;""),SUMIFS(DashboardData!$D:$D,DashboardData!$A:$A,IF(Dashboard!$B$5="All","*",Dashboard!$B$5),DashboardData!$B:$B,A571),NA())</f>
        <v>#N/A</v>
      </c>
      <c r="C571" s="7" t="e">
        <f>IF(AND(A571&gt;=Dashboard!$F$5,A571&lt;=Dashboard!$J$5,A571&lt;&gt;""),-SUMIFS(DashboardData!$E:$E,DashboardData!$A:$A,IF(Dashboard!$B$5="All","*",Dashboard!$B$5),DashboardData!$B:$B,A571),NA())</f>
        <v>#N/A</v>
      </c>
    </row>
    <row r="572" spans="1:3" x14ac:dyDescent="0.25">
      <c r="A572" t="str">
        <f>IF(Monthly!A572="","",Monthly!A572)</f>
        <v/>
      </c>
      <c r="B572" s="7" t="e">
        <f>IF(AND(A572&gt;=Dashboard!$F$5,A572&lt;=Dashboard!$J$5,A572&lt;&gt;""),SUMIFS(DashboardData!$D:$D,DashboardData!$A:$A,IF(Dashboard!$B$5="All","*",Dashboard!$B$5),DashboardData!$B:$B,A572),NA())</f>
        <v>#N/A</v>
      </c>
      <c r="C572" s="7" t="e">
        <f>IF(AND(A572&gt;=Dashboard!$F$5,A572&lt;=Dashboard!$J$5,A572&lt;&gt;""),-SUMIFS(DashboardData!$E:$E,DashboardData!$A:$A,IF(Dashboard!$B$5="All","*",Dashboard!$B$5),DashboardData!$B:$B,A572),NA())</f>
        <v>#N/A</v>
      </c>
    </row>
    <row r="573" spans="1:3" x14ac:dyDescent="0.25">
      <c r="A573" t="str">
        <f>IF(Monthly!A573="","",Monthly!A573)</f>
        <v/>
      </c>
      <c r="B573" s="7" t="e">
        <f>IF(AND(A573&gt;=Dashboard!$F$5,A573&lt;=Dashboard!$J$5,A573&lt;&gt;""),SUMIFS(DashboardData!$D:$D,DashboardData!$A:$A,IF(Dashboard!$B$5="All","*",Dashboard!$B$5),DashboardData!$B:$B,A573),NA())</f>
        <v>#N/A</v>
      </c>
      <c r="C573" s="7" t="e">
        <f>IF(AND(A573&gt;=Dashboard!$F$5,A573&lt;=Dashboard!$J$5,A573&lt;&gt;""),-SUMIFS(DashboardData!$E:$E,DashboardData!$A:$A,IF(Dashboard!$B$5="All","*",Dashboard!$B$5),DashboardData!$B:$B,A573),NA())</f>
        <v>#N/A</v>
      </c>
    </row>
    <row r="574" spans="1:3" x14ac:dyDescent="0.25">
      <c r="A574" t="str">
        <f>IF(Monthly!A574="","",Monthly!A574)</f>
        <v/>
      </c>
      <c r="B574" s="7" t="e">
        <f>IF(AND(A574&gt;=Dashboard!$F$5,A574&lt;=Dashboard!$J$5,A574&lt;&gt;""),SUMIFS(DashboardData!$D:$D,DashboardData!$A:$A,IF(Dashboard!$B$5="All","*",Dashboard!$B$5),DashboardData!$B:$B,A574),NA())</f>
        <v>#N/A</v>
      </c>
      <c r="C574" s="7" t="e">
        <f>IF(AND(A574&gt;=Dashboard!$F$5,A574&lt;=Dashboard!$J$5,A574&lt;&gt;""),-SUMIFS(DashboardData!$E:$E,DashboardData!$A:$A,IF(Dashboard!$B$5="All","*",Dashboard!$B$5),DashboardData!$B:$B,A574),NA())</f>
        <v>#N/A</v>
      </c>
    </row>
    <row r="575" spans="1:3" x14ac:dyDescent="0.25">
      <c r="A575" t="str">
        <f>IF(Monthly!A575="","",Monthly!A575)</f>
        <v/>
      </c>
      <c r="B575" s="7" t="e">
        <f>IF(AND(A575&gt;=Dashboard!$F$5,A575&lt;=Dashboard!$J$5,A575&lt;&gt;""),SUMIFS(DashboardData!$D:$D,DashboardData!$A:$A,IF(Dashboard!$B$5="All","*",Dashboard!$B$5),DashboardData!$B:$B,A575),NA())</f>
        <v>#N/A</v>
      </c>
      <c r="C575" s="7" t="e">
        <f>IF(AND(A575&gt;=Dashboard!$F$5,A575&lt;=Dashboard!$J$5,A575&lt;&gt;""),-SUMIFS(DashboardData!$E:$E,DashboardData!$A:$A,IF(Dashboard!$B$5="All","*",Dashboard!$B$5),DashboardData!$B:$B,A575),NA())</f>
        <v>#N/A</v>
      </c>
    </row>
    <row r="576" spans="1:3" x14ac:dyDescent="0.25">
      <c r="A576" t="str">
        <f>IF(Monthly!A576="","",Monthly!A576)</f>
        <v/>
      </c>
      <c r="B576" s="7" t="e">
        <f>IF(AND(A576&gt;=Dashboard!$F$5,A576&lt;=Dashboard!$J$5,A576&lt;&gt;""),SUMIFS(DashboardData!$D:$D,DashboardData!$A:$A,IF(Dashboard!$B$5="All","*",Dashboard!$B$5),DashboardData!$B:$B,A576),NA())</f>
        <v>#N/A</v>
      </c>
      <c r="C576" s="7" t="e">
        <f>IF(AND(A576&gt;=Dashboard!$F$5,A576&lt;=Dashboard!$J$5,A576&lt;&gt;""),-SUMIFS(DashboardData!$E:$E,DashboardData!$A:$A,IF(Dashboard!$B$5="All","*",Dashboard!$B$5),DashboardData!$B:$B,A576),NA())</f>
        <v>#N/A</v>
      </c>
    </row>
    <row r="577" spans="1:3" x14ac:dyDescent="0.25">
      <c r="A577" t="str">
        <f>IF(Monthly!A577="","",Monthly!A577)</f>
        <v/>
      </c>
      <c r="B577" s="7" t="e">
        <f>IF(AND(A577&gt;=Dashboard!$F$5,A577&lt;=Dashboard!$J$5,A577&lt;&gt;""),SUMIFS(DashboardData!$D:$D,DashboardData!$A:$A,IF(Dashboard!$B$5="All","*",Dashboard!$B$5),DashboardData!$B:$B,A577),NA())</f>
        <v>#N/A</v>
      </c>
      <c r="C577" s="7" t="e">
        <f>IF(AND(A577&gt;=Dashboard!$F$5,A577&lt;=Dashboard!$J$5,A577&lt;&gt;""),-SUMIFS(DashboardData!$E:$E,DashboardData!$A:$A,IF(Dashboard!$B$5="All","*",Dashboard!$B$5),DashboardData!$B:$B,A577),NA())</f>
        <v>#N/A</v>
      </c>
    </row>
    <row r="578" spans="1:3" x14ac:dyDescent="0.25">
      <c r="A578" t="str">
        <f>IF(Monthly!A578="","",Monthly!A578)</f>
        <v/>
      </c>
      <c r="B578" s="7" t="e">
        <f>IF(AND(A578&gt;=Dashboard!$F$5,A578&lt;=Dashboard!$J$5,A578&lt;&gt;""),SUMIFS(DashboardData!$D:$D,DashboardData!$A:$A,IF(Dashboard!$B$5="All","*",Dashboard!$B$5),DashboardData!$B:$B,A578),NA())</f>
        <v>#N/A</v>
      </c>
      <c r="C578" s="7" t="e">
        <f>IF(AND(A578&gt;=Dashboard!$F$5,A578&lt;=Dashboard!$J$5,A578&lt;&gt;""),-SUMIFS(DashboardData!$E:$E,DashboardData!$A:$A,IF(Dashboard!$B$5="All","*",Dashboard!$B$5),DashboardData!$B:$B,A578),NA())</f>
        <v>#N/A</v>
      </c>
    </row>
    <row r="579" spans="1:3" x14ac:dyDescent="0.25">
      <c r="A579" t="str">
        <f>IF(Monthly!A579="","",Monthly!A579)</f>
        <v/>
      </c>
      <c r="B579" s="7" t="e">
        <f>IF(AND(A579&gt;=Dashboard!$F$5,A579&lt;=Dashboard!$J$5,A579&lt;&gt;""),SUMIFS(DashboardData!$D:$D,DashboardData!$A:$A,IF(Dashboard!$B$5="All","*",Dashboard!$B$5),DashboardData!$B:$B,A579),NA())</f>
        <v>#N/A</v>
      </c>
      <c r="C579" s="7" t="e">
        <f>IF(AND(A579&gt;=Dashboard!$F$5,A579&lt;=Dashboard!$J$5,A579&lt;&gt;""),-SUMIFS(DashboardData!$E:$E,DashboardData!$A:$A,IF(Dashboard!$B$5="All","*",Dashboard!$B$5),DashboardData!$B:$B,A579),NA())</f>
        <v>#N/A</v>
      </c>
    </row>
    <row r="580" spans="1:3" x14ac:dyDescent="0.25">
      <c r="A580" t="str">
        <f>IF(Monthly!A580="","",Monthly!A580)</f>
        <v/>
      </c>
      <c r="B580" s="7" t="e">
        <f>IF(AND(A580&gt;=Dashboard!$F$5,A580&lt;=Dashboard!$J$5,A580&lt;&gt;""),SUMIFS(DashboardData!$D:$D,DashboardData!$A:$A,IF(Dashboard!$B$5="All","*",Dashboard!$B$5),DashboardData!$B:$B,A580),NA())</f>
        <v>#N/A</v>
      </c>
      <c r="C580" s="7" t="e">
        <f>IF(AND(A580&gt;=Dashboard!$F$5,A580&lt;=Dashboard!$J$5,A580&lt;&gt;""),-SUMIFS(DashboardData!$E:$E,DashboardData!$A:$A,IF(Dashboard!$B$5="All","*",Dashboard!$B$5),DashboardData!$B:$B,A580),NA())</f>
        <v>#N/A</v>
      </c>
    </row>
    <row r="581" spans="1:3" x14ac:dyDescent="0.25">
      <c r="A581" t="str">
        <f>IF(Monthly!A581="","",Monthly!A581)</f>
        <v/>
      </c>
      <c r="B581" s="7" t="e">
        <f>IF(AND(A581&gt;=Dashboard!$F$5,A581&lt;=Dashboard!$J$5,A581&lt;&gt;""),SUMIFS(DashboardData!$D:$D,DashboardData!$A:$A,IF(Dashboard!$B$5="All","*",Dashboard!$B$5),DashboardData!$B:$B,A581),NA())</f>
        <v>#N/A</v>
      </c>
      <c r="C581" s="7" t="e">
        <f>IF(AND(A581&gt;=Dashboard!$F$5,A581&lt;=Dashboard!$J$5,A581&lt;&gt;""),-SUMIFS(DashboardData!$E:$E,DashboardData!$A:$A,IF(Dashboard!$B$5="All","*",Dashboard!$B$5),DashboardData!$B:$B,A581),NA())</f>
        <v>#N/A</v>
      </c>
    </row>
    <row r="582" spans="1:3" x14ac:dyDescent="0.25">
      <c r="A582" t="str">
        <f>IF(Monthly!A582="","",Monthly!A582)</f>
        <v/>
      </c>
      <c r="B582" s="7" t="e">
        <f>IF(AND(A582&gt;=Dashboard!$F$5,A582&lt;=Dashboard!$J$5,A582&lt;&gt;""),SUMIFS(DashboardData!$D:$D,DashboardData!$A:$A,IF(Dashboard!$B$5="All","*",Dashboard!$B$5),DashboardData!$B:$B,A582),NA())</f>
        <v>#N/A</v>
      </c>
      <c r="C582" s="7" t="e">
        <f>IF(AND(A582&gt;=Dashboard!$F$5,A582&lt;=Dashboard!$J$5,A582&lt;&gt;""),-SUMIFS(DashboardData!$E:$E,DashboardData!$A:$A,IF(Dashboard!$B$5="All","*",Dashboard!$B$5),DashboardData!$B:$B,A582),NA())</f>
        <v>#N/A</v>
      </c>
    </row>
    <row r="583" spans="1:3" x14ac:dyDescent="0.25">
      <c r="A583" t="str">
        <f>IF(Monthly!A583="","",Monthly!A583)</f>
        <v/>
      </c>
      <c r="B583" s="7" t="e">
        <f>IF(AND(A583&gt;=Dashboard!$F$5,A583&lt;=Dashboard!$J$5,A583&lt;&gt;""),SUMIFS(DashboardData!$D:$D,DashboardData!$A:$A,IF(Dashboard!$B$5="All","*",Dashboard!$B$5),DashboardData!$B:$B,A583),NA())</f>
        <v>#N/A</v>
      </c>
      <c r="C583" s="7" t="e">
        <f>IF(AND(A583&gt;=Dashboard!$F$5,A583&lt;=Dashboard!$J$5,A583&lt;&gt;""),-SUMIFS(DashboardData!$E:$E,DashboardData!$A:$A,IF(Dashboard!$B$5="All","*",Dashboard!$B$5),DashboardData!$B:$B,A583),NA())</f>
        <v>#N/A</v>
      </c>
    </row>
    <row r="584" spans="1:3" x14ac:dyDescent="0.25">
      <c r="A584" t="str">
        <f>IF(Monthly!A584="","",Monthly!A584)</f>
        <v/>
      </c>
      <c r="B584" s="7" t="e">
        <f>IF(AND(A584&gt;=Dashboard!$F$5,A584&lt;=Dashboard!$J$5,A584&lt;&gt;""),SUMIFS(DashboardData!$D:$D,DashboardData!$A:$A,IF(Dashboard!$B$5="All","*",Dashboard!$B$5),DashboardData!$B:$B,A584),NA())</f>
        <v>#N/A</v>
      </c>
      <c r="C584" s="7" t="e">
        <f>IF(AND(A584&gt;=Dashboard!$F$5,A584&lt;=Dashboard!$J$5,A584&lt;&gt;""),-SUMIFS(DashboardData!$E:$E,DashboardData!$A:$A,IF(Dashboard!$B$5="All","*",Dashboard!$B$5),DashboardData!$B:$B,A584),NA())</f>
        <v>#N/A</v>
      </c>
    </row>
    <row r="585" spans="1:3" x14ac:dyDescent="0.25">
      <c r="A585" t="str">
        <f>IF(Monthly!A585="","",Monthly!A585)</f>
        <v/>
      </c>
      <c r="B585" s="7" t="e">
        <f>IF(AND(A585&gt;=Dashboard!$F$5,A585&lt;=Dashboard!$J$5,A585&lt;&gt;""),SUMIFS(DashboardData!$D:$D,DashboardData!$A:$A,IF(Dashboard!$B$5="All","*",Dashboard!$B$5),DashboardData!$B:$B,A585),NA())</f>
        <v>#N/A</v>
      </c>
      <c r="C585" s="7" t="e">
        <f>IF(AND(A585&gt;=Dashboard!$F$5,A585&lt;=Dashboard!$J$5,A585&lt;&gt;""),-SUMIFS(DashboardData!$E:$E,DashboardData!$A:$A,IF(Dashboard!$B$5="All","*",Dashboard!$B$5),DashboardData!$B:$B,A585),NA())</f>
        <v>#N/A</v>
      </c>
    </row>
    <row r="586" spans="1:3" x14ac:dyDescent="0.25">
      <c r="A586" t="str">
        <f>IF(Monthly!A586="","",Monthly!A586)</f>
        <v/>
      </c>
      <c r="B586" s="7" t="e">
        <f>IF(AND(A586&gt;=Dashboard!$F$5,A586&lt;=Dashboard!$J$5,A586&lt;&gt;""),SUMIFS(DashboardData!$D:$D,DashboardData!$A:$A,IF(Dashboard!$B$5="All","*",Dashboard!$B$5),DashboardData!$B:$B,A586),NA())</f>
        <v>#N/A</v>
      </c>
      <c r="C586" s="7" t="e">
        <f>IF(AND(A586&gt;=Dashboard!$F$5,A586&lt;=Dashboard!$J$5,A586&lt;&gt;""),-SUMIFS(DashboardData!$E:$E,DashboardData!$A:$A,IF(Dashboard!$B$5="All","*",Dashboard!$B$5),DashboardData!$B:$B,A586),NA())</f>
        <v>#N/A</v>
      </c>
    </row>
    <row r="587" spans="1:3" x14ac:dyDescent="0.25">
      <c r="A587" t="str">
        <f>IF(Monthly!A587="","",Monthly!A587)</f>
        <v/>
      </c>
      <c r="B587" s="7" t="e">
        <f>IF(AND(A587&gt;=Dashboard!$F$5,A587&lt;=Dashboard!$J$5,A587&lt;&gt;""),SUMIFS(DashboardData!$D:$D,DashboardData!$A:$A,IF(Dashboard!$B$5="All","*",Dashboard!$B$5),DashboardData!$B:$B,A587),NA())</f>
        <v>#N/A</v>
      </c>
      <c r="C587" s="7" t="e">
        <f>IF(AND(A587&gt;=Dashboard!$F$5,A587&lt;=Dashboard!$J$5,A587&lt;&gt;""),-SUMIFS(DashboardData!$E:$E,DashboardData!$A:$A,IF(Dashboard!$B$5="All","*",Dashboard!$B$5),DashboardData!$B:$B,A587),NA())</f>
        <v>#N/A</v>
      </c>
    </row>
    <row r="588" spans="1:3" x14ac:dyDescent="0.25">
      <c r="A588" t="str">
        <f>IF(Monthly!A588="","",Monthly!A588)</f>
        <v/>
      </c>
      <c r="B588" s="7" t="e">
        <f>IF(AND(A588&gt;=Dashboard!$F$5,A588&lt;=Dashboard!$J$5,A588&lt;&gt;""),SUMIFS(DashboardData!$D:$D,DashboardData!$A:$A,IF(Dashboard!$B$5="All","*",Dashboard!$B$5),DashboardData!$B:$B,A588),NA())</f>
        <v>#N/A</v>
      </c>
      <c r="C588" s="7" t="e">
        <f>IF(AND(A588&gt;=Dashboard!$F$5,A588&lt;=Dashboard!$J$5,A588&lt;&gt;""),-SUMIFS(DashboardData!$E:$E,DashboardData!$A:$A,IF(Dashboard!$B$5="All","*",Dashboard!$B$5),DashboardData!$B:$B,A588),NA())</f>
        <v>#N/A</v>
      </c>
    </row>
    <row r="589" spans="1:3" x14ac:dyDescent="0.25">
      <c r="A589" t="str">
        <f>IF(Monthly!A589="","",Monthly!A589)</f>
        <v/>
      </c>
      <c r="B589" s="7" t="e">
        <f>IF(AND(A589&gt;=Dashboard!$F$5,A589&lt;=Dashboard!$J$5,A589&lt;&gt;""),SUMIFS(DashboardData!$D:$D,DashboardData!$A:$A,IF(Dashboard!$B$5="All","*",Dashboard!$B$5),DashboardData!$B:$B,A589),NA())</f>
        <v>#N/A</v>
      </c>
      <c r="C589" s="7" t="e">
        <f>IF(AND(A589&gt;=Dashboard!$F$5,A589&lt;=Dashboard!$J$5,A589&lt;&gt;""),-SUMIFS(DashboardData!$E:$E,DashboardData!$A:$A,IF(Dashboard!$B$5="All","*",Dashboard!$B$5),DashboardData!$B:$B,A589),NA())</f>
        <v>#N/A</v>
      </c>
    </row>
    <row r="590" spans="1:3" x14ac:dyDescent="0.25">
      <c r="A590" t="str">
        <f>IF(Monthly!A590="","",Monthly!A590)</f>
        <v/>
      </c>
      <c r="B590" s="7" t="e">
        <f>IF(AND(A590&gt;=Dashboard!$F$5,A590&lt;=Dashboard!$J$5,A590&lt;&gt;""),SUMIFS(DashboardData!$D:$D,DashboardData!$A:$A,IF(Dashboard!$B$5="All","*",Dashboard!$B$5),DashboardData!$B:$B,A590),NA())</f>
        <v>#N/A</v>
      </c>
      <c r="C590" s="7" t="e">
        <f>IF(AND(A590&gt;=Dashboard!$F$5,A590&lt;=Dashboard!$J$5,A590&lt;&gt;""),-SUMIFS(DashboardData!$E:$E,DashboardData!$A:$A,IF(Dashboard!$B$5="All","*",Dashboard!$B$5),DashboardData!$B:$B,A590),NA())</f>
        <v>#N/A</v>
      </c>
    </row>
    <row r="591" spans="1:3" x14ac:dyDescent="0.25">
      <c r="A591" t="str">
        <f>IF(Monthly!A591="","",Monthly!A591)</f>
        <v/>
      </c>
      <c r="B591" s="7" t="e">
        <f>IF(AND(A591&gt;=Dashboard!$F$5,A591&lt;=Dashboard!$J$5,A591&lt;&gt;""),SUMIFS(DashboardData!$D:$D,DashboardData!$A:$A,IF(Dashboard!$B$5="All","*",Dashboard!$B$5),DashboardData!$B:$B,A591),NA())</f>
        <v>#N/A</v>
      </c>
      <c r="C591" s="7" t="e">
        <f>IF(AND(A591&gt;=Dashboard!$F$5,A591&lt;=Dashboard!$J$5,A591&lt;&gt;""),-SUMIFS(DashboardData!$E:$E,DashboardData!$A:$A,IF(Dashboard!$B$5="All","*",Dashboard!$B$5),DashboardData!$B:$B,A591),NA())</f>
        <v>#N/A</v>
      </c>
    </row>
    <row r="592" spans="1:3" x14ac:dyDescent="0.25">
      <c r="A592" t="str">
        <f>IF(Monthly!A592="","",Monthly!A592)</f>
        <v/>
      </c>
      <c r="B592" s="7" t="e">
        <f>IF(AND(A592&gt;=Dashboard!$F$5,A592&lt;=Dashboard!$J$5,A592&lt;&gt;""),SUMIFS(DashboardData!$D:$D,DashboardData!$A:$A,IF(Dashboard!$B$5="All","*",Dashboard!$B$5),DashboardData!$B:$B,A592),NA())</f>
        <v>#N/A</v>
      </c>
      <c r="C592" s="7" t="e">
        <f>IF(AND(A592&gt;=Dashboard!$F$5,A592&lt;=Dashboard!$J$5,A592&lt;&gt;""),-SUMIFS(DashboardData!$E:$E,DashboardData!$A:$A,IF(Dashboard!$B$5="All","*",Dashboard!$B$5),DashboardData!$B:$B,A592),NA())</f>
        <v>#N/A</v>
      </c>
    </row>
    <row r="593" spans="1:3" x14ac:dyDescent="0.25">
      <c r="A593" t="str">
        <f>IF(Monthly!A593="","",Monthly!A593)</f>
        <v/>
      </c>
      <c r="B593" s="7" t="e">
        <f>IF(AND(A593&gt;=Dashboard!$F$5,A593&lt;=Dashboard!$J$5,A593&lt;&gt;""),SUMIFS(DashboardData!$D:$D,DashboardData!$A:$A,IF(Dashboard!$B$5="All","*",Dashboard!$B$5),DashboardData!$B:$B,A593),NA())</f>
        <v>#N/A</v>
      </c>
      <c r="C593" s="7" t="e">
        <f>IF(AND(A593&gt;=Dashboard!$F$5,A593&lt;=Dashboard!$J$5,A593&lt;&gt;""),-SUMIFS(DashboardData!$E:$E,DashboardData!$A:$A,IF(Dashboard!$B$5="All","*",Dashboard!$B$5),DashboardData!$B:$B,A593),NA())</f>
        <v>#N/A</v>
      </c>
    </row>
    <row r="594" spans="1:3" x14ac:dyDescent="0.25">
      <c r="A594" t="str">
        <f>IF(Monthly!A594="","",Monthly!A594)</f>
        <v/>
      </c>
      <c r="B594" s="7" t="e">
        <f>IF(AND(A594&gt;=Dashboard!$F$5,A594&lt;=Dashboard!$J$5,A594&lt;&gt;""),SUMIFS(DashboardData!$D:$D,DashboardData!$A:$A,IF(Dashboard!$B$5="All","*",Dashboard!$B$5),DashboardData!$B:$B,A594),NA())</f>
        <v>#N/A</v>
      </c>
      <c r="C594" s="7" t="e">
        <f>IF(AND(A594&gt;=Dashboard!$F$5,A594&lt;=Dashboard!$J$5,A594&lt;&gt;""),-SUMIFS(DashboardData!$E:$E,DashboardData!$A:$A,IF(Dashboard!$B$5="All","*",Dashboard!$B$5),DashboardData!$B:$B,A594),NA())</f>
        <v>#N/A</v>
      </c>
    </row>
    <row r="595" spans="1:3" x14ac:dyDescent="0.25">
      <c r="A595" t="str">
        <f>IF(Monthly!A595="","",Monthly!A595)</f>
        <v/>
      </c>
      <c r="B595" s="7" t="e">
        <f>IF(AND(A595&gt;=Dashboard!$F$5,A595&lt;=Dashboard!$J$5,A595&lt;&gt;""),SUMIFS(DashboardData!$D:$D,DashboardData!$A:$A,IF(Dashboard!$B$5="All","*",Dashboard!$B$5),DashboardData!$B:$B,A595),NA())</f>
        <v>#N/A</v>
      </c>
      <c r="C595" s="7" t="e">
        <f>IF(AND(A595&gt;=Dashboard!$F$5,A595&lt;=Dashboard!$J$5,A595&lt;&gt;""),-SUMIFS(DashboardData!$E:$E,DashboardData!$A:$A,IF(Dashboard!$B$5="All","*",Dashboard!$B$5),DashboardData!$B:$B,A595),NA())</f>
        <v>#N/A</v>
      </c>
    </row>
    <row r="596" spans="1:3" x14ac:dyDescent="0.25">
      <c r="A596" t="str">
        <f>IF(Monthly!A596="","",Monthly!A596)</f>
        <v/>
      </c>
      <c r="B596" s="7" t="e">
        <f>IF(AND(A596&gt;=Dashboard!$F$5,A596&lt;=Dashboard!$J$5,A596&lt;&gt;""),SUMIFS(DashboardData!$D:$D,DashboardData!$A:$A,IF(Dashboard!$B$5="All","*",Dashboard!$B$5),DashboardData!$B:$B,A596),NA())</f>
        <v>#N/A</v>
      </c>
      <c r="C596" s="7" t="e">
        <f>IF(AND(A596&gt;=Dashboard!$F$5,A596&lt;=Dashboard!$J$5,A596&lt;&gt;""),-SUMIFS(DashboardData!$E:$E,DashboardData!$A:$A,IF(Dashboard!$B$5="All","*",Dashboard!$B$5),DashboardData!$B:$B,A596),NA())</f>
        <v>#N/A</v>
      </c>
    </row>
    <row r="597" spans="1:3" x14ac:dyDescent="0.25">
      <c r="A597" t="str">
        <f>IF(Monthly!A597="","",Monthly!A597)</f>
        <v/>
      </c>
      <c r="B597" s="7" t="e">
        <f>IF(AND(A597&gt;=Dashboard!$F$5,A597&lt;=Dashboard!$J$5,A597&lt;&gt;""),SUMIFS(DashboardData!$D:$D,DashboardData!$A:$A,IF(Dashboard!$B$5="All","*",Dashboard!$B$5),DashboardData!$B:$B,A597),NA())</f>
        <v>#N/A</v>
      </c>
      <c r="C597" s="7" t="e">
        <f>IF(AND(A597&gt;=Dashboard!$F$5,A597&lt;=Dashboard!$J$5,A597&lt;&gt;""),-SUMIFS(DashboardData!$E:$E,DashboardData!$A:$A,IF(Dashboard!$B$5="All","*",Dashboard!$B$5),DashboardData!$B:$B,A597),NA())</f>
        <v>#N/A</v>
      </c>
    </row>
    <row r="598" spans="1:3" x14ac:dyDescent="0.25">
      <c r="A598" t="str">
        <f>IF(Monthly!A598="","",Monthly!A598)</f>
        <v/>
      </c>
      <c r="B598" s="7" t="e">
        <f>IF(AND(A598&gt;=Dashboard!$F$5,A598&lt;=Dashboard!$J$5,A598&lt;&gt;""),SUMIFS(DashboardData!$D:$D,DashboardData!$A:$A,IF(Dashboard!$B$5="All","*",Dashboard!$B$5),DashboardData!$B:$B,A598),NA())</f>
        <v>#N/A</v>
      </c>
      <c r="C598" s="7" t="e">
        <f>IF(AND(A598&gt;=Dashboard!$F$5,A598&lt;=Dashboard!$J$5,A598&lt;&gt;""),-SUMIFS(DashboardData!$E:$E,DashboardData!$A:$A,IF(Dashboard!$B$5="All","*",Dashboard!$B$5),DashboardData!$B:$B,A598),NA())</f>
        <v>#N/A</v>
      </c>
    </row>
    <row r="599" spans="1:3" x14ac:dyDescent="0.25">
      <c r="A599" t="str">
        <f>IF(Monthly!A599="","",Monthly!A599)</f>
        <v/>
      </c>
      <c r="B599" s="7" t="e">
        <f>IF(AND(A599&gt;=Dashboard!$F$5,A599&lt;=Dashboard!$J$5,A599&lt;&gt;""),SUMIFS(DashboardData!$D:$D,DashboardData!$A:$A,IF(Dashboard!$B$5="All","*",Dashboard!$B$5),DashboardData!$B:$B,A599),NA())</f>
        <v>#N/A</v>
      </c>
      <c r="C599" s="7" t="e">
        <f>IF(AND(A599&gt;=Dashboard!$F$5,A599&lt;=Dashboard!$J$5,A599&lt;&gt;""),-SUMIFS(DashboardData!$E:$E,DashboardData!$A:$A,IF(Dashboard!$B$5="All","*",Dashboard!$B$5),DashboardData!$B:$B,A599),NA())</f>
        <v>#N/A</v>
      </c>
    </row>
    <row r="600" spans="1:3" x14ac:dyDescent="0.25">
      <c r="A600" t="str">
        <f>IF(Monthly!A600="","",Monthly!A600)</f>
        <v/>
      </c>
      <c r="B600" s="7" t="e">
        <f>IF(AND(A600&gt;=Dashboard!$F$5,A600&lt;=Dashboard!$J$5,A600&lt;&gt;""),SUMIFS(DashboardData!$D:$D,DashboardData!$A:$A,IF(Dashboard!$B$5="All","*",Dashboard!$B$5),DashboardData!$B:$B,A600),NA())</f>
        <v>#N/A</v>
      </c>
      <c r="C600" s="7" t="e">
        <f>IF(AND(A600&gt;=Dashboard!$F$5,A600&lt;=Dashboard!$J$5,A600&lt;&gt;""),-SUMIFS(DashboardData!$E:$E,DashboardData!$A:$A,IF(Dashboard!$B$5="All","*",Dashboard!$B$5),DashboardData!$B:$B,A600),NA())</f>
        <v>#N/A</v>
      </c>
    </row>
    <row r="601" spans="1:3" x14ac:dyDescent="0.25">
      <c r="A601" t="str">
        <f>IF(Monthly!A601="","",Monthly!A601)</f>
        <v/>
      </c>
      <c r="B601" s="7" t="e">
        <f>IF(AND(A601&gt;=Dashboard!$F$5,A601&lt;=Dashboard!$J$5,A601&lt;&gt;""),SUMIFS(DashboardData!$D:$D,DashboardData!$A:$A,IF(Dashboard!$B$5="All","*",Dashboard!$B$5),DashboardData!$B:$B,A601),NA())</f>
        <v>#N/A</v>
      </c>
      <c r="C601" s="7" t="e">
        <f>IF(AND(A601&gt;=Dashboard!$F$5,A601&lt;=Dashboard!$J$5,A601&lt;&gt;""),-SUMIFS(DashboardData!$E:$E,DashboardData!$A:$A,IF(Dashboard!$B$5="All","*",Dashboard!$B$5),DashboardData!$B:$B,A601),NA())</f>
        <v>#N/A</v>
      </c>
    </row>
    <row r="602" spans="1:3" x14ac:dyDescent="0.25">
      <c r="A602" t="str">
        <f>IF(Monthly!A602="","",Monthly!A602)</f>
        <v/>
      </c>
      <c r="B602" s="7" t="e">
        <f>IF(AND(A602&gt;=Dashboard!$F$5,A602&lt;=Dashboard!$J$5,A602&lt;&gt;""),SUMIFS(DashboardData!$D:$D,DashboardData!$A:$A,IF(Dashboard!$B$5="All","*",Dashboard!$B$5),DashboardData!$B:$B,A602),NA())</f>
        <v>#N/A</v>
      </c>
      <c r="C602" s="7" t="e">
        <f>IF(AND(A602&gt;=Dashboard!$F$5,A602&lt;=Dashboard!$J$5,A602&lt;&gt;""),-SUMIFS(DashboardData!$E:$E,DashboardData!$A:$A,IF(Dashboard!$B$5="All","*",Dashboard!$B$5),DashboardData!$B:$B,A602),NA())</f>
        <v>#N/A</v>
      </c>
    </row>
    <row r="603" spans="1:3" x14ac:dyDescent="0.25">
      <c r="A603" t="str">
        <f>IF(Monthly!A603="","",Monthly!A603)</f>
        <v/>
      </c>
      <c r="B603" s="7" t="e">
        <f>IF(AND(A603&gt;=Dashboard!$F$5,A603&lt;=Dashboard!$J$5,A603&lt;&gt;""),SUMIFS(DashboardData!$D:$D,DashboardData!$A:$A,IF(Dashboard!$B$5="All","*",Dashboard!$B$5),DashboardData!$B:$B,A603),NA())</f>
        <v>#N/A</v>
      </c>
      <c r="C603" s="7" t="e">
        <f>IF(AND(A603&gt;=Dashboard!$F$5,A603&lt;=Dashboard!$J$5,A603&lt;&gt;""),-SUMIFS(DashboardData!$E:$E,DashboardData!$A:$A,IF(Dashboard!$B$5="All","*",Dashboard!$B$5),DashboardData!$B:$B,A603),NA())</f>
        <v>#N/A</v>
      </c>
    </row>
    <row r="604" spans="1:3" x14ac:dyDescent="0.25">
      <c r="A604" t="str">
        <f>IF(Monthly!A604="","",Monthly!A604)</f>
        <v/>
      </c>
      <c r="B604" s="7" t="e">
        <f>IF(AND(A604&gt;=Dashboard!$F$5,A604&lt;=Dashboard!$J$5,A604&lt;&gt;""),SUMIFS(DashboardData!$D:$D,DashboardData!$A:$A,IF(Dashboard!$B$5="All","*",Dashboard!$B$5),DashboardData!$B:$B,A604),NA())</f>
        <v>#N/A</v>
      </c>
      <c r="C604" s="7" t="e">
        <f>IF(AND(A604&gt;=Dashboard!$F$5,A604&lt;=Dashboard!$J$5,A604&lt;&gt;""),-SUMIFS(DashboardData!$E:$E,DashboardData!$A:$A,IF(Dashboard!$B$5="All","*",Dashboard!$B$5),DashboardData!$B:$B,A604),NA())</f>
        <v>#N/A</v>
      </c>
    </row>
    <row r="605" spans="1:3" x14ac:dyDescent="0.25">
      <c r="A605" t="str">
        <f>IF(Monthly!A605="","",Monthly!A605)</f>
        <v/>
      </c>
      <c r="B605" s="7" t="e">
        <f>IF(AND(A605&gt;=Dashboard!$F$5,A605&lt;=Dashboard!$J$5,A605&lt;&gt;""),SUMIFS(DashboardData!$D:$D,DashboardData!$A:$A,IF(Dashboard!$B$5="All","*",Dashboard!$B$5),DashboardData!$B:$B,A605),NA())</f>
        <v>#N/A</v>
      </c>
      <c r="C605" s="7" t="e">
        <f>IF(AND(A605&gt;=Dashboard!$F$5,A605&lt;=Dashboard!$J$5,A605&lt;&gt;""),-SUMIFS(DashboardData!$E:$E,DashboardData!$A:$A,IF(Dashboard!$B$5="All","*",Dashboard!$B$5),DashboardData!$B:$B,A605),NA())</f>
        <v>#N/A</v>
      </c>
    </row>
    <row r="606" spans="1:3" x14ac:dyDescent="0.25">
      <c r="A606" t="str">
        <f>IF(Monthly!A606="","",Monthly!A606)</f>
        <v/>
      </c>
      <c r="B606" s="7" t="e">
        <f>IF(AND(A606&gt;=Dashboard!$F$5,A606&lt;=Dashboard!$J$5,A606&lt;&gt;""),SUMIFS(DashboardData!$D:$D,DashboardData!$A:$A,IF(Dashboard!$B$5="All","*",Dashboard!$B$5),DashboardData!$B:$B,A606),NA())</f>
        <v>#N/A</v>
      </c>
      <c r="C606" s="7" t="e">
        <f>IF(AND(A606&gt;=Dashboard!$F$5,A606&lt;=Dashboard!$J$5,A606&lt;&gt;""),-SUMIFS(DashboardData!$E:$E,DashboardData!$A:$A,IF(Dashboard!$B$5="All","*",Dashboard!$B$5),DashboardData!$B:$B,A606),NA())</f>
        <v>#N/A</v>
      </c>
    </row>
    <row r="607" spans="1:3" x14ac:dyDescent="0.25">
      <c r="A607" t="str">
        <f>IF(Monthly!A607="","",Monthly!A607)</f>
        <v/>
      </c>
      <c r="B607" s="7" t="e">
        <f>IF(AND(A607&gt;=Dashboard!$F$5,A607&lt;=Dashboard!$J$5,A607&lt;&gt;""),SUMIFS(DashboardData!$D:$D,DashboardData!$A:$A,IF(Dashboard!$B$5="All","*",Dashboard!$B$5),DashboardData!$B:$B,A607),NA())</f>
        <v>#N/A</v>
      </c>
      <c r="C607" s="7" t="e">
        <f>IF(AND(A607&gt;=Dashboard!$F$5,A607&lt;=Dashboard!$J$5,A607&lt;&gt;""),-SUMIFS(DashboardData!$E:$E,DashboardData!$A:$A,IF(Dashboard!$B$5="All","*",Dashboard!$B$5),DashboardData!$B:$B,A607),NA())</f>
        <v>#N/A</v>
      </c>
    </row>
    <row r="608" spans="1:3" x14ac:dyDescent="0.25">
      <c r="A608" t="str">
        <f>IF(Monthly!A608="","",Monthly!A608)</f>
        <v/>
      </c>
      <c r="B608" s="7" t="e">
        <f>IF(AND(A608&gt;=Dashboard!$F$5,A608&lt;=Dashboard!$J$5,A608&lt;&gt;""),SUMIFS(DashboardData!$D:$D,DashboardData!$A:$A,IF(Dashboard!$B$5="All","*",Dashboard!$B$5),DashboardData!$B:$B,A608),NA())</f>
        <v>#N/A</v>
      </c>
      <c r="C608" s="7" t="e">
        <f>IF(AND(A608&gt;=Dashboard!$F$5,A608&lt;=Dashboard!$J$5,A608&lt;&gt;""),-SUMIFS(DashboardData!$E:$E,DashboardData!$A:$A,IF(Dashboard!$B$5="All","*",Dashboard!$B$5),DashboardData!$B:$B,A608),NA())</f>
        <v>#N/A</v>
      </c>
    </row>
    <row r="609" spans="1:3" x14ac:dyDescent="0.25">
      <c r="A609" t="str">
        <f>IF(Monthly!A609="","",Monthly!A609)</f>
        <v/>
      </c>
      <c r="B609" s="7" t="e">
        <f>IF(AND(A609&gt;=Dashboard!$F$5,A609&lt;=Dashboard!$J$5,A609&lt;&gt;""),SUMIFS(DashboardData!$D:$D,DashboardData!$A:$A,IF(Dashboard!$B$5="All","*",Dashboard!$B$5),DashboardData!$B:$B,A609),NA())</f>
        <v>#N/A</v>
      </c>
      <c r="C609" s="7" t="e">
        <f>IF(AND(A609&gt;=Dashboard!$F$5,A609&lt;=Dashboard!$J$5,A609&lt;&gt;""),-SUMIFS(DashboardData!$E:$E,DashboardData!$A:$A,IF(Dashboard!$B$5="All","*",Dashboard!$B$5),DashboardData!$B:$B,A609),NA())</f>
        <v>#N/A</v>
      </c>
    </row>
    <row r="610" spans="1:3" x14ac:dyDescent="0.25">
      <c r="A610" t="str">
        <f>IF(Monthly!A610="","",Monthly!A610)</f>
        <v/>
      </c>
      <c r="B610" s="7" t="e">
        <f>IF(AND(A610&gt;=Dashboard!$F$5,A610&lt;=Dashboard!$J$5,A610&lt;&gt;""),SUMIFS(DashboardData!$D:$D,DashboardData!$A:$A,IF(Dashboard!$B$5="All","*",Dashboard!$B$5),DashboardData!$B:$B,A610),NA())</f>
        <v>#N/A</v>
      </c>
      <c r="C610" s="7" t="e">
        <f>IF(AND(A610&gt;=Dashboard!$F$5,A610&lt;=Dashboard!$J$5,A610&lt;&gt;""),-SUMIFS(DashboardData!$E:$E,DashboardData!$A:$A,IF(Dashboard!$B$5="All","*",Dashboard!$B$5),DashboardData!$B:$B,A610),NA())</f>
        <v>#N/A</v>
      </c>
    </row>
    <row r="611" spans="1:3" x14ac:dyDescent="0.25">
      <c r="A611" t="str">
        <f>IF(Monthly!A611="","",Monthly!A611)</f>
        <v/>
      </c>
      <c r="B611" s="7" t="e">
        <f>IF(AND(A611&gt;=Dashboard!$F$5,A611&lt;=Dashboard!$J$5,A611&lt;&gt;""),SUMIFS(DashboardData!$D:$D,DashboardData!$A:$A,IF(Dashboard!$B$5="All","*",Dashboard!$B$5),DashboardData!$B:$B,A611),NA())</f>
        <v>#N/A</v>
      </c>
      <c r="C611" s="7" t="e">
        <f>IF(AND(A611&gt;=Dashboard!$F$5,A611&lt;=Dashboard!$J$5,A611&lt;&gt;""),-SUMIFS(DashboardData!$E:$E,DashboardData!$A:$A,IF(Dashboard!$B$5="All","*",Dashboard!$B$5),DashboardData!$B:$B,A611),NA())</f>
        <v>#N/A</v>
      </c>
    </row>
    <row r="612" spans="1:3" x14ac:dyDescent="0.25">
      <c r="A612" t="str">
        <f>IF(Monthly!A612="","",Monthly!A612)</f>
        <v/>
      </c>
      <c r="B612" s="7" t="e">
        <f>IF(AND(A612&gt;=Dashboard!$F$5,A612&lt;=Dashboard!$J$5,A612&lt;&gt;""),SUMIFS(DashboardData!$D:$D,DashboardData!$A:$A,IF(Dashboard!$B$5="All","*",Dashboard!$B$5),DashboardData!$B:$B,A612),NA())</f>
        <v>#N/A</v>
      </c>
      <c r="C612" s="7" t="e">
        <f>IF(AND(A612&gt;=Dashboard!$F$5,A612&lt;=Dashboard!$J$5,A612&lt;&gt;""),-SUMIFS(DashboardData!$E:$E,DashboardData!$A:$A,IF(Dashboard!$B$5="All","*",Dashboard!$B$5),DashboardData!$B:$B,A612),NA())</f>
        <v>#N/A</v>
      </c>
    </row>
    <row r="613" spans="1:3" x14ac:dyDescent="0.25">
      <c r="A613" t="str">
        <f>IF(Monthly!A613="","",Monthly!A613)</f>
        <v/>
      </c>
      <c r="B613" s="7" t="e">
        <f>IF(AND(A613&gt;=Dashboard!$F$5,A613&lt;=Dashboard!$J$5,A613&lt;&gt;""),SUMIFS(DashboardData!$D:$D,DashboardData!$A:$A,IF(Dashboard!$B$5="All","*",Dashboard!$B$5),DashboardData!$B:$B,A613),NA())</f>
        <v>#N/A</v>
      </c>
      <c r="C613" s="7" t="e">
        <f>IF(AND(A613&gt;=Dashboard!$F$5,A613&lt;=Dashboard!$J$5,A613&lt;&gt;""),-SUMIFS(DashboardData!$E:$E,DashboardData!$A:$A,IF(Dashboard!$B$5="All","*",Dashboard!$B$5),DashboardData!$B:$B,A613),NA())</f>
        <v>#N/A</v>
      </c>
    </row>
    <row r="614" spans="1:3" x14ac:dyDescent="0.25">
      <c r="A614" t="str">
        <f>IF(Monthly!A614="","",Monthly!A614)</f>
        <v/>
      </c>
      <c r="B614" s="7" t="e">
        <f>IF(AND(A614&gt;=Dashboard!$F$5,A614&lt;=Dashboard!$J$5,A614&lt;&gt;""),SUMIFS(DashboardData!$D:$D,DashboardData!$A:$A,IF(Dashboard!$B$5="All","*",Dashboard!$B$5),DashboardData!$B:$B,A614),NA())</f>
        <v>#N/A</v>
      </c>
      <c r="C614" s="7" t="e">
        <f>IF(AND(A614&gt;=Dashboard!$F$5,A614&lt;=Dashboard!$J$5,A614&lt;&gt;""),-SUMIFS(DashboardData!$E:$E,DashboardData!$A:$A,IF(Dashboard!$B$5="All","*",Dashboard!$B$5),DashboardData!$B:$B,A614),NA())</f>
        <v>#N/A</v>
      </c>
    </row>
    <row r="615" spans="1:3" x14ac:dyDescent="0.25">
      <c r="A615" t="str">
        <f>IF(Monthly!A615="","",Monthly!A615)</f>
        <v/>
      </c>
      <c r="B615" s="7" t="e">
        <f>IF(AND(A615&gt;=Dashboard!$F$5,A615&lt;=Dashboard!$J$5,A615&lt;&gt;""),SUMIFS(DashboardData!$D:$D,DashboardData!$A:$A,IF(Dashboard!$B$5="All","*",Dashboard!$B$5),DashboardData!$B:$B,A615),NA())</f>
        <v>#N/A</v>
      </c>
      <c r="C615" s="7" t="e">
        <f>IF(AND(A615&gt;=Dashboard!$F$5,A615&lt;=Dashboard!$J$5,A615&lt;&gt;""),-SUMIFS(DashboardData!$E:$E,DashboardData!$A:$A,IF(Dashboard!$B$5="All","*",Dashboard!$B$5),DashboardData!$B:$B,A615),NA())</f>
        <v>#N/A</v>
      </c>
    </row>
    <row r="616" spans="1:3" x14ac:dyDescent="0.25">
      <c r="A616" t="str">
        <f>IF(Monthly!A616="","",Monthly!A616)</f>
        <v/>
      </c>
      <c r="B616" s="7" t="e">
        <f>IF(AND(A616&gt;=Dashboard!$F$5,A616&lt;=Dashboard!$J$5,A616&lt;&gt;""),SUMIFS(DashboardData!$D:$D,DashboardData!$A:$A,IF(Dashboard!$B$5="All","*",Dashboard!$B$5),DashboardData!$B:$B,A616),NA())</f>
        <v>#N/A</v>
      </c>
      <c r="C616" s="7" t="e">
        <f>IF(AND(A616&gt;=Dashboard!$F$5,A616&lt;=Dashboard!$J$5,A616&lt;&gt;""),-SUMIFS(DashboardData!$E:$E,DashboardData!$A:$A,IF(Dashboard!$B$5="All","*",Dashboard!$B$5),DashboardData!$B:$B,A616),NA())</f>
        <v>#N/A</v>
      </c>
    </row>
    <row r="617" spans="1:3" x14ac:dyDescent="0.25">
      <c r="A617" t="str">
        <f>IF(Monthly!A617="","",Monthly!A617)</f>
        <v/>
      </c>
      <c r="B617" s="7" t="e">
        <f>IF(AND(A617&gt;=Dashboard!$F$5,A617&lt;=Dashboard!$J$5,A617&lt;&gt;""),SUMIFS(DashboardData!$D:$D,DashboardData!$A:$A,IF(Dashboard!$B$5="All","*",Dashboard!$B$5),DashboardData!$B:$B,A617),NA())</f>
        <v>#N/A</v>
      </c>
      <c r="C617" s="7" t="e">
        <f>IF(AND(A617&gt;=Dashboard!$F$5,A617&lt;=Dashboard!$J$5,A617&lt;&gt;""),-SUMIFS(DashboardData!$E:$E,DashboardData!$A:$A,IF(Dashboard!$B$5="All","*",Dashboard!$B$5),DashboardData!$B:$B,A617),NA())</f>
        <v>#N/A</v>
      </c>
    </row>
    <row r="618" spans="1:3" x14ac:dyDescent="0.25">
      <c r="A618" t="str">
        <f>IF(Monthly!A618="","",Monthly!A618)</f>
        <v/>
      </c>
      <c r="B618" s="7" t="e">
        <f>IF(AND(A618&gt;=Dashboard!$F$5,A618&lt;=Dashboard!$J$5,A618&lt;&gt;""),SUMIFS(DashboardData!$D:$D,DashboardData!$A:$A,IF(Dashboard!$B$5="All","*",Dashboard!$B$5),DashboardData!$B:$B,A618),NA())</f>
        <v>#N/A</v>
      </c>
      <c r="C618" s="7" t="e">
        <f>IF(AND(A618&gt;=Dashboard!$F$5,A618&lt;=Dashboard!$J$5,A618&lt;&gt;""),-SUMIFS(DashboardData!$E:$E,DashboardData!$A:$A,IF(Dashboard!$B$5="All","*",Dashboard!$B$5),DashboardData!$B:$B,A618),NA())</f>
        <v>#N/A</v>
      </c>
    </row>
    <row r="619" spans="1:3" x14ac:dyDescent="0.25">
      <c r="A619" t="str">
        <f>IF(Monthly!A619="","",Monthly!A619)</f>
        <v/>
      </c>
      <c r="B619" s="7" t="e">
        <f>IF(AND(A619&gt;=Dashboard!$F$5,A619&lt;=Dashboard!$J$5,A619&lt;&gt;""),SUMIFS(DashboardData!$D:$D,DashboardData!$A:$A,IF(Dashboard!$B$5="All","*",Dashboard!$B$5),DashboardData!$B:$B,A619),NA())</f>
        <v>#N/A</v>
      </c>
      <c r="C619" s="7" t="e">
        <f>IF(AND(A619&gt;=Dashboard!$F$5,A619&lt;=Dashboard!$J$5,A619&lt;&gt;""),-SUMIFS(DashboardData!$E:$E,DashboardData!$A:$A,IF(Dashboard!$B$5="All","*",Dashboard!$B$5),DashboardData!$B:$B,A619),NA())</f>
        <v>#N/A</v>
      </c>
    </row>
    <row r="620" spans="1:3" x14ac:dyDescent="0.25">
      <c r="A620" t="str">
        <f>IF(Monthly!A620="","",Monthly!A620)</f>
        <v/>
      </c>
      <c r="B620" s="7" t="e">
        <f>IF(AND(A620&gt;=Dashboard!$F$5,A620&lt;=Dashboard!$J$5,A620&lt;&gt;""),SUMIFS(DashboardData!$D:$D,DashboardData!$A:$A,IF(Dashboard!$B$5="All","*",Dashboard!$B$5),DashboardData!$B:$B,A620),NA())</f>
        <v>#N/A</v>
      </c>
      <c r="C620" s="7" t="e">
        <f>IF(AND(A620&gt;=Dashboard!$F$5,A620&lt;=Dashboard!$J$5,A620&lt;&gt;""),-SUMIFS(DashboardData!$E:$E,DashboardData!$A:$A,IF(Dashboard!$B$5="All","*",Dashboard!$B$5),DashboardData!$B:$B,A620),NA())</f>
        <v>#N/A</v>
      </c>
    </row>
    <row r="621" spans="1:3" x14ac:dyDescent="0.25">
      <c r="A621" t="str">
        <f>IF(Monthly!A621="","",Monthly!A621)</f>
        <v/>
      </c>
      <c r="B621" s="7" t="e">
        <f>IF(AND(A621&gt;=Dashboard!$F$5,A621&lt;=Dashboard!$J$5,A621&lt;&gt;""),SUMIFS(DashboardData!$D:$D,DashboardData!$A:$A,IF(Dashboard!$B$5="All","*",Dashboard!$B$5),DashboardData!$B:$B,A621),NA())</f>
        <v>#N/A</v>
      </c>
      <c r="C621" s="7" t="e">
        <f>IF(AND(A621&gt;=Dashboard!$F$5,A621&lt;=Dashboard!$J$5,A621&lt;&gt;""),-SUMIFS(DashboardData!$E:$E,DashboardData!$A:$A,IF(Dashboard!$B$5="All","*",Dashboard!$B$5),DashboardData!$B:$B,A621),NA())</f>
        <v>#N/A</v>
      </c>
    </row>
    <row r="622" spans="1:3" x14ac:dyDescent="0.25">
      <c r="A622" t="str">
        <f>IF(Monthly!A622="","",Monthly!A622)</f>
        <v/>
      </c>
      <c r="B622" s="7" t="e">
        <f>IF(AND(A622&gt;=Dashboard!$F$5,A622&lt;=Dashboard!$J$5,A622&lt;&gt;""),SUMIFS(DashboardData!$D:$D,DashboardData!$A:$A,IF(Dashboard!$B$5="All","*",Dashboard!$B$5),DashboardData!$B:$B,A622),NA())</f>
        <v>#N/A</v>
      </c>
      <c r="C622" s="7" t="e">
        <f>IF(AND(A622&gt;=Dashboard!$F$5,A622&lt;=Dashboard!$J$5,A622&lt;&gt;""),-SUMIFS(DashboardData!$E:$E,DashboardData!$A:$A,IF(Dashboard!$B$5="All","*",Dashboard!$B$5),DashboardData!$B:$B,A622),NA())</f>
        <v>#N/A</v>
      </c>
    </row>
    <row r="623" spans="1:3" x14ac:dyDescent="0.25">
      <c r="A623" t="str">
        <f>IF(Monthly!A623="","",Monthly!A623)</f>
        <v/>
      </c>
      <c r="B623" s="7" t="e">
        <f>IF(AND(A623&gt;=Dashboard!$F$5,A623&lt;=Dashboard!$J$5,A623&lt;&gt;""),SUMIFS(DashboardData!$D:$D,DashboardData!$A:$A,IF(Dashboard!$B$5="All","*",Dashboard!$B$5),DashboardData!$B:$B,A623),NA())</f>
        <v>#N/A</v>
      </c>
      <c r="C623" s="7" t="e">
        <f>IF(AND(A623&gt;=Dashboard!$F$5,A623&lt;=Dashboard!$J$5,A623&lt;&gt;""),-SUMIFS(DashboardData!$E:$E,DashboardData!$A:$A,IF(Dashboard!$B$5="All","*",Dashboard!$B$5),DashboardData!$B:$B,A623),NA())</f>
        <v>#N/A</v>
      </c>
    </row>
    <row r="624" spans="1:3" x14ac:dyDescent="0.25">
      <c r="A624" t="str">
        <f>IF(Monthly!A624="","",Monthly!A624)</f>
        <v/>
      </c>
      <c r="B624" s="7" t="e">
        <f>IF(AND(A624&gt;=Dashboard!$F$5,A624&lt;=Dashboard!$J$5,A624&lt;&gt;""),SUMIFS(DashboardData!$D:$D,DashboardData!$A:$A,IF(Dashboard!$B$5="All","*",Dashboard!$B$5),DashboardData!$B:$B,A624),NA())</f>
        <v>#N/A</v>
      </c>
      <c r="C624" s="7" t="e">
        <f>IF(AND(A624&gt;=Dashboard!$F$5,A624&lt;=Dashboard!$J$5,A624&lt;&gt;""),-SUMIFS(DashboardData!$E:$E,DashboardData!$A:$A,IF(Dashboard!$B$5="All","*",Dashboard!$B$5),DashboardData!$B:$B,A624),NA())</f>
        <v>#N/A</v>
      </c>
    </row>
    <row r="625" spans="1:3" x14ac:dyDescent="0.25">
      <c r="A625" t="str">
        <f>IF(Monthly!A625="","",Monthly!A625)</f>
        <v/>
      </c>
      <c r="B625" s="7" t="e">
        <f>IF(AND(A625&gt;=Dashboard!$F$5,A625&lt;=Dashboard!$J$5,A625&lt;&gt;""),SUMIFS(DashboardData!$D:$D,DashboardData!$A:$A,IF(Dashboard!$B$5="All","*",Dashboard!$B$5),DashboardData!$B:$B,A625),NA())</f>
        <v>#N/A</v>
      </c>
      <c r="C625" s="7" t="e">
        <f>IF(AND(A625&gt;=Dashboard!$F$5,A625&lt;=Dashboard!$J$5,A625&lt;&gt;""),-SUMIFS(DashboardData!$E:$E,DashboardData!$A:$A,IF(Dashboard!$B$5="All","*",Dashboard!$B$5),DashboardData!$B:$B,A625),NA())</f>
        <v>#N/A</v>
      </c>
    </row>
    <row r="626" spans="1:3" x14ac:dyDescent="0.25">
      <c r="A626" t="str">
        <f>IF(Monthly!A626="","",Monthly!A626)</f>
        <v/>
      </c>
      <c r="B626" s="7" t="e">
        <f>IF(AND(A626&gt;=Dashboard!$F$5,A626&lt;=Dashboard!$J$5,A626&lt;&gt;""),SUMIFS(DashboardData!$D:$D,DashboardData!$A:$A,IF(Dashboard!$B$5="All","*",Dashboard!$B$5),DashboardData!$B:$B,A626),NA())</f>
        <v>#N/A</v>
      </c>
      <c r="C626" s="7" t="e">
        <f>IF(AND(A626&gt;=Dashboard!$F$5,A626&lt;=Dashboard!$J$5,A626&lt;&gt;""),-SUMIFS(DashboardData!$E:$E,DashboardData!$A:$A,IF(Dashboard!$B$5="All","*",Dashboard!$B$5),DashboardData!$B:$B,A626),NA())</f>
        <v>#N/A</v>
      </c>
    </row>
    <row r="627" spans="1:3" x14ac:dyDescent="0.25">
      <c r="A627" t="str">
        <f>IF(Monthly!A627="","",Monthly!A627)</f>
        <v/>
      </c>
      <c r="B627" s="7" t="e">
        <f>IF(AND(A627&gt;=Dashboard!$F$5,A627&lt;=Dashboard!$J$5,A627&lt;&gt;""),SUMIFS(DashboardData!$D:$D,DashboardData!$A:$A,IF(Dashboard!$B$5="All","*",Dashboard!$B$5),DashboardData!$B:$B,A627),NA())</f>
        <v>#N/A</v>
      </c>
      <c r="C627" s="7" t="e">
        <f>IF(AND(A627&gt;=Dashboard!$F$5,A627&lt;=Dashboard!$J$5,A627&lt;&gt;""),-SUMIFS(DashboardData!$E:$E,DashboardData!$A:$A,IF(Dashboard!$B$5="All","*",Dashboard!$B$5),DashboardData!$B:$B,A627),NA())</f>
        <v>#N/A</v>
      </c>
    </row>
    <row r="628" spans="1:3" x14ac:dyDescent="0.25">
      <c r="A628" t="str">
        <f>IF(Monthly!A628="","",Monthly!A628)</f>
        <v/>
      </c>
      <c r="B628" s="7" t="e">
        <f>IF(AND(A628&gt;=Dashboard!$F$5,A628&lt;=Dashboard!$J$5,A628&lt;&gt;""),SUMIFS(DashboardData!$D:$D,DashboardData!$A:$A,IF(Dashboard!$B$5="All","*",Dashboard!$B$5),DashboardData!$B:$B,A628),NA())</f>
        <v>#N/A</v>
      </c>
      <c r="C628" s="7" t="e">
        <f>IF(AND(A628&gt;=Dashboard!$F$5,A628&lt;=Dashboard!$J$5,A628&lt;&gt;""),-SUMIFS(DashboardData!$E:$E,DashboardData!$A:$A,IF(Dashboard!$B$5="All","*",Dashboard!$B$5),DashboardData!$B:$B,A628),NA())</f>
        <v>#N/A</v>
      </c>
    </row>
    <row r="629" spans="1:3" x14ac:dyDescent="0.25">
      <c r="A629" t="str">
        <f>IF(Monthly!A629="","",Monthly!A629)</f>
        <v/>
      </c>
      <c r="B629" s="7" t="e">
        <f>IF(AND(A629&gt;=Dashboard!$F$5,A629&lt;=Dashboard!$J$5,A629&lt;&gt;""),SUMIFS(DashboardData!$D:$D,DashboardData!$A:$A,IF(Dashboard!$B$5="All","*",Dashboard!$B$5),DashboardData!$B:$B,A629),NA())</f>
        <v>#N/A</v>
      </c>
      <c r="C629" s="7" t="e">
        <f>IF(AND(A629&gt;=Dashboard!$F$5,A629&lt;=Dashboard!$J$5,A629&lt;&gt;""),-SUMIFS(DashboardData!$E:$E,DashboardData!$A:$A,IF(Dashboard!$B$5="All","*",Dashboard!$B$5),DashboardData!$B:$B,A629),NA())</f>
        <v>#N/A</v>
      </c>
    </row>
    <row r="630" spans="1:3" x14ac:dyDescent="0.25">
      <c r="A630" t="str">
        <f>IF(Monthly!A630="","",Monthly!A630)</f>
        <v/>
      </c>
      <c r="B630" s="7" t="e">
        <f>IF(AND(A630&gt;=Dashboard!$F$5,A630&lt;=Dashboard!$J$5,A630&lt;&gt;""),SUMIFS(DashboardData!$D:$D,DashboardData!$A:$A,IF(Dashboard!$B$5="All","*",Dashboard!$B$5),DashboardData!$B:$B,A630),NA())</f>
        <v>#N/A</v>
      </c>
      <c r="C630" s="7" t="e">
        <f>IF(AND(A630&gt;=Dashboard!$F$5,A630&lt;=Dashboard!$J$5,A630&lt;&gt;""),-SUMIFS(DashboardData!$E:$E,DashboardData!$A:$A,IF(Dashboard!$B$5="All","*",Dashboard!$B$5),DashboardData!$B:$B,A630),NA())</f>
        <v>#N/A</v>
      </c>
    </row>
    <row r="631" spans="1:3" x14ac:dyDescent="0.25">
      <c r="A631" t="str">
        <f>IF(Monthly!A631="","",Monthly!A631)</f>
        <v/>
      </c>
      <c r="B631" s="7" t="e">
        <f>IF(AND(A631&gt;=Dashboard!$F$5,A631&lt;=Dashboard!$J$5,A631&lt;&gt;""),SUMIFS(DashboardData!$D:$D,DashboardData!$A:$A,IF(Dashboard!$B$5="All","*",Dashboard!$B$5),DashboardData!$B:$B,A631),NA())</f>
        <v>#N/A</v>
      </c>
      <c r="C631" s="7" t="e">
        <f>IF(AND(A631&gt;=Dashboard!$F$5,A631&lt;=Dashboard!$J$5,A631&lt;&gt;""),-SUMIFS(DashboardData!$E:$E,DashboardData!$A:$A,IF(Dashboard!$B$5="All","*",Dashboard!$B$5),DashboardData!$B:$B,A631),NA())</f>
        <v>#N/A</v>
      </c>
    </row>
    <row r="632" spans="1:3" x14ac:dyDescent="0.25">
      <c r="A632" t="str">
        <f>IF(Monthly!A632="","",Monthly!A632)</f>
        <v/>
      </c>
      <c r="B632" s="7" t="e">
        <f>IF(AND(A632&gt;=Dashboard!$F$5,A632&lt;=Dashboard!$J$5,A632&lt;&gt;""),SUMIFS(DashboardData!$D:$D,DashboardData!$A:$A,IF(Dashboard!$B$5="All","*",Dashboard!$B$5),DashboardData!$B:$B,A632),NA())</f>
        <v>#N/A</v>
      </c>
      <c r="C632" s="7" t="e">
        <f>IF(AND(A632&gt;=Dashboard!$F$5,A632&lt;=Dashboard!$J$5,A632&lt;&gt;""),-SUMIFS(DashboardData!$E:$E,DashboardData!$A:$A,IF(Dashboard!$B$5="All","*",Dashboard!$B$5),DashboardData!$B:$B,A632),NA())</f>
        <v>#N/A</v>
      </c>
    </row>
    <row r="633" spans="1:3" x14ac:dyDescent="0.25">
      <c r="A633" t="str">
        <f>IF(Monthly!A633="","",Monthly!A633)</f>
        <v/>
      </c>
      <c r="B633" s="7" t="e">
        <f>IF(AND(A633&gt;=Dashboard!$F$5,A633&lt;=Dashboard!$J$5,A633&lt;&gt;""),SUMIFS(DashboardData!$D:$D,DashboardData!$A:$A,IF(Dashboard!$B$5="All","*",Dashboard!$B$5),DashboardData!$B:$B,A633),NA())</f>
        <v>#N/A</v>
      </c>
      <c r="C633" s="7" t="e">
        <f>IF(AND(A633&gt;=Dashboard!$F$5,A633&lt;=Dashboard!$J$5,A633&lt;&gt;""),-SUMIFS(DashboardData!$E:$E,DashboardData!$A:$A,IF(Dashboard!$B$5="All","*",Dashboard!$B$5),DashboardData!$B:$B,A633),NA())</f>
        <v>#N/A</v>
      </c>
    </row>
    <row r="634" spans="1:3" x14ac:dyDescent="0.25">
      <c r="A634" t="str">
        <f>IF(Monthly!A634="","",Monthly!A634)</f>
        <v/>
      </c>
      <c r="B634" s="7" t="e">
        <f>IF(AND(A634&gt;=Dashboard!$F$5,A634&lt;=Dashboard!$J$5,A634&lt;&gt;""),SUMIFS(DashboardData!$D:$D,DashboardData!$A:$A,IF(Dashboard!$B$5="All","*",Dashboard!$B$5),DashboardData!$B:$B,A634),NA())</f>
        <v>#N/A</v>
      </c>
      <c r="C634" s="7" t="e">
        <f>IF(AND(A634&gt;=Dashboard!$F$5,A634&lt;=Dashboard!$J$5,A634&lt;&gt;""),-SUMIFS(DashboardData!$E:$E,DashboardData!$A:$A,IF(Dashboard!$B$5="All","*",Dashboard!$B$5),DashboardData!$B:$B,A634),NA())</f>
        <v>#N/A</v>
      </c>
    </row>
    <row r="635" spans="1:3" x14ac:dyDescent="0.25">
      <c r="A635" t="str">
        <f>IF(Monthly!A635="","",Monthly!A635)</f>
        <v/>
      </c>
      <c r="B635" s="7" t="e">
        <f>IF(AND(A635&gt;=Dashboard!$F$5,A635&lt;=Dashboard!$J$5,A635&lt;&gt;""),SUMIFS(DashboardData!$D:$D,DashboardData!$A:$A,IF(Dashboard!$B$5="All","*",Dashboard!$B$5),DashboardData!$B:$B,A635),NA())</f>
        <v>#N/A</v>
      </c>
      <c r="C635" s="7" t="e">
        <f>IF(AND(A635&gt;=Dashboard!$F$5,A635&lt;=Dashboard!$J$5,A635&lt;&gt;""),-SUMIFS(DashboardData!$E:$E,DashboardData!$A:$A,IF(Dashboard!$B$5="All","*",Dashboard!$B$5),DashboardData!$B:$B,A635),NA())</f>
        <v>#N/A</v>
      </c>
    </row>
    <row r="636" spans="1:3" x14ac:dyDescent="0.25">
      <c r="A636" t="str">
        <f>IF(Monthly!A636="","",Monthly!A636)</f>
        <v/>
      </c>
      <c r="B636" s="7" t="e">
        <f>IF(AND(A636&gt;=Dashboard!$F$5,A636&lt;=Dashboard!$J$5,A636&lt;&gt;""),SUMIFS(DashboardData!$D:$D,DashboardData!$A:$A,IF(Dashboard!$B$5="All","*",Dashboard!$B$5),DashboardData!$B:$B,A636),NA())</f>
        <v>#N/A</v>
      </c>
      <c r="C636" s="7" t="e">
        <f>IF(AND(A636&gt;=Dashboard!$F$5,A636&lt;=Dashboard!$J$5,A636&lt;&gt;""),-SUMIFS(DashboardData!$E:$E,DashboardData!$A:$A,IF(Dashboard!$B$5="All","*",Dashboard!$B$5),DashboardData!$B:$B,A636),NA())</f>
        <v>#N/A</v>
      </c>
    </row>
    <row r="637" spans="1:3" x14ac:dyDescent="0.25">
      <c r="A637" t="str">
        <f>IF(Monthly!A637="","",Monthly!A637)</f>
        <v/>
      </c>
      <c r="B637" s="7" t="e">
        <f>IF(AND(A637&gt;=Dashboard!$F$5,A637&lt;=Dashboard!$J$5,A637&lt;&gt;""),SUMIFS(DashboardData!$D:$D,DashboardData!$A:$A,IF(Dashboard!$B$5="All","*",Dashboard!$B$5),DashboardData!$B:$B,A637),NA())</f>
        <v>#N/A</v>
      </c>
      <c r="C637" s="7" t="e">
        <f>IF(AND(A637&gt;=Dashboard!$F$5,A637&lt;=Dashboard!$J$5,A637&lt;&gt;""),-SUMIFS(DashboardData!$E:$E,DashboardData!$A:$A,IF(Dashboard!$B$5="All","*",Dashboard!$B$5),DashboardData!$B:$B,A637),NA())</f>
        <v>#N/A</v>
      </c>
    </row>
    <row r="638" spans="1:3" x14ac:dyDescent="0.25">
      <c r="A638" t="str">
        <f>IF(Monthly!A638="","",Monthly!A638)</f>
        <v/>
      </c>
      <c r="B638" s="7" t="e">
        <f>IF(AND(A638&gt;=Dashboard!$F$5,A638&lt;=Dashboard!$J$5,A638&lt;&gt;""),SUMIFS(DashboardData!$D:$D,DashboardData!$A:$A,IF(Dashboard!$B$5="All","*",Dashboard!$B$5),DashboardData!$B:$B,A638),NA())</f>
        <v>#N/A</v>
      </c>
      <c r="C638" s="7" t="e">
        <f>IF(AND(A638&gt;=Dashboard!$F$5,A638&lt;=Dashboard!$J$5,A638&lt;&gt;""),-SUMIFS(DashboardData!$E:$E,DashboardData!$A:$A,IF(Dashboard!$B$5="All","*",Dashboard!$B$5),DashboardData!$B:$B,A638),NA())</f>
        <v>#N/A</v>
      </c>
    </row>
    <row r="639" spans="1:3" x14ac:dyDescent="0.25">
      <c r="A639" t="str">
        <f>IF(Monthly!A639="","",Monthly!A639)</f>
        <v/>
      </c>
      <c r="B639" s="7" t="e">
        <f>IF(AND(A639&gt;=Dashboard!$F$5,A639&lt;=Dashboard!$J$5,A639&lt;&gt;""),SUMIFS(DashboardData!$D:$D,DashboardData!$A:$A,IF(Dashboard!$B$5="All","*",Dashboard!$B$5),DashboardData!$B:$B,A639),NA())</f>
        <v>#N/A</v>
      </c>
      <c r="C639" s="7" t="e">
        <f>IF(AND(A639&gt;=Dashboard!$F$5,A639&lt;=Dashboard!$J$5,A639&lt;&gt;""),-SUMIFS(DashboardData!$E:$E,DashboardData!$A:$A,IF(Dashboard!$B$5="All","*",Dashboard!$B$5),DashboardData!$B:$B,A639),NA())</f>
        <v>#N/A</v>
      </c>
    </row>
    <row r="640" spans="1:3" x14ac:dyDescent="0.25">
      <c r="A640" t="str">
        <f>IF(Monthly!A640="","",Monthly!A640)</f>
        <v/>
      </c>
      <c r="B640" s="7" t="e">
        <f>IF(AND(A640&gt;=Dashboard!$F$5,A640&lt;=Dashboard!$J$5,A640&lt;&gt;""),SUMIFS(DashboardData!$D:$D,DashboardData!$A:$A,IF(Dashboard!$B$5="All","*",Dashboard!$B$5),DashboardData!$B:$B,A640),NA())</f>
        <v>#N/A</v>
      </c>
      <c r="C640" s="7" t="e">
        <f>IF(AND(A640&gt;=Dashboard!$F$5,A640&lt;=Dashboard!$J$5,A640&lt;&gt;""),-SUMIFS(DashboardData!$E:$E,DashboardData!$A:$A,IF(Dashboard!$B$5="All","*",Dashboard!$B$5),DashboardData!$B:$B,A640),NA())</f>
        <v>#N/A</v>
      </c>
    </row>
    <row r="641" spans="1:3" x14ac:dyDescent="0.25">
      <c r="A641" t="str">
        <f>IF(Monthly!A641="","",Monthly!A641)</f>
        <v/>
      </c>
      <c r="B641" s="7" t="e">
        <f>IF(AND(A641&gt;=Dashboard!$F$5,A641&lt;=Dashboard!$J$5,A641&lt;&gt;""),SUMIFS(DashboardData!$D:$D,DashboardData!$A:$A,IF(Dashboard!$B$5="All","*",Dashboard!$B$5),DashboardData!$B:$B,A641),NA())</f>
        <v>#N/A</v>
      </c>
      <c r="C641" s="7" t="e">
        <f>IF(AND(A641&gt;=Dashboard!$F$5,A641&lt;=Dashboard!$J$5,A641&lt;&gt;""),-SUMIFS(DashboardData!$E:$E,DashboardData!$A:$A,IF(Dashboard!$B$5="All","*",Dashboard!$B$5),DashboardData!$B:$B,A641),NA())</f>
        <v>#N/A</v>
      </c>
    </row>
    <row r="642" spans="1:3" x14ac:dyDescent="0.25">
      <c r="A642" t="str">
        <f>IF(Monthly!A642="","",Monthly!A642)</f>
        <v/>
      </c>
      <c r="B642" s="7" t="e">
        <f>IF(AND(A642&gt;=Dashboard!$F$5,A642&lt;=Dashboard!$J$5,A642&lt;&gt;""),SUMIFS(DashboardData!$D:$D,DashboardData!$A:$A,IF(Dashboard!$B$5="All","*",Dashboard!$B$5),DashboardData!$B:$B,A642),NA())</f>
        <v>#N/A</v>
      </c>
      <c r="C642" s="7" t="e">
        <f>IF(AND(A642&gt;=Dashboard!$F$5,A642&lt;=Dashboard!$J$5,A642&lt;&gt;""),-SUMIFS(DashboardData!$E:$E,DashboardData!$A:$A,IF(Dashboard!$B$5="All","*",Dashboard!$B$5),DashboardData!$B:$B,A642),NA())</f>
        <v>#N/A</v>
      </c>
    </row>
    <row r="643" spans="1:3" x14ac:dyDescent="0.25">
      <c r="A643" t="str">
        <f>IF(Monthly!A643="","",Monthly!A643)</f>
        <v/>
      </c>
      <c r="B643" s="7" t="e">
        <f>IF(AND(A643&gt;=Dashboard!$F$5,A643&lt;=Dashboard!$J$5,A643&lt;&gt;""),SUMIFS(DashboardData!$D:$D,DashboardData!$A:$A,IF(Dashboard!$B$5="All","*",Dashboard!$B$5),DashboardData!$B:$B,A643),NA())</f>
        <v>#N/A</v>
      </c>
      <c r="C643" s="7" t="e">
        <f>IF(AND(A643&gt;=Dashboard!$F$5,A643&lt;=Dashboard!$J$5,A643&lt;&gt;""),-SUMIFS(DashboardData!$E:$E,DashboardData!$A:$A,IF(Dashboard!$B$5="All","*",Dashboard!$B$5),DashboardData!$B:$B,A643),NA())</f>
        <v>#N/A</v>
      </c>
    </row>
    <row r="644" spans="1:3" x14ac:dyDescent="0.25">
      <c r="A644" t="str">
        <f>IF(Monthly!A644="","",Monthly!A644)</f>
        <v/>
      </c>
      <c r="B644" s="7" t="e">
        <f>IF(AND(A644&gt;=Dashboard!$F$5,A644&lt;=Dashboard!$J$5,A644&lt;&gt;""),SUMIFS(DashboardData!$D:$D,DashboardData!$A:$A,IF(Dashboard!$B$5="All","*",Dashboard!$B$5),DashboardData!$B:$B,A644),NA())</f>
        <v>#N/A</v>
      </c>
      <c r="C644" s="7" t="e">
        <f>IF(AND(A644&gt;=Dashboard!$F$5,A644&lt;=Dashboard!$J$5,A644&lt;&gt;""),-SUMIFS(DashboardData!$E:$E,DashboardData!$A:$A,IF(Dashboard!$B$5="All","*",Dashboard!$B$5),DashboardData!$B:$B,A644),NA())</f>
        <v>#N/A</v>
      </c>
    </row>
    <row r="645" spans="1:3" x14ac:dyDescent="0.25">
      <c r="A645" t="str">
        <f>IF(Monthly!A645="","",Monthly!A645)</f>
        <v/>
      </c>
      <c r="B645" s="7" t="e">
        <f>IF(AND(A645&gt;=Dashboard!$F$5,A645&lt;=Dashboard!$J$5,A645&lt;&gt;""),SUMIFS(DashboardData!$D:$D,DashboardData!$A:$A,IF(Dashboard!$B$5="All","*",Dashboard!$B$5),DashboardData!$B:$B,A645),NA())</f>
        <v>#N/A</v>
      </c>
      <c r="C645" s="7" t="e">
        <f>IF(AND(A645&gt;=Dashboard!$F$5,A645&lt;=Dashboard!$J$5,A645&lt;&gt;""),-SUMIFS(DashboardData!$E:$E,DashboardData!$A:$A,IF(Dashboard!$B$5="All","*",Dashboard!$B$5),DashboardData!$B:$B,A645),NA())</f>
        <v>#N/A</v>
      </c>
    </row>
    <row r="646" spans="1:3" x14ac:dyDescent="0.25">
      <c r="A646" t="str">
        <f>IF(Monthly!A646="","",Monthly!A646)</f>
        <v/>
      </c>
      <c r="B646" s="7" t="e">
        <f>IF(AND(A646&gt;=Dashboard!$F$5,A646&lt;=Dashboard!$J$5,A646&lt;&gt;""),SUMIFS(DashboardData!$D:$D,DashboardData!$A:$A,IF(Dashboard!$B$5="All","*",Dashboard!$B$5),DashboardData!$B:$B,A646),NA())</f>
        <v>#N/A</v>
      </c>
      <c r="C646" s="7" t="e">
        <f>IF(AND(A646&gt;=Dashboard!$F$5,A646&lt;=Dashboard!$J$5,A646&lt;&gt;""),-SUMIFS(DashboardData!$E:$E,DashboardData!$A:$A,IF(Dashboard!$B$5="All","*",Dashboard!$B$5),DashboardData!$B:$B,A646),NA())</f>
        <v>#N/A</v>
      </c>
    </row>
    <row r="647" spans="1:3" x14ac:dyDescent="0.25">
      <c r="A647" t="str">
        <f>IF(Monthly!A647="","",Monthly!A647)</f>
        <v/>
      </c>
      <c r="B647" s="7" t="e">
        <f>IF(AND(A647&gt;=Dashboard!$F$5,A647&lt;=Dashboard!$J$5,A647&lt;&gt;""),SUMIFS(DashboardData!$D:$D,DashboardData!$A:$A,IF(Dashboard!$B$5="All","*",Dashboard!$B$5),DashboardData!$B:$B,A647),NA())</f>
        <v>#N/A</v>
      </c>
      <c r="C647" s="7" t="e">
        <f>IF(AND(A647&gt;=Dashboard!$F$5,A647&lt;=Dashboard!$J$5,A647&lt;&gt;""),-SUMIFS(DashboardData!$E:$E,DashboardData!$A:$A,IF(Dashboard!$B$5="All","*",Dashboard!$B$5),DashboardData!$B:$B,A647),NA())</f>
        <v>#N/A</v>
      </c>
    </row>
    <row r="648" spans="1:3" x14ac:dyDescent="0.25">
      <c r="A648" t="str">
        <f>IF(Monthly!A648="","",Monthly!A648)</f>
        <v/>
      </c>
      <c r="B648" s="7" t="e">
        <f>IF(AND(A648&gt;=Dashboard!$F$5,A648&lt;=Dashboard!$J$5,A648&lt;&gt;""),SUMIFS(DashboardData!$D:$D,DashboardData!$A:$A,IF(Dashboard!$B$5="All","*",Dashboard!$B$5),DashboardData!$B:$B,A648),NA())</f>
        <v>#N/A</v>
      </c>
      <c r="C648" s="7" t="e">
        <f>IF(AND(A648&gt;=Dashboard!$F$5,A648&lt;=Dashboard!$J$5,A648&lt;&gt;""),-SUMIFS(DashboardData!$E:$E,DashboardData!$A:$A,IF(Dashboard!$B$5="All","*",Dashboard!$B$5),DashboardData!$B:$B,A648),NA())</f>
        <v>#N/A</v>
      </c>
    </row>
    <row r="649" spans="1:3" x14ac:dyDescent="0.25">
      <c r="A649" t="str">
        <f>IF(Monthly!A649="","",Monthly!A649)</f>
        <v/>
      </c>
      <c r="B649" s="7" t="e">
        <f>IF(AND(A649&gt;=Dashboard!$F$5,A649&lt;=Dashboard!$J$5,A649&lt;&gt;""),SUMIFS(DashboardData!$D:$D,DashboardData!$A:$A,IF(Dashboard!$B$5="All","*",Dashboard!$B$5),DashboardData!$B:$B,A649),NA())</f>
        <v>#N/A</v>
      </c>
      <c r="C649" s="7" t="e">
        <f>IF(AND(A649&gt;=Dashboard!$F$5,A649&lt;=Dashboard!$J$5,A649&lt;&gt;""),-SUMIFS(DashboardData!$E:$E,DashboardData!$A:$A,IF(Dashboard!$B$5="All","*",Dashboard!$B$5),DashboardData!$B:$B,A649),NA())</f>
        <v>#N/A</v>
      </c>
    </row>
    <row r="650" spans="1:3" x14ac:dyDescent="0.25">
      <c r="A650" t="str">
        <f>IF(Monthly!A650="","",Monthly!A650)</f>
        <v/>
      </c>
      <c r="B650" s="7" t="e">
        <f>IF(AND(A650&gt;=Dashboard!$F$5,A650&lt;=Dashboard!$J$5,A650&lt;&gt;""),SUMIFS(DashboardData!$D:$D,DashboardData!$A:$A,IF(Dashboard!$B$5="All","*",Dashboard!$B$5),DashboardData!$B:$B,A650),NA())</f>
        <v>#N/A</v>
      </c>
      <c r="C650" s="7" t="e">
        <f>IF(AND(A650&gt;=Dashboard!$F$5,A650&lt;=Dashboard!$J$5,A650&lt;&gt;""),-SUMIFS(DashboardData!$E:$E,DashboardData!$A:$A,IF(Dashboard!$B$5="All","*",Dashboard!$B$5),DashboardData!$B:$B,A650),NA())</f>
        <v>#N/A</v>
      </c>
    </row>
    <row r="651" spans="1:3" x14ac:dyDescent="0.25">
      <c r="A651" t="str">
        <f>IF(Monthly!A651="","",Monthly!A651)</f>
        <v/>
      </c>
      <c r="B651" s="7" t="e">
        <f>IF(AND(A651&gt;=Dashboard!$F$5,A651&lt;=Dashboard!$J$5,A651&lt;&gt;""),SUMIFS(DashboardData!$D:$D,DashboardData!$A:$A,IF(Dashboard!$B$5="All","*",Dashboard!$B$5),DashboardData!$B:$B,A651),NA())</f>
        <v>#N/A</v>
      </c>
      <c r="C651" s="7" t="e">
        <f>IF(AND(A651&gt;=Dashboard!$F$5,A651&lt;=Dashboard!$J$5,A651&lt;&gt;""),-SUMIFS(DashboardData!$E:$E,DashboardData!$A:$A,IF(Dashboard!$B$5="All","*",Dashboard!$B$5),DashboardData!$B:$B,A651),NA())</f>
        <v>#N/A</v>
      </c>
    </row>
    <row r="652" spans="1:3" x14ac:dyDescent="0.25">
      <c r="A652" t="str">
        <f>IF(Monthly!A652="","",Monthly!A652)</f>
        <v/>
      </c>
      <c r="B652" s="7" t="e">
        <f>IF(AND(A652&gt;=Dashboard!$F$5,A652&lt;=Dashboard!$J$5,A652&lt;&gt;""),SUMIFS(DashboardData!$D:$D,DashboardData!$A:$A,IF(Dashboard!$B$5="All","*",Dashboard!$B$5),DashboardData!$B:$B,A652),NA())</f>
        <v>#N/A</v>
      </c>
      <c r="C652" s="7" t="e">
        <f>IF(AND(A652&gt;=Dashboard!$F$5,A652&lt;=Dashboard!$J$5,A652&lt;&gt;""),-SUMIFS(DashboardData!$E:$E,DashboardData!$A:$A,IF(Dashboard!$B$5="All","*",Dashboard!$B$5),DashboardData!$B:$B,A652),NA())</f>
        <v>#N/A</v>
      </c>
    </row>
    <row r="653" spans="1:3" x14ac:dyDescent="0.25">
      <c r="A653" t="str">
        <f>IF(Monthly!A653="","",Monthly!A653)</f>
        <v/>
      </c>
      <c r="B653" s="7" t="e">
        <f>IF(AND(A653&gt;=Dashboard!$F$5,A653&lt;=Dashboard!$J$5,A653&lt;&gt;""),SUMIFS(DashboardData!$D:$D,DashboardData!$A:$A,IF(Dashboard!$B$5="All","*",Dashboard!$B$5),DashboardData!$B:$B,A653),NA())</f>
        <v>#N/A</v>
      </c>
      <c r="C653" s="7" t="e">
        <f>IF(AND(A653&gt;=Dashboard!$F$5,A653&lt;=Dashboard!$J$5,A653&lt;&gt;""),-SUMIFS(DashboardData!$E:$E,DashboardData!$A:$A,IF(Dashboard!$B$5="All","*",Dashboard!$B$5),DashboardData!$B:$B,A653),NA())</f>
        <v>#N/A</v>
      </c>
    </row>
    <row r="654" spans="1:3" x14ac:dyDescent="0.25">
      <c r="A654" t="str">
        <f>IF(Monthly!A654="","",Monthly!A654)</f>
        <v/>
      </c>
      <c r="B654" s="7" t="e">
        <f>IF(AND(A654&gt;=Dashboard!$F$5,A654&lt;=Dashboard!$J$5,A654&lt;&gt;""),SUMIFS(DashboardData!$D:$D,DashboardData!$A:$A,IF(Dashboard!$B$5="All","*",Dashboard!$B$5),DashboardData!$B:$B,A654),NA())</f>
        <v>#N/A</v>
      </c>
      <c r="C654" s="7" t="e">
        <f>IF(AND(A654&gt;=Dashboard!$F$5,A654&lt;=Dashboard!$J$5,A654&lt;&gt;""),-SUMIFS(DashboardData!$E:$E,DashboardData!$A:$A,IF(Dashboard!$B$5="All","*",Dashboard!$B$5),DashboardData!$B:$B,A654),NA())</f>
        <v>#N/A</v>
      </c>
    </row>
    <row r="655" spans="1:3" x14ac:dyDescent="0.25">
      <c r="A655" t="str">
        <f>IF(Monthly!A655="","",Monthly!A655)</f>
        <v/>
      </c>
      <c r="B655" s="7" t="e">
        <f>IF(AND(A655&gt;=Dashboard!$F$5,A655&lt;=Dashboard!$J$5,A655&lt;&gt;""),SUMIFS(DashboardData!$D:$D,DashboardData!$A:$A,IF(Dashboard!$B$5="All","*",Dashboard!$B$5),DashboardData!$B:$B,A655),NA())</f>
        <v>#N/A</v>
      </c>
      <c r="C655" s="7" t="e">
        <f>IF(AND(A655&gt;=Dashboard!$F$5,A655&lt;=Dashboard!$J$5,A655&lt;&gt;""),-SUMIFS(DashboardData!$E:$E,DashboardData!$A:$A,IF(Dashboard!$B$5="All","*",Dashboard!$B$5),DashboardData!$B:$B,A655),NA())</f>
        <v>#N/A</v>
      </c>
    </row>
    <row r="656" spans="1:3" x14ac:dyDescent="0.25">
      <c r="A656" t="str">
        <f>IF(Monthly!A656="","",Monthly!A656)</f>
        <v/>
      </c>
      <c r="B656" s="7" t="e">
        <f>IF(AND(A656&gt;=Dashboard!$F$5,A656&lt;=Dashboard!$J$5,A656&lt;&gt;""),SUMIFS(DashboardData!$D:$D,DashboardData!$A:$A,IF(Dashboard!$B$5="All","*",Dashboard!$B$5),DashboardData!$B:$B,A656),NA())</f>
        <v>#N/A</v>
      </c>
      <c r="C656" s="7" t="e">
        <f>IF(AND(A656&gt;=Dashboard!$F$5,A656&lt;=Dashboard!$J$5,A656&lt;&gt;""),-SUMIFS(DashboardData!$E:$E,DashboardData!$A:$A,IF(Dashboard!$B$5="All","*",Dashboard!$B$5),DashboardData!$B:$B,A656),NA())</f>
        <v>#N/A</v>
      </c>
    </row>
    <row r="657" spans="1:3" x14ac:dyDescent="0.25">
      <c r="A657" t="str">
        <f>IF(Monthly!A657="","",Monthly!A657)</f>
        <v/>
      </c>
      <c r="B657" s="7" t="e">
        <f>IF(AND(A657&gt;=Dashboard!$F$5,A657&lt;=Dashboard!$J$5,A657&lt;&gt;""),SUMIFS(DashboardData!$D:$D,DashboardData!$A:$A,IF(Dashboard!$B$5="All","*",Dashboard!$B$5),DashboardData!$B:$B,A657),NA())</f>
        <v>#N/A</v>
      </c>
      <c r="C657" s="7" t="e">
        <f>IF(AND(A657&gt;=Dashboard!$F$5,A657&lt;=Dashboard!$J$5,A657&lt;&gt;""),-SUMIFS(DashboardData!$E:$E,DashboardData!$A:$A,IF(Dashboard!$B$5="All","*",Dashboard!$B$5),DashboardData!$B:$B,A657),NA())</f>
        <v>#N/A</v>
      </c>
    </row>
    <row r="658" spans="1:3" x14ac:dyDescent="0.25">
      <c r="A658" t="str">
        <f>IF(Monthly!A658="","",Monthly!A658)</f>
        <v/>
      </c>
      <c r="B658" s="7" t="e">
        <f>IF(AND(A658&gt;=Dashboard!$F$5,A658&lt;=Dashboard!$J$5,A658&lt;&gt;""),SUMIFS(DashboardData!$D:$D,DashboardData!$A:$A,IF(Dashboard!$B$5="All","*",Dashboard!$B$5),DashboardData!$B:$B,A658),NA())</f>
        <v>#N/A</v>
      </c>
      <c r="C658" s="7" t="e">
        <f>IF(AND(A658&gt;=Dashboard!$F$5,A658&lt;=Dashboard!$J$5,A658&lt;&gt;""),-SUMIFS(DashboardData!$E:$E,DashboardData!$A:$A,IF(Dashboard!$B$5="All","*",Dashboard!$B$5),DashboardData!$B:$B,A658),NA())</f>
        <v>#N/A</v>
      </c>
    </row>
    <row r="659" spans="1:3" x14ac:dyDescent="0.25">
      <c r="A659" t="str">
        <f>IF(Monthly!A659="","",Monthly!A659)</f>
        <v/>
      </c>
      <c r="B659" s="7" t="e">
        <f>IF(AND(A659&gt;=Dashboard!$F$5,A659&lt;=Dashboard!$J$5,A659&lt;&gt;""),SUMIFS(DashboardData!$D:$D,DashboardData!$A:$A,IF(Dashboard!$B$5="All","*",Dashboard!$B$5),DashboardData!$B:$B,A659),NA())</f>
        <v>#N/A</v>
      </c>
      <c r="C659" s="7" t="e">
        <f>IF(AND(A659&gt;=Dashboard!$F$5,A659&lt;=Dashboard!$J$5,A659&lt;&gt;""),-SUMIFS(DashboardData!$E:$E,DashboardData!$A:$A,IF(Dashboard!$B$5="All","*",Dashboard!$B$5),DashboardData!$B:$B,A659),NA())</f>
        <v>#N/A</v>
      </c>
    </row>
    <row r="660" spans="1:3" x14ac:dyDescent="0.25">
      <c r="A660" t="str">
        <f>IF(Monthly!A660="","",Monthly!A660)</f>
        <v/>
      </c>
      <c r="B660" s="7" t="e">
        <f>IF(AND(A660&gt;=Dashboard!$F$5,A660&lt;=Dashboard!$J$5,A660&lt;&gt;""),SUMIFS(DashboardData!$D:$D,DashboardData!$A:$A,IF(Dashboard!$B$5="All","*",Dashboard!$B$5),DashboardData!$B:$B,A660),NA())</f>
        <v>#N/A</v>
      </c>
      <c r="C660" s="7" t="e">
        <f>IF(AND(A660&gt;=Dashboard!$F$5,A660&lt;=Dashboard!$J$5,A660&lt;&gt;""),-SUMIFS(DashboardData!$E:$E,DashboardData!$A:$A,IF(Dashboard!$B$5="All","*",Dashboard!$B$5),DashboardData!$B:$B,A660),NA())</f>
        <v>#N/A</v>
      </c>
    </row>
    <row r="661" spans="1:3" x14ac:dyDescent="0.25">
      <c r="A661" t="str">
        <f>IF(Monthly!A661="","",Monthly!A661)</f>
        <v/>
      </c>
      <c r="B661" s="7" t="e">
        <f>IF(AND(A661&gt;=Dashboard!$F$5,A661&lt;=Dashboard!$J$5,A661&lt;&gt;""),SUMIFS(DashboardData!$D:$D,DashboardData!$A:$A,IF(Dashboard!$B$5="All","*",Dashboard!$B$5),DashboardData!$B:$B,A661),NA())</f>
        <v>#N/A</v>
      </c>
      <c r="C661" s="7" t="e">
        <f>IF(AND(A661&gt;=Dashboard!$F$5,A661&lt;=Dashboard!$J$5,A661&lt;&gt;""),-SUMIFS(DashboardData!$E:$E,DashboardData!$A:$A,IF(Dashboard!$B$5="All","*",Dashboard!$B$5),DashboardData!$B:$B,A661),NA())</f>
        <v>#N/A</v>
      </c>
    </row>
    <row r="662" spans="1:3" x14ac:dyDescent="0.25">
      <c r="A662" t="str">
        <f>IF(Monthly!A662="","",Monthly!A662)</f>
        <v/>
      </c>
      <c r="B662" s="7" t="e">
        <f>IF(AND(A662&gt;=Dashboard!$F$5,A662&lt;=Dashboard!$J$5,A662&lt;&gt;""),SUMIFS(DashboardData!$D:$D,DashboardData!$A:$A,IF(Dashboard!$B$5="All","*",Dashboard!$B$5),DashboardData!$B:$B,A662),NA())</f>
        <v>#N/A</v>
      </c>
      <c r="C662" s="7" t="e">
        <f>IF(AND(A662&gt;=Dashboard!$F$5,A662&lt;=Dashboard!$J$5,A662&lt;&gt;""),-SUMIFS(DashboardData!$E:$E,DashboardData!$A:$A,IF(Dashboard!$B$5="All","*",Dashboard!$B$5),DashboardData!$B:$B,A662),NA())</f>
        <v>#N/A</v>
      </c>
    </row>
    <row r="663" spans="1:3" x14ac:dyDescent="0.25">
      <c r="A663" t="str">
        <f>IF(Monthly!A663="","",Monthly!A663)</f>
        <v/>
      </c>
      <c r="B663" s="7" t="e">
        <f>IF(AND(A663&gt;=Dashboard!$F$5,A663&lt;=Dashboard!$J$5,A663&lt;&gt;""),SUMIFS(DashboardData!$D:$D,DashboardData!$A:$A,IF(Dashboard!$B$5="All","*",Dashboard!$B$5),DashboardData!$B:$B,A663),NA())</f>
        <v>#N/A</v>
      </c>
      <c r="C663" s="7" t="e">
        <f>IF(AND(A663&gt;=Dashboard!$F$5,A663&lt;=Dashboard!$J$5,A663&lt;&gt;""),-SUMIFS(DashboardData!$E:$E,DashboardData!$A:$A,IF(Dashboard!$B$5="All","*",Dashboard!$B$5),DashboardData!$B:$B,A663),NA())</f>
        <v>#N/A</v>
      </c>
    </row>
    <row r="664" spans="1:3" x14ac:dyDescent="0.25">
      <c r="A664" t="str">
        <f>IF(Monthly!A664="","",Monthly!A664)</f>
        <v/>
      </c>
      <c r="B664" s="7" t="e">
        <f>IF(AND(A664&gt;=Dashboard!$F$5,A664&lt;=Dashboard!$J$5,A664&lt;&gt;""),SUMIFS(DashboardData!$D:$D,DashboardData!$A:$A,IF(Dashboard!$B$5="All","*",Dashboard!$B$5),DashboardData!$B:$B,A664),NA())</f>
        <v>#N/A</v>
      </c>
      <c r="C664" s="7" t="e">
        <f>IF(AND(A664&gt;=Dashboard!$F$5,A664&lt;=Dashboard!$J$5,A664&lt;&gt;""),-SUMIFS(DashboardData!$E:$E,DashboardData!$A:$A,IF(Dashboard!$B$5="All","*",Dashboard!$B$5),DashboardData!$B:$B,A664),NA())</f>
        <v>#N/A</v>
      </c>
    </row>
    <row r="665" spans="1:3" x14ac:dyDescent="0.25">
      <c r="A665" t="str">
        <f>IF(Monthly!A665="","",Monthly!A665)</f>
        <v/>
      </c>
      <c r="B665" s="7" t="e">
        <f>IF(AND(A665&gt;=Dashboard!$F$5,A665&lt;=Dashboard!$J$5,A665&lt;&gt;""),SUMIFS(DashboardData!$D:$D,DashboardData!$A:$A,IF(Dashboard!$B$5="All","*",Dashboard!$B$5),DashboardData!$B:$B,A665),NA())</f>
        <v>#N/A</v>
      </c>
      <c r="C665" s="7" t="e">
        <f>IF(AND(A665&gt;=Dashboard!$F$5,A665&lt;=Dashboard!$J$5,A665&lt;&gt;""),-SUMIFS(DashboardData!$E:$E,DashboardData!$A:$A,IF(Dashboard!$B$5="All","*",Dashboard!$B$5),DashboardData!$B:$B,A665),NA())</f>
        <v>#N/A</v>
      </c>
    </row>
    <row r="666" spans="1:3" x14ac:dyDescent="0.25">
      <c r="A666" t="str">
        <f>IF(Monthly!A666="","",Monthly!A666)</f>
        <v/>
      </c>
      <c r="B666" s="7" t="e">
        <f>IF(AND(A666&gt;=Dashboard!$F$5,A666&lt;=Dashboard!$J$5,A666&lt;&gt;""),SUMIFS(DashboardData!$D:$D,DashboardData!$A:$A,IF(Dashboard!$B$5="All","*",Dashboard!$B$5),DashboardData!$B:$B,A666),NA())</f>
        <v>#N/A</v>
      </c>
      <c r="C666" s="7" t="e">
        <f>IF(AND(A666&gt;=Dashboard!$F$5,A666&lt;=Dashboard!$J$5,A666&lt;&gt;""),-SUMIFS(DashboardData!$E:$E,DashboardData!$A:$A,IF(Dashboard!$B$5="All","*",Dashboard!$B$5),DashboardData!$B:$B,A666),NA())</f>
        <v>#N/A</v>
      </c>
    </row>
    <row r="667" spans="1:3" x14ac:dyDescent="0.25">
      <c r="A667" t="str">
        <f>IF(Monthly!A667="","",Monthly!A667)</f>
        <v/>
      </c>
      <c r="B667" s="7" t="e">
        <f>IF(AND(A667&gt;=Dashboard!$F$5,A667&lt;=Dashboard!$J$5,A667&lt;&gt;""),SUMIFS(DashboardData!$D:$D,DashboardData!$A:$A,IF(Dashboard!$B$5="All","*",Dashboard!$B$5),DashboardData!$B:$B,A667),NA())</f>
        <v>#N/A</v>
      </c>
      <c r="C667" s="7" t="e">
        <f>IF(AND(A667&gt;=Dashboard!$F$5,A667&lt;=Dashboard!$J$5,A667&lt;&gt;""),-SUMIFS(DashboardData!$E:$E,DashboardData!$A:$A,IF(Dashboard!$B$5="All","*",Dashboard!$B$5),DashboardData!$B:$B,A667),NA())</f>
        <v>#N/A</v>
      </c>
    </row>
    <row r="668" spans="1:3" x14ac:dyDescent="0.25">
      <c r="A668" t="str">
        <f>IF(Monthly!A668="","",Monthly!A668)</f>
        <v/>
      </c>
      <c r="B668" s="7" t="e">
        <f>IF(AND(A668&gt;=Dashboard!$F$5,A668&lt;=Dashboard!$J$5,A668&lt;&gt;""),SUMIFS(DashboardData!$D:$D,DashboardData!$A:$A,IF(Dashboard!$B$5="All","*",Dashboard!$B$5),DashboardData!$B:$B,A668),NA())</f>
        <v>#N/A</v>
      </c>
      <c r="C668" s="7" t="e">
        <f>IF(AND(A668&gt;=Dashboard!$F$5,A668&lt;=Dashboard!$J$5,A668&lt;&gt;""),-SUMIFS(DashboardData!$E:$E,DashboardData!$A:$A,IF(Dashboard!$B$5="All","*",Dashboard!$B$5),DashboardData!$B:$B,A668),NA())</f>
        <v>#N/A</v>
      </c>
    </row>
    <row r="669" spans="1:3" x14ac:dyDescent="0.25">
      <c r="A669" t="str">
        <f>IF(Monthly!A669="","",Monthly!A669)</f>
        <v/>
      </c>
      <c r="B669" s="7" t="e">
        <f>IF(AND(A669&gt;=Dashboard!$F$5,A669&lt;=Dashboard!$J$5,A669&lt;&gt;""),SUMIFS(DashboardData!$D:$D,DashboardData!$A:$A,IF(Dashboard!$B$5="All","*",Dashboard!$B$5),DashboardData!$B:$B,A669),NA())</f>
        <v>#N/A</v>
      </c>
      <c r="C669" s="7" t="e">
        <f>IF(AND(A669&gt;=Dashboard!$F$5,A669&lt;=Dashboard!$J$5,A669&lt;&gt;""),-SUMIFS(DashboardData!$E:$E,DashboardData!$A:$A,IF(Dashboard!$B$5="All","*",Dashboard!$B$5),DashboardData!$B:$B,A669),NA())</f>
        <v>#N/A</v>
      </c>
    </row>
    <row r="670" spans="1:3" x14ac:dyDescent="0.25">
      <c r="A670" t="str">
        <f>IF(Monthly!A670="","",Monthly!A670)</f>
        <v/>
      </c>
      <c r="B670" s="7" t="e">
        <f>IF(AND(A670&gt;=Dashboard!$F$5,A670&lt;=Dashboard!$J$5,A670&lt;&gt;""),SUMIFS(DashboardData!$D:$D,DashboardData!$A:$A,IF(Dashboard!$B$5="All","*",Dashboard!$B$5),DashboardData!$B:$B,A670),NA())</f>
        <v>#N/A</v>
      </c>
      <c r="C670" s="7" t="e">
        <f>IF(AND(A670&gt;=Dashboard!$F$5,A670&lt;=Dashboard!$J$5,A670&lt;&gt;""),-SUMIFS(DashboardData!$E:$E,DashboardData!$A:$A,IF(Dashboard!$B$5="All","*",Dashboard!$B$5),DashboardData!$B:$B,A670),NA())</f>
        <v>#N/A</v>
      </c>
    </row>
    <row r="671" spans="1:3" x14ac:dyDescent="0.25">
      <c r="A671" t="str">
        <f>IF(Monthly!A671="","",Monthly!A671)</f>
        <v/>
      </c>
      <c r="B671" s="7" t="e">
        <f>IF(AND(A671&gt;=Dashboard!$F$5,A671&lt;=Dashboard!$J$5,A671&lt;&gt;""),SUMIFS(DashboardData!$D:$D,DashboardData!$A:$A,IF(Dashboard!$B$5="All","*",Dashboard!$B$5),DashboardData!$B:$B,A671),NA())</f>
        <v>#N/A</v>
      </c>
      <c r="C671" s="7" t="e">
        <f>IF(AND(A671&gt;=Dashboard!$F$5,A671&lt;=Dashboard!$J$5,A671&lt;&gt;""),-SUMIFS(DashboardData!$E:$E,DashboardData!$A:$A,IF(Dashboard!$B$5="All","*",Dashboard!$B$5),DashboardData!$B:$B,A671),NA())</f>
        <v>#N/A</v>
      </c>
    </row>
    <row r="672" spans="1:3" x14ac:dyDescent="0.25">
      <c r="A672" t="str">
        <f>IF(Monthly!A672="","",Monthly!A672)</f>
        <v/>
      </c>
      <c r="B672" s="7" t="e">
        <f>IF(AND(A672&gt;=Dashboard!$F$5,A672&lt;=Dashboard!$J$5,A672&lt;&gt;""),SUMIFS(DashboardData!$D:$D,DashboardData!$A:$A,IF(Dashboard!$B$5="All","*",Dashboard!$B$5),DashboardData!$B:$B,A672),NA())</f>
        <v>#N/A</v>
      </c>
      <c r="C672" s="7" t="e">
        <f>IF(AND(A672&gt;=Dashboard!$F$5,A672&lt;=Dashboard!$J$5,A672&lt;&gt;""),-SUMIFS(DashboardData!$E:$E,DashboardData!$A:$A,IF(Dashboard!$B$5="All","*",Dashboard!$B$5),DashboardData!$B:$B,A672),NA())</f>
        <v>#N/A</v>
      </c>
    </row>
    <row r="673" spans="1:3" x14ac:dyDescent="0.25">
      <c r="A673" t="str">
        <f>IF(Monthly!A673="","",Monthly!A673)</f>
        <v/>
      </c>
      <c r="B673" s="7" t="e">
        <f>IF(AND(A673&gt;=Dashboard!$F$5,A673&lt;=Dashboard!$J$5,A673&lt;&gt;""),SUMIFS(DashboardData!$D:$D,DashboardData!$A:$A,IF(Dashboard!$B$5="All","*",Dashboard!$B$5),DashboardData!$B:$B,A673),NA())</f>
        <v>#N/A</v>
      </c>
      <c r="C673" s="7" t="e">
        <f>IF(AND(A673&gt;=Dashboard!$F$5,A673&lt;=Dashboard!$J$5,A673&lt;&gt;""),-SUMIFS(DashboardData!$E:$E,DashboardData!$A:$A,IF(Dashboard!$B$5="All","*",Dashboard!$B$5),DashboardData!$B:$B,A673),NA())</f>
        <v>#N/A</v>
      </c>
    </row>
    <row r="674" spans="1:3" x14ac:dyDescent="0.25">
      <c r="A674" t="str">
        <f>IF(Monthly!A674="","",Monthly!A674)</f>
        <v/>
      </c>
      <c r="B674" s="7" t="e">
        <f>IF(AND(A674&gt;=Dashboard!$F$5,A674&lt;=Dashboard!$J$5,A674&lt;&gt;""),SUMIFS(DashboardData!$D:$D,DashboardData!$A:$A,IF(Dashboard!$B$5="All","*",Dashboard!$B$5),DashboardData!$B:$B,A674),NA())</f>
        <v>#N/A</v>
      </c>
      <c r="C674" s="7" t="e">
        <f>IF(AND(A674&gt;=Dashboard!$F$5,A674&lt;=Dashboard!$J$5,A674&lt;&gt;""),-SUMIFS(DashboardData!$E:$E,DashboardData!$A:$A,IF(Dashboard!$B$5="All","*",Dashboard!$B$5),DashboardData!$B:$B,A674),NA())</f>
        <v>#N/A</v>
      </c>
    </row>
    <row r="675" spans="1:3" x14ac:dyDescent="0.25">
      <c r="A675" t="str">
        <f>IF(Monthly!A675="","",Monthly!A675)</f>
        <v/>
      </c>
      <c r="B675" s="7" t="e">
        <f>IF(AND(A675&gt;=Dashboard!$F$5,A675&lt;=Dashboard!$J$5,A675&lt;&gt;""),SUMIFS(DashboardData!$D:$D,DashboardData!$A:$A,IF(Dashboard!$B$5="All","*",Dashboard!$B$5),DashboardData!$B:$B,A675),NA())</f>
        <v>#N/A</v>
      </c>
      <c r="C675" s="7" t="e">
        <f>IF(AND(A675&gt;=Dashboard!$F$5,A675&lt;=Dashboard!$J$5,A675&lt;&gt;""),-SUMIFS(DashboardData!$E:$E,DashboardData!$A:$A,IF(Dashboard!$B$5="All","*",Dashboard!$B$5),DashboardData!$B:$B,A675),NA())</f>
        <v>#N/A</v>
      </c>
    </row>
    <row r="676" spans="1:3" x14ac:dyDescent="0.25">
      <c r="A676" t="str">
        <f>IF(Monthly!A676="","",Monthly!A676)</f>
        <v/>
      </c>
      <c r="B676" s="7" t="e">
        <f>IF(AND(A676&gt;=Dashboard!$F$5,A676&lt;=Dashboard!$J$5,A676&lt;&gt;""),SUMIFS(DashboardData!$D:$D,DashboardData!$A:$A,IF(Dashboard!$B$5="All","*",Dashboard!$B$5),DashboardData!$B:$B,A676),NA())</f>
        <v>#N/A</v>
      </c>
      <c r="C676" s="7" t="e">
        <f>IF(AND(A676&gt;=Dashboard!$F$5,A676&lt;=Dashboard!$J$5,A676&lt;&gt;""),-SUMIFS(DashboardData!$E:$E,DashboardData!$A:$A,IF(Dashboard!$B$5="All","*",Dashboard!$B$5),DashboardData!$B:$B,A676),NA())</f>
        <v>#N/A</v>
      </c>
    </row>
    <row r="677" spans="1:3" x14ac:dyDescent="0.25">
      <c r="A677" t="str">
        <f>IF(Monthly!A677="","",Monthly!A677)</f>
        <v/>
      </c>
      <c r="B677" s="7" t="e">
        <f>IF(AND(A677&gt;=Dashboard!$F$5,A677&lt;=Dashboard!$J$5,A677&lt;&gt;""),SUMIFS(DashboardData!$D:$D,DashboardData!$A:$A,IF(Dashboard!$B$5="All","*",Dashboard!$B$5),DashboardData!$B:$B,A677),NA())</f>
        <v>#N/A</v>
      </c>
      <c r="C677" s="7" t="e">
        <f>IF(AND(A677&gt;=Dashboard!$F$5,A677&lt;=Dashboard!$J$5,A677&lt;&gt;""),-SUMIFS(DashboardData!$E:$E,DashboardData!$A:$A,IF(Dashboard!$B$5="All","*",Dashboard!$B$5),DashboardData!$B:$B,A677),NA())</f>
        <v>#N/A</v>
      </c>
    </row>
    <row r="678" spans="1:3" x14ac:dyDescent="0.25">
      <c r="A678" t="str">
        <f>IF(Monthly!A678="","",Monthly!A678)</f>
        <v/>
      </c>
      <c r="B678" s="7" t="e">
        <f>IF(AND(A678&gt;=Dashboard!$F$5,A678&lt;=Dashboard!$J$5,A678&lt;&gt;""),SUMIFS(DashboardData!$D:$D,DashboardData!$A:$A,IF(Dashboard!$B$5="All","*",Dashboard!$B$5),DashboardData!$B:$B,A678),NA())</f>
        <v>#N/A</v>
      </c>
      <c r="C678" s="7" t="e">
        <f>IF(AND(A678&gt;=Dashboard!$F$5,A678&lt;=Dashboard!$J$5,A678&lt;&gt;""),-SUMIFS(DashboardData!$E:$E,DashboardData!$A:$A,IF(Dashboard!$B$5="All","*",Dashboard!$B$5),DashboardData!$B:$B,A678),NA())</f>
        <v>#N/A</v>
      </c>
    </row>
    <row r="679" spans="1:3" x14ac:dyDescent="0.25">
      <c r="A679" t="str">
        <f>IF(Monthly!A679="","",Monthly!A679)</f>
        <v/>
      </c>
      <c r="B679" s="7" t="e">
        <f>IF(AND(A679&gt;=Dashboard!$F$5,A679&lt;=Dashboard!$J$5,A679&lt;&gt;""),SUMIFS(DashboardData!$D:$D,DashboardData!$A:$A,IF(Dashboard!$B$5="All","*",Dashboard!$B$5),DashboardData!$B:$B,A679),NA())</f>
        <v>#N/A</v>
      </c>
      <c r="C679" s="7" t="e">
        <f>IF(AND(A679&gt;=Dashboard!$F$5,A679&lt;=Dashboard!$J$5,A679&lt;&gt;""),-SUMIFS(DashboardData!$E:$E,DashboardData!$A:$A,IF(Dashboard!$B$5="All","*",Dashboard!$B$5),DashboardData!$B:$B,A679),NA())</f>
        <v>#N/A</v>
      </c>
    </row>
    <row r="680" spans="1:3" x14ac:dyDescent="0.25">
      <c r="A680" t="str">
        <f>IF(Monthly!A680="","",Monthly!A680)</f>
        <v/>
      </c>
      <c r="B680" s="7" t="e">
        <f>IF(AND(A680&gt;=Dashboard!$F$5,A680&lt;=Dashboard!$J$5,A680&lt;&gt;""),SUMIFS(DashboardData!$D:$D,DashboardData!$A:$A,IF(Dashboard!$B$5="All","*",Dashboard!$B$5),DashboardData!$B:$B,A680),NA())</f>
        <v>#N/A</v>
      </c>
      <c r="C680" s="7" t="e">
        <f>IF(AND(A680&gt;=Dashboard!$F$5,A680&lt;=Dashboard!$J$5,A680&lt;&gt;""),-SUMIFS(DashboardData!$E:$E,DashboardData!$A:$A,IF(Dashboard!$B$5="All","*",Dashboard!$B$5),DashboardData!$B:$B,A680),NA())</f>
        <v>#N/A</v>
      </c>
    </row>
    <row r="681" spans="1:3" x14ac:dyDescent="0.25">
      <c r="A681" t="str">
        <f>IF(Monthly!A681="","",Monthly!A681)</f>
        <v/>
      </c>
      <c r="B681" s="7" t="e">
        <f>IF(AND(A681&gt;=Dashboard!$F$5,A681&lt;=Dashboard!$J$5,A681&lt;&gt;""),SUMIFS(DashboardData!$D:$D,DashboardData!$A:$A,IF(Dashboard!$B$5="All","*",Dashboard!$B$5),DashboardData!$B:$B,A681),NA())</f>
        <v>#N/A</v>
      </c>
      <c r="C681" s="7" t="e">
        <f>IF(AND(A681&gt;=Dashboard!$F$5,A681&lt;=Dashboard!$J$5,A681&lt;&gt;""),-SUMIFS(DashboardData!$E:$E,DashboardData!$A:$A,IF(Dashboard!$B$5="All","*",Dashboard!$B$5),DashboardData!$B:$B,A681),NA())</f>
        <v>#N/A</v>
      </c>
    </row>
    <row r="682" spans="1:3" x14ac:dyDescent="0.25">
      <c r="A682" t="str">
        <f>IF(Monthly!A682="","",Monthly!A682)</f>
        <v/>
      </c>
      <c r="B682" s="7" t="e">
        <f>IF(AND(A682&gt;=Dashboard!$F$5,A682&lt;=Dashboard!$J$5,A682&lt;&gt;""),SUMIFS(DashboardData!$D:$D,DashboardData!$A:$A,IF(Dashboard!$B$5="All","*",Dashboard!$B$5),DashboardData!$B:$B,A682),NA())</f>
        <v>#N/A</v>
      </c>
      <c r="C682" s="7" t="e">
        <f>IF(AND(A682&gt;=Dashboard!$F$5,A682&lt;=Dashboard!$J$5,A682&lt;&gt;""),-SUMIFS(DashboardData!$E:$E,DashboardData!$A:$A,IF(Dashboard!$B$5="All","*",Dashboard!$B$5),DashboardData!$B:$B,A682),NA())</f>
        <v>#N/A</v>
      </c>
    </row>
    <row r="683" spans="1:3" x14ac:dyDescent="0.25">
      <c r="A683" t="str">
        <f>IF(Monthly!A683="","",Monthly!A683)</f>
        <v/>
      </c>
      <c r="B683" s="7" t="e">
        <f>IF(AND(A683&gt;=Dashboard!$F$5,A683&lt;=Dashboard!$J$5,A683&lt;&gt;""),SUMIFS(DashboardData!$D:$D,DashboardData!$A:$A,IF(Dashboard!$B$5="All","*",Dashboard!$B$5),DashboardData!$B:$B,A683),NA())</f>
        <v>#N/A</v>
      </c>
      <c r="C683" s="7" t="e">
        <f>IF(AND(A683&gt;=Dashboard!$F$5,A683&lt;=Dashboard!$J$5,A683&lt;&gt;""),-SUMIFS(DashboardData!$E:$E,DashboardData!$A:$A,IF(Dashboard!$B$5="All","*",Dashboard!$B$5),DashboardData!$B:$B,A683),NA())</f>
        <v>#N/A</v>
      </c>
    </row>
    <row r="684" spans="1:3" x14ac:dyDescent="0.25">
      <c r="A684" t="str">
        <f>IF(Monthly!A684="","",Monthly!A684)</f>
        <v/>
      </c>
      <c r="B684" s="7" t="e">
        <f>IF(AND(A684&gt;=Dashboard!$F$5,A684&lt;=Dashboard!$J$5,A684&lt;&gt;""),SUMIFS(DashboardData!$D:$D,DashboardData!$A:$A,IF(Dashboard!$B$5="All","*",Dashboard!$B$5),DashboardData!$B:$B,A684),NA())</f>
        <v>#N/A</v>
      </c>
      <c r="C684" s="7" t="e">
        <f>IF(AND(A684&gt;=Dashboard!$F$5,A684&lt;=Dashboard!$J$5,A684&lt;&gt;""),-SUMIFS(DashboardData!$E:$E,DashboardData!$A:$A,IF(Dashboard!$B$5="All","*",Dashboard!$B$5),DashboardData!$B:$B,A684),NA())</f>
        <v>#N/A</v>
      </c>
    </row>
    <row r="685" spans="1:3" x14ac:dyDescent="0.25">
      <c r="A685" t="str">
        <f>IF(Monthly!A685="","",Monthly!A685)</f>
        <v/>
      </c>
      <c r="B685" s="7" t="e">
        <f>IF(AND(A685&gt;=Dashboard!$F$5,A685&lt;=Dashboard!$J$5,A685&lt;&gt;""),SUMIFS(DashboardData!$D:$D,DashboardData!$A:$A,IF(Dashboard!$B$5="All","*",Dashboard!$B$5),DashboardData!$B:$B,A685),NA())</f>
        <v>#N/A</v>
      </c>
      <c r="C685" s="7" t="e">
        <f>IF(AND(A685&gt;=Dashboard!$F$5,A685&lt;=Dashboard!$J$5,A685&lt;&gt;""),-SUMIFS(DashboardData!$E:$E,DashboardData!$A:$A,IF(Dashboard!$B$5="All","*",Dashboard!$B$5),DashboardData!$B:$B,A685),NA())</f>
        <v>#N/A</v>
      </c>
    </row>
    <row r="686" spans="1:3" x14ac:dyDescent="0.25">
      <c r="A686" t="str">
        <f>IF(Monthly!A686="","",Monthly!A686)</f>
        <v/>
      </c>
      <c r="B686" s="7" t="e">
        <f>IF(AND(A686&gt;=Dashboard!$F$5,A686&lt;=Dashboard!$J$5,A686&lt;&gt;""),SUMIFS(DashboardData!$D:$D,DashboardData!$A:$A,IF(Dashboard!$B$5="All","*",Dashboard!$B$5),DashboardData!$B:$B,A686),NA())</f>
        <v>#N/A</v>
      </c>
      <c r="C686" s="7" t="e">
        <f>IF(AND(A686&gt;=Dashboard!$F$5,A686&lt;=Dashboard!$J$5,A686&lt;&gt;""),-SUMIFS(DashboardData!$E:$E,DashboardData!$A:$A,IF(Dashboard!$B$5="All","*",Dashboard!$B$5),DashboardData!$B:$B,A686),NA())</f>
        <v>#N/A</v>
      </c>
    </row>
    <row r="687" spans="1:3" x14ac:dyDescent="0.25">
      <c r="A687" t="str">
        <f>IF(Monthly!A687="","",Monthly!A687)</f>
        <v/>
      </c>
      <c r="B687" s="7" t="e">
        <f>IF(AND(A687&gt;=Dashboard!$F$5,A687&lt;=Dashboard!$J$5,A687&lt;&gt;""),SUMIFS(DashboardData!$D:$D,DashboardData!$A:$A,IF(Dashboard!$B$5="All","*",Dashboard!$B$5),DashboardData!$B:$B,A687),NA())</f>
        <v>#N/A</v>
      </c>
      <c r="C687" s="7" t="e">
        <f>IF(AND(A687&gt;=Dashboard!$F$5,A687&lt;=Dashboard!$J$5,A687&lt;&gt;""),-SUMIFS(DashboardData!$E:$E,DashboardData!$A:$A,IF(Dashboard!$B$5="All","*",Dashboard!$B$5),DashboardData!$B:$B,A687),NA())</f>
        <v>#N/A</v>
      </c>
    </row>
    <row r="688" spans="1:3" x14ac:dyDescent="0.25">
      <c r="A688" t="str">
        <f>IF(Monthly!A688="","",Monthly!A688)</f>
        <v/>
      </c>
      <c r="B688" s="7" t="e">
        <f>IF(AND(A688&gt;=Dashboard!$F$5,A688&lt;=Dashboard!$J$5,A688&lt;&gt;""),SUMIFS(DashboardData!$D:$D,DashboardData!$A:$A,IF(Dashboard!$B$5="All","*",Dashboard!$B$5),DashboardData!$B:$B,A688),NA())</f>
        <v>#N/A</v>
      </c>
      <c r="C688" s="7" t="e">
        <f>IF(AND(A688&gt;=Dashboard!$F$5,A688&lt;=Dashboard!$J$5,A688&lt;&gt;""),-SUMIFS(DashboardData!$E:$E,DashboardData!$A:$A,IF(Dashboard!$B$5="All","*",Dashboard!$B$5),DashboardData!$B:$B,A688),NA())</f>
        <v>#N/A</v>
      </c>
    </row>
    <row r="689" spans="1:3" x14ac:dyDescent="0.25">
      <c r="A689" t="str">
        <f>IF(Monthly!A689="","",Monthly!A689)</f>
        <v/>
      </c>
      <c r="B689" s="7" t="e">
        <f>IF(AND(A689&gt;=Dashboard!$F$5,A689&lt;=Dashboard!$J$5,A689&lt;&gt;""),SUMIFS(DashboardData!$D:$D,DashboardData!$A:$A,IF(Dashboard!$B$5="All","*",Dashboard!$B$5),DashboardData!$B:$B,A689),NA())</f>
        <v>#N/A</v>
      </c>
      <c r="C689" s="7" t="e">
        <f>IF(AND(A689&gt;=Dashboard!$F$5,A689&lt;=Dashboard!$J$5,A689&lt;&gt;""),-SUMIFS(DashboardData!$E:$E,DashboardData!$A:$A,IF(Dashboard!$B$5="All","*",Dashboard!$B$5),DashboardData!$B:$B,A689),NA())</f>
        <v>#N/A</v>
      </c>
    </row>
    <row r="690" spans="1:3" x14ac:dyDescent="0.25">
      <c r="A690" t="str">
        <f>IF(Monthly!A690="","",Monthly!A690)</f>
        <v/>
      </c>
      <c r="B690" s="7" t="e">
        <f>IF(AND(A690&gt;=Dashboard!$F$5,A690&lt;=Dashboard!$J$5,A690&lt;&gt;""),SUMIFS(DashboardData!$D:$D,DashboardData!$A:$A,IF(Dashboard!$B$5="All","*",Dashboard!$B$5),DashboardData!$B:$B,A690),NA())</f>
        <v>#N/A</v>
      </c>
      <c r="C690" s="7" t="e">
        <f>IF(AND(A690&gt;=Dashboard!$F$5,A690&lt;=Dashboard!$J$5,A690&lt;&gt;""),-SUMIFS(DashboardData!$E:$E,DashboardData!$A:$A,IF(Dashboard!$B$5="All","*",Dashboard!$B$5),DashboardData!$B:$B,A690),NA())</f>
        <v>#N/A</v>
      </c>
    </row>
    <row r="691" spans="1:3" x14ac:dyDescent="0.25">
      <c r="A691" t="str">
        <f>IF(Monthly!A691="","",Monthly!A691)</f>
        <v/>
      </c>
      <c r="B691" s="7" t="e">
        <f>IF(AND(A691&gt;=Dashboard!$F$5,A691&lt;=Dashboard!$J$5,A691&lt;&gt;""),SUMIFS(DashboardData!$D:$D,DashboardData!$A:$A,IF(Dashboard!$B$5="All","*",Dashboard!$B$5),DashboardData!$B:$B,A691),NA())</f>
        <v>#N/A</v>
      </c>
      <c r="C691" s="7" t="e">
        <f>IF(AND(A691&gt;=Dashboard!$F$5,A691&lt;=Dashboard!$J$5,A691&lt;&gt;""),-SUMIFS(DashboardData!$E:$E,DashboardData!$A:$A,IF(Dashboard!$B$5="All","*",Dashboard!$B$5),DashboardData!$B:$B,A691),NA())</f>
        <v>#N/A</v>
      </c>
    </row>
    <row r="692" spans="1:3" x14ac:dyDescent="0.25">
      <c r="A692" t="str">
        <f>IF(Monthly!A692="","",Monthly!A692)</f>
        <v/>
      </c>
      <c r="B692" s="7" t="e">
        <f>IF(AND(A692&gt;=Dashboard!$F$5,A692&lt;=Dashboard!$J$5,A692&lt;&gt;""),SUMIFS(DashboardData!$D:$D,DashboardData!$A:$A,IF(Dashboard!$B$5="All","*",Dashboard!$B$5),DashboardData!$B:$B,A692),NA())</f>
        <v>#N/A</v>
      </c>
      <c r="C692" s="7" t="e">
        <f>IF(AND(A692&gt;=Dashboard!$F$5,A692&lt;=Dashboard!$J$5,A692&lt;&gt;""),-SUMIFS(DashboardData!$E:$E,DashboardData!$A:$A,IF(Dashboard!$B$5="All","*",Dashboard!$B$5),DashboardData!$B:$B,A692),NA())</f>
        <v>#N/A</v>
      </c>
    </row>
    <row r="693" spans="1:3" x14ac:dyDescent="0.25">
      <c r="A693" t="str">
        <f>IF(Monthly!A693="","",Monthly!A693)</f>
        <v/>
      </c>
      <c r="B693" s="7" t="e">
        <f>IF(AND(A693&gt;=Dashboard!$F$5,A693&lt;=Dashboard!$J$5,A693&lt;&gt;""),SUMIFS(DashboardData!$D:$D,DashboardData!$A:$A,IF(Dashboard!$B$5="All","*",Dashboard!$B$5),DashboardData!$B:$B,A693),NA())</f>
        <v>#N/A</v>
      </c>
      <c r="C693" s="7" t="e">
        <f>IF(AND(A693&gt;=Dashboard!$F$5,A693&lt;=Dashboard!$J$5,A693&lt;&gt;""),-SUMIFS(DashboardData!$E:$E,DashboardData!$A:$A,IF(Dashboard!$B$5="All","*",Dashboard!$B$5),DashboardData!$B:$B,A693),NA())</f>
        <v>#N/A</v>
      </c>
    </row>
    <row r="694" spans="1:3" x14ac:dyDescent="0.25">
      <c r="A694" t="str">
        <f>IF(Monthly!A694="","",Monthly!A694)</f>
        <v/>
      </c>
      <c r="B694" s="7" t="e">
        <f>IF(AND(A694&gt;=Dashboard!$F$5,A694&lt;=Dashboard!$J$5,A694&lt;&gt;""),SUMIFS(DashboardData!$D:$D,DashboardData!$A:$A,IF(Dashboard!$B$5="All","*",Dashboard!$B$5),DashboardData!$B:$B,A694),NA())</f>
        <v>#N/A</v>
      </c>
      <c r="C694" s="7" t="e">
        <f>IF(AND(A694&gt;=Dashboard!$F$5,A694&lt;=Dashboard!$J$5,A694&lt;&gt;""),-SUMIFS(DashboardData!$E:$E,DashboardData!$A:$A,IF(Dashboard!$B$5="All","*",Dashboard!$B$5),DashboardData!$B:$B,A694),NA())</f>
        <v>#N/A</v>
      </c>
    </row>
    <row r="695" spans="1:3" x14ac:dyDescent="0.25">
      <c r="A695" t="str">
        <f>IF(Monthly!A695="","",Monthly!A695)</f>
        <v/>
      </c>
      <c r="B695" s="7" t="e">
        <f>IF(AND(A695&gt;=Dashboard!$F$5,A695&lt;=Dashboard!$J$5,A695&lt;&gt;""),SUMIFS(DashboardData!$D:$D,DashboardData!$A:$A,IF(Dashboard!$B$5="All","*",Dashboard!$B$5),DashboardData!$B:$B,A695),NA())</f>
        <v>#N/A</v>
      </c>
      <c r="C695" s="7" t="e">
        <f>IF(AND(A695&gt;=Dashboard!$F$5,A695&lt;=Dashboard!$J$5,A695&lt;&gt;""),-SUMIFS(DashboardData!$E:$E,DashboardData!$A:$A,IF(Dashboard!$B$5="All","*",Dashboard!$B$5),DashboardData!$B:$B,A695),NA())</f>
        <v>#N/A</v>
      </c>
    </row>
    <row r="696" spans="1:3" x14ac:dyDescent="0.25">
      <c r="A696" t="str">
        <f>IF(Monthly!A696="","",Monthly!A696)</f>
        <v/>
      </c>
      <c r="B696" s="7" t="e">
        <f>IF(AND(A696&gt;=Dashboard!$F$5,A696&lt;=Dashboard!$J$5,A696&lt;&gt;""),SUMIFS(DashboardData!$D:$D,DashboardData!$A:$A,IF(Dashboard!$B$5="All","*",Dashboard!$B$5),DashboardData!$B:$B,A696),NA())</f>
        <v>#N/A</v>
      </c>
      <c r="C696" s="7" t="e">
        <f>IF(AND(A696&gt;=Dashboard!$F$5,A696&lt;=Dashboard!$J$5,A696&lt;&gt;""),-SUMIFS(DashboardData!$E:$E,DashboardData!$A:$A,IF(Dashboard!$B$5="All","*",Dashboard!$B$5),DashboardData!$B:$B,A696),NA())</f>
        <v>#N/A</v>
      </c>
    </row>
    <row r="697" spans="1:3" x14ac:dyDescent="0.25">
      <c r="A697" t="str">
        <f>IF(Monthly!A697="","",Monthly!A697)</f>
        <v/>
      </c>
      <c r="B697" s="7" t="e">
        <f>IF(AND(A697&gt;=Dashboard!$F$5,A697&lt;=Dashboard!$J$5,A697&lt;&gt;""),SUMIFS(DashboardData!$D:$D,DashboardData!$A:$A,IF(Dashboard!$B$5="All","*",Dashboard!$B$5),DashboardData!$B:$B,A697),NA())</f>
        <v>#N/A</v>
      </c>
      <c r="C697" s="7" t="e">
        <f>IF(AND(A697&gt;=Dashboard!$F$5,A697&lt;=Dashboard!$J$5,A697&lt;&gt;""),-SUMIFS(DashboardData!$E:$E,DashboardData!$A:$A,IF(Dashboard!$B$5="All","*",Dashboard!$B$5),DashboardData!$B:$B,A697),NA())</f>
        <v>#N/A</v>
      </c>
    </row>
    <row r="698" spans="1:3" x14ac:dyDescent="0.25">
      <c r="A698" t="str">
        <f>IF(Monthly!A698="","",Monthly!A698)</f>
        <v/>
      </c>
      <c r="B698" s="7" t="e">
        <f>IF(AND(A698&gt;=Dashboard!$F$5,A698&lt;=Dashboard!$J$5,A698&lt;&gt;""),SUMIFS(DashboardData!$D:$D,DashboardData!$A:$A,IF(Dashboard!$B$5="All","*",Dashboard!$B$5),DashboardData!$B:$B,A698),NA())</f>
        <v>#N/A</v>
      </c>
      <c r="C698" s="7" t="e">
        <f>IF(AND(A698&gt;=Dashboard!$F$5,A698&lt;=Dashboard!$J$5,A698&lt;&gt;""),-SUMIFS(DashboardData!$E:$E,DashboardData!$A:$A,IF(Dashboard!$B$5="All","*",Dashboard!$B$5),DashboardData!$B:$B,A698),NA())</f>
        <v>#N/A</v>
      </c>
    </row>
    <row r="699" spans="1:3" x14ac:dyDescent="0.25">
      <c r="A699" t="str">
        <f>IF(Monthly!A699="","",Monthly!A699)</f>
        <v/>
      </c>
      <c r="B699" s="7" t="e">
        <f>IF(AND(A699&gt;=Dashboard!$F$5,A699&lt;=Dashboard!$J$5,A699&lt;&gt;""),SUMIFS(DashboardData!$D:$D,DashboardData!$A:$A,IF(Dashboard!$B$5="All","*",Dashboard!$B$5),DashboardData!$B:$B,A699),NA())</f>
        <v>#N/A</v>
      </c>
      <c r="C699" s="7" t="e">
        <f>IF(AND(A699&gt;=Dashboard!$F$5,A699&lt;=Dashboard!$J$5,A699&lt;&gt;""),-SUMIFS(DashboardData!$E:$E,DashboardData!$A:$A,IF(Dashboard!$B$5="All","*",Dashboard!$B$5),DashboardData!$B:$B,A699),NA())</f>
        <v>#N/A</v>
      </c>
    </row>
    <row r="700" spans="1:3" x14ac:dyDescent="0.25">
      <c r="A700" t="str">
        <f>IF(Monthly!A700="","",Monthly!A700)</f>
        <v/>
      </c>
      <c r="B700" s="7" t="e">
        <f>IF(AND(A700&gt;=Dashboard!$F$5,A700&lt;=Dashboard!$J$5,A700&lt;&gt;""),SUMIFS(DashboardData!$D:$D,DashboardData!$A:$A,IF(Dashboard!$B$5="All","*",Dashboard!$B$5),DashboardData!$B:$B,A700),NA())</f>
        <v>#N/A</v>
      </c>
      <c r="C700" s="7" t="e">
        <f>IF(AND(A700&gt;=Dashboard!$F$5,A700&lt;=Dashboard!$J$5,A700&lt;&gt;""),-SUMIFS(DashboardData!$E:$E,DashboardData!$A:$A,IF(Dashboard!$B$5="All","*",Dashboard!$B$5),DashboardData!$B:$B,A700),NA())</f>
        <v>#N/A</v>
      </c>
    </row>
    <row r="701" spans="1:3" x14ac:dyDescent="0.25">
      <c r="A701" t="str">
        <f>IF(Monthly!A701="","",Monthly!A701)</f>
        <v/>
      </c>
      <c r="B701" s="7" t="e">
        <f>IF(AND(A701&gt;=Dashboard!$F$5,A701&lt;=Dashboard!$J$5,A701&lt;&gt;""),SUMIFS(DashboardData!$D:$D,DashboardData!$A:$A,IF(Dashboard!$B$5="All","*",Dashboard!$B$5),DashboardData!$B:$B,A701),NA())</f>
        <v>#N/A</v>
      </c>
      <c r="C701" s="7" t="e">
        <f>IF(AND(A701&gt;=Dashboard!$F$5,A701&lt;=Dashboard!$J$5,A701&lt;&gt;""),-SUMIFS(DashboardData!$E:$E,DashboardData!$A:$A,IF(Dashboard!$B$5="All","*",Dashboard!$B$5),DashboardData!$B:$B,A701),NA())</f>
        <v>#N/A</v>
      </c>
    </row>
    <row r="702" spans="1:3" x14ac:dyDescent="0.25">
      <c r="A702" t="str">
        <f>IF(Monthly!A702="","",Monthly!A702)</f>
        <v/>
      </c>
      <c r="B702" s="7" t="e">
        <f>IF(AND(A702&gt;=Dashboard!$F$5,A702&lt;=Dashboard!$J$5,A702&lt;&gt;""),SUMIFS(DashboardData!$D:$D,DashboardData!$A:$A,IF(Dashboard!$B$5="All","*",Dashboard!$B$5),DashboardData!$B:$B,A702),NA())</f>
        <v>#N/A</v>
      </c>
      <c r="C702" s="7" t="e">
        <f>IF(AND(A702&gt;=Dashboard!$F$5,A702&lt;=Dashboard!$J$5,A702&lt;&gt;""),-SUMIFS(DashboardData!$E:$E,DashboardData!$A:$A,IF(Dashboard!$B$5="All","*",Dashboard!$B$5),DashboardData!$B:$B,A702),NA())</f>
        <v>#N/A</v>
      </c>
    </row>
    <row r="703" spans="1:3" x14ac:dyDescent="0.25">
      <c r="A703" t="str">
        <f>IF(Monthly!A703="","",Monthly!A703)</f>
        <v/>
      </c>
      <c r="B703" s="7" t="e">
        <f>IF(AND(A703&gt;=Dashboard!$F$5,A703&lt;=Dashboard!$J$5,A703&lt;&gt;""),SUMIFS(DashboardData!$D:$D,DashboardData!$A:$A,IF(Dashboard!$B$5="All","*",Dashboard!$B$5),DashboardData!$B:$B,A703),NA())</f>
        <v>#N/A</v>
      </c>
      <c r="C703" s="7" t="e">
        <f>IF(AND(A703&gt;=Dashboard!$F$5,A703&lt;=Dashboard!$J$5,A703&lt;&gt;""),-SUMIFS(DashboardData!$E:$E,DashboardData!$A:$A,IF(Dashboard!$B$5="All","*",Dashboard!$B$5),DashboardData!$B:$B,A703),NA())</f>
        <v>#N/A</v>
      </c>
    </row>
    <row r="704" spans="1:3" x14ac:dyDescent="0.25">
      <c r="A704" t="str">
        <f>IF(Monthly!A704="","",Monthly!A704)</f>
        <v/>
      </c>
      <c r="B704" s="7" t="e">
        <f>IF(AND(A704&gt;=Dashboard!$F$5,A704&lt;=Dashboard!$J$5,A704&lt;&gt;""),SUMIFS(DashboardData!$D:$D,DashboardData!$A:$A,IF(Dashboard!$B$5="All","*",Dashboard!$B$5),DashboardData!$B:$B,A704),NA())</f>
        <v>#N/A</v>
      </c>
      <c r="C704" s="7" t="e">
        <f>IF(AND(A704&gt;=Dashboard!$F$5,A704&lt;=Dashboard!$J$5,A704&lt;&gt;""),-SUMIFS(DashboardData!$E:$E,DashboardData!$A:$A,IF(Dashboard!$B$5="All","*",Dashboard!$B$5),DashboardData!$B:$B,A704),NA())</f>
        <v>#N/A</v>
      </c>
    </row>
    <row r="705" spans="1:3" x14ac:dyDescent="0.25">
      <c r="A705" t="str">
        <f>IF(Monthly!A705="","",Monthly!A705)</f>
        <v/>
      </c>
      <c r="B705" s="7" t="e">
        <f>IF(AND(A705&gt;=Dashboard!$F$5,A705&lt;=Dashboard!$J$5,A705&lt;&gt;""),SUMIFS(DashboardData!$D:$D,DashboardData!$A:$A,IF(Dashboard!$B$5="All","*",Dashboard!$B$5),DashboardData!$B:$B,A705),NA())</f>
        <v>#N/A</v>
      </c>
      <c r="C705" s="7" t="e">
        <f>IF(AND(A705&gt;=Dashboard!$F$5,A705&lt;=Dashboard!$J$5,A705&lt;&gt;""),-SUMIFS(DashboardData!$E:$E,DashboardData!$A:$A,IF(Dashboard!$B$5="All","*",Dashboard!$B$5),DashboardData!$B:$B,A705),NA())</f>
        <v>#N/A</v>
      </c>
    </row>
    <row r="706" spans="1:3" x14ac:dyDescent="0.25">
      <c r="A706" t="str">
        <f>IF(Monthly!A706="","",Monthly!A706)</f>
        <v/>
      </c>
      <c r="B706" s="7" t="e">
        <f>IF(AND(A706&gt;=Dashboard!$F$5,A706&lt;=Dashboard!$J$5,A706&lt;&gt;""),SUMIFS(DashboardData!$D:$D,DashboardData!$A:$A,IF(Dashboard!$B$5="All","*",Dashboard!$B$5),DashboardData!$B:$B,A706),NA())</f>
        <v>#N/A</v>
      </c>
      <c r="C706" s="7" t="e">
        <f>IF(AND(A706&gt;=Dashboard!$F$5,A706&lt;=Dashboard!$J$5,A706&lt;&gt;""),-SUMIFS(DashboardData!$E:$E,DashboardData!$A:$A,IF(Dashboard!$B$5="All","*",Dashboard!$B$5),DashboardData!$B:$B,A706),NA())</f>
        <v>#N/A</v>
      </c>
    </row>
    <row r="707" spans="1:3" x14ac:dyDescent="0.25">
      <c r="A707" t="str">
        <f>IF(Monthly!A707="","",Monthly!A707)</f>
        <v/>
      </c>
      <c r="B707" s="7" t="e">
        <f>IF(AND(A707&gt;=Dashboard!$F$5,A707&lt;=Dashboard!$J$5,A707&lt;&gt;""),SUMIFS(DashboardData!$D:$D,DashboardData!$A:$A,IF(Dashboard!$B$5="All","*",Dashboard!$B$5),DashboardData!$B:$B,A707),NA())</f>
        <v>#N/A</v>
      </c>
      <c r="C707" s="7" t="e">
        <f>IF(AND(A707&gt;=Dashboard!$F$5,A707&lt;=Dashboard!$J$5,A707&lt;&gt;""),-SUMIFS(DashboardData!$E:$E,DashboardData!$A:$A,IF(Dashboard!$B$5="All","*",Dashboard!$B$5),DashboardData!$B:$B,A707),NA())</f>
        <v>#N/A</v>
      </c>
    </row>
    <row r="708" spans="1:3" x14ac:dyDescent="0.25">
      <c r="A708" t="str">
        <f>IF(Monthly!A708="","",Monthly!A708)</f>
        <v/>
      </c>
      <c r="B708" s="7" t="e">
        <f>IF(AND(A708&gt;=Dashboard!$F$5,A708&lt;=Dashboard!$J$5,A708&lt;&gt;""),SUMIFS(DashboardData!$D:$D,DashboardData!$A:$A,IF(Dashboard!$B$5="All","*",Dashboard!$B$5),DashboardData!$B:$B,A708),NA())</f>
        <v>#N/A</v>
      </c>
      <c r="C708" s="7" t="e">
        <f>IF(AND(A708&gt;=Dashboard!$F$5,A708&lt;=Dashboard!$J$5,A708&lt;&gt;""),-SUMIFS(DashboardData!$E:$E,DashboardData!$A:$A,IF(Dashboard!$B$5="All","*",Dashboard!$B$5),DashboardData!$B:$B,A708),NA())</f>
        <v>#N/A</v>
      </c>
    </row>
    <row r="709" spans="1:3" x14ac:dyDescent="0.25">
      <c r="A709" t="str">
        <f>IF(Monthly!A709="","",Monthly!A709)</f>
        <v/>
      </c>
      <c r="B709" s="7" t="e">
        <f>IF(AND(A709&gt;=Dashboard!$F$5,A709&lt;=Dashboard!$J$5,A709&lt;&gt;""),SUMIFS(DashboardData!$D:$D,DashboardData!$A:$A,IF(Dashboard!$B$5="All","*",Dashboard!$B$5),DashboardData!$B:$B,A709),NA())</f>
        <v>#N/A</v>
      </c>
      <c r="C709" s="7" t="e">
        <f>IF(AND(A709&gt;=Dashboard!$F$5,A709&lt;=Dashboard!$J$5,A709&lt;&gt;""),-SUMIFS(DashboardData!$E:$E,DashboardData!$A:$A,IF(Dashboard!$B$5="All","*",Dashboard!$B$5),DashboardData!$B:$B,A709),NA())</f>
        <v>#N/A</v>
      </c>
    </row>
    <row r="710" spans="1:3" x14ac:dyDescent="0.25">
      <c r="A710" t="str">
        <f>IF(Monthly!A710="","",Monthly!A710)</f>
        <v/>
      </c>
      <c r="B710" s="7" t="e">
        <f>IF(AND(A710&gt;=Dashboard!$F$5,A710&lt;=Dashboard!$J$5,A710&lt;&gt;""),SUMIFS(DashboardData!$D:$D,DashboardData!$A:$A,IF(Dashboard!$B$5="All","*",Dashboard!$B$5),DashboardData!$B:$B,A710),NA())</f>
        <v>#N/A</v>
      </c>
      <c r="C710" s="7" t="e">
        <f>IF(AND(A710&gt;=Dashboard!$F$5,A710&lt;=Dashboard!$J$5,A710&lt;&gt;""),-SUMIFS(DashboardData!$E:$E,DashboardData!$A:$A,IF(Dashboard!$B$5="All","*",Dashboard!$B$5),DashboardData!$B:$B,A710),NA())</f>
        <v>#N/A</v>
      </c>
    </row>
    <row r="711" spans="1:3" x14ac:dyDescent="0.25">
      <c r="A711" t="str">
        <f>IF(Monthly!A711="","",Monthly!A711)</f>
        <v/>
      </c>
      <c r="B711" s="7" t="e">
        <f>IF(AND(A711&gt;=Dashboard!$F$5,A711&lt;=Dashboard!$J$5,A711&lt;&gt;""),SUMIFS(DashboardData!$D:$D,DashboardData!$A:$A,IF(Dashboard!$B$5="All","*",Dashboard!$B$5),DashboardData!$B:$B,A711),NA())</f>
        <v>#N/A</v>
      </c>
      <c r="C711" s="7" t="e">
        <f>IF(AND(A711&gt;=Dashboard!$F$5,A711&lt;=Dashboard!$J$5,A711&lt;&gt;""),-SUMIFS(DashboardData!$E:$E,DashboardData!$A:$A,IF(Dashboard!$B$5="All","*",Dashboard!$B$5),DashboardData!$B:$B,A711),NA())</f>
        <v>#N/A</v>
      </c>
    </row>
    <row r="712" spans="1:3" x14ac:dyDescent="0.25">
      <c r="A712" t="str">
        <f>IF(Monthly!A712="","",Monthly!A712)</f>
        <v/>
      </c>
      <c r="B712" s="7" t="e">
        <f>IF(AND(A712&gt;=Dashboard!$F$5,A712&lt;=Dashboard!$J$5,A712&lt;&gt;""),SUMIFS(DashboardData!$D:$D,DashboardData!$A:$A,IF(Dashboard!$B$5="All","*",Dashboard!$B$5),DashboardData!$B:$B,A712),NA())</f>
        <v>#N/A</v>
      </c>
      <c r="C712" s="7" t="e">
        <f>IF(AND(A712&gt;=Dashboard!$F$5,A712&lt;=Dashboard!$J$5,A712&lt;&gt;""),-SUMIFS(DashboardData!$E:$E,DashboardData!$A:$A,IF(Dashboard!$B$5="All","*",Dashboard!$B$5),DashboardData!$B:$B,A712),NA())</f>
        <v>#N/A</v>
      </c>
    </row>
    <row r="713" spans="1:3" x14ac:dyDescent="0.25">
      <c r="A713" t="str">
        <f>IF(Monthly!A713="","",Monthly!A713)</f>
        <v/>
      </c>
      <c r="B713" s="7" t="e">
        <f>IF(AND(A713&gt;=Dashboard!$F$5,A713&lt;=Dashboard!$J$5,A713&lt;&gt;""),SUMIFS(DashboardData!$D:$D,DashboardData!$A:$A,IF(Dashboard!$B$5="All","*",Dashboard!$B$5),DashboardData!$B:$B,A713),NA())</f>
        <v>#N/A</v>
      </c>
      <c r="C713" s="7" t="e">
        <f>IF(AND(A713&gt;=Dashboard!$F$5,A713&lt;=Dashboard!$J$5,A713&lt;&gt;""),-SUMIFS(DashboardData!$E:$E,DashboardData!$A:$A,IF(Dashboard!$B$5="All","*",Dashboard!$B$5),DashboardData!$B:$B,A713),NA())</f>
        <v>#N/A</v>
      </c>
    </row>
    <row r="714" spans="1:3" x14ac:dyDescent="0.25">
      <c r="A714" t="str">
        <f>IF(Monthly!A714="","",Monthly!A714)</f>
        <v/>
      </c>
      <c r="B714" s="7" t="e">
        <f>IF(AND(A714&gt;=Dashboard!$F$5,A714&lt;=Dashboard!$J$5,A714&lt;&gt;""),SUMIFS(DashboardData!$D:$D,DashboardData!$A:$A,IF(Dashboard!$B$5="All","*",Dashboard!$B$5),DashboardData!$B:$B,A714),NA())</f>
        <v>#N/A</v>
      </c>
      <c r="C714" s="7" t="e">
        <f>IF(AND(A714&gt;=Dashboard!$F$5,A714&lt;=Dashboard!$J$5,A714&lt;&gt;""),-SUMIFS(DashboardData!$E:$E,DashboardData!$A:$A,IF(Dashboard!$B$5="All","*",Dashboard!$B$5),DashboardData!$B:$B,A714),NA())</f>
        <v>#N/A</v>
      </c>
    </row>
    <row r="715" spans="1:3" x14ac:dyDescent="0.25">
      <c r="A715" t="str">
        <f>IF(Monthly!A715="","",Monthly!A715)</f>
        <v/>
      </c>
      <c r="B715" s="7" t="e">
        <f>IF(AND(A715&gt;=Dashboard!$F$5,A715&lt;=Dashboard!$J$5,A715&lt;&gt;""),SUMIFS(DashboardData!$D:$D,DashboardData!$A:$A,IF(Dashboard!$B$5="All","*",Dashboard!$B$5),DashboardData!$B:$B,A715),NA())</f>
        <v>#N/A</v>
      </c>
      <c r="C715" s="7" t="e">
        <f>IF(AND(A715&gt;=Dashboard!$F$5,A715&lt;=Dashboard!$J$5,A715&lt;&gt;""),-SUMIFS(DashboardData!$E:$E,DashboardData!$A:$A,IF(Dashboard!$B$5="All","*",Dashboard!$B$5),DashboardData!$B:$B,A715),NA())</f>
        <v>#N/A</v>
      </c>
    </row>
    <row r="716" spans="1:3" x14ac:dyDescent="0.25">
      <c r="A716" t="str">
        <f>IF(Monthly!A716="","",Monthly!A716)</f>
        <v/>
      </c>
      <c r="B716" s="7" t="e">
        <f>IF(AND(A716&gt;=Dashboard!$F$5,A716&lt;=Dashboard!$J$5,A716&lt;&gt;""),SUMIFS(DashboardData!$D:$D,DashboardData!$A:$A,IF(Dashboard!$B$5="All","*",Dashboard!$B$5),DashboardData!$B:$B,A716),NA())</f>
        <v>#N/A</v>
      </c>
      <c r="C716" s="7" t="e">
        <f>IF(AND(A716&gt;=Dashboard!$F$5,A716&lt;=Dashboard!$J$5,A716&lt;&gt;""),-SUMIFS(DashboardData!$E:$E,DashboardData!$A:$A,IF(Dashboard!$B$5="All","*",Dashboard!$B$5),DashboardData!$B:$B,A716),NA())</f>
        <v>#N/A</v>
      </c>
    </row>
    <row r="717" spans="1:3" x14ac:dyDescent="0.25">
      <c r="A717" t="str">
        <f>IF(Monthly!A717="","",Monthly!A717)</f>
        <v/>
      </c>
      <c r="B717" s="7" t="e">
        <f>IF(AND(A717&gt;=Dashboard!$F$5,A717&lt;=Dashboard!$J$5,A717&lt;&gt;""),SUMIFS(DashboardData!$D:$D,DashboardData!$A:$A,IF(Dashboard!$B$5="All","*",Dashboard!$B$5),DashboardData!$B:$B,A717),NA())</f>
        <v>#N/A</v>
      </c>
      <c r="C717" s="7" t="e">
        <f>IF(AND(A717&gt;=Dashboard!$F$5,A717&lt;=Dashboard!$J$5,A717&lt;&gt;""),-SUMIFS(DashboardData!$E:$E,DashboardData!$A:$A,IF(Dashboard!$B$5="All","*",Dashboard!$B$5),DashboardData!$B:$B,A717),NA())</f>
        <v>#N/A</v>
      </c>
    </row>
    <row r="718" spans="1:3" x14ac:dyDescent="0.25">
      <c r="A718" t="str">
        <f>IF(Monthly!A718="","",Monthly!A718)</f>
        <v/>
      </c>
      <c r="B718" s="7" t="e">
        <f>IF(AND(A718&gt;=Dashboard!$F$5,A718&lt;=Dashboard!$J$5,A718&lt;&gt;""),SUMIFS(DashboardData!$D:$D,DashboardData!$A:$A,IF(Dashboard!$B$5="All","*",Dashboard!$B$5),DashboardData!$B:$B,A718),NA())</f>
        <v>#N/A</v>
      </c>
      <c r="C718" s="7" t="e">
        <f>IF(AND(A718&gt;=Dashboard!$F$5,A718&lt;=Dashboard!$J$5,A718&lt;&gt;""),-SUMIFS(DashboardData!$E:$E,DashboardData!$A:$A,IF(Dashboard!$B$5="All","*",Dashboard!$B$5),DashboardData!$B:$B,A718),NA())</f>
        <v>#N/A</v>
      </c>
    </row>
    <row r="719" spans="1:3" x14ac:dyDescent="0.25">
      <c r="A719" t="str">
        <f>IF(Monthly!A719="","",Monthly!A719)</f>
        <v/>
      </c>
      <c r="B719" s="7" t="e">
        <f>IF(AND(A719&gt;=Dashboard!$F$5,A719&lt;=Dashboard!$J$5,A719&lt;&gt;""),SUMIFS(DashboardData!$D:$D,DashboardData!$A:$A,IF(Dashboard!$B$5="All","*",Dashboard!$B$5),DashboardData!$B:$B,A719),NA())</f>
        <v>#N/A</v>
      </c>
      <c r="C719" s="7" t="e">
        <f>IF(AND(A719&gt;=Dashboard!$F$5,A719&lt;=Dashboard!$J$5,A719&lt;&gt;""),-SUMIFS(DashboardData!$E:$E,DashboardData!$A:$A,IF(Dashboard!$B$5="All","*",Dashboard!$B$5),DashboardData!$B:$B,A719),NA())</f>
        <v>#N/A</v>
      </c>
    </row>
    <row r="720" spans="1:3" x14ac:dyDescent="0.25">
      <c r="A720" t="str">
        <f>IF(Monthly!A720="","",Monthly!A720)</f>
        <v/>
      </c>
      <c r="B720" s="7" t="e">
        <f>IF(AND(A720&gt;=Dashboard!$F$5,A720&lt;=Dashboard!$J$5,A720&lt;&gt;""),SUMIFS(DashboardData!$D:$D,DashboardData!$A:$A,IF(Dashboard!$B$5="All","*",Dashboard!$B$5),DashboardData!$B:$B,A720),NA())</f>
        <v>#N/A</v>
      </c>
      <c r="C720" s="7" t="e">
        <f>IF(AND(A720&gt;=Dashboard!$F$5,A720&lt;=Dashboard!$J$5,A720&lt;&gt;""),-SUMIFS(DashboardData!$E:$E,DashboardData!$A:$A,IF(Dashboard!$B$5="All","*",Dashboard!$B$5),DashboardData!$B:$B,A720),NA())</f>
        <v>#N/A</v>
      </c>
    </row>
    <row r="721" spans="1:3" x14ac:dyDescent="0.25">
      <c r="A721" t="str">
        <f>IF(Monthly!A721="","",Monthly!A721)</f>
        <v/>
      </c>
      <c r="B721" s="7" t="e">
        <f>IF(AND(A721&gt;=Dashboard!$F$5,A721&lt;=Dashboard!$J$5,A721&lt;&gt;""),SUMIFS(DashboardData!$D:$D,DashboardData!$A:$A,IF(Dashboard!$B$5="All","*",Dashboard!$B$5),DashboardData!$B:$B,A721),NA())</f>
        <v>#N/A</v>
      </c>
      <c r="C721" s="7" t="e">
        <f>IF(AND(A721&gt;=Dashboard!$F$5,A721&lt;=Dashboard!$J$5,A721&lt;&gt;""),-SUMIFS(DashboardData!$E:$E,DashboardData!$A:$A,IF(Dashboard!$B$5="All","*",Dashboard!$B$5),DashboardData!$B:$B,A721),NA())</f>
        <v>#N/A</v>
      </c>
    </row>
    <row r="722" spans="1:3" x14ac:dyDescent="0.25">
      <c r="A722" t="str">
        <f>IF(Monthly!A722="","",Monthly!A722)</f>
        <v/>
      </c>
      <c r="B722" s="7" t="e">
        <f>IF(AND(A722&gt;=Dashboard!$F$5,A722&lt;=Dashboard!$J$5,A722&lt;&gt;""),SUMIFS(DashboardData!$D:$D,DashboardData!$A:$A,IF(Dashboard!$B$5="All","*",Dashboard!$B$5),DashboardData!$B:$B,A722),NA())</f>
        <v>#N/A</v>
      </c>
      <c r="C722" s="7" t="e">
        <f>IF(AND(A722&gt;=Dashboard!$F$5,A722&lt;=Dashboard!$J$5,A722&lt;&gt;""),-SUMIFS(DashboardData!$E:$E,DashboardData!$A:$A,IF(Dashboard!$B$5="All","*",Dashboard!$B$5),DashboardData!$B:$B,A722),NA())</f>
        <v>#N/A</v>
      </c>
    </row>
    <row r="723" spans="1:3" x14ac:dyDescent="0.25">
      <c r="A723" t="str">
        <f>IF(Monthly!A723="","",Monthly!A723)</f>
        <v/>
      </c>
      <c r="B723" s="7" t="e">
        <f>IF(AND(A723&gt;=Dashboard!$F$5,A723&lt;=Dashboard!$J$5,A723&lt;&gt;""),SUMIFS(DashboardData!$D:$D,DashboardData!$A:$A,IF(Dashboard!$B$5="All","*",Dashboard!$B$5),DashboardData!$B:$B,A723),NA())</f>
        <v>#N/A</v>
      </c>
      <c r="C723" s="7" t="e">
        <f>IF(AND(A723&gt;=Dashboard!$F$5,A723&lt;=Dashboard!$J$5,A723&lt;&gt;""),-SUMIFS(DashboardData!$E:$E,DashboardData!$A:$A,IF(Dashboard!$B$5="All","*",Dashboard!$B$5),DashboardData!$B:$B,A723),NA())</f>
        <v>#N/A</v>
      </c>
    </row>
    <row r="724" spans="1:3" x14ac:dyDescent="0.25">
      <c r="A724" t="str">
        <f>IF(Monthly!A724="","",Monthly!A724)</f>
        <v/>
      </c>
      <c r="B724" s="7" t="e">
        <f>IF(AND(A724&gt;=Dashboard!$F$5,A724&lt;=Dashboard!$J$5,A724&lt;&gt;""),SUMIFS(DashboardData!$D:$D,DashboardData!$A:$A,IF(Dashboard!$B$5="All","*",Dashboard!$B$5),DashboardData!$B:$B,A724),NA())</f>
        <v>#N/A</v>
      </c>
      <c r="C724" s="7" t="e">
        <f>IF(AND(A724&gt;=Dashboard!$F$5,A724&lt;=Dashboard!$J$5,A724&lt;&gt;""),-SUMIFS(DashboardData!$E:$E,DashboardData!$A:$A,IF(Dashboard!$B$5="All","*",Dashboard!$B$5),DashboardData!$B:$B,A724),NA())</f>
        <v>#N/A</v>
      </c>
    </row>
    <row r="725" spans="1:3" x14ac:dyDescent="0.25">
      <c r="A725" t="str">
        <f>IF(Monthly!A725="","",Monthly!A725)</f>
        <v/>
      </c>
      <c r="B725" s="7" t="e">
        <f>IF(AND(A725&gt;=Dashboard!$F$5,A725&lt;=Dashboard!$J$5,A725&lt;&gt;""),SUMIFS(DashboardData!$D:$D,DashboardData!$A:$A,IF(Dashboard!$B$5="All","*",Dashboard!$B$5),DashboardData!$B:$B,A725),NA())</f>
        <v>#N/A</v>
      </c>
      <c r="C725" s="7" t="e">
        <f>IF(AND(A725&gt;=Dashboard!$F$5,A725&lt;=Dashboard!$J$5,A725&lt;&gt;""),-SUMIFS(DashboardData!$E:$E,DashboardData!$A:$A,IF(Dashboard!$B$5="All","*",Dashboard!$B$5),DashboardData!$B:$B,A725),NA())</f>
        <v>#N/A</v>
      </c>
    </row>
    <row r="726" spans="1:3" x14ac:dyDescent="0.25">
      <c r="A726" t="str">
        <f>IF(Monthly!A726="","",Monthly!A726)</f>
        <v/>
      </c>
      <c r="B726" s="7" t="e">
        <f>IF(AND(A726&gt;=Dashboard!$F$5,A726&lt;=Dashboard!$J$5,A726&lt;&gt;""),SUMIFS(DashboardData!$D:$D,DashboardData!$A:$A,IF(Dashboard!$B$5="All","*",Dashboard!$B$5),DashboardData!$B:$B,A726),NA())</f>
        <v>#N/A</v>
      </c>
      <c r="C726" s="7" t="e">
        <f>IF(AND(A726&gt;=Dashboard!$F$5,A726&lt;=Dashboard!$J$5,A726&lt;&gt;""),-SUMIFS(DashboardData!$E:$E,DashboardData!$A:$A,IF(Dashboard!$B$5="All","*",Dashboard!$B$5),DashboardData!$B:$B,A726),NA())</f>
        <v>#N/A</v>
      </c>
    </row>
    <row r="727" spans="1:3" x14ac:dyDescent="0.25">
      <c r="A727" t="str">
        <f>IF(Monthly!A727="","",Monthly!A727)</f>
        <v/>
      </c>
      <c r="B727" s="7" t="e">
        <f>IF(AND(A727&gt;=Dashboard!$F$5,A727&lt;=Dashboard!$J$5,A727&lt;&gt;""),SUMIFS(DashboardData!$D:$D,DashboardData!$A:$A,IF(Dashboard!$B$5="All","*",Dashboard!$B$5),DashboardData!$B:$B,A727),NA())</f>
        <v>#N/A</v>
      </c>
      <c r="C727" s="7" t="e">
        <f>IF(AND(A727&gt;=Dashboard!$F$5,A727&lt;=Dashboard!$J$5,A727&lt;&gt;""),-SUMIFS(DashboardData!$E:$E,DashboardData!$A:$A,IF(Dashboard!$B$5="All","*",Dashboard!$B$5),DashboardData!$B:$B,A727),NA())</f>
        <v>#N/A</v>
      </c>
    </row>
    <row r="728" spans="1:3" x14ac:dyDescent="0.25">
      <c r="A728" t="str">
        <f>IF(Monthly!A728="","",Monthly!A728)</f>
        <v/>
      </c>
      <c r="B728" s="7" t="e">
        <f>IF(AND(A728&gt;=Dashboard!$F$5,A728&lt;=Dashboard!$J$5,A728&lt;&gt;""),SUMIFS(DashboardData!$D:$D,DashboardData!$A:$A,IF(Dashboard!$B$5="All","*",Dashboard!$B$5),DashboardData!$B:$B,A728),NA())</f>
        <v>#N/A</v>
      </c>
      <c r="C728" s="7" t="e">
        <f>IF(AND(A728&gt;=Dashboard!$F$5,A728&lt;=Dashboard!$J$5,A728&lt;&gt;""),-SUMIFS(DashboardData!$E:$E,DashboardData!$A:$A,IF(Dashboard!$B$5="All","*",Dashboard!$B$5),DashboardData!$B:$B,A728),NA())</f>
        <v>#N/A</v>
      </c>
    </row>
    <row r="729" spans="1:3" x14ac:dyDescent="0.25">
      <c r="A729" t="str">
        <f>IF(Monthly!A729="","",Monthly!A729)</f>
        <v/>
      </c>
      <c r="B729" s="7" t="e">
        <f>IF(AND(A729&gt;=Dashboard!$F$5,A729&lt;=Dashboard!$J$5,A729&lt;&gt;""),SUMIFS(DashboardData!$D:$D,DashboardData!$A:$A,IF(Dashboard!$B$5="All","*",Dashboard!$B$5),DashboardData!$B:$B,A729),NA())</f>
        <v>#N/A</v>
      </c>
      <c r="C729" s="7" t="e">
        <f>IF(AND(A729&gt;=Dashboard!$F$5,A729&lt;=Dashboard!$J$5,A729&lt;&gt;""),-SUMIFS(DashboardData!$E:$E,DashboardData!$A:$A,IF(Dashboard!$B$5="All","*",Dashboard!$B$5),DashboardData!$B:$B,A729),NA())</f>
        <v>#N/A</v>
      </c>
    </row>
    <row r="730" spans="1:3" x14ac:dyDescent="0.25">
      <c r="A730" t="str">
        <f>IF(Monthly!A730="","",Monthly!A730)</f>
        <v/>
      </c>
      <c r="B730" s="7" t="e">
        <f>IF(AND(A730&gt;=Dashboard!$F$5,A730&lt;=Dashboard!$J$5,A730&lt;&gt;""),SUMIFS(DashboardData!$D:$D,DashboardData!$A:$A,IF(Dashboard!$B$5="All","*",Dashboard!$B$5),DashboardData!$B:$B,A730),NA())</f>
        <v>#N/A</v>
      </c>
      <c r="C730" s="7" t="e">
        <f>IF(AND(A730&gt;=Dashboard!$F$5,A730&lt;=Dashboard!$J$5,A730&lt;&gt;""),-SUMIFS(DashboardData!$E:$E,DashboardData!$A:$A,IF(Dashboard!$B$5="All","*",Dashboard!$B$5),DashboardData!$B:$B,A730),NA())</f>
        <v>#N/A</v>
      </c>
    </row>
    <row r="731" spans="1:3" x14ac:dyDescent="0.25">
      <c r="A731" t="str">
        <f>IF(Monthly!A731="","",Monthly!A731)</f>
        <v/>
      </c>
      <c r="B731" s="7" t="e">
        <f>IF(AND(A731&gt;=Dashboard!$F$5,A731&lt;=Dashboard!$J$5,A731&lt;&gt;""),SUMIFS(DashboardData!$D:$D,DashboardData!$A:$A,IF(Dashboard!$B$5="All","*",Dashboard!$B$5),DashboardData!$B:$B,A731),NA())</f>
        <v>#N/A</v>
      </c>
      <c r="C731" s="7" t="e">
        <f>IF(AND(A731&gt;=Dashboard!$F$5,A731&lt;=Dashboard!$J$5,A731&lt;&gt;""),-SUMIFS(DashboardData!$E:$E,DashboardData!$A:$A,IF(Dashboard!$B$5="All","*",Dashboard!$B$5),DashboardData!$B:$B,A731),NA())</f>
        <v>#N/A</v>
      </c>
    </row>
    <row r="732" spans="1:3" x14ac:dyDescent="0.25">
      <c r="A732" t="str">
        <f>IF(Monthly!A732="","",Monthly!A732)</f>
        <v/>
      </c>
      <c r="B732" s="7" t="e">
        <f>IF(AND(A732&gt;=Dashboard!$F$5,A732&lt;=Dashboard!$J$5,A732&lt;&gt;""),SUMIFS(DashboardData!$D:$D,DashboardData!$A:$A,IF(Dashboard!$B$5="All","*",Dashboard!$B$5),DashboardData!$B:$B,A732),NA())</f>
        <v>#N/A</v>
      </c>
      <c r="C732" s="7" t="e">
        <f>IF(AND(A732&gt;=Dashboard!$F$5,A732&lt;=Dashboard!$J$5,A732&lt;&gt;""),-SUMIFS(DashboardData!$E:$E,DashboardData!$A:$A,IF(Dashboard!$B$5="All","*",Dashboard!$B$5),DashboardData!$B:$B,A732),NA())</f>
        <v>#N/A</v>
      </c>
    </row>
    <row r="733" spans="1:3" x14ac:dyDescent="0.25">
      <c r="A733" t="str">
        <f>IF(Monthly!A733="","",Monthly!A733)</f>
        <v/>
      </c>
      <c r="B733" s="7" t="e">
        <f>IF(AND(A733&gt;=Dashboard!$F$5,A733&lt;=Dashboard!$J$5,A733&lt;&gt;""),SUMIFS(DashboardData!$D:$D,DashboardData!$A:$A,IF(Dashboard!$B$5="All","*",Dashboard!$B$5),DashboardData!$B:$B,A733),NA())</f>
        <v>#N/A</v>
      </c>
      <c r="C733" s="7" t="e">
        <f>IF(AND(A733&gt;=Dashboard!$F$5,A733&lt;=Dashboard!$J$5,A733&lt;&gt;""),-SUMIFS(DashboardData!$E:$E,DashboardData!$A:$A,IF(Dashboard!$B$5="All","*",Dashboard!$B$5),DashboardData!$B:$B,A733),NA())</f>
        <v>#N/A</v>
      </c>
    </row>
    <row r="734" spans="1:3" x14ac:dyDescent="0.25">
      <c r="A734" t="str">
        <f>IF(Monthly!A734="","",Monthly!A734)</f>
        <v/>
      </c>
      <c r="B734" s="7" t="e">
        <f>IF(AND(A734&gt;=Dashboard!$F$5,A734&lt;=Dashboard!$J$5,A734&lt;&gt;""),SUMIFS(DashboardData!$D:$D,DashboardData!$A:$A,IF(Dashboard!$B$5="All","*",Dashboard!$B$5),DashboardData!$B:$B,A734),NA())</f>
        <v>#N/A</v>
      </c>
      <c r="C734" s="7" t="e">
        <f>IF(AND(A734&gt;=Dashboard!$F$5,A734&lt;=Dashboard!$J$5,A734&lt;&gt;""),-SUMIFS(DashboardData!$E:$E,DashboardData!$A:$A,IF(Dashboard!$B$5="All","*",Dashboard!$B$5),DashboardData!$B:$B,A734),NA())</f>
        <v>#N/A</v>
      </c>
    </row>
    <row r="735" spans="1:3" x14ac:dyDescent="0.25">
      <c r="A735" t="str">
        <f>IF(Monthly!A735="","",Monthly!A735)</f>
        <v/>
      </c>
      <c r="B735" s="7" t="e">
        <f>IF(AND(A735&gt;=Dashboard!$F$5,A735&lt;=Dashboard!$J$5,A735&lt;&gt;""),SUMIFS(DashboardData!$D:$D,DashboardData!$A:$A,IF(Dashboard!$B$5="All","*",Dashboard!$B$5),DashboardData!$B:$B,A735),NA())</f>
        <v>#N/A</v>
      </c>
      <c r="C735" s="7" t="e">
        <f>IF(AND(A735&gt;=Dashboard!$F$5,A735&lt;=Dashboard!$J$5,A735&lt;&gt;""),-SUMIFS(DashboardData!$E:$E,DashboardData!$A:$A,IF(Dashboard!$B$5="All","*",Dashboard!$B$5),DashboardData!$B:$B,A735),NA())</f>
        <v>#N/A</v>
      </c>
    </row>
    <row r="736" spans="1:3" x14ac:dyDescent="0.25">
      <c r="A736" t="str">
        <f>IF(Monthly!A736="","",Monthly!A736)</f>
        <v/>
      </c>
      <c r="B736" s="7" t="e">
        <f>IF(AND(A736&gt;=Dashboard!$F$5,A736&lt;=Dashboard!$J$5,A736&lt;&gt;""),SUMIFS(DashboardData!$D:$D,DashboardData!$A:$A,IF(Dashboard!$B$5="All","*",Dashboard!$B$5),DashboardData!$B:$B,A736),NA())</f>
        <v>#N/A</v>
      </c>
      <c r="C736" s="7" t="e">
        <f>IF(AND(A736&gt;=Dashboard!$F$5,A736&lt;=Dashboard!$J$5,A736&lt;&gt;""),-SUMIFS(DashboardData!$E:$E,DashboardData!$A:$A,IF(Dashboard!$B$5="All","*",Dashboard!$B$5),DashboardData!$B:$B,A736),NA())</f>
        <v>#N/A</v>
      </c>
    </row>
    <row r="737" spans="1:3" x14ac:dyDescent="0.25">
      <c r="A737" t="str">
        <f>IF(Monthly!A737="","",Monthly!A737)</f>
        <v/>
      </c>
      <c r="B737" s="7" t="e">
        <f>IF(AND(A737&gt;=Dashboard!$F$5,A737&lt;=Dashboard!$J$5,A737&lt;&gt;""),SUMIFS(DashboardData!$D:$D,DashboardData!$A:$A,IF(Dashboard!$B$5="All","*",Dashboard!$B$5),DashboardData!$B:$B,A737),NA())</f>
        <v>#N/A</v>
      </c>
      <c r="C737" s="7" t="e">
        <f>IF(AND(A737&gt;=Dashboard!$F$5,A737&lt;=Dashboard!$J$5,A737&lt;&gt;""),-SUMIFS(DashboardData!$E:$E,DashboardData!$A:$A,IF(Dashboard!$B$5="All","*",Dashboard!$B$5),DashboardData!$B:$B,A737),NA())</f>
        <v>#N/A</v>
      </c>
    </row>
    <row r="738" spans="1:3" x14ac:dyDescent="0.25">
      <c r="A738" t="str">
        <f>IF(Monthly!A738="","",Monthly!A738)</f>
        <v/>
      </c>
      <c r="B738" s="7" t="e">
        <f>IF(AND(A738&gt;=Dashboard!$F$5,A738&lt;=Dashboard!$J$5,A738&lt;&gt;""),SUMIFS(DashboardData!$D:$D,DashboardData!$A:$A,IF(Dashboard!$B$5="All","*",Dashboard!$B$5),DashboardData!$B:$B,A738),NA())</f>
        <v>#N/A</v>
      </c>
      <c r="C738" s="7" t="e">
        <f>IF(AND(A738&gt;=Dashboard!$F$5,A738&lt;=Dashboard!$J$5,A738&lt;&gt;""),-SUMIFS(DashboardData!$E:$E,DashboardData!$A:$A,IF(Dashboard!$B$5="All","*",Dashboard!$B$5),DashboardData!$B:$B,A738),NA())</f>
        <v>#N/A</v>
      </c>
    </row>
    <row r="739" spans="1:3" x14ac:dyDescent="0.25">
      <c r="A739" t="str">
        <f>IF(Monthly!A739="","",Monthly!A739)</f>
        <v/>
      </c>
      <c r="B739" s="7" t="e">
        <f>IF(AND(A739&gt;=Dashboard!$F$5,A739&lt;=Dashboard!$J$5,A739&lt;&gt;""),SUMIFS(DashboardData!$D:$D,DashboardData!$A:$A,IF(Dashboard!$B$5="All","*",Dashboard!$B$5),DashboardData!$B:$B,A739),NA())</f>
        <v>#N/A</v>
      </c>
      <c r="C739" s="7" t="e">
        <f>IF(AND(A739&gt;=Dashboard!$F$5,A739&lt;=Dashboard!$J$5,A739&lt;&gt;""),-SUMIFS(DashboardData!$E:$E,DashboardData!$A:$A,IF(Dashboard!$B$5="All","*",Dashboard!$B$5),DashboardData!$B:$B,A739),NA())</f>
        <v>#N/A</v>
      </c>
    </row>
    <row r="740" spans="1:3" x14ac:dyDescent="0.25">
      <c r="A740" t="str">
        <f>IF(Monthly!A740="","",Monthly!A740)</f>
        <v/>
      </c>
      <c r="B740" s="7" t="e">
        <f>IF(AND(A740&gt;=Dashboard!$F$5,A740&lt;=Dashboard!$J$5,A740&lt;&gt;""),SUMIFS(DashboardData!$D:$D,DashboardData!$A:$A,IF(Dashboard!$B$5="All","*",Dashboard!$B$5),DashboardData!$B:$B,A740),NA())</f>
        <v>#N/A</v>
      </c>
      <c r="C740" s="7" t="e">
        <f>IF(AND(A740&gt;=Dashboard!$F$5,A740&lt;=Dashboard!$J$5,A740&lt;&gt;""),-SUMIFS(DashboardData!$E:$E,DashboardData!$A:$A,IF(Dashboard!$B$5="All","*",Dashboard!$B$5),DashboardData!$B:$B,A740),NA())</f>
        <v>#N/A</v>
      </c>
    </row>
    <row r="741" spans="1:3" x14ac:dyDescent="0.25">
      <c r="A741" t="str">
        <f>IF(Monthly!A741="","",Monthly!A741)</f>
        <v/>
      </c>
      <c r="B741" s="7" t="e">
        <f>IF(AND(A741&gt;=Dashboard!$F$5,A741&lt;=Dashboard!$J$5,A741&lt;&gt;""),SUMIFS(DashboardData!$D:$D,DashboardData!$A:$A,IF(Dashboard!$B$5="All","*",Dashboard!$B$5),DashboardData!$B:$B,A741),NA())</f>
        <v>#N/A</v>
      </c>
      <c r="C741" s="7" t="e">
        <f>IF(AND(A741&gt;=Dashboard!$F$5,A741&lt;=Dashboard!$J$5,A741&lt;&gt;""),-SUMIFS(DashboardData!$E:$E,DashboardData!$A:$A,IF(Dashboard!$B$5="All","*",Dashboard!$B$5),DashboardData!$B:$B,A741),NA())</f>
        <v>#N/A</v>
      </c>
    </row>
    <row r="742" spans="1:3" x14ac:dyDescent="0.25">
      <c r="A742" t="str">
        <f>IF(Monthly!A742="","",Monthly!A742)</f>
        <v/>
      </c>
      <c r="B742" s="7" t="e">
        <f>IF(AND(A742&gt;=Dashboard!$F$5,A742&lt;=Dashboard!$J$5,A742&lt;&gt;""),SUMIFS(DashboardData!$D:$D,DashboardData!$A:$A,IF(Dashboard!$B$5="All","*",Dashboard!$B$5),DashboardData!$B:$B,A742),NA())</f>
        <v>#N/A</v>
      </c>
      <c r="C742" s="7" t="e">
        <f>IF(AND(A742&gt;=Dashboard!$F$5,A742&lt;=Dashboard!$J$5,A742&lt;&gt;""),-SUMIFS(DashboardData!$E:$E,DashboardData!$A:$A,IF(Dashboard!$B$5="All","*",Dashboard!$B$5),DashboardData!$B:$B,A742),NA())</f>
        <v>#N/A</v>
      </c>
    </row>
    <row r="743" spans="1:3" x14ac:dyDescent="0.25">
      <c r="A743" t="str">
        <f>IF(Monthly!A743="","",Monthly!A743)</f>
        <v/>
      </c>
      <c r="B743" s="7" t="e">
        <f>IF(AND(A743&gt;=Dashboard!$F$5,A743&lt;=Dashboard!$J$5,A743&lt;&gt;""),SUMIFS(DashboardData!$D:$D,DashboardData!$A:$A,IF(Dashboard!$B$5="All","*",Dashboard!$B$5),DashboardData!$B:$B,A743),NA())</f>
        <v>#N/A</v>
      </c>
      <c r="C743" s="7" t="e">
        <f>IF(AND(A743&gt;=Dashboard!$F$5,A743&lt;=Dashboard!$J$5,A743&lt;&gt;""),-SUMIFS(DashboardData!$E:$E,DashboardData!$A:$A,IF(Dashboard!$B$5="All","*",Dashboard!$B$5),DashboardData!$B:$B,A743),NA())</f>
        <v>#N/A</v>
      </c>
    </row>
    <row r="744" spans="1:3" x14ac:dyDescent="0.25">
      <c r="A744" t="str">
        <f>IF(Monthly!A744="","",Monthly!A744)</f>
        <v/>
      </c>
      <c r="B744" s="7" t="e">
        <f>IF(AND(A744&gt;=Dashboard!$F$5,A744&lt;=Dashboard!$J$5,A744&lt;&gt;""),SUMIFS(DashboardData!$D:$D,DashboardData!$A:$A,IF(Dashboard!$B$5="All","*",Dashboard!$B$5),DashboardData!$B:$B,A744),NA())</f>
        <v>#N/A</v>
      </c>
      <c r="C744" s="7" t="e">
        <f>IF(AND(A744&gt;=Dashboard!$F$5,A744&lt;=Dashboard!$J$5,A744&lt;&gt;""),-SUMIFS(DashboardData!$E:$E,DashboardData!$A:$A,IF(Dashboard!$B$5="All","*",Dashboard!$B$5),DashboardData!$B:$B,A744),NA())</f>
        <v>#N/A</v>
      </c>
    </row>
    <row r="745" spans="1:3" x14ac:dyDescent="0.25">
      <c r="A745" t="str">
        <f>IF(Monthly!A745="","",Monthly!A745)</f>
        <v/>
      </c>
      <c r="B745" s="7" t="e">
        <f>IF(AND(A745&gt;=Dashboard!$F$5,A745&lt;=Dashboard!$J$5,A745&lt;&gt;""),SUMIFS(DashboardData!$D:$D,DashboardData!$A:$A,IF(Dashboard!$B$5="All","*",Dashboard!$B$5),DashboardData!$B:$B,A745),NA())</f>
        <v>#N/A</v>
      </c>
      <c r="C745" s="7" t="e">
        <f>IF(AND(A745&gt;=Dashboard!$F$5,A745&lt;=Dashboard!$J$5,A745&lt;&gt;""),-SUMIFS(DashboardData!$E:$E,DashboardData!$A:$A,IF(Dashboard!$B$5="All","*",Dashboard!$B$5),DashboardData!$B:$B,A745),NA())</f>
        <v>#N/A</v>
      </c>
    </row>
    <row r="746" spans="1:3" x14ac:dyDescent="0.25">
      <c r="A746" t="str">
        <f>IF(Monthly!A746="","",Monthly!A746)</f>
        <v/>
      </c>
      <c r="B746" s="7" t="e">
        <f>IF(AND(A746&gt;=Dashboard!$F$5,A746&lt;=Dashboard!$J$5,A746&lt;&gt;""),SUMIFS(DashboardData!$D:$D,DashboardData!$A:$A,IF(Dashboard!$B$5="All","*",Dashboard!$B$5),DashboardData!$B:$B,A746),NA())</f>
        <v>#N/A</v>
      </c>
      <c r="C746" s="7" t="e">
        <f>IF(AND(A746&gt;=Dashboard!$F$5,A746&lt;=Dashboard!$J$5,A746&lt;&gt;""),-SUMIFS(DashboardData!$E:$E,DashboardData!$A:$A,IF(Dashboard!$B$5="All","*",Dashboard!$B$5),DashboardData!$B:$B,A746),NA())</f>
        <v>#N/A</v>
      </c>
    </row>
    <row r="747" spans="1:3" x14ac:dyDescent="0.25">
      <c r="A747" t="str">
        <f>IF(Monthly!A747="","",Monthly!A747)</f>
        <v/>
      </c>
      <c r="B747" s="7" t="e">
        <f>IF(AND(A747&gt;=Dashboard!$F$5,A747&lt;=Dashboard!$J$5,A747&lt;&gt;""),SUMIFS(DashboardData!$D:$D,DashboardData!$A:$A,IF(Dashboard!$B$5="All","*",Dashboard!$B$5),DashboardData!$B:$B,A747),NA())</f>
        <v>#N/A</v>
      </c>
      <c r="C747" s="7" t="e">
        <f>IF(AND(A747&gt;=Dashboard!$F$5,A747&lt;=Dashboard!$J$5,A747&lt;&gt;""),-SUMIFS(DashboardData!$E:$E,DashboardData!$A:$A,IF(Dashboard!$B$5="All","*",Dashboard!$B$5),DashboardData!$B:$B,A747),NA())</f>
        <v>#N/A</v>
      </c>
    </row>
    <row r="748" spans="1:3" x14ac:dyDescent="0.25">
      <c r="A748" t="str">
        <f>IF(Monthly!A748="","",Monthly!A748)</f>
        <v/>
      </c>
      <c r="B748" s="7" t="e">
        <f>IF(AND(A748&gt;=Dashboard!$F$5,A748&lt;=Dashboard!$J$5,A748&lt;&gt;""),SUMIFS(DashboardData!$D:$D,DashboardData!$A:$A,IF(Dashboard!$B$5="All","*",Dashboard!$B$5),DashboardData!$B:$B,A748),NA())</f>
        <v>#N/A</v>
      </c>
      <c r="C748" s="7" t="e">
        <f>IF(AND(A748&gt;=Dashboard!$F$5,A748&lt;=Dashboard!$J$5,A748&lt;&gt;""),-SUMIFS(DashboardData!$E:$E,DashboardData!$A:$A,IF(Dashboard!$B$5="All","*",Dashboard!$B$5),DashboardData!$B:$B,A748),NA())</f>
        <v>#N/A</v>
      </c>
    </row>
    <row r="749" spans="1:3" x14ac:dyDescent="0.25">
      <c r="A749" t="str">
        <f>IF(Monthly!A749="","",Monthly!A749)</f>
        <v/>
      </c>
      <c r="B749" s="7" t="e">
        <f>IF(AND(A749&gt;=Dashboard!$F$5,A749&lt;=Dashboard!$J$5,A749&lt;&gt;""),SUMIFS(DashboardData!$D:$D,DashboardData!$A:$A,IF(Dashboard!$B$5="All","*",Dashboard!$B$5),DashboardData!$B:$B,A749),NA())</f>
        <v>#N/A</v>
      </c>
      <c r="C749" s="7" t="e">
        <f>IF(AND(A749&gt;=Dashboard!$F$5,A749&lt;=Dashboard!$J$5,A749&lt;&gt;""),-SUMIFS(DashboardData!$E:$E,DashboardData!$A:$A,IF(Dashboard!$B$5="All","*",Dashboard!$B$5),DashboardData!$B:$B,A749),NA())</f>
        <v>#N/A</v>
      </c>
    </row>
    <row r="750" spans="1:3" x14ac:dyDescent="0.25">
      <c r="A750" t="str">
        <f>IF(Monthly!A750="","",Monthly!A750)</f>
        <v/>
      </c>
      <c r="B750" s="7" t="e">
        <f>IF(AND(A750&gt;=Dashboard!$F$5,A750&lt;=Dashboard!$J$5,A750&lt;&gt;""),SUMIFS(DashboardData!$D:$D,DashboardData!$A:$A,IF(Dashboard!$B$5="All","*",Dashboard!$B$5),DashboardData!$B:$B,A750),NA())</f>
        <v>#N/A</v>
      </c>
      <c r="C750" s="7" t="e">
        <f>IF(AND(A750&gt;=Dashboard!$F$5,A750&lt;=Dashboard!$J$5,A750&lt;&gt;""),-SUMIFS(DashboardData!$E:$E,DashboardData!$A:$A,IF(Dashboard!$B$5="All","*",Dashboard!$B$5),DashboardData!$B:$B,A750),NA())</f>
        <v>#N/A</v>
      </c>
    </row>
    <row r="751" spans="1:3" x14ac:dyDescent="0.25">
      <c r="A751" t="str">
        <f>IF(Monthly!A751="","",Monthly!A751)</f>
        <v/>
      </c>
      <c r="B751" s="7" t="e">
        <f>IF(AND(A751&gt;=Dashboard!$F$5,A751&lt;=Dashboard!$J$5,A751&lt;&gt;""),SUMIFS(DashboardData!$D:$D,DashboardData!$A:$A,IF(Dashboard!$B$5="All","*",Dashboard!$B$5),DashboardData!$B:$B,A751),NA())</f>
        <v>#N/A</v>
      </c>
      <c r="C751" s="7" t="e">
        <f>IF(AND(A751&gt;=Dashboard!$F$5,A751&lt;=Dashboard!$J$5,A751&lt;&gt;""),-SUMIFS(DashboardData!$E:$E,DashboardData!$A:$A,IF(Dashboard!$B$5="All","*",Dashboard!$B$5),DashboardData!$B:$B,A751),NA())</f>
        <v>#N/A</v>
      </c>
    </row>
    <row r="752" spans="1:3" x14ac:dyDescent="0.25">
      <c r="A752" t="str">
        <f>IF(Monthly!A752="","",Monthly!A752)</f>
        <v/>
      </c>
      <c r="B752" s="7" t="e">
        <f>IF(AND(A752&gt;=Dashboard!$F$5,A752&lt;=Dashboard!$J$5,A752&lt;&gt;""),SUMIFS(DashboardData!$D:$D,DashboardData!$A:$A,IF(Dashboard!$B$5="All","*",Dashboard!$B$5),DashboardData!$B:$B,A752),NA())</f>
        <v>#N/A</v>
      </c>
      <c r="C752" s="7" t="e">
        <f>IF(AND(A752&gt;=Dashboard!$F$5,A752&lt;=Dashboard!$J$5,A752&lt;&gt;""),-SUMIFS(DashboardData!$E:$E,DashboardData!$A:$A,IF(Dashboard!$B$5="All","*",Dashboard!$B$5),DashboardData!$B:$B,A752),NA())</f>
        <v>#N/A</v>
      </c>
    </row>
    <row r="753" spans="1:3" x14ac:dyDescent="0.25">
      <c r="A753" t="str">
        <f>IF(Monthly!A753="","",Monthly!A753)</f>
        <v/>
      </c>
      <c r="B753" s="7" t="e">
        <f>IF(AND(A753&gt;=Dashboard!$F$5,A753&lt;=Dashboard!$J$5,A753&lt;&gt;""),SUMIFS(DashboardData!$D:$D,DashboardData!$A:$A,IF(Dashboard!$B$5="All","*",Dashboard!$B$5),DashboardData!$B:$B,A753),NA())</f>
        <v>#N/A</v>
      </c>
      <c r="C753" s="7" t="e">
        <f>IF(AND(A753&gt;=Dashboard!$F$5,A753&lt;=Dashboard!$J$5,A753&lt;&gt;""),-SUMIFS(DashboardData!$E:$E,DashboardData!$A:$A,IF(Dashboard!$B$5="All","*",Dashboard!$B$5),DashboardData!$B:$B,A753),NA())</f>
        <v>#N/A</v>
      </c>
    </row>
    <row r="754" spans="1:3" x14ac:dyDescent="0.25">
      <c r="A754" t="str">
        <f>IF(Monthly!A754="","",Monthly!A754)</f>
        <v/>
      </c>
      <c r="B754" s="7" t="e">
        <f>IF(AND(A754&gt;=Dashboard!$F$5,A754&lt;=Dashboard!$J$5,A754&lt;&gt;""),SUMIFS(DashboardData!$D:$D,DashboardData!$A:$A,IF(Dashboard!$B$5="All","*",Dashboard!$B$5),DashboardData!$B:$B,A754),NA())</f>
        <v>#N/A</v>
      </c>
      <c r="C754" s="7" t="e">
        <f>IF(AND(A754&gt;=Dashboard!$F$5,A754&lt;=Dashboard!$J$5,A754&lt;&gt;""),-SUMIFS(DashboardData!$E:$E,DashboardData!$A:$A,IF(Dashboard!$B$5="All","*",Dashboard!$B$5),DashboardData!$B:$B,A754),NA())</f>
        <v>#N/A</v>
      </c>
    </row>
    <row r="755" spans="1:3" x14ac:dyDescent="0.25">
      <c r="A755" t="str">
        <f>IF(Monthly!A755="","",Monthly!A755)</f>
        <v/>
      </c>
      <c r="B755" s="7" t="e">
        <f>IF(AND(A755&gt;=Dashboard!$F$5,A755&lt;=Dashboard!$J$5,A755&lt;&gt;""),SUMIFS(DashboardData!$D:$D,DashboardData!$A:$A,IF(Dashboard!$B$5="All","*",Dashboard!$B$5),DashboardData!$B:$B,A755),NA())</f>
        <v>#N/A</v>
      </c>
      <c r="C755" s="7" t="e">
        <f>IF(AND(A755&gt;=Dashboard!$F$5,A755&lt;=Dashboard!$J$5,A755&lt;&gt;""),-SUMIFS(DashboardData!$E:$E,DashboardData!$A:$A,IF(Dashboard!$B$5="All","*",Dashboard!$B$5),DashboardData!$B:$B,A755),NA())</f>
        <v>#N/A</v>
      </c>
    </row>
    <row r="756" spans="1:3" x14ac:dyDescent="0.25">
      <c r="A756" t="str">
        <f>IF(Monthly!A756="","",Monthly!A756)</f>
        <v/>
      </c>
      <c r="B756" s="7" t="e">
        <f>IF(AND(A756&gt;=Dashboard!$F$5,A756&lt;=Dashboard!$J$5,A756&lt;&gt;""),SUMIFS(DashboardData!$D:$D,DashboardData!$A:$A,IF(Dashboard!$B$5="All","*",Dashboard!$B$5),DashboardData!$B:$B,A756),NA())</f>
        <v>#N/A</v>
      </c>
      <c r="C756" s="7" t="e">
        <f>IF(AND(A756&gt;=Dashboard!$F$5,A756&lt;=Dashboard!$J$5,A756&lt;&gt;""),-SUMIFS(DashboardData!$E:$E,DashboardData!$A:$A,IF(Dashboard!$B$5="All","*",Dashboard!$B$5),DashboardData!$B:$B,A756),NA())</f>
        <v>#N/A</v>
      </c>
    </row>
    <row r="757" spans="1:3" x14ac:dyDescent="0.25">
      <c r="A757" t="str">
        <f>IF(Monthly!A757="","",Monthly!A757)</f>
        <v/>
      </c>
      <c r="B757" s="7" t="e">
        <f>IF(AND(A757&gt;=Dashboard!$F$5,A757&lt;=Dashboard!$J$5,A757&lt;&gt;""),SUMIFS(DashboardData!$D:$D,DashboardData!$A:$A,IF(Dashboard!$B$5="All","*",Dashboard!$B$5),DashboardData!$B:$B,A757),NA())</f>
        <v>#N/A</v>
      </c>
      <c r="C757" s="7" t="e">
        <f>IF(AND(A757&gt;=Dashboard!$F$5,A757&lt;=Dashboard!$J$5,A757&lt;&gt;""),-SUMIFS(DashboardData!$E:$E,DashboardData!$A:$A,IF(Dashboard!$B$5="All","*",Dashboard!$B$5),DashboardData!$B:$B,A757),NA())</f>
        <v>#N/A</v>
      </c>
    </row>
    <row r="758" spans="1:3" x14ac:dyDescent="0.25">
      <c r="A758" t="str">
        <f>IF(Monthly!A758="","",Monthly!A758)</f>
        <v/>
      </c>
      <c r="B758" s="7" t="e">
        <f>IF(AND(A758&gt;=Dashboard!$F$5,A758&lt;=Dashboard!$J$5,A758&lt;&gt;""),SUMIFS(DashboardData!$D:$D,DashboardData!$A:$A,IF(Dashboard!$B$5="All","*",Dashboard!$B$5),DashboardData!$B:$B,A758),NA())</f>
        <v>#N/A</v>
      </c>
      <c r="C758" s="7" t="e">
        <f>IF(AND(A758&gt;=Dashboard!$F$5,A758&lt;=Dashboard!$J$5,A758&lt;&gt;""),-SUMIFS(DashboardData!$E:$E,DashboardData!$A:$A,IF(Dashboard!$B$5="All","*",Dashboard!$B$5),DashboardData!$B:$B,A758),NA())</f>
        <v>#N/A</v>
      </c>
    </row>
    <row r="759" spans="1:3" x14ac:dyDescent="0.25">
      <c r="A759" t="str">
        <f>IF(Monthly!A759="","",Monthly!A759)</f>
        <v/>
      </c>
      <c r="B759" s="7" t="e">
        <f>IF(AND(A759&gt;=Dashboard!$F$5,A759&lt;=Dashboard!$J$5,A759&lt;&gt;""),SUMIFS(DashboardData!$D:$D,DashboardData!$A:$A,IF(Dashboard!$B$5="All","*",Dashboard!$B$5),DashboardData!$B:$B,A759),NA())</f>
        <v>#N/A</v>
      </c>
      <c r="C759" s="7" t="e">
        <f>IF(AND(A759&gt;=Dashboard!$F$5,A759&lt;=Dashboard!$J$5,A759&lt;&gt;""),-SUMIFS(DashboardData!$E:$E,DashboardData!$A:$A,IF(Dashboard!$B$5="All","*",Dashboard!$B$5),DashboardData!$B:$B,A759),NA())</f>
        <v>#N/A</v>
      </c>
    </row>
    <row r="760" spans="1:3" x14ac:dyDescent="0.25">
      <c r="A760" t="str">
        <f>IF(Monthly!A760="","",Monthly!A760)</f>
        <v/>
      </c>
      <c r="B760" s="7" t="e">
        <f>IF(AND(A760&gt;=Dashboard!$F$5,A760&lt;=Dashboard!$J$5,A760&lt;&gt;""),SUMIFS(DashboardData!$D:$D,DashboardData!$A:$A,IF(Dashboard!$B$5="All","*",Dashboard!$B$5),DashboardData!$B:$B,A760),NA())</f>
        <v>#N/A</v>
      </c>
      <c r="C760" s="7" t="e">
        <f>IF(AND(A760&gt;=Dashboard!$F$5,A760&lt;=Dashboard!$J$5,A760&lt;&gt;""),-SUMIFS(DashboardData!$E:$E,DashboardData!$A:$A,IF(Dashboard!$B$5="All","*",Dashboard!$B$5),DashboardData!$B:$B,A760),NA())</f>
        <v>#N/A</v>
      </c>
    </row>
    <row r="761" spans="1:3" x14ac:dyDescent="0.25">
      <c r="A761" t="str">
        <f>IF(Monthly!A761="","",Monthly!A761)</f>
        <v/>
      </c>
      <c r="B761" s="7" t="e">
        <f>IF(AND(A761&gt;=Dashboard!$F$5,A761&lt;=Dashboard!$J$5,A761&lt;&gt;""),SUMIFS(DashboardData!$D:$D,DashboardData!$A:$A,IF(Dashboard!$B$5="All","*",Dashboard!$B$5),DashboardData!$B:$B,A761),NA())</f>
        <v>#N/A</v>
      </c>
      <c r="C761" s="7" t="e">
        <f>IF(AND(A761&gt;=Dashboard!$F$5,A761&lt;=Dashboard!$J$5,A761&lt;&gt;""),-SUMIFS(DashboardData!$E:$E,DashboardData!$A:$A,IF(Dashboard!$B$5="All","*",Dashboard!$B$5),DashboardData!$B:$B,A761),NA())</f>
        <v>#N/A</v>
      </c>
    </row>
    <row r="762" spans="1:3" x14ac:dyDescent="0.25">
      <c r="A762" t="str">
        <f>IF(Monthly!A762="","",Monthly!A762)</f>
        <v/>
      </c>
      <c r="B762" s="7" t="e">
        <f>IF(AND(A762&gt;=Dashboard!$F$5,A762&lt;=Dashboard!$J$5,A762&lt;&gt;""),SUMIFS(DashboardData!$D:$D,DashboardData!$A:$A,IF(Dashboard!$B$5="All","*",Dashboard!$B$5),DashboardData!$B:$B,A762),NA())</f>
        <v>#N/A</v>
      </c>
      <c r="C762" s="7" t="e">
        <f>IF(AND(A762&gt;=Dashboard!$F$5,A762&lt;=Dashboard!$J$5,A762&lt;&gt;""),-SUMIFS(DashboardData!$E:$E,DashboardData!$A:$A,IF(Dashboard!$B$5="All","*",Dashboard!$B$5),DashboardData!$B:$B,A762),NA())</f>
        <v>#N/A</v>
      </c>
    </row>
    <row r="763" spans="1:3" x14ac:dyDescent="0.25">
      <c r="A763" t="str">
        <f>IF(Monthly!A763="","",Monthly!A763)</f>
        <v/>
      </c>
      <c r="B763" s="7" t="e">
        <f>IF(AND(A763&gt;=Dashboard!$F$5,A763&lt;=Dashboard!$J$5,A763&lt;&gt;""),SUMIFS(DashboardData!$D:$D,DashboardData!$A:$A,IF(Dashboard!$B$5="All","*",Dashboard!$B$5),DashboardData!$B:$B,A763),NA())</f>
        <v>#N/A</v>
      </c>
      <c r="C763" s="7" t="e">
        <f>IF(AND(A763&gt;=Dashboard!$F$5,A763&lt;=Dashboard!$J$5,A763&lt;&gt;""),-SUMIFS(DashboardData!$E:$E,DashboardData!$A:$A,IF(Dashboard!$B$5="All","*",Dashboard!$B$5),DashboardData!$B:$B,A763),NA())</f>
        <v>#N/A</v>
      </c>
    </row>
    <row r="764" spans="1:3" x14ac:dyDescent="0.25">
      <c r="A764" t="str">
        <f>IF(Monthly!A764="","",Monthly!A764)</f>
        <v/>
      </c>
      <c r="B764" s="7" t="e">
        <f>IF(AND(A764&gt;=Dashboard!$F$5,A764&lt;=Dashboard!$J$5,A764&lt;&gt;""),SUMIFS(DashboardData!$D:$D,DashboardData!$A:$A,IF(Dashboard!$B$5="All","*",Dashboard!$B$5),DashboardData!$B:$B,A764),NA())</f>
        <v>#N/A</v>
      </c>
      <c r="C764" s="7" t="e">
        <f>IF(AND(A764&gt;=Dashboard!$F$5,A764&lt;=Dashboard!$J$5,A764&lt;&gt;""),-SUMIFS(DashboardData!$E:$E,DashboardData!$A:$A,IF(Dashboard!$B$5="All","*",Dashboard!$B$5),DashboardData!$B:$B,A764),NA())</f>
        <v>#N/A</v>
      </c>
    </row>
    <row r="765" spans="1:3" x14ac:dyDescent="0.25">
      <c r="A765" t="str">
        <f>IF(Monthly!A765="","",Monthly!A765)</f>
        <v/>
      </c>
      <c r="B765" s="7" t="e">
        <f>IF(AND(A765&gt;=Dashboard!$F$5,A765&lt;=Dashboard!$J$5,A765&lt;&gt;""),SUMIFS(DashboardData!$D:$D,DashboardData!$A:$A,IF(Dashboard!$B$5="All","*",Dashboard!$B$5),DashboardData!$B:$B,A765),NA())</f>
        <v>#N/A</v>
      </c>
      <c r="C765" s="7" t="e">
        <f>IF(AND(A765&gt;=Dashboard!$F$5,A765&lt;=Dashboard!$J$5,A765&lt;&gt;""),-SUMIFS(DashboardData!$E:$E,DashboardData!$A:$A,IF(Dashboard!$B$5="All","*",Dashboard!$B$5),DashboardData!$B:$B,A765),NA())</f>
        <v>#N/A</v>
      </c>
    </row>
    <row r="766" spans="1:3" x14ac:dyDescent="0.25">
      <c r="A766" t="str">
        <f>IF(Monthly!A766="","",Monthly!A766)</f>
        <v/>
      </c>
      <c r="B766" s="7" t="e">
        <f>IF(AND(A766&gt;=Dashboard!$F$5,A766&lt;=Dashboard!$J$5,A766&lt;&gt;""),SUMIFS(DashboardData!$D:$D,DashboardData!$A:$A,IF(Dashboard!$B$5="All","*",Dashboard!$B$5),DashboardData!$B:$B,A766),NA())</f>
        <v>#N/A</v>
      </c>
      <c r="C766" s="7" t="e">
        <f>IF(AND(A766&gt;=Dashboard!$F$5,A766&lt;=Dashboard!$J$5,A766&lt;&gt;""),-SUMIFS(DashboardData!$E:$E,DashboardData!$A:$A,IF(Dashboard!$B$5="All","*",Dashboard!$B$5),DashboardData!$B:$B,A766),NA())</f>
        <v>#N/A</v>
      </c>
    </row>
    <row r="767" spans="1:3" x14ac:dyDescent="0.25">
      <c r="A767" t="str">
        <f>IF(Monthly!A767="","",Monthly!A767)</f>
        <v/>
      </c>
      <c r="B767" s="7" t="e">
        <f>IF(AND(A767&gt;=Dashboard!$F$5,A767&lt;=Dashboard!$J$5,A767&lt;&gt;""),SUMIFS(DashboardData!$D:$D,DashboardData!$A:$A,IF(Dashboard!$B$5="All","*",Dashboard!$B$5),DashboardData!$B:$B,A767),NA())</f>
        <v>#N/A</v>
      </c>
      <c r="C767" s="7" t="e">
        <f>IF(AND(A767&gt;=Dashboard!$F$5,A767&lt;=Dashboard!$J$5,A767&lt;&gt;""),-SUMIFS(DashboardData!$E:$E,DashboardData!$A:$A,IF(Dashboard!$B$5="All","*",Dashboard!$B$5),DashboardData!$B:$B,A767),NA())</f>
        <v>#N/A</v>
      </c>
    </row>
    <row r="768" spans="1:3" x14ac:dyDescent="0.25">
      <c r="A768" t="str">
        <f>IF(Monthly!A768="","",Monthly!A768)</f>
        <v/>
      </c>
      <c r="B768" s="7" t="e">
        <f>IF(AND(A768&gt;=Dashboard!$F$5,A768&lt;=Dashboard!$J$5,A768&lt;&gt;""),SUMIFS(DashboardData!$D:$D,DashboardData!$A:$A,IF(Dashboard!$B$5="All","*",Dashboard!$B$5),DashboardData!$B:$B,A768),NA())</f>
        <v>#N/A</v>
      </c>
      <c r="C768" s="7" t="e">
        <f>IF(AND(A768&gt;=Dashboard!$F$5,A768&lt;=Dashboard!$J$5,A768&lt;&gt;""),-SUMIFS(DashboardData!$E:$E,DashboardData!$A:$A,IF(Dashboard!$B$5="All","*",Dashboard!$B$5),DashboardData!$B:$B,A768),NA())</f>
        <v>#N/A</v>
      </c>
    </row>
    <row r="769" spans="1:3" x14ac:dyDescent="0.25">
      <c r="A769" t="str">
        <f>IF(Monthly!A769="","",Monthly!A769)</f>
        <v/>
      </c>
      <c r="B769" s="7" t="e">
        <f>IF(AND(A769&gt;=Dashboard!$F$5,A769&lt;=Dashboard!$J$5,A769&lt;&gt;""),SUMIFS(DashboardData!$D:$D,DashboardData!$A:$A,IF(Dashboard!$B$5="All","*",Dashboard!$B$5),DashboardData!$B:$B,A769),NA())</f>
        <v>#N/A</v>
      </c>
      <c r="C769" s="7" t="e">
        <f>IF(AND(A769&gt;=Dashboard!$F$5,A769&lt;=Dashboard!$J$5,A769&lt;&gt;""),-SUMIFS(DashboardData!$E:$E,DashboardData!$A:$A,IF(Dashboard!$B$5="All","*",Dashboard!$B$5),DashboardData!$B:$B,A769),NA())</f>
        <v>#N/A</v>
      </c>
    </row>
    <row r="770" spans="1:3" x14ac:dyDescent="0.25">
      <c r="A770" t="str">
        <f>IF(Monthly!A770="","",Monthly!A770)</f>
        <v/>
      </c>
      <c r="B770" s="7" t="e">
        <f>IF(AND(A770&gt;=Dashboard!$F$5,A770&lt;=Dashboard!$J$5,A770&lt;&gt;""),SUMIFS(DashboardData!$D:$D,DashboardData!$A:$A,IF(Dashboard!$B$5="All","*",Dashboard!$B$5),DashboardData!$B:$B,A770),NA())</f>
        <v>#N/A</v>
      </c>
      <c r="C770" s="7" t="e">
        <f>IF(AND(A770&gt;=Dashboard!$F$5,A770&lt;=Dashboard!$J$5,A770&lt;&gt;""),-SUMIFS(DashboardData!$E:$E,DashboardData!$A:$A,IF(Dashboard!$B$5="All","*",Dashboard!$B$5),DashboardData!$B:$B,A770),NA())</f>
        <v>#N/A</v>
      </c>
    </row>
    <row r="771" spans="1:3" x14ac:dyDescent="0.25">
      <c r="A771" t="str">
        <f>IF(Monthly!A771="","",Monthly!A771)</f>
        <v/>
      </c>
      <c r="B771" s="7" t="e">
        <f>IF(AND(A771&gt;=Dashboard!$F$5,A771&lt;=Dashboard!$J$5,A771&lt;&gt;""),SUMIFS(DashboardData!$D:$D,DashboardData!$A:$A,IF(Dashboard!$B$5="All","*",Dashboard!$B$5),DashboardData!$B:$B,A771),NA())</f>
        <v>#N/A</v>
      </c>
      <c r="C771" s="7" t="e">
        <f>IF(AND(A771&gt;=Dashboard!$F$5,A771&lt;=Dashboard!$J$5,A771&lt;&gt;""),-SUMIFS(DashboardData!$E:$E,DashboardData!$A:$A,IF(Dashboard!$B$5="All","*",Dashboard!$B$5),DashboardData!$B:$B,A771),NA())</f>
        <v>#N/A</v>
      </c>
    </row>
    <row r="772" spans="1:3" x14ac:dyDescent="0.25">
      <c r="A772" t="str">
        <f>IF(Monthly!A772="","",Monthly!A772)</f>
        <v/>
      </c>
      <c r="B772" s="7" t="e">
        <f>IF(AND(A772&gt;=Dashboard!$F$5,A772&lt;=Dashboard!$J$5,A772&lt;&gt;""),SUMIFS(DashboardData!$D:$D,DashboardData!$A:$A,IF(Dashboard!$B$5="All","*",Dashboard!$B$5),DashboardData!$B:$B,A772),NA())</f>
        <v>#N/A</v>
      </c>
      <c r="C772" s="7" t="e">
        <f>IF(AND(A772&gt;=Dashboard!$F$5,A772&lt;=Dashboard!$J$5,A772&lt;&gt;""),-SUMIFS(DashboardData!$E:$E,DashboardData!$A:$A,IF(Dashboard!$B$5="All","*",Dashboard!$B$5),DashboardData!$B:$B,A772),NA())</f>
        <v>#N/A</v>
      </c>
    </row>
    <row r="773" spans="1:3" x14ac:dyDescent="0.25">
      <c r="A773" t="str">
        <f>IF(Monthly!A773="","",Monthly!A773)</f>
        <v/>
      </c>
      <c r="B773" s="7" t="e">
        <f>IF(AND(A773&gt;=Dashboard!$F$5,A773&lt;=Dashboard!$J$5,A773&lt;&gt;""),SUMIFS(DashboardData!$D:$D,DashboardData!$A:$A,IF(Dashboard!$B$5="All","*",Dashboard!$B$5),DashboardData!$B:$B,A773),NA())</f>
        <v>#N/A</v>
      </c>
      <c r="C773" s="7" t="e">
        <f>IF(AND(A773&gt;=Dashboard!$F$5,A773&lt;=Dashboard!$J$5,A773&lt;&gt;""),-SUMIFS(DashboardData!$E:$E,DashboardData!$A:$A,IF(Dashboard!$B$5="All","*",Dashboard!$B$5),DashboardData!$B:$B,A773),NA())</f>
        <v>#N/A</v>
      </c>
    </row>
    <row r="774" spans="1:3" x14ac:dyDescent="0.25">
      <c r="A774" t="str">
        <f>IF(Monthly!A774="","",Monthly!A774)</f>
        <v/>
      </c>
      <c r="B774" s="7" t="e">
        <f>IF(AND(A774&gt;=Dashboard!$F$5,A774&lt;=Dashboard!$J$5,A774&lt;&gt;""),SUMIFS(DashboardData!$D:$D,DashboardData!$A:$A,IF(Dashboard!$B$5="All","*",Dashboard!$B$5),DashboardData!$B:$B,A774),NA())</f>
        <v>#N/A</v>
      </c>
      <c r="C774" s="7" t="e">
        <f>IF(AND(A774&gt;=Dashboard!$F$5,A774&lt;=Dashboard!$J$5,A774&lt;&gt;""),-SUMIFS(DashboardData!$E:$E,DashboardData!$A:$A,IF(Dashboard!$B$5="All","*",Dashboard!$B$5),DashboardData!$B:$B,A774),NA())</f>
        <v>#N/A</v>
      </c>
    </row>
    <row r="775" spans="1:3" x14ac:dyDescent="0.25">
      <c r="A775" t="str">
        <f>IF(Monthly!A775="","",Monthly!A775)</f>
        <v/>
      </c>
      <c r="B775" s="7" t="e">
        <f>IF(AND(A775&gt;=Dashboard!$F$5,A775&lt;=Dashboard!$J$5,A775&lt;&gt;""),SUMIFS(DashboardData!$D:$D,DashboardData!$A:$A,IF(Dashboard!$B$5="All","*",Dashboard!$B$5),DashboardData!$B:$B,A775),NA())</f>
        <v>#N/A</v>
      </c>
      <c r="C775" s="7" t="e">
        <f>IF(AND(A775&gt;=Dashboard!$F$5,A775&lt;=Dashboard!$J$5,A775&lt;&gt;""),-SUMIFS(DashboardData!$E:$E,DashboardData!$A:$A,IF(Dashboard!$B$5="All","*",Dashboard!$B$5),DashboardData!$B:$B,A775),NA())</f>
        <v>#N/A</v>
      </c>
    </row>
    <row r="776" spans="1:3" x14ac:dyDescent="0.25">
      <c r="A776" t="str">
        <f>IF(Monthly!A776="","",Monthly!A776)</f>
        <v/>
      </c>
      <c r="B776" s="7" t="e">
        <f>IF(AND(A776&gt;=Dashboard!$F$5,A776&lt;=Dashboard!$J$5,A776&lt;&gt;""),SUMIFS(DashboardData!$D:$D,DashboardData!$A:$A,IF(Dashboard!$B$5="All","*",Dashboard!$B$5),DashboardData!$B:$B,A776),NA())</f>
        <v>#N/A</v>
      </c>
      <c r="C776" s="7" t="e">
        <f>IF(AND(A776&gt;=Dashboard!$F$5,A776&lt;=Dashboard!$J$5,A776&lt;&gt;""),-SUMIFS(DashboardData!$E:$E,DashboardData!$A:$A,IF(Dashboard!$B$5="All","*",Dashboard!$B$5),DashboardData!$B:$B,A776),NA())</f>
        <v>#N/A</v>
      </c>
    </row>
    <row r="777" spans="1:3" x14ac:dyDescent="0.25">
      <c r="A777" t="str">
        <f>IF(Monthly!A777="","",Monthly!A777)</f>
        <v/>
      </c>
      <c r="B777" s="7" t="e">
        <f>IF(AND(A777&gt;=Dashboard!$F$5,A777&lt;=Dashboard!$J$5,A777&lt;&gt;""),SUMIFS(DashboardData!$D:$D,DashboardData!$A:$A,IF(Dashboard!$B$5="All","*",Dashboard!$B$5),DashboardData!$B:$B,A777),NA())</f>
        <v>#N/A</v>
      </c>
      <c r="C777" s="7" t="e">
        <f>IF(AND(A777&gt;=Dashboard!$F$5,A777&lt;=Dashboard!$J$5,A777&lt;&gt;""),-SUMIFS(DashboardData!$E:$E,DashboardData!$A:$A,IF(Dashboard!$B$5="All","*",Dashboard!$B$5),DashboardData!$B:$B,A777),NA())</f>
        <v>#N/A</v>
      </c>
    </row>
    <row r="778" spans="1:3" x14ac:dyDescent="0.25">
      <c r="A778" t="str">
        <f>IF(Monthly!A778="","",Monthly!A778)</f>
        <v/>
      </c>
      <c r="B778" s="7" t="e">
        <f>IF(AND(A778&gt;=Dashboard!$F$5,A778&lt;=Dashboard!$J$5,A778&lt;&gt;""),SUMIFS(DashboardData!$D:$D,DashboardData!$A:$A,IF(Dashboard!$B$5="All","*",Dashboard!$B$5),DashboardData!$B:$B,A778),NA())</f>
        <v>#N/A</v>
      </c>
      <c r="C778" s="7" t="e">
        <f>IF(AND(A778&gt;=Dashboard!$F$5,A778&lt;=Dashboard!$J$5,A778&lt;&gt;""),-SUMIFS(DashboardData!$E:$E,DashboardData!$A:$A,IF(Dashboard!$B$5="All","*",Dashboard!$B$5),DashboardData!$B:$B,A778),NA())</f>
        <v>#N/A</v>
      </c>
    </row>
    <row r="779" spans="1:3" x14ac:dyDescent="0.25">
      <c r="A779" t="str">
        <f>IF(Monthly!A779="","",Monthly!A779)</f>
        <v/>
      </c>
      <c r="B779" s="7" t="e">
        <f>IF(AND(A779&gt;=Dashboard!$F$5,A779&lt;=Dashboard!$J$5,A779&lt;&gt;""),SUMIFS(DashboardData!$D:$D,DashboardData!$A:$A,IF(Dashboard!$B$5="All","*",Dashboard!$B$5),DashboardData!$B:$B,A779),NA())</f>
        <v>#N/A</v>
      </c>
      <c r="C779" s="7" t="e">
        <f>IF(AND(A779&gt;=Dashboard!$F$5,A779&lt;=Dashboard!$J$5,A779&lt;&gt;""),-SUMIFS(DashboardData!$E:$E,DashboardData!$A:$A,IF(Dashboard!$B$5="All","*",Dashboard!$B$5),DashboardData!$B:$B,A779),NA())</f>
        <v>#N/A</v>
      </c>
    </row>
    <row r="780" spans="1:3" x14ac:dyDescent="0.25">
      <c r="A780" t="str">
        <f>IF(Monthly!A780="","",Monthly!A780)</f>
        <v/>
      </c>
      <c r="B780" s="7" t="e">
        <f>IF(AND(A780&gt;=Dashboard!$F$5,A780&lt;=Dashboard!$J$5,A780&lt;&gt;""),SUMIFS(DashboardData!$D:$D,DashboardData!$A:$A,IF(Dashboard!$B$5="All","*",Dashboard!$B$5),DashboardData!$B:$B,A780),NA())</f>
        <v>#N/A</v>
      </c>
      <c r="C780" s="7" t="e">
        <f>IF(AND(A780&gt;=Dashboard!$F$5,A780&lt;=Dashboard!$J$5,A780&lt;&gt;""),-SUMIFS(DashboardData!$E:$E,DashboardData!$A:$A,IF(Dashboard!$B$5="All","*",Dashboard!$B$5),DashboardData!$B:$B,A780),NA())</f>
        <v>#N/A</v>
      </c>
    </row>
    <row r="781" spans="1:3" x14ac:dyDescent="0.25">
      <c r="A781" t="str">
        <f>IF(Monthly!A781="","",Monthly!A781)</f>
        <v/>
      </c>
      <c r="B781" s="7" t="e">
        <f>IF(AND(A781&gt;=Dashboard!$F$5,A781&lt;=Dashboard!$J$5,A781&lt;&gt;""),SUMIFS(DashboardData!$D:$D,DashboardData!$A:$A,IF(Dashboard!$B$5="All","*",Dashboard!$B$5),DashboardData!$B:$B,A781),NA())</f>
        <v>#N/A</v>
      </c>
      <c r="C781" s="7" t="e">
        <f>IF(AND(A781&gt;=Dashboard!$F$5,A781&lt;=Dashboard!$J$5,A781&lt;&gt;""),-SUMIFS(DashboardData!$E:$E,DashboardData!$A:$A,IF(Dashboard!$B$5="All","*",Dashboard!$B$5),DashboardData!$B:$B,A781),NA())</f>
        <v>#N/A</v>
      </c>
    </row>
    <row r="782" spans="1:3" x14ac:dyDescent="0.25">
      <c r="A782" t="str">
        <f>IF(Monthly!A782="","",Monthly!A782)</f>
        <v/>
      </c>
      <c r="B782" s="7" t="e">
        <f>IF(AND(A782&gt;=Dashboard!$F$5,A782&lt;=Dashboard!$J$5,A782&lt;&gt;""),SUMIFS(DashboardData!$D:$D,DashboardData!$A:$A,IF(Dashboard!$B$5="All","*",Dashboard!$B$5),DashboardData!$B:$B,A782),NA())</f>
        <v>#N/A</v>
      </c>
      <c r="C782" s="7" t="e">
        <f>IF(AND(A782&gt;=Dashboard!$F$5,A782&lt;=Dashboard!$J$5,A782&lt;&gt;""),-SUMIFS(DashboardData!$E:$E,DashboardData!$A:$A,IF(Dashboard!$B$5="All","*",Dashboard!$B$5),DashboardData!$B:$B,A782),NA())</f>
        <v>#N/A</v>
      </c>
    </row>
    <row r="783" spans="1:3" x14ac:dyDescent="0.25">
      <c r="A783" t="str">
        <f>IF(Monthly!A783="","",Monthly!A783)</f>
        <v/>
      </c>
      <c r="B783" s="7" t="e">
        <f>IF(AND(A783&gt;=Dashboard!$F$5,A783&lt;=Dashboard!$J$5,A783&lt;&gt;""),SUMIFS(DashboardData!$D:$D,DashboardData!$A:$A,IF(Dashboard!$B$5="All","*",Dashboard!$B$5),DashboardData!$B:$B,A783),NA())</f>
        <v>#N/A</v>
      </c>
      <c r="C783" s="7" t="e">
        <f>IF(AND(A783&gt;=Dashboard!$F$5,A783&lt;=Dashboard!$J$5,A783&lt;&gt;""),-SUMIFS(DashboardData!$E:$E,DashboardData!$A:$A,IF(Dashboard!$B$5="All","*",Dashboard!$B$5),DashboardData!$B:$B,A783),NA())</f>
        <v>#N/A</v>
      </c>
    </row>
    <row r="784" spans="1:3" x14ac:dyDescent="0.25">
      <c r="A784" t="str">
        <f>IF(Monthly!A784="","",Monthly!A784)</f>
        <v/>
      </c>
      <c r="B784" s="7" t="e">
        <f>IF(AND(A784&gt;=Dashboard!$F$5,A784&lt;=Dashboard!$J$5,A784&lt;&gt;""),SUMIFS(DashboardData!$D:$D,DashboardData!$A:$A,IF(Dashboard!$B$5="All","*",Dashboard!$B$5),DashboardData!$B:$B,A784),NA())</f>
        <v>#N/A</v>
      </c>
      <c r="C784" s="7" t="e">
        <f>IF(AND(A784&gt;=Dashboard!$F$5,A784&lt;=Dashboard!$J$5,A784&lt;&gt;""),-SUMIFS(DashboardData!$E:$E,DashboardData!$A:$A,IF(Dashboard!$B$5="All","*",Dashboard!$B$5),DashboardData!$B:$B,A784),NA())</f>
        <v>#N/A</v>
      </c>
    </row>
    <row r="785" spans="1:3" x14ac:dyDescent="0.25">
      <c r="A785" t="str">
        <f>IF(Monthly!A785="","",Monthly!A785)</f>
        <v/>
      </c>
      <c r="B785" s="7" t="e">
        <f>IF(AND(A785&gt;=Dashboard!$F$5,A785&lt;=Dashboard!$J$5,A785&lt;&gt;""),SUMIFS(DashboardData!$D:$D,DashboardData!$A:$A,IF(Dashboard!$B$5="All","*",Dashboard!$B$5),DashboardData!$B:$B,A785),NA())</f>
        <v>#N/A</v>
      </c>
      <c r="C785" s="7" t="e">
        <f>IF(AND(A785&gt;=Dashboard!$F$5,A785&lt;=Dashboard!$J$5,A785&lt;&gt;""),-SUMIFS(DashboardData!$E:$E,DashboardData!$A:$A,IF(Dashboard!$B$5="All","*",Dashboard!$B$5),DashboardData!$B:$B,A785),NA())</f>
        <v>#N/A</v>
      </c>
    </row>
    <row r="786" spans="1:3" x14ac:dyDescent="0.25">
      <c r="A786" t="str">
        <f>IF(Monthly!A786="","",Monthly!A786)</f>
        <v/>
      </c>
      <c r="B786" s="7" t="e">
        <f>IF(AND(A786&gt;=Dashboard!$F$5,A786&lt;=Dashboard!$J$5,A786&lt;&gt;""),SUMIFS(DashboardData!$D:$D,DashboardData!$A:$A,IF(Dashboard!$B$5="All","*",Dashboard!$B$5),DashboardData!$B:$B,A786),NA())</f>
        <v>#N/A</v>
      </c>
      <c r="C786" s="7" t="e">
        <f>IF(AND(A786&gt;=Dashboard!$F$5,A786&lt;=Dashboard!$J$5,A786&lt;&gt;""),-SUMIFS(DashboardData!$E:$E,DashboardData!$A:$A,IF(Dashboard!$B$5="All","*",Dashboard!$B$5),DashboardData!$B:$B,A786),NA())</f>
        <v>#N/A</v>
      </c>
    </row>
    <row r="787" spans="1:3" x14ac:dyDescent="0.25">
      <c r="A787" t="str">
        <f>IF(Monthly!A787="","",Monthly!A787)</f>
        <v/>
      </c>
      <c r="B787" s="7" t="e">
        <f>IF(AND(A787&gt;=Dashboard!$F$5,A787&lt;=Dashboard!$J$5,A787&lt;&gt;""),SUMIFS(DashboardData!$D:$D,DashboardData!$A:$A,IF(Dashboard!$B$5="All","*",Dashboard!$B$5),DashboardData!$B:$B,A787),NA())</f>
        <v>#N/A</v>
      </c>
      <c r="C787" s="7" t="e">
        <f>IF(AND(A787&gt;=Dashboard!$F$5,A787&lt;=Dashboard!$J$5,A787&lt;&gt;""),-SUMIFS(DashboardData!$E:$E,DashboardData!$A:$A,IF(Dashboard!$B$5="All","*",Dashboard!$B$5),DashboardData!$B:$B,A787),NA())</f>
        <v>#N/A</v>
      </c>
    </row>
    <row r="788" spans="1:3" x14ac:dyDescent="0.25">
      <c r="A788" t="str">
        <f>IF(Monthly!A788="","",Monthly!A788)</f>
        <v/>
      </c>
      <c r="B788" s="7" t="e">
        <f>IF(AND(A788&gt;=Dashboard!$F$5,A788&lt;=Dashboard!$J$5,A788&lt;&gt;""),SUMIFS(DashboardData!$D:$D,DashboardData!$A:$A,IF(Dashboard!$B$5="All","*",Dashboard!$B$5),DashboardData!$B:$B,A788),NA())</f>
        <v>#N/A</v>
      </c>
      <c r="C788" s="7" t="e">
        <f>IF(AND(A788&gt;=Dashboard!$F$5,A788&lt;=Dashboard!$J$5,A788&lt;&gt;""),-SUMIFS(DashboardData!$E:$E,DashboardData!$A:$A,IF(Dashboard!$B$5="All","*",Dashboard!$B$5),DashboardData!$B:$B,A788),NA())</f>
        <v>#N/A</v>
      </c>
    </row>
    <row r="789" spans="1:3" x14ac:dyDescent="0.25">
      <c r="A789" t="str">
        <f>IF(Monthly!A789="","",Monthly!A789)</f>
        <v/>
      </c>
      <c r="B789" s="7" t="e">
        <f>IF(AND(A789&gt;=Dashboard!$F$5,A789&lt;=Dashboard!$J$5,A789&lt;&gt;""),SUMIFS(DashboardData!$D:$D,DashboardData!$A:$A,IF(Dashboard!$B$5="All","*",Dashboard!$B$5),DashboardData!$B:$B,A789),NA())</f>
        <v>#N/A</v>
      </c>
      <c r="C789" s="7" t="e">
        <f>IF(AND(A789&gt;=Dashboard!$F$5,A789&lt;=Dashboard!$J$5,A789&lt;&gt;""),-SUMIFS(DashboardData!$E:$E,DashboardData!$A:$A,IF(Dashboard!$B$5="All","*",Dashboard!$B$5),DashboardData!$B:$B,A789),NA())</f>
        <v>#N/A</v>
      </c>
    </row>
    <row r="790" spans="1:3" x14ac:dyDescent="0.25">
      <c r="A790" t="str">
        <f>IF(Monthly!A790="","",Monthly!A790)</f>
        <v/>
      </c>
      <c r="B790" s="7" t="e">
        <f>IF(AND(A790&gt;=Dashboard!$F$5,A790&lt;=Dashboard!$J$5,A790&lt;&gt;""),SUMIFS(DashboardData!$D:$D,DashboardData!$A:$A,IF(Dashboard!$B$5="All","*",Dashboard!$B$5),DashboardData!$B:$B,A790),NA())</f>
        <v>#N/A</v>
      </c>
      <c r="C790" s="7" t="e">
        <f>IF(AND(A790&gt;=Dashboard!$F$5,A790&lt;=Dashboard!$J$5,A790&lt;&gt;""),-SUMIFS(DashboardData!$E:$E,DashboardData!$A:$A,IF(Dashboard!$B$5="All","*",Dashboard!$B$5),DashboardData!$B:$B,A790),NA())</f>
        <v>#N/A</v>
      </c>
    </row>
    <row r="791" spans="1:3" x14ac:dyDescent="0.25">
      <c r="A791" t="str">
        <f>IF(Monthly!A791="","",Monthly!A791)</f>
        <v/>
      </c>
      <c r="B791" s="7" t="e">
        <f>IF(AND(A791&gt;=Dashboard!$F$5,A791&lt;=Dashboard!$J$5,A791&lt;&gt;""),SUMIFS(DashboardData!$D:$D,DashboardData!$A:$A,IF(Dashboard!$B$5="All","*",Dashboard!$B$5),DashboardData!$B:$B,A791),NA())</f>
        <v>#N/A</v>
      </c>
      <c r="C791" s="7" t="e">
        <f>IF(AND(A791&gt;=Dashboard!$F$5,A791&lt;=Dashboard!$J$5,A791&lt;&gt;""),-SUMIFS(DashboardData!$E:$E,DashboardData!$A:$A,IF(Dashboard!$B$5="All","*",Dashboard!$B$5),DashboardData!$B:$B,A791),NA())</f>
        <v>#N/A</v>
      </c>
    </row>
    <row r="792" spans="1:3" x14ac:dyDescent="0.25">
      <c r="A792" t="str">
        <f>IF(Monthly!A792="","",Monthly!A792)</f>
        <v/>
      </c>
      <c r="B792" s="7" t="e">
        <f>IF(AND(A792&gt;=Dashboard!$F$5,A792&lt;=Dashboard!$J$5,A792&lt;&gt;""),SUMIFS(DashboardData!$D:$D,DashboardData!$A:$A,IF(Dashboard!$B$5="All","*",Dashboard!$B$5),DashboardData!$B:$B,A792),NA())</f>
        <v>#N/A</v>
      </c>
      <c r="C792" s="7" t="e">
        <f>IF(AND(A792&gt;=Dashboard!$F$5,A792&lt;=Dashboard!$J$5,A792&lt;&gt;""),-SUMIFS(DashboardData!$E:$E,DashboardData!$A:$A,IF(Dashboard!$B$5="All","*",Dashboard!$B$5),DashboardData!$B:$B,A792),NA())</f>
        <v>#N/A</v>
      </c>
    </row>
    <row r="793" spans="1:3" x14ac:dyDescent="0.25">
      <c r="A793" t="str">
        <f>IF(Monthly!A793="","",Monthly!A793)</f>
        <v/>
      </c>
      <c r="B793" s="7" t="e">
        <f>IF(AND(A793&gt;=Dashboard!$F$5,A793&lt;=Dashboard!$J$5,A793&lt;&gt;""),SUMIFS(DashboardData!$D:$D,DashboardData!$A:$A,IF(Dashboard!$B$5="All","*",Dashboard!$B$5),DashboardData!$B:$B,A793),NA())</f>
        <v>#N/A</v>
      </c>
      <c r="C793" s="7" t="e">
        <f>IF(AND(A793&gt;=Dashboard!$F$5,A793&lt;=Dashboard!$J$5,A793&lt;&gt;""),-SUMIFS(DashboardData!$E:$E,DashboardData!$A:$A,IF(Dashboard!$B$5="All","*",Dashboard!$B$5),DashboardData!$B:$B,A793),NA())</f>
        <v>#N/A</v>
      </c>
    </row>
    <row r="794" spans="1:3" x14ac:dyDescent="0.25">
      <c r="A794" t="str">
        <f>IF(Monthly!A794="","",Monthly!A794)</f>
        <v/>
      </c>
      <c r="B794" s="7" t="e">
        <f>IF(AND(A794&gt;=Dashboard!$F$5,A794&lt;=Dashboard!$J$5,A794&lt;&gt;""),SUMIFS(DashboardData!$D:$D,DashboardData!$A:$A,IF(Dashboard!$B$5="All","*",Dashboard!$B$5),DashboardData!$B:$B,A794),NA())</f>
        <v>#N/A</v>
      </c>
      <c r="C794" s="7" t="e">
        <f>IF(AND(A794&gt;=Dashboard!$F$5,A794&lt;=Dashboard!$J$5,A794&lt;&gt;""),-SUMIFS(DashboardData!$E:$E,DashboardData!$A:$A,IF(Dashboard!$B$5="All","*",Dashboard!$B$5),DashboardData!$B:$B,A794),NA())</f>
        <v>#N/A</v>
      </c>
    </row>
    <row r="795" spans="1:3" x14ac:dyDescent="0.25">
      <c r="A795" t="str">
        <f>IF(Monthly!A795="","",Monthly!A795)</f>
        <v/>
      </c>
      <c r="B795" s="7" t="e">
        <f>IF(AND(A795&gt;=Dashboard!$F$5,A795&lt;=Dashboard!$J$5,A795&lt;&gt;""),SUMIFS(DashboardData!$D:$D,DashboardData!$A:$A,IF(Dashboard!$B$5="All","*",Dashboard!$B$5),DashboardData!$B:$B,A795),NA())</f>
        <v>#N/A</v>
      </c>
      <c r="C795" s="7" t="e">
        <f>IF(AND(A795&gt;=Dashboard!$F$5,A795&lt;=Dashboard!$J$5,A795&lt;&gt;""),-SUMIFS(DashboardData!$E:$E,DashboardData!$A:$A,IF(Dashboard!$B$5="All","*",Dashboard!$B$5),DashboardData!$B:$B,A795),NA())</f>
        <v>#N/A</v>
      </c>
    </row>
    <row r="796" spans="1:3" x14ac:dyDescent="0.25">
      <c r="A796" t="str">
        <f>IF(Monthly!A796="","",Monthly!A796)</f>
        <v/>
      </c>
      <c r="B796" s="7" t="e">
        <f>IF(AND(A796&gt;=Dashboard!$F$5,A796&lt;=Dashboard!$J$5,A796&lt;&gt;""),SUMIFS(DashboardData!$D:$D,DashboardData!$A:$A,IF(Dashboard!$B$5="All","*",Dashboard!$B$5),DashboardData!$B:$B,A796),NA())</f>
        <v>#N/A</v>
      </c>
      <c r="C796" s="7" t="e">
        <f>IF(AND(A796&gt;=Dashboard!$F$5,A796&lt;=Dashboard!$J$5,A796&lt;&gt;""),-SUMIFS(DashboardData!$E:$E,DashboardData!$A:$A,IF(Dashboard!$B$5="All","*",Dashboard!$B$5),DashboardData!$B:$B,A796),NA())</f>
        <v>#N/A</v>
      </c>
    </row>
    <row r="797" spans="1:3" x14ac:dyDescent="0.25">
      <c r="A797" t="str">
        <f>IF(Monthly!A797="","",Monthly!A797)</f>
        <v/>
      </c>
      <c r="B797" s="7" t="e">
        <f>IF(AND(A797&gt;=Dashboard!$F$5,A797&lt;=Dashboard!$J$5,A797&lt;&gt;""),SUMIFS(DashboardData!$D:$D,DashboardData!$A:$A,IF(Dashboard!$B$5="All","*",Dashboard!$B$5),DashboardData!$B:$B,A797),NA())</f>
        <v>#N/A</v>
      </c>
      <c r="C797" s="7" t="e">
        <f>IF(AND(A797&gt;=Dashboard!$F$5,A797&lt;=Dashboard!$J$5,A797&lt;&gt;""),-SUMIFS(DashboardData!$E:$E,DashboardData!$A:$A,IF(Dashboard!$B$5="All","*",Dashboard!$B$5),DashboardData!$B:$B,A797),NA())</f>
        <v>#N/A</v>
      </c>
    </row>
    <row r="798" spans="1:3" x14ac:dyDescent="0.25">
      <c r="A798" t="str">
        <f>IF(Monthly!A798="","",Monthly!A798)</f>
        <v/>
      </c>
      <c r="B798" s="7" t="e">
        <f>IF(AND(A798&gt;=Dashboard!$F$5,A798&lt;=Dashboard!$J$5,A798&lt;&gt;""),SUMIFS(DashboardData!$D:$D,DashboardData!$A:$A,IF(Dashboard!$B$5="All","*",Dashboard!$B$5),DashboardData!$B:$B,A798),NA())</f>
        <v>#N/A</v>
      </c>
      <c r="C798" s="7" t="e">
        <f>IF(AND(A798&gt;=Dashboard!$F$5,A798&lt;=Dashboard!$J$5,A798&lt;&gt;""),-SUMIFS(DashboardData!$E:$E,DashboardData!$A:$A,IF(Dashboard!$B$5="All","*",Dashboard!$B$5),DashboardData!$B:$B,A798),NA())</f>
        <v>#N/A</v>
      </c>
    </row>
    <row r="799" spans="1:3" x14ac:dyDescent="0.25">
      <c r="A799" t="str">
        <f>IF(Monthly!A799="","",Monthly!A799)</f>
        <v/>
      </c>
      <c r="B799" s="7" t="e">
        <f>IF(AND(A799&gt;=Dashboard!$F$5,A799&lt;=Dashboard!$J$5,A799&lt;&gt;""),SUMIFS(DashboardData!$D:$D,DashboardData!$A:$A,IF(Dashboard!$B$5="All","*",Dashboard!$B$5),DashboardData!$B:$B,A799),NA())</f>
        <v>#N/A</v>
      </c>
      <c r="C799" s="7" t="e">
        <f>IF(AND(A799&gt;=Dashboard!$F$5,A799&lt;=Dashboard!$J$5,A799&lt;&gt;""),-SUMIFS(DashboardData!$E:$E,DashboardData!$A:$A,IF(Dashboard!$B$5="All","*",Dashboard!$B$5),DashboardData!$B:$B,A799),NA())</f>
        <v>#N/A</v>
      </c>
    </row>
    <row r="800" spans="1:3" x14ac:dyDescent="0.25">
      <c r="A800" t="str">
        <f>IF(Monthly!A800="","",Monthly!A800)</f>
        <v/>
      </c>
      <c r="B800" s="7" t="e">
        <f>IF(AND(A800&gt;=Dashboard!$F$5,A800&lt;=Dashboard!$J$5,A800&lt;&gt;""),SUMIFS(DashboardData!$D:$D,DashboardData!$A:$A,IF(Dashboard!$B$5="All","*",Dashboard!$B$5),DashboardData!$B:$B,A800),NA())</f>
        <v>#N/A</v>
      </c>
      <c r="C800" s="7" t="e">
        <f>IF(AND(A800&gt;=Dashboard!$F$5,A800&lt;=Dashboard!$J$5,A800&lt;&gt;""),-SUMIFS(DashboardData!$E:$E,DashboardData!$A:$A,IF(Dashboard!$B$5="All","*",Dashboard!$B$5),DashboardData!$B:$B,A800),NA())</f>
        <v>#N/A</v>
      </c>
    </row>
    <row r="801" spans="1:3" x14ac:dyDescent="0.25">
      <c r="A801" t="str">
        <f>IF(Monthly!A801="","",Monthly!A801)</f>
        <v/>
      </c>
      <c r="B801" s="7" t="e">
        <f>IF(AND(A801&gt;=Dashboard!$F$5,A801&lt;=Dashboard!$J$5,A801&lt;&gt;""),SUMIFS(DashboardData!$D:$D,DashboardData!$A:$A,IF(Dashboard!$B$5="All","*",Dashboard!$B$5),DashboardData!$B:$B,A801),NA())</f>
        <v>#N/A</v>
      </c>
      <c r="C801" s="7" t="e">
        <f>IF(AND(A801&gt;=Dashboard!$F$5,A801&lt;=Dashboard!$J$5,A801&lt;&gt;""),-SUMIFS(DashboardData!$E:$E,DashboardData!$A:$A,IF(Dashboard!$B$5="All","*",Dashboard!$B$5),DashboardData!$B:$B,A801),NA())</f>
        <v>#N/A</v>
      </c>
    </row>
    <row r="802" spans="1:3" x14ac:dyDescent="0.25">
      <c r="A802" t="str">
        <f>IF(Monthly!A802="","",Monthly!A802)</f>
        <v/>
      </c>
      <c r="B802" s="7" t="e">
        <f>IF(AND(A802&gt;=Dashboard!$F$5,A802&lt;=Dashboard!$J$5,A802&lt;&gt;""),SUMIFS(DashboardData!$D:$D,DashboardData!$A:$A,IF(Dashboard!$B$5="All","*",Dashboard!$B$5),DashboardData!$B:$B,A802),NA())</f>
        <v>#N/A</v>
      </c>
      <c r="C802" s="7" t="e">
        <f>IF(AND(A802&gt;=Dashboard!$F$5,A802&lt;=Dashboard!$J$5,A802&lt;&gt;""),-SUMIFS(DashboardData!$E:$E,DashboardData!$A:$A,IF(Dashboard!$B$5="All","*",Dashboard!$B$5),DashboardData!$B:$B,A802),NA())</f>
        <v>#N/A</v>
      </c>
    </row>
    <row r="803" spans="1:3" x14ac:dyDescent="0.25">
      <c r="A803" t="str">
        <f>IF(Monthly!A803="","",Monthly!A803)</f>
        <v/>
      </c>
      <c r="B803" s="7" t="e">
        <f>IF(AND(A803&gt;=Dashboard!$F$5,A803&lt;=Dashboard!$J$5,A803&lt;&gt;""),SUMIFS(DashboardData!$D:$D,DashboardData!$A:$A,IF(Dashboard!$B$5="All","*",Dashboard!$B$5),DashboardData!$B:$B,A803),NA())</f>
        <v>#N/A</v>
      </c>
      <c r="C803" s="7" t="e">
        <f>IF(AND(A803&gt;=Dashboard!$F$5,A803&lt;=Dashboard!$J$5,A803&lt;&gt;""),-SUMIFS(DashboardData!$E:$E,DashboardData!$A:$A,IF(Dashboard!$B$5="All","*",Dashboard!$B$5),DashboardData!$B:$B,A803),NA())</f>
        <v>#N/A</v>
      </c>
    </row>
    <row r="804" spans="1:3" x14ac:dyDescent="0.25">
      <c r="A804" t="str">
        <f>IF(Monthly!A804="","",Monthly!A804)</f>
        <v/>
      </c>
      <c r="B804" s="7" t="e">
        <f>IF(AND(A804&gt;=Dashboard!$F$5,A804&lt;=Dashboard!$J$5,A804&lt;&gt;""),SUMIFS(DashboardData!$D:$D,DashboardData!$A:$A,IF(Dashboard!$B$5="All","*",Dashboard!$B$5),DashboardData!$B:$B,A804),NA())</f>
        <v>#N/A</v>
      </c>
      <c r="C804" s="7" t="e">
        <f>IF(AND(A804&gt;=Dashboard!$F$5,A804&lt;=Dashboard!$J$5,A804&lt;&gt;""),-SUMIFS(DashboardData!$E:$E,DashboardData!$A:$A,IF(Dashboard!$B$5="All","*",Dashboard!$B$5),DashboardData!$B:$B,A804),NA())</f>
        <v>#N/A</v>
      </c>
    </row>
    <row r="805" spans="1:3" x14ac:dyDescent="0.25">
      <c r="A805" t="str">
        <f>IF(Monthly!A805="","",Monthly!A805)</f>
        <v/>
      </c>
      <c r="B805" s="7" t="e">
        <f>IF(AND(A805&gt;=Dashboard!$F$5,A805&lt;=Dashboard!$J$5,A805&lt;&gt;""),SUMIFS(DashboardData!$D:$D,DashboardData!$A:$A,IF(Dashboard!$B$5="All","*",Dashboard!$B$5),DashboardData!$B:$B,A805),NA())</f>
        <v>#N/A</v>
      </c>
      <c r="C805" s="7" t="e">
        <f>IF(AND(A805&gt;=Dashboard!$F$5,A805&lt;=Dashboard!$J$5,A805&lt;&gt;""),-SUMIFS(DashboardData!$E:$E,DashboardData!$A:$A,IF(Dashboard!$B$5="All","*",Dashboard!$B$5),DashboardData!$B:$B,A805),NA())</f>
        <v>#N/A</v>
      </c>
    </row>
    <row r="806" spans="1:3" x14ac:dyDescent="0.25">
      <c r="A806" t="str">
        <f>IF(Monthly!A806="","",Monthly!A806)</f>
        <v/>
      </c>
      <c r="B806" s="7" t="e">
        <f>IF(AND(A806&gt;=Dashboard!$F$5,A806&lt;=Dashboard!$J$5,A806&lt;&gt;""),SUMIFS(DashboardData!$D:$D,DashboardData!$A:$A,IF(Dashboard!$B$5="All","*",Dashboard!$B$5),DashboardData!$B:$B,A806),NA())</f>
        <v>#N/A</v>
      </c>
      <c r="C806" s="7" t="e">
        <f>IF(AND(A806&gt;=Dashboard!$F$5,A806&lt;=Dashboard!$J$5,A806&lt;&gt;""),-SUMIFS(DashboardData!$E:$E,DashboardData!$A:$A,IF(Dashboard!$B$5="All","*",Dashboard!$B$5),DashboardData!$B:$B,A806),NA())</f>
        <v>#N/A</v>
      </c>
    </row>
    <row r="807" spans="1:3" x14ac:dyDescent="0.25">
      <c r="A807" t="str">
        <f>IF(Monthly!A807="","",Monthly!A807)</f>
        <v/>
      </c>
      <c r="B807" s="7" t="e">
        <f>IF(AND(A807&gt;=Dashboard!$F$5,A807&lt;=Dashboard!$J$5,A807&lt;&gt;""),SUMIFS(DashboardData!$D:$D,DashboardData!$A:$A,IF(Dashboard!$B$5="All","*",Dashboard!$B$5),DashboardData!$B:$B,A807),NA())</f>
        <v>#N/A</v>
      </c>
      <c r="C807" s="7" t="e">
        <f>IF(AND(A807&gt;=Dashboard!$F$5,A807&lt;=Dashboard!$J$5,A807&lt;&gt;""),-SUMIFS(DashboardData!$E:$E,DashboardData!$A:$A,IF(Dashboard!$B$5="All","*",Dashboard!$B$5),DashboardData!$B:$B,A807),NA())</f>
        <v>#N/A</v>
      </c>
    </row>
    <row r="808" spans="1:3" x14ac:dyDescent="0.25">
      <c r="A808" t="str">
        <f>IF(Monthly!A808="","",Monthly!A808)</f>
        <v/>
      </c>
      <c r="B808" s="7" t="e">
        <f>IF(AND(A808&gt;=Dashboard!$F$5,A808&lt;=Dashboard!$J$5,A808&lt;&gt;""),SUMIFS(DashboardData!$D:$D,DashboardData!$A:$A,IF(Dashboard!$B$5="All","*",Dashboard!$B$5),DashboardData!$B:$B,A808),NA())</f>
        <v>#N/A</v>
      </c>
      <c r="C808" s="7" t="e">
        <f>IF(AND(A808&gt;=Dashboard!$F$5,A808&lt;=Dashboard!$J$5,A808&lt;&gt;""),-SUMIFS(DashboardData!$E:$E,DashboardData!$A:$A,IF(Dashboard!$B$5="All","*",Dashboard!$B$5),DashboardData!$B:$B,A808),NA())</f>
        <v>#N/A</v>
      </c>
    </row>
    <row r="809" spans="1:3" x14ac:dyDescent="0.25">
      <c r="A809" t="str">
        <f>IF(Monthly!A809="","",Monthly!A809)</f>
        <v/>
      </c>
      <c r="B809" s="7" t="e">
        <f>IF(AND(A809&gt;=Dashboard!$F$5,A809&lt;=Dashboard!$J$5,A809&lt;&gt;""),SUMIFS(DashboardData!$D:$D,DashboardData!$A:$A,IF(Dashboard!$B$5="All","*",Dashboard!$B$5),DashboardData!$B:$B,A809),NA())</f>
        <v>#N/A</v>
      </c>
      <c r="C809" s="7" t="e">
        <f>IF(AND(A809&gt;=Dashboard!$F$5,A809&lt;=Dashboard!$J$5,A809&lt;&gt;""),-SUMIFS(DashboardData!$E:$E,DashboardData!$A:$A,IF(Dashboard!$B$5="All","*",Dashboard!$B$5),DashboardData!$B:$B,A809),NA())</f>
        <v>#N/A</v>
      </c>
    </row>
    <row r="810" spans="1:3" x14ac:dyDescent="0.25">
      <c r="A810" t="str">
        <f>IF(Monthly!A810="","",Monthly!A810)</f>
        <v/>
      </c>
      <c r="B810" s="7" t="e">
        <f>IF(AND(A810&gt;=Dashboard!$F$5,A810&lt;=Dashboard!$J$5,A810&lt;&gt;""),SUMIFS(DashboardData!$D:$D,DashboardData!$A:$A,IF(Dashboard!$B$5="All","*",Dashboard!$B$5),DashboardData!$B:$B,A810),NA())</f>
        <v>#N/A</v>
      </c>
      <c r="C810" s="7" t="e">
        <f>IF(AND(A810&gt;=Dashboard!$F$5,A810&lt;=Dashboard!$J$5,A810&lt;&gt;""),-SUMIFS(DashboardData!$E:$E,DashboardData!$A:$A,IF(Dashboard!$B$5="All","*",Dashboard!$B$5),DashboardData!$B:$B,A810),NA())</f>
        <v>#N/A</v>
      </c>
    </row>
    <row r="811" spans="1:3" x14ac:dyDescent="0.25">
      <c r="A811" t="str">
        <f>IF(Monthly!A811="","",Monthly!A811)</f>
        <v/>
      </c>
      <c r="B811" s="7" t="e">
        <f>IF(AND(A811&gt;=Dashboard!$F$5,A811&lt;=Dashboard!$J$5,A811&lt;&gt;""),SUMIFS(DashboardData!$D:$D,DashboardData!$A:$A,IF(Dashboard!$B$5="All","*",Dashboard!$B$5),DashboardData!$B:$B,A811),NA())</f>
        <v>#N/A</v>
      </c>
      <c r="C811" s="7" t="e">
        <f>IF(AND(A811&gt;=Dashboard!$F$5,A811&lt;=Dashboard!$J$5,A811&lt;&gt;""),-SUMIFS(DashboardData!$E:$E,DashboardData!$A:$A,IF(Dashboard!$B$5="All","*",Dashboard!$B$5),DashboardData!$B:$B,A811),NA())</f>
        <v>#N/A</v>
      </c>
    </row>
    <row r="812" spans="1:3" x14ac:dyDescent="0.25">
      <c r="A812" t="str">
        <f>IF(Monthly!A812="","",Monthly!A812)</f>
        <v/>
      </c>
      <c r="B812" s="7" t="e">
        <f>IF(AND(A812&gt;=Dashboard!$F$5,A812&lt;=Dashboard!$J$5,A812&lt;&gt;""),SUMIFS(DashboardData!$D:$D,DashboardData!$A:$A,IF(Dashboard!$B$5="All","*",Dashboard!$B$5),DashboardData!$B:$B,A812),NA())</f>
        <v>#N/A</v>
      </c>
      <c r="C812" s="7" t="e">
        <f>IF(AND(A812&gt;=Dashboard!$F$5,A812&lt;=Dashboard!$J$5,A812&lt;&gt;""),-SUMIFS(DashboardData!$E:$E,DashboardData!$A:$A,IF(Dashboard!$B$5="All","*",Dashboard!$B$5),DashboardData!$B:$B,A812),NA())</f>
        <v>#N/A</v>
      </c>
    </row>
    <row r="813" spans="1:3" x14ac:dyDescent="0.25">
      <c r="A813" t="str">
        <f>IF(Monthly!A813="","",Monthly!A813)</f>
        <v/>
      </c>
      <c r="B813" s="7" t="e">
        <f>IF(AND(A813&gt;=Dashboard!$F$5,A813&lt;=Dashboard!$J$5,A813&lt;&gt;""),SUMIFS(DashboardData!$D:$D,DashboardData!$A:$A,IF(Dashboard!$B$5="All","*",Dashboard!$B$5),DashboardData!$B:$B,A813),NA())</f>
        <v>#N/A</v>
      </c>
      <c r="C813" s="7" t="e">
        <f>IF(AND(A813&gt;=Dashboard!$F$5,A813&lt;=Dashboard!$J$5,A813&lt;&gt;""),-SUMIFS(DashboardData!$E:$E,DashboardData!$A:$A,IF(Dashboard!$B$5="All","*",Dashboard!$B$5),DashboardData!$B:$B,A813),NA())</f>
        <v>#N/A</v>
      </c>
    </row>
    <row r="814" spans="1:3" x14ac:dyDescent="0.25">
      <c r="A814" t="str">
        <f>IF(Monthly!A814="","",Monthly!A814)</f>
        <v/>
      </c>
      <c r="B814" s="7" t="e">
        <f>IF(AND(A814&gt;=Dashboard!$F$5,A814&lt;=Dashboard!$J$5,A814&lt;&gt;""),SUMIFS(DashboardData!$D:$D,DashboardData!$A:$A,IF(Dashboard!$B$5="All","*",Dashboard!$B$5),DashboardData!$B:$B,A814),NA())</f>
        <v>#N/A</v>
      </c>
      <c r="C814" s="7" t="e">
        <f>IF(AND(A814&gt;=Dashboard!$F$5,A814&lt;=Dashboard!$J$5,A814&lt;&gt;""),-SUMIFS(DashboardData!$E:$E,DashboardData!$A:$A,IF(Dashboard!$B$5="All","*",Dashboard!$B$5),DashboardData!$B:$B,A814),NA())</f>
        <v>#N/A</v>
      </c>
    </row>
    <row r="815" spans="1:3" x14ac:dyDescent="0.25">
      <c r="A815" t="str">
        <f>IF(Monthly!A815="","",Monthly!A815)</f>
        <v/>
      </c>
      <c r="B815" s="7" t="e">
        <f>IF(AND(A815&gt;=Dashboard!$F$5,A815&lt;=Dashboard!$J$5,A815&lt;&gt;""),SUMIFS(DashboardData!$D:$D,DashboardData!$A:$A,IF(Dashboard!$B$5="All","*",Dashboard!$B$5),DashboardData!$B:$B,A815),NA())</f>
        <v>#N/A</v>
      </c>
      <c r="C815" s="7" t="e">
        <f>IF(AND(A815&gt;=Dashboard!$F$5,A815&lt;=Dashboard!$J$5,A815&lt;&gt;""),-SUMIFS(DashboardData!$E:$E,DashboardData!$A:$A,IF(Dashboard!$B$5="All","*",Dashboard!$B$5),DashboardData!$B:$B,A815),NA())</f>
        <v>#N/A</v>
      </c>
    </row>
    <row r="816" spans="1:3" x14ac:dyDescent="0.25">
      <c r="A816" t="str">
        <f>IF(Monthly!A816="","",Monthly!A816)</f>
        <v/>
      </c>
      <c r="B816" s="7" t="e">
        <f>IF(AND(A816&gt;=Dashboard!$F$5,A816&lt;=Dashboard!$J$5,A816&lt;&gt;""),SUMIFS(DashboardData!$D:$D,DashboardData!$A:$A,IF(Dashboard!$B$5="All","*",Dashboard!$B$5),DashboardData!$B:$B,A816),NA())</f>
        <v>#N/A</v>
      </c>
      <c r="C816" s="7" t="e">
        <f>IF(AND(A816&gt;=Dashboard!$F$5,A816&lt;=Dashboard!$J$5,A816&lt;&gt;""),-SUMIFS(DashboardData!$E:$E,DashboardData!$A:$A,IF(Dashboard!$B$5="All","*",Dashboard!$B$5),DashboardData!$B:$B,A816),NA())</f>
        <v>#N/A</v>
      </c>
    </row>
    <row r="817" spans="1:3" x14ac:dyDescent="0.25">
      <c r="A817" t="str">
        <f>IF(Monthly!A817="","",Monthly!A817)</f>
        <v/>
      </c>
      <c r="B817" s="7" t="e">
        <f>IF(AND(A817&gt;=Dashboard!$F$5,A817&lt;=Dashboard!$J$5,A817&lt;&gt;""),SUMIFS(DashboardData!$D:$D,DashboardData!$A:$A,IF(Dashboard!$B$5="All","*",Dashboard!$B$5),DashboardData!$B:$B,A817),NA())</f>
        <v>#N/A</v>
      </c>
      <c r="C817" s="7" t="e">
        <f>IF(AND(A817&gt;=Dashboard!$F$5,A817&lt;=Dashboard!$J$5,A817&lt;&gt;""),-SUMIFS(DashboardData!$E:$E,DashboardData!$A:$A,IF(Dashboard!$B$5="All","*",Dashboard!$B$5),DashboardData!$B:$B,A817),NA())</f>
        <v>#N/A</v>
      </c>
    </row>
    <row r="818" spans="1:3" x14ac:dyDescent="0.25">
      <c r="A818" t="str">
        <f>IF(Monthly!A818="","",Monthly!A818)</f>
        <v/>
      </c>
      <c r="B818" s="7" t="e">
        <f>IF(AND(A818&gt;=Dashboard!$F$5,A818&lt;=Dashboard!$J$5,A818&lt;&gt;""),SUMIFS(DashboardData!$D:$D,DashboardData!$A:$A,IF(Dashboard!$B$5="All","*",Dashboard!$B$5),DashboardData!$B:$B,A818),NA())</f>
        <v>#N/A</v>
      </c>
      <c r="C818" s="7" t="e">
        <f>IF(AND(A818&gt;=Dashboard!$F$5,A818&lt;=Dashboard!$J$5,A818&lt;&gt;""),-SUMIFS(DashboardData!$E:$E,DashboardData!$A:$A,IF(Dashboard!$B$5="All","*",Dashboard!$B$5),DashboardData!$B:$B,A818),NA())</f>
        <v>#N/A</v>
      </c>
    </row>
    <row r="819" spans="1:3" x14ac:dyDescent="0.25">
      <c r="A819" t="str">
        <f>IF(Monthly!A819="","",Monthly!A819)</f>
        <v/>
      </c>
      <c r="B819" s="7" t="e">
        <f>IF(AND(A819&gt;=Dashboard!$F$5,A819&lt;=Dashboard!$J$5,A819&lt;&gt;""),SUMIFS(DashboardData!$D:$D,DashboardData!$A:$A,IF(Dashboard!$B$5="All","*",Dashboard!$B$5),DashboardData!$B:$B,A819),NA())</f>
        <v>#N/A</v>
      </c>
      <c r="C819" s="7" t="e">
        <f>IF(AND(A819&gt;=Dashboard!$F$5,A819&lt;=Dashboard!$J$5,A819&lt;&gt;""),-SUMIFS(DashboardData!$E:$E,DashboardData!$A:$A,IF(Dashboard!$B$5="All","*",Dashboard!$B$5),DashboardData!$B:$B,A819),NA())</f>
        <v>#N/A</v>
      </c>
    </row>
    <row r="820" spans="1:3" x14ac:dyDescent="0.25">
      <c r="A820" t="str">
        <f>IF(Monthly!A820="","",Monthly!A820)</f>
        <v/>
      </c>
      <c r="B820" s="7" t="e">
        <f>IF(AND(A820&gt;=Dashboard!$F$5,A820&lt;=Dashboard!$J$5,A820&lt;&gt;""),SUMIFS(DashboardData!$D:$D,DashboardData!$A:$A,IF(Dashboard!$B$5="All","*",Dashboard!$B$5),DashboardData!$B:$B,A820),NA())</f>
        <v>#N/A</v>
      </c>
      <c r="C820" s="7" t="e">
        <f>IF(AND(A820&gt;=Dashboard!$F$5,A820&lt;=Dashboard!$J$5,A820&lt;&gt;""),-SUMIFS(DashboardData!$E:$E,DashboardData!$A:$A,IF(Dashboard!$B$5="All","*",Dashboard!$B$5),DashboardData!$B:$B,A820),NA())</f>
        <v>#N/A</v>
      </c>
    </row>
    <row r="821" spans="1:3" x14ac:dyDescent="0.25">
      <c r="A821" t="str">
        <f>IF(Monthly!A821="","",Monthly!A821)</f>
        <v/>
      </c>
      <c r="B821" s="7" t="e">
        <f>IF(AND(A821&gt;=Dashboard!$F$5,A821&lt;=Dashboard!$J$5,A821&lt;&gt;""),SUMIFS(DashboardData!$D:$D,DashboardData!$A:$A,IF(Dashboard!$B$5="All","*",Dashboard!$B$5),DashboardData!$B:$B,A821),NA())</f>
        <v>#N/A</v>
      </c>
      <c r="C821" s="7" t="e">
        <f>IF(AND(A821&gt;=Dashboard!$F$5,A821&lt;=Dashboard!$J$5,A821&lt;&gt;""),-SUMIFS(DashboardData!$E:$E,DashboardData!$A:$A,IF(Dashboard!$B$5="All","*",Dashboard!$B$5),DashboardData!$B:$B,A821),NA())</f>
        <v>#N/A</v>
      </c>
    </row>
    <row r="822" spans="1:3" x14ac:dyDescent="0.25">
      <c r="A822" t="str">
        <f>IF(Monthly!A822="","",Monthly!A822)</f>
        <v/>
      </c>
      <c r="B822" s="7" t="e">
        <f>IF(AND(A822&gt;=Dashboard!$F$5,A822&lt;=Dashboard!$J$5,A822&lt;&gt;""),SUMIFS(DashboardData!$D:$D,DashboardData!$A:$A,IF(Dashboard!$B$5="All","*",Dashboard!$B$5),DashboardData!$B:$B,A822),NA())</f>
        <v>#N/A</v>
      </c>
      <c r="C822" s="7" t="e">
        <f>IF(AND(A822&gt;=Dashboard!$F$5,A822&lt;=Dashboard!$J$5,A822&lt;&gt;""),-SUMIFS(DashboardData!$E:$E,DashboardData!$A:$A,IF(Dashboard!$B$5="All","*",Dashboard!$B$5),DashboardData!$B:$B,A822),NA())</f>
        <v>#N/A</v>
      </c>
    </row>
    <row r="823" spans="1:3" x14ac:dyDescent="0.25">
      <c r="A823" t="str">
        <f>IF(Monthly!A823="","",Monthly!A823)</f>
        <v/>
      </c>
      <c r="B823" s="7" t="e">
        <f>IF(AND(A823&gt;=Dashboard!$F$5,A823&lt;=Dashboard!$J$5,A823&lt;&gt;""),SUMIFS(DashboardData!$D:$D,DashboardData!$A:$A,IF(Dashboard!$B$5="All","*",Dashboard!$B$5),DashboardData!$B:$B,A823),NA())</f>
        <v>#N/A</v>
      </c>
      <c r="C823" s="7" t="e">
        <f>IF(AND(A823&gt;=Dashboard!$F$5,A823&lt;=Dashboard!$J$5,A823&lt;&gt;""),-SUMIFS(DashboardData!$E:$E,DashboardData!$A:$A,IF(Dashboard!$B$5="All","*",Dashboard!$B$5),DashboardData!$B:$B,A823),NA())</f>
        <v>#N/A</v>
      </c>
    </row>
    <row r="824" spans="1:3" x14ac:dyDescent="0.25">
      <c r="A824" t="str">
        <f>IF(Monthly!A824="","",Monthly!A824)</f>
        <v/>
      </c>
      <c r="B824" s="7" t="e">
        <f>IF(AND(A824&gt;=Dashboard!$F$5,A824&lt;=Dashboard!$J$5,A824&lt;&gt;""),SUMIFS(DashboardData!$D:$D,DashboardData!$A:$A,IF(Dashboard!$B$5="All","*",Dashboard!$B$5),DashboardData!$B:$B,A824),NA())</f>
        <v>#N/A</v>
      </c>
      <c r="C824" s="7" t="e">
        <f>IF(AND(A824&gt;=Dashboard!$F$5,A824&lt;=Dashboard!$J$5,A824&lt;&gt;""),-SUMIFS(DashboardData!$E:$E,DashboardData!$A:$A,IF(Dashboard!$B$5="All","*",Dashboard!$B$5),DashboardData!$B:$B,A824),NA())</f>
        <v>#N/A</v>
      </c>
    </row>
    <row r="825" spans="1:3" x14ac:dyDescent="0.25">
      <c r="A825" t="str">
        <f>IF(Monthly!A825="","",Monthly!A825)</f>
        <v/>
      </c>
      <c r="B825" s="7" t="e">
        <f>IF(AND(A825&gt;=Dashboard!$F$5,A825&lt;=Dashboard!$J$5,A825&lt;&gt;""),SUMIFS(DashboardData!$D:$D,DashboardData!$A:$A,IF(Dashboard!$B$5="All","*",Dashboard!$B$5),DashboardData!$B:$B,A825),NA())</f>
        <v>#N/A</v>
      </c>
      <c r="C825" s="7" t="e">
        <f>IF(AND(A825&gt;=Dashboard!$F$5,A825&lt;=Dashboard!$J$5,A825&lt;&gt;""),-SUMIFS(DashboardData!$E:$E,DashboardData!$A:$A,IF(Dashboard!$B$5="All","*",Dashboard!$B$5),DashboardData!$B:$B,A825),NA())</f>
        <v>#N/A</v>
      </c>
    </row>
    <row r="826" spans="1:3" x14ac:dyDescent="0.25">
      <c r="A826" t="str">
        <f>IF(Monthly!A826="","",Monthly!A826)</f>
        <v/>
      </c>
      <c r="B826" s="7" t="e">
        <f>IF(AND(A826&gt;=Dashboard!$F$5,A826&lt;=Dashboard!$J$5,A826&lt;&gt;""),SUMIFS(DashboardData!$D:$D,DashboardData!$A:$A,IF(Dashboard!$B$5="All","*",Dashboard!$B$5),DashboardData!$B:$B,A826),NA())</f>
        <v>#N/A</v>
      </c>
      <c r="C826" s="7" t="e">
        <f>IF(AND(A826&gt;=Dashboard!$F$5,A826&lt;=Dashboard!$J$5,A826&lt;&gt;""),-SUMIFS(DashboardData!$E:$E,DashboardData!$A:$A,IF(Dashboard!$B$5="All","*",Dashboard!$B$5),DashboardData!$B:$B,A826),NA())</f>
        <v>#N/A</v>
      </c>
    </row>
    <row r="827" spans="1:3" x14ac:dyDescent="0.25">
      <c r="A827" t="str">
        <f>IF(Monthly!A827="","",Monthly!A827)</f>
        <v/>
      </c>
      <c r="B827" s="7" t="e">
        <f>IF(AND(A827&gt;=Dashboard!$F$5,A827&lt;=Dashboard!$J$5,A827&lt;&gt;""),SUMIFS(DashboardData!$D:$D,DashboardData!$A:$A,IF(Dashboard!$B$5="All","*",Dashboard!$B$5),DashboardData!$B:$B,A827),NA())</f>
        <v>#N/A</v>
      </c>
      <c r="C827" s="7" t="e">
        <f>IF(AND(A827&gt;=Dashboard!$F$5,A827&lt;=Dashboard!$J$5,A827&lt;&gt;""),-SUMIFS(DashboardData!$E:$E,DashboardData!$A:$A,IF(Dashboard!$B$5="All","*",Dashboard!$B$5),DashboardData!$B:$B,A827),NA())</f>
        <v>#N/A</v>
      </c>
    </row>
    <row r="828" spans="1:3" x14ac:dyDescent="0.25">
      <c r="A828" t="str">
        <f>IF(Monthly!A828="","",Monthly!A828)</f>
        <v/>
      </c>
      <c r="B828" s="7" t="e">
        <f>IF(AND(A828&gt;=Dashboard!$F$5,A828&lt;=Dashboard!$J$5,A828&lt;&gt;""),SUMIFS(DashboardData!$D:$D,DashboardData!$A:$A,IF(Dashboard!$B$5="All","*",Dashboard!$B$5),DashboardData!$B:$B,A828),NA())</f>
        <v>#N/A</v>
      </c>
      <c r="C828" s="7" t="e">
        <f>IF(AND(A828&gt;=Dashboard!$F$5,A828&lt;=Dashboard!$J$5,A828&lt;&gt;""),-SUMIFS(DashboardData!$E:$E,DashboardData!$A:$A,IF(Dashboard!$B$5="All","*",Dashboard!$B$5),DashboardData!$B:$B,A828),NA())</f>
        <v>#N/A</v>
      </c>
    </row>
    <row r="829" spans="1:3" x14ac:dyDescent="0.25">
      <c r="A829" t="str">
        <f>IF(Monthly!A829="","",Monthly!A829)</f>
        <v/>
      </c>
      <c r="B829" s="7" t="e">
        <f>IF(AND(A829&gt;=Dashboard!$F$5,A829&lt;=Dashboard!$J$5,A829&lt;&gt;""),SUMIFS(DashboardData!$D:$D,DashboardData!$A:$A,IF(Dashboard!$B$5="All","*",Dashboard!$B$5),DashboardData!$B:$B,A829),NA())</f>
        <v>#N/A</v>
      </c>
      <c r="C829" s="7" t="e">
        <f>IF(AND(A829&gt;=Dashboard!$F$5,A829&lt;=Dashboard!$J$5,A829&lt;&gt;""),-SUMIFS(DashboardData!$E:$E,DashboardData!$A:$A,IF(Dashboard!$B$5="All","*",Dashboard!$B$5),DashboardData!$B:$B,A829),NA())</f>
        <v>#N/A</v>
      </c>
    </row>
    <row r="830" spans="1:3" x14ac:dyDescent="0.25">
      <c r="A830" t="str">
        <f>IF(Monthly!A830="","",Monthly!A830)</f>
        <v/>
      </c>
      <c r="B830" s="7" t="e">
        <f>IF(AND(A830&gt;=Dashboard!$F$5,A830&lt;=Dashboard!$J$5,A830&lt;&gt;""),SUMIFS(DashboardData!$D:$D,DashboardData!$A:$A,IF(Dashboard!$B$5="All","*",Dashboard!$B$5),DashboardData!$B:$B,A830),NA())</f>
        <v>#N/A</v>
      </c>
      <c r="C830" s="7" t="e">
        <f>IF(AND(A830&gt;=Dashboard!$F$5,A830&lt;=Dashboard!$J$5,A830&lt;&gt;""),-SUMIFS(DashboardData!$E:$E,DashboardData!$A:$A,IF(Dashboard!$B$5="All","*",Dashboard!$B$5),DashboardData!$B:$B,A830),NA())</f>
        <v>#N/A</v>
      </c>
    </row>
    <row r="831" spans="1:3" x14ac:dyDescent="0.25">
      <c r="A831" t="str">
        <f>IF(Monthly!A831="","",Monthly!A831)</f>
        <v/>
      </c>
      <c r="B831" s="7" t="e">
        <f>IF(AND(A831&gt;=Dashboard!$F$5,A831&lt;=Dashboard!$J$5,A831&lt;&gt;""),SUMIFS(DashboardData!$D:$D,DashboardData!$A:$A,IF(Dashboard!$B$5="All","*",Dashboard!$B$5),DashboardData!$B:$B,A831),NA())</f>
        <v>#N/A</v>
      </c>
      <c r="C831" s="7" t="e">
        <f>IF(AND(A831&gt;=Dashboard!$F$5,A831&lt;=Dashboard!$J$5,A831&lt;&gt;""),-SUMIFS(DashboardData!$E:$E,DashboardData!$A:$A,IF(Dashboard!$B$5="All","*",Dashboard!$B$5),DashboardData!$B:$B,A831),NA())</f>
        <v>#N/A</v>
      </c>
    </row>
    <row r="832" spans="1:3" x14ac:dyDescent="0.25">
      <c r="A832" t="str">
        <f>IF(Monthly!A832="","",Monthly!A832)</f>
        <v/>
      </c>
      <c r="B832" s="7" t="e">
        <f>IF(AND(A832&gt;=Dashboard!$F$5,A832&lt;=Dashboard!$J$5,A832&lt;&gt;""),SUMIFS(DashboardData!$D:$D,DashboardData!$A:$A,IF(Dashboard!$B$5="All","*",Dashboard!$B$5),DashboardData!$B:$B,A832),NA())</f>
        <v>#N/A</v>
      </c>
      <c r="C832" s="7" t="e">
        <f>IF(AND(A832&gt;=Dashboard!$F$5,A832&lt;=Dashboard!$J$5,A832&lt;&gt;""),-SUMIFS(DashboardData!$E:$E,DashboardData!$A:$A,IF(Dashboard!$B$5="All","*",Dashboard!$B$5),DashboardData!$B:$B,A832),NA())</f>
        <v>#N/A</v>
      </c>
    </row>
    <row r="833" spans="1:3" x14ac:dyDescent="0.25">
      <c r="A833" t="str">
        <f>IF(Monthly!A833="","",Monthly!A833)</f>
        <v/>
      </c>
      <c r="B833" s="7" t="e">
        <f>IF(AND(A833&gt;=Dashboard!$F$5,A833&lt;=Dashboard!$J$5,A833&lt;&gt;""),SUMIFS(DashboardData!$D:$D,DashboardData!$A:$A,IF(Dashboard!$B$5="All","*",Dashboard!$B$5),DashboardData!$B:$B,A833),NA())</f>
        <v>#N/A</v>
      </c>
      <c r="C833" s="7" t="e">
        <f>IF(AND(A833&gt;=Dashboard!$F$5,A833&lt;=Dashboard!$J$5,A833&lt;&gt;""),-SUMIFS(DashboardData!$E:$E,DashboardData!$A:$A,IF(Dashboard!$B$5="All","*",Dashboard!$B$5),DashboardData!$B:$B,A833),NA())</f>
        <v>#N/A</v>
      </c>
    </row>
    <row r="834" spans="1:3" x14ac:dyDescent="0.25">
      <c r="A834" t="str">
        <f>IF(Monthly!A834="","",Monthly!A834)</f>
        <v/>
      </c>
      <c r="B834" s="7" t="e">
        <f>IF(AND(A834&gt;=Dashboard!$F$5,A834&lt;=Dashboard!$J$5,A834&lt;&gt;""),SUMIFS(DashboardData!$D:$D,DashboardData!$A:$A,IF(Dashboard!$B$5="All","*",Dashboard!$B$5),DashboardData!$B:$B,A834),NA())</f>
        <v>#N/A</v>
      </c>
      <c r="C834" s="7" t="e">
        <f>IF(AND(A834&gt;=Dashboard!$F$5,A834&lt;=Dashboard!$J$5,A834&lt;&gt;""),-SUMIFS(DashboardData!$E:$E,DashboardData!$A:$A,IF(Dashboard!$B$5="All","*",Dashboard!$B$5),DashboardData!$B:$B,A834),NA())</f>
        <v>#N/A</v>
      </c>
    </row>
    <row r="835" spans="1:3" x14ac:dyDescent="0.25">
      <c r="A835" t="str">
        <f>IF(Monthly!A835="","",Monthly!A835)</f>
        <v/>
      </c>
      <c r="B835" s="7" t="e">
        <f>IF(AND(A835&gt;=Dashboard!$F$5,A835&lt;=Dashboard!$J$5,A835&lt;&gt;""),SUMIFS(DashboardData!$D:$D,DashboardData!$A:$A,IF(Dashboard!$B$5="All","*",Dashboard!$B$5),DashboardData!$B:$B,A835),NA())</f>
        <v>#N/A</v>
      </c>
      <c r="C835" s="7" t="e">
        <f>IF(AND(A835&gt;=Dashboard!$F$5,A835&lt;=Dashboard!$J$5,A835&lt;&gt;""),-SUMIFS(DashboardData!$E:$E,DashboardData!$A:$A,IF(Dashboard!$B$5="All","*",Dashboard!$B$5),DashboardData!$B:$B,A835),NA())</f>
        <v>#N/A</v>
      </c>
    </row>
    <row r="836" spans="1:3" x14ac:dyDescent="0.25">
      <c r="A836" t="str">
        <f>IF(Monthly!A836="","",Monthly!A836)</f>
        <v/>
      </c>
      <c r="B836" s="7" t="e">
        <f>IF(AND(A836&gt;=Dashboard!$F$5,A836&lt;=Dashboard!$J$5,A836&lt;&gt;""),SUMIFS(DashboardData!$D:$D,DashboardData!$A:$A,IF(Dashboard!$B$5="All","*",Dashboard!$B$5),DashboardData!$B:$B,A836),NA())</f>
        <v>#N/A</v>
      </c>
      <c r="C836" s="7" t="e">
        <f>IF(AND(A836&gt;=Dashboard!$F$5,A836&lt;=Dashboard!$J$5,A836&lt;&gt;""),-SUMIFS(DashboardData!$E:$E,DashboardData!$A:$A,IF(Dashboard!$B$5="All","*",Dashboard!$B$5),DashboardData!$B:$B,A836),NA())</f>
        <v>#N/A</v>
      </c>
    </row>
    <row r="837" spans="1:3" x14ac:dyDescent="0.25">
      <c r="A837" t="str">
        <f>IF(Monthly!A837="","",Monthly!A837)</f>
        <v/>
      </c>
      <c r="B837" s="7" t="e">
        <f>IF(AND(A837&gt;=Dashboard!$F$5,A837&lt;=Dashboard!$J$5,A837&lt;&gt;""),SUMIFS(DashboardData!$D:$D,DashboardData!$A:$A,IF(Dashboard!$B$5="All","*",Dashboard!$B$5),DashboardData!$B:$B,A837),NA())</f>
        <v>#N/A</v>
      </c>
      <c r="C837" s="7" t="e">
        <f>IF(AND(A837&gt;=Dashboard!$F$5,A837&lt;=Dashboard!$J$5,A837&lt;&gt;""),-SUMIFS(DashboardData!$E:$E,DashboardData!$A:$A,IF(Dashboard!$B$5="All","*",Dashboard!$B$5),DashboardData!$B:$B,A837),NA())</f>
        <v>#N/A</v>
      </c>
    </row>
    <row r="838" spans="1:3" x14ac:dyDescent="0.25">
      <c r="A838" t="str">
        <f>IF(Monthly!A838="","",Monthly!A838)</f>
        <v/>
      </c>
      <c r="B838" s="7" t="e">
        <f>IF(AND(A838&gt;=Dashboard!$F$5,A838&lt;=Dashboard!$J$5,A838&lt;&gt;""),SUMIFS(DashboardData!$D:$D,DashboardData!$A:$A,IF(Dashboard!$B$5="All","*",Dashboard!$B$5),DashboardData!$B:$B,A838),NA())</f>
        <v>#N/A</v>
      </c>
      <c r="C838" s="7" t="e">
        <f>IF(AND(A838&gt;=Dashboard!$F$5,A838&lt;=Dashboard!$J$5,A838&lt;&gt;""),-SUMIFS(DashboardData!$E:$E,DashboardData!$A:$A,IF(Dashboard!$B$5="All","*",Dashboard!$B$5),DashboardData!$B:$B,A838),NA())</f>
        <v>#N/A</v>
      </c>
    </row>
    <row r="839" spans="1:3" x14ac:dyDescent="0.25">
      <c r="A839" t="str">
        <f>IF(Monthly!A839="","",Monthly!A839)</f>
        <v/>
      </c>
      <c r="B839" s="7" t="e">
        <f>IF(AND(A839&gt;=Dashboard!$F$5,A839&lt;=Dashboard!$J$5,A839&lt;&gt;""),SUMIFS(DashboardData!$D:$D,DashboardData!$A:$A,IF(Dashboard!$B$5="All","*",Dashboard!$B$5),DashboardData!$B:$B,A839),NA())</f>
        <v>#N/A</v>
      </c>
      <c r="C839" s="7" t="e">
        <f>IF(AND(A839&gt;=Dashboard!$F$5,A839&lt;=Dashboard!$J$5,A839&lt;&gt;""),-SUMIFS(DashboardData!$E:$E,DashboardData!$A:$A,IF(Dashboard!$B$5="All","*",Dashboard!$B$5),DashboardData!$B:$B,A839),NA())</f>
        <v>#N/A</v>
      </c>
    </row>
    <row r="840" spans="1:3" x14ac:dyDescent="0.25">
      <c r="A840" t="str">
        <f>IF(Monthly!A840="","",Monthly!A840)</f>
        <v/>
      </c>
      <c r="B840" s="7" t="e">
        <f>IF(AND(A840&gt;=Dashboard!$F$5,A840&lt;=Dashboard!$J$5,A840&lt;&gt;""),SUMIFS(DashboardData!$D:$D,DashboardData!$A:$A,IF(Dashboard!$B$5="All","*",Dashboard!$B$5),DashboardData!$B:$B,A840),NA())</f>
        <v>#N/A</v>
      </c>
      <c r="C840" s="7" t="e">
        <f>IF(AND(A840&gt;=Dashboard!$F$5,A840&lt;=Dashboard!$J$5,A840&lt;&gt;""),-SUMIFS(DashboardData!$E:$E,DashboardData!$A:$A,IF(Dashboard!$B$5="All","*",Dashboard!$B$5),DashboardData!$B:$B,A840),NA())</f>
        <v>#N/A</v>
      </c>
    </row>
    <row r="841" spans="1:3" x14ac:dyDescent="0.25">
      <c r="A841" t="str">
        <f>IF(Monthly!A841="","",Monthly!A841)</f>
        <v/>
      </c>
      <c r="B841" s="7" t="e">
        <f>IF(AND(A841&gt;=Dashboard!$F$5,A841&lt;=Dashboard!$J$5,A841&lt;&gt;""),SUMIFS(DashboardData!$D:$D,DashboardData!$A:$A,IF(Dashboard!$B$5="All","*",Dashboard!$B$5),DashboardData!$B:$B,A841),NA())</f>
        <v>#N/A</v>
      </c>
      <c r="C841" s="7" t="e">
        <f>IF(AND(A841&gt;=Dashboard!$F$5,A841&lt;=Dashboard!$J$5,A841&lt;&gt;""),-SUMIFS(DashboardData!$E:$E,DashboardData!$A:$A,IF(Dashboard!$B$5="All","*",Dashboard!$B$5),DashboardData!$B:$B,A841),NA())</f>
        <v>#N/A</v>
      </c>
    </row>
    <row r="842" spans="1:3" x14ac:dyDescent="0.25">
      <c r="A842" t="str">
        <f>IF(Monthly!A842="","",Monthly!A842)</f>
        <v/>
      </c>
      <c r="B842" s="7" t="e">
        <f>IF(AND(A842&gt;=Dashboard!$F$5,A842&lt;=Dashboard!$J$5,A842&lt;&gt;""),SUMIFS(DashboardData!$D:$D,DashboardData!$A:$A,IF(Dashboard!$B$5="All","*",Dashboard!$B$5),DashboardData!$B:$B,A842),NA())</f>
        <v>#N/A</v>
      </c>
      <c r="C842" s="7" t="e">
        <f>IF(AND(A842&gt;=Dashboard!$F$5,A842&lt;=Dashboard!$J$5,A842&lt;&gt;""),-SUMIFS(DashboardData!$E:$E,DashboardData!$A:$A,IF(Dashboard!$B$5="All","*",Dashboard!$B$5),DashboardData!$B:$B,A842),NA())</f>
        <v>#N/A</v>
      </c>
    </row>
    <row r="843" spans="1:3" x14ac:dyDescent="0.25">
      <c r="A843" t="str">
        <f>IF(Monthly!A843="","",Monthly!A843)</f>
        <v/>
      </c>
      <c r="B843" s="7" t="e">
        <f>IF(AND(A843&gt;=Dashboard!$F$5,A843&lt;=Dashboard!$J$5,A843&lt;&gt;""),SUMIFS(DashboardData!$D:$D,DashboardData!$A:$A,IF(Dashboard!$B$5="All","*",Dashboard!$B$5),DashboardData!$B:$B,A843),NA())</f>
        <v>#N/A</v>
      </c>
      <c r="C843" s="7" t="e">
        <f>IF(AND(A843&gt;=Dashboard!$F$5,A843&lt;=Dashboard!$J$5,A843&lt;&gt;""),-SUMIFS(DashboardData!$E:$E,DashboardData!$A:$A,IF(Dashboard!$B$5="All","*",Dashboard!$B$5),DashboardData!$B:$B,A843),NA())</f>
        <v>#N/A</v>
      </c>
    </row>
    <row r="844" spans="1:3" x14ac:dyDescent="0.25">
      <c r="A844" t="str">
        <f>IF(Monthly!A844="","",Monthly!A844)</f>
        <v/>
      </c>
      <c r="B844" s="7" t="e">
        <f>IF(AND(A844&gt;=Dashboard!$F$5,A844&lt;=Dashboard!$J$5,A844&lt;&gt;""),SUMIFS(DashboardData!$D:$D,DashboardData!$A:$A,IF(Dashboard!$B$5="All","*",Dashboard!$B$5),DashboardData!$B:$B,A844),NA())</f>
        <v>#N/A</v>
      </c>
      <c r="C844" s="7" t="e">
        <f>IF(AND(A844&gt;=Dashboard!$F$5,A844&lt;=Dashboard!$J$5,A844&lt;&gt;""),-SUMIFS(DashboardData!$E:$E,DashboardData!$A:$A,IF(Dashboard!$B$5="All","*",Dashboard!$B$5),DashboardData!$B:$B,A844),NA())</f>
        <v>#N/A</v>
      </c>
    </row>
    <row r="845" spans="1:3" x14ac:dyDescent="0.25">
      <c r="A845" t="str">
        <f>IF(Monthly!A845="","",Monthly!A845)</f>
        <v/>
      </c>
      <c r="B845" s="7" t="e">
        <f>IF(AND(A845&gt;=Dashboard!$F$5,A845&lt;=Dashboard!$J$5,A845&lt;&gt;""),SUMIFS(DashboardData!$D:$D,DashboardData!$A:$A,IF(Dashboard!$B$5="All","*",Dashboard!$B$5),DashboardData!$B:$B,A845),NA())</f>
        <v>#N/A</v>
      </c>
      <c r="C845" s="7" t="e">
        <f>IF(AND(A845&gt;=Dashboard!$F$5,A845&lt;=Dashboard!$J$5,A845&lt;&gt;""),-SUMIFS(DashboardData!$E:$E,DashboardData!$A:$A,IF(Dashboard!$B$5="All","*",Dashboard!$B$5),DashboardData!$B:$B,A845),NA())</f>
        <v>#N/A</v>
      </c>
    </row>
    <row r="846" spans="1:3" x14ac:dyDescent="0.25">
      <c r="A846" t="str">
        <f>IF(Monthly!A846="","",Monthly!A846)</f>
        <v/>
      </c>
      <c r="B846" s="7" t="e">
        <f>IF(AND(A846&gt;=Dashboard!$F$5,A846&lt;=Dashboard!$J$5,A846&lt;&gt;""),SUMIFS(DashboardData!$D:$D,DashboardData!$A:$A,IF(Dashboard!$B$5="All","*",Dashboard!$B$5),DashboardData!$B:$B,A846),NA())</f>
        <v>#N/A</v>
      </c>
      <c r="C846" s="7" t="e">
        <f>IF(AND(A846&gt;=Dashboard!$F$5,A846&lt;=Dashboard!$J$5,A846&lt;&gt;""),-SUMIFS(DashboardData!$E:$E,DashboardData!$A:$A,IF(Dashboard!$B$5="All","*",Dashboard!$B$5),DashboardData!$B:$B,A846),NA())</f>
        <v>#N/A</v>
      </c>
    </row>
    <row r="847" spans="1:3" x14ac:dyDescent="0.25">
      <c r="A847" t="str">
        <f>IF(Monthly!A847="","",Monthly!A847)</f>
        <v/>
      </c>
      <c r="B847" s="7" t="e">
        <f>IF(AND(A847&gt;=Dashboard!$F$5,A847&lt;=Dashboard!$J$5,A847&lt;&gt;""),SUMIFS(DashboardData!$D:$D,DashboardData!$A:$A,IF(Dashboard!$B$5="All","*",Dashboard!$B$5),DashboardData!$B:$B,A847),NA())</f>
        <v>#N/A</v>
      </c>
      <c r="C847" s="7" t="e">
        <f>IF(AND(A847&gt;=Dashboard!$F$5,A847&lt;=Dashboard!$J$5,A847&lt;&gt;""),-SUMIFS(DashboardData!$E:$E,DashboardData!$A:$A,IF(Dashboard!$B$5="All","*",Dashboard!$B$5),DashboardData!$B:$B,A847),NA())</f>
        <v>#N/A</v>
      </c>
    </row>
    <row r="848" spans="1:3" x14ac:dyDescent="0.25">
      <c r="A848" t="str">
        <f>IF(Monthly!A848="","",Monthly!A848)</f>
        <v/>
      </c>
      <c r="B848" s="7" t="e">
        <f>IF(AND(A848&gt;=Dashboard!$F$5,A848&lt;=Dashboard!$J$5,A848&lt;&gt;""),SUMIFS(DashboardData!$D:$D,DashboardData!$A:$A,IF(Dashboard!$B$5="All","*",Dashboard!$B$5),DashboardData!$B:$B,A848),NA())</f>
        <v>#N/A</v>
      </c>
      <c r="C848" s="7" t="e">
        <f>IF(AND(A848&gt;=Dashboard!$F$5,A848&lt;=Dashboard!$J$5,A848&lt;&gt;""),-SUMIFS(DashboardData!$E:$E,DashboardData!$A:$A,IF(Dashboard!$B$5="All","*",Dashboard!$B$5),DashboardData!$B:$B,A848),NA())</f>
        <v>#N/A</v>
      </c>
    </row>
    <row r="849" spans="1:3" x14ac:dyDescent="0.25">
      <c r="A849" t="str">
        <f>IF(Monthly!A849="","",Monthly!A849)</f>
        <v/>
      </c>
      <c r="B849" s="7" t="e">
        <f>IF(AND(A849&gt;=Dashboard!$F$5,A849&lt;=Dashboard!$J$5,A849&lt;&gt;""),SUMIFS(DashboardData!$D:$D,DashboardData!$A:$A,IF(Dashboard!$B$5="All","*",Dashboard!$B$5),DashboardData!$B:$B,A849),NA())</f>
        <v>#N/A</v>
      </c>
      <c r="C849" s="7" t="e">
        <f>IF(AND(A849&gt;=Dashboard!$F$5,A849&lt;=Dashboard!$J$5,A849&lt;&gt;""),-SUMIFS(DashboardData!$E:$E,DashboardData!$A:$A,IF(Dashboard!$B$5="All","*",Dashboard!$B$5),DashboardData!$B:$B,A849),NA())</f>
        <v>#N/A</v>
      </c>
    </row>
    <row r="850" spans="1:3" x14ac:dyDescent="0.25">
      <c r="A850" t="str">
        <f>IF(Monthly!A850="","",Monthly!A850)</f>
        <v/>
      </c>
      <c r="B850" s="7" t="e">
        <f>IF(AND(A850&gt;=Dashboard!$F$5,A850&lt;=Dashboard!$J$5,A850&lt;&gt;""),SUMIFS(DashboardData!$D:$D,DashboardData!$A:$A,IF(Dashboard!$B$5="All","*",Dashboard!$B$5),DashboardData!$B:$B,A850),NA())</f>
        <v>#N/A</v>
      </c>
      <c r="C850" s="7" t="e">
        <f>IF(AND(A850&gt;=Dashboard!$F$5,A850&lt;=Dashboard!$J$5,A850&lt;&gt;""),-SUMIFS(DashboardData!$E:$E,DashboardData!$A:$A,IF(Dashboard!$B$5="All","*",Dashboard!$B$5),DashboardData!$B:$B,A850),NA())</f>
        <v>#N/A</v>
      </c>
    </row>
    <row r="851" spans="1:3" x14ac:dyDescent="0.25">
      <c r="A851" t="str">
        <f>IF(Monthly!A851="","",Monthly!A851)</f>
        <v/>
      </c>
      <c r="B851" s="7" t="e">
        <f>IF(AND(A851&gt;=Dashboard!$F$5,A851&lt;=Dashboard!$J$5,A851&lt;&gt;""),SUMIFS(DashboardData!$D:$D,DashboardData!$A:$A,IF(Dashboard!$B$5="All","*",Dashboard!$B$5),DashboardData!$B:$B,A851),NA())</f>
        <v>#N/A</v>
      </c>
      <c r="C851" s="7" t="e">
        <f>IF(AND(A851&gt;=Dashboard!$F$5,A851&lt;=Dashboard!$J$5,A851&lt;&gt;""),-SUMIFS(DashboardData!$E:$E,DashboardData!$A:$A,IF(Dashboard!$B$5="All","*",Dashboard!$B$5),DashboardData!$B:$B,A851),NA())</f>
        <v>#N/A</v>
      </c>
    </row>
    <row r="852" spans="1:3" x14ac:dyDescent="0.25">
      <c r="A852" t="str">
        <f>IF(Monthly!A852="","",Monthly!A852)</f>
        <v/>
      </c>
      <c r="B852" s="7" t="e">
        <f>IF(AND(A852&gt;=Dashboard!$F$5,A852&lt;=Dashboard!$J$5,A852&lt;&gt;""),SUMIFS(DashboardData!$D:$D,DashboardData!$A:$A,IF(Dashboard!$B$5="All","*",Dashboard!$B$5),DashboardData!$B:$B,A852),NA())</f>
        <v>#N/A</v>
      </c>
      <c r="C852" s="7" t="e">
        <f>IF(AND(A852&gt;=Dashboard!$F$5,A852&lt;=Dashboard!$J$5,A852&lt;&gt;""),-SUMIFS(DashboardData!$E:$E,DashboardData!$A:$A,IF(Dashboard!$B$5="All","*",Dashboard!$B$5),DashboardData!$B:$B,A852),NA())</f>
        <v>#N/A</v>
      </c>
    </row>
    <row r="853" spans="1:3" x14ac:dyDescent="0.25">
      <c r="A853" t="str">
        <f>IF(Monthly!A853="","",Monthly!A853)</f>
        <v/>
      </c>
      <c r="B853" s="7" t="e">
        <f>IF(AND(A853&gt;=Dashboard!$F$5,A853&lt;=Dashboard!$J$5,A853&lt;&gt;""),SUMIFS(DashboardData!$D:$D,DashboardData!$A:$A,IF(Dashboard!$B$5="All","*",Dashboard!$B$5),DashboardData!$B:$B,A853),NA())</f>
        <v>#N/A</v>
      </c>
      <c r="C853" s="7" t="e">
        <f>IF(AND(A853&gt;=Dashboard!$F$5,A853&lt;=Dashboard!$J$5,A853&lt;&gt;""),-SUMIFS(DashboardData!$E:$E,DashboardData!$A:$A,IF(Dashboard!$B$5="All","*",Dashboard!$B$5),DashboardData!$B:$B,A853),NA())</f>
        <v>#N/A</v>
      </c>
    </row>
    <row r="854" spans="1:3" x14ac:dyDescent="0.25">
      <c r="A854" t="str">
        <f>IF(Monthly!A854="","",Monthly!A854)</f>
        <v/>
      </c>
      <c r="B854" s="7" t="e">
        <f>IF(AND(A854&gt;=Dashboard!$F$5,A854&lt;=Dashboard!$J$5,A854&lt;&gt;""),SUMIFS(DashboardData!$D:$D,DashboardData!$A:$A,IF(Dashboard!$B$5="All","*",Dashboard!$B$5),DashboardData!$B:$B,A854),NA())</f>
        <v>#N/A</v>
      </c>
      <c r="C854" s="7" t="e">
        <f>IF(AND(A854&gt;=Dashboard!$F$5,A854&lt;=Dashboard!$J$5,A854&lt;&gt;""),-SUMIFS(DashboardData!$E:$E,DashboardData!$A:$A,IF(Dashboard!$B$5="All","*",Dashboard!$B$5),DashboardData!$B:$B,A854),NA())</f>
        <v>#N/A</v>
      </c>
    </row>
    <row r="855" spans="1:3" x14ac:dyDescent="0.25">
      <c r="A855" t="str">
        <f>IF(Monthly!A855="","",Monthly!A855)</f>
        <v/>
      </c>
      <c r="B855" s="7" t="e">
        <f>IF(AND(A855&gt;=Dashboard!$F$5,A855&lt;=Dashboard!$J$5,A855&lt;&gt;""),SUMIFS(DashboardData!$D:$D,DashboardData!$A:$A,IF(Dashboard!$B$5="All","*",Dashboard!$B$5),DashboardData!$B:$B,A855),NA())</f>
        <v>#N/A</v>
      </c>
      <c r="C855" s="7" t="e">
        <f>IF(AND(A855&gt;=Dashboard!$F$5,A855&lt;=Dashboard!$J$5,A855&lt;&gt;""),-SUMIFS(DashboardData!$E:$E,DashboardData!$A:$A,IF(Dashboard!$B$5="All","*",Dashboard!$B$5),DashboardData!$B:$B,A855),NA())</f>
        <v>#N/A</v>
      </c>
    </row>
    <row r="856" spans="1:3" x14ac:dyDescent="0.25">
      <c r="A856" t="str">
        <f>IF(Monthly!A856="","",Monthly!A856)</f>
        <v/>
      </c>
      <c r="B856" s="7" t="e">
        <f>IF(AND(A856&gt;=Dashboard!$F$5,A856&lt;=Dashboard!$J$5,A856&lt;&gt;""),SUMIFS(DashboardData!$D:$D,DashboardData!$A:$A,IF(Dashboard!$B$5="All","*",Dashboard!$B$5),DashboardData!$B:$B,A856),NA())</f>
        <v>#N/A</v>
      </c>
      <c r="C856" s="7" t="e">
        <f>IF(AND(A856&gt;=Dashboard!$F$5,A856&lt;=Dashboard!$J$5,A856&lt;&gt;""),-SUMIFS(DashboardData!$E:$E,DashboardData!$A:$A,IF(Dashboard!$B$5="All","*",Dashboard!$B$5),DashboardData!$B:$B,A856),NA())</f>
        <v>#N/A</v>
      </c>
    </row>
    <row r="857" spans="1:3" x14ac:dyDescent="0.25">
      <c r="A857" t="str">
        <f>IF(Monthly!A857="","",Monthly!A857)</f>
        <v/>
      </c>
      <c r="B857" s="7" t="e">
        <f>IF(AND(A857&gt;=Dashboard!$F$5,A857&lt;=Dashboard!$J$5,A857&lt;&gt;""),SUMIFS(DashboardData!$D:$D,DashboardData!$A:$A,IF(Dashboard!$B$5="All","*",Dashboard!$B$5),DashboardData!$B:$B,A857),NA())</f>
        <v>#N/A</v>
      </c>
      <c r="C857" s="7" t="e">
        <f>IF(AND(A857&gt;=Dashboard!$F$5,A857&lt;=Dashboard!$J$5,A857&lt;&gt;""),-SUMIFS(DashboardData!$E:$E,DashboardData!$A:$A,IF(Dashboard!$B$5="All","*",Dashboard!$B$5),DashboardData!$B:$B,A857),NA())</f>
        <v>#N/A</v>
      </c>
    </row>
    <row r="858" spans="1:3" x14ac:dyDescent="0.25">
      <c r="A858" t="str">
        <f>IF(Monthly!A858="","",Monthly!A858)</f>
        <v/>
      </c>
      <c r="B858" s="7" t="e">
        <f>IF(AND(A858&gt;=Dashboard!$F$5,A858&lt;=Dashboard!$J$5,A858&lt;&gt;""),SUMIFS(DashboardData!$D:$D,DashboardData!$A:$A,IF(Dashboard!$B$5="All","*",Dashboard!$B$5),DashboardData!$B:$B,A858),NA())</f>
        <v>#N/A</v>
      </c>
      <c r="C858" s="7" t="e">
        <f>IF(AND(A858&gt;=Dashboard!$F$5,A858&lt;=Dashboard!$J$5,A858&lt;&gt;""),-SUMIFS(DashboardData!$E:$E,DashboardData!$A:$A,IF(Dashboard!$B$5="All","*",Dashboard!$B$5),DashboardData!$B:$B,A858),NA())</f>
        <v>#N/A</v>
      </c>
    </row>
    <row r="859" spans="1:3" x14ac:dyDescent="0.25">
      <c r="A859" t="str">
        <f>IF(Monthly!A859="","",Monthly!A859)</f>
        <v/>
      </c>
      <c r="B859" s="7" t="e">
        <f>IF(AND(A859&gt;=Dashboard!$F$5,A859&lt;=Dashboard!$J$5,A859&lt;&gt;""),SUMIFS(DashboardData!$D:$D,DashboardData!$A:$A,IF(Dashboard!$B$5="All","*",Dashboard!$B$5),DashboardData!$B:$B,A859),NA())</f>
        <v>#N/A</v>
      </c>
      <c r="C859" s="7" t="e">
        <f>IF(AND(A859&gt;=Dashboard!$F$5,A859&lt;=Dashboard!$J$5,A859&lt;&gt;""),-SUMIFS(DashboardData!$E:$E,DashboardData!$A:$A,IF(Dashboard!$B$5="All","*",Dashboard!$B$5),DashboardData!$B:$B,A859),NA())</f>
        <v>#N/A</v>
      </c>
    </row>
    <row r="860" spans="1:3" x14ac:dyDescent="0.25">
      <c r="A860" t="str">
        <f>IF(Monthly!A860="","",Monthly!A860)</f>
        <v/>
      </c>
      <c r="B860" s="7" t="e">
        <f>IF(AND(A860&gt;=Dashboard!$F$5,A860&lt;=Dashboard!$J$5,A860&lt;&gt;""),SUMIFS(DashboardData!$D:$D,DashboardData!$A:$A,IF(Dashboard!$B$5="All","*",Dashboard!$B$5),DashboardData!$B:$B,A860),NA())</f>
        <v>#N/A</v>
      </c>
      <c r="C860" s="7" t="e">
        <f>IF(AND(A860&gt;=Dashboard!$F$5,A860&lt;=Dashboard!$J$5,A860&lt;&gt;""),-SUMIFS(DashboardData!$E:$E,DashboardData!$A:$A,IF(Dashboard!$B$5="All","*",Dashboard!$B$5),DashboardData!$B:$B,A860),NA())</f>
        <v>#N/A</v>
      </c>
    </row>
    <row r="861" spans="1:3" x14ac:dyDescent="0.25">
      <c r="A861" t="str">
        <f>IF(Monthly!A861="","",Monthly!A861)</f>
        <v/>
      </c>
      <c r="B861" s="7" t="e">
        <f>IF(AND(A861&gt;=Dashboard!$F$5,A861&lt;=Dashboard!$J$5,A861&lt;&gt;""),SUMIFS(DashboardData!$D:$D,DashboardData!$A:$A,IF(Dashboard!$B$5="All","*",Dashboard!$B$5),DashboardData!$B:$B,A861),NA())</f>
        <v>#N/A</v>
      </c>
      <c r="C861" s="7" t="e">
        <f>IF(AND(A861&gt;=Dashboard!$F$5,A861&lt;=Dashboard!$J$5,A861&lt;&gt;""),-SUMIFS(DashboardData!$E:$E,DashboardData!$A:$A,IF(Dashboard!$B$5="All","*",Dashboard!$B$5),DashboardData!$B:$B,A861),NA())</f>
        <v>#N/A</v>
      </c>
    </row>
    <row r="862" spans="1:3" x14ac:dyDescent="0.25">
      <c r="A862" t="str">
        <f>IF(Monthly!A862="","",Monthly!A862)</f>
        <v/>
      </c>
      <c r="B862" s="7" t="e">
        <f>IF(AND(A862&gt;=Dashboard!$F$5,A862&lt;=Dashboard!$J$5,A862&lt;&gt;""),SUMIFS(DashboardData!$D:$D,DashboardData!$A:$A,IF(Dashboard!$B$5="All","*",Dashboard!$B$5),DashboardData!$B:$B,A862),NA())</f>
        <v>#N/A</v>
      </c>
      <c r="C862" s="7" t="e">
        <f>IF(AND(A862&gt;=Dashboard!$F$5,A862&lt;=Dashboard!$J$5,A862&lt;&gt;""),-SUMIFS(DashboardData!$E:$E,DashboardData!$A:$A,IF(Dashboard!$B$5="All","*",Dashboard!$B$5),DashboardData!$B:$B,A862),NA())</f>
        <v>#N/A</v>
      </c>
    </row>
    <row r="863" spans="1:3" x14ac:dyDescent="0.25">
      <c r="A863" t="str">
        <f>IF(Monthly!A863="","",Monthly!A863)</f>
        <v/>
      </c>
      <c r="B863" s="7" t="e">
        <f>IF(AND(A863&gt;=Dashboard!$F$5,A863&lt;=Dashboard!$J$5,A863&lt;&gt;""),SUMIFS(DashboardData!$D:$D,DashboardData!$A:$A,IF(Dashboard!$B$5="All","*",Dashboard!$B$5),DashboardData!$B:$B,A863),NA())</f>
        <v>#N/A</v>
      </c>
      <c r="C863" s="7" t="e">
        <f>IF(AND(A863&gt;=Dashboard!$F$5,A863&lt;=Dashboard!$J$5,A863&lt;&gt;""),-SUMIFS(DashboardData!$E:$E,DashboardData!$A:$A,IF(Dashboard!$B$5="All","*",Dashboard!$B$5),DashboardData!$B:$B,A863),NA())</f>
        <v>#N/A</v>
      </c>
    </row>
    <row r="864" spans="1:3" x14ac:dyDescent="0.25">
      <c r="A864" t="str">
        <f>IF(Monthly!A864="","",Monthly!A864)</f>
        <v/>
      </c>
      <c r="B864" s="7" t="e">
        <f>IF(AND(A864&gt;=Dashboard!$F$5,A864&lt;=Dashboard!$J$5,A864&lt;&gt;""),SUMIFS(DashboardData!$D:$D,DashboardData!$A:$A,IF(Dashboard!$B$5="All","*",Dashboard!$B$5),DashboardData!$B:$B,A864),NA())</f>
        <v>#N/A</v>
      </c>
      <c r="C864" s="7" t="e">
        <f>IF(AND(A864&gt;=Dashboard!$F$5,A864&lt;=Dashboard!$J$5,A864&lt;&gt;""),-SUMIFS(DashboardData!$E:$E,DashboardData!$A:$A,IF(Dashboard!$B$5="All","*",Dashboard!$B$5),DashboardData!$B:$B,A864),NA())</f>
        <v>#N/A</v>
      </c>
    </row>
    <row r="865" spans="1:3" x14ac:dyDescent="0.25">
      <c r="A865" t="str">
        <f>IF(Monthly!A865="","",Monthly!A865)</f>
        <v/>
      </c>
      <c r="B865" s="7" t="e">
        <f>IF(AND(A865&gt;=Dashboard!$F$5,A865&lt;=Dashboard!$J$5,A865&lt;&gt;""),SUMIFS(DashboardData!$D:$D,DashboardData!$A:$A,IF(Dashboard!$B$5="All","*",Dashboard!$B$5),DashboardData!$B:$B,A865),NA())</f>
        <v>#N/A</v>
      </c>
      <c r="C865" s="7" t="e">
        <f>IF(AND(A865&gt;=Dashboard!$F$5,A865&lt;=Dashboard!$J$5,A865&lt;&gt;""),-SUMIFS(DashboardData!$E:$E,DashboardData!$A:$A,IF(Dashboard!$B$5="All","*",Dashboard!$B$5),DashboardData!$B:$B,A865),NA())</f>
        <v>#N/A</v>
      </c>
    </row>
    <row r="866" spans="1:3" x14ac:dyDescent="0.25">
      <c r="A866" t="str">
        <f>IF(Monthly!A866="","",Monthly!A866)</f>
        <v/>
      </c>
      <c r="B866" s="7" t="e">
        <f>IF(AND(A866&gt;=Dashboard!$F$5,A866&lt;=Dashboard!$J$5,A866&lt;&gt;""),SUMIFS(DashboardData!$D:$D,DashboardData!$A:$A,IF(Dashboard!$B$5="All","*",Dashboard!$B$5),DashboardData!$B:$B,A866),NA())</f>
        <v>#N/A</v>
      </c>
      <c r="C866" s="7" t="e">
        <f>IF(AND(A866&gt;=Dashboard!$F$5,A866&lt;=Dashboard!$J$5,A866&lt;&gt;""),-SUMIFS(DashboardData!$E:$E,DashboardData!$A:$A,IF(Dashboard!$B$5="All","*",Dashboard!$B$5),DashboardData!$B:$B,A866),NA())</f>
        <v>#N/A</v>
      </c>
    </row>
    <row r="867" spans="1:3" x14ac:dyDescent="0.25">
      <c r="A867" t="str">
        <f>IF(Monthly!A867="","",Monthly!A867)</f>
        <v/>
      </c>
      <c r="B867" s="7" t="e">
        <f>IF(AND(A867&gt;=Dashboard!$F$5,A867&lt;=Dashboard!$J$5,A867&lt;&gt;""),SUMIFS(DashboardData!$D:$D,DashboardData!$A:$A,IF(Dashboard!$B$5="All","*",Dashboard!$B$5),DashboardData!$B:$B,A867),NA())</f>
        <v>#N/A</v>
      </c>
      <c r="C867" s="7" t="e">
        <f>IF(AND(A867&gt;=Dashboard!$F$5,A867&lt;=Dashboard!$J$5,A867&lt;&gt;""),-SUMIFS(DashboardData!$E:$E,DashboardData!$A:$A,IF(Dashboard!$B$5="All","*",Dashboard!$B$5),DashboardData!$B:$B,A867),NA())</f>
        <v>#N/A</v>
      </c>
    </row>
    <row r="868" spans="1:3" x14ac:dyDescent="0.25">
      <c r="A868" t="str">
        <f>IF(Monthly!A868="","",Monthly!A868)</f>
        <v/>
      </c>
      <c r="B868" s="7" t="e">
        <f>IF(AND(A868&gt;=Dashboard!$F$5,A868&lt;=Dashboard!$J$5,A868&lt;&gt;""),SUMIFS(DashboardData!$D:$D,DashboardData!$A:$A,IF(Dashboard!$B$5="All","*",Dashboard!$B$5),DashboardData!$B:$B,A868),NA())</f>
        <v>#N/A</v>
      </c>
      <c r="C868" s="7" t="e">
        <f>IF(AND(A868&gt;=Dashboard!$F$5,A868&lt;=Dashboard!$J$5,A868&lt;&gt;""),-SUMIFS(DashboardData!$E:$E,DashboardData!$A:$A,IF(Dashboard!$B$5="All","*",Dashboard!$B$5),DashboardData!$B:$B,A868),NA())</f>
        <v>#N/A</v>
      </c>
    </row>
    <row r="869" spans="1:3" x14ac:dyDescent="0.25">
      <c r="A869" t="str">
        <f>IF(Monthly!A869="","",Monthly!A869)</f>
        <v/>
      </c>
      <c r="B869" s="7" t="e">
        <f>IF(AND(A869&gt;=Dashboard!$F$5,A869&lt;=Dashboard!$J$5,A869&lt;&gt;""),SUMIFS(DashboardData!$D:$D,DashboardData!$A:$A,IF(Dashboard!$B$5="All","*",Dashboard!$B$5),DashboardData!$B:$B,A869),NA())</f>
        <v>#N/A</v>
      </c>
      <c r="C869" s="7" t="e">
        <f>IF(AND(A869&gt;=Dashboard!$F$5,A869&lt;=Dashboard!$J$5,A869&lt;&gt;""),-SUMIFS(DashboardData!$E:$E,DashboardData!$A:$A,IF(Dashboard!$B$5="All","*",Dashboard!$B$5),DashboardData!$B:$B,A869),NA())</f>
        <v>#N/A</v>
      </c>
    </row>
    <row r="870" spans="1:3" x14ac:dyDescent="0.25">
      <c r="A870" t="str">
        <f>IF(Monthly!A870="","",Monthly!A870)</f>
        <v/>
      </c>
      <c r="B870" s="7" t="e">
        <f>IF(AND(A870&gt;=Dashboard!$F$5,A870&lt;=Dashboard!$J$5,A870&lt;&gt;""),SUMIFS(DashboardData!$D:$D,DashboardData!$A:$A,IF(Dashboard!$B$5="All","*",Dashboard!$B$5),DashboardData!$B:$B,A870),NA())</f>
        <v>#N/A</v>
      </c>
      <c r="C870" s="7" t="e">
        <f>IF(AND(A870&gt;=Dashboard!$F$5,A870&lt;=Dashboard!$J$5,A870&lt;&gt;""),-SUMIFS(DashboardData!$E:$E,DashboardData!$A:$A,IF(Dashboard!$B$5="All","*",Dashboard!$B$5),DashboardData!$B:$B,A870),NA())</f>
        <v>#N/A</v>
      </c>
    </row>
    <row r="871" spans="1:3" x14ac:dyDescent="0.25">
      <c r="A871" t="str">
        <f>IF(Monthly!A871="","",Monthly!A871)</f>
        <v/>
      </c>
      <c r="B871" s="7" t="e">
        <f>IF(AND(A871&gt;=Dashboard!$F$5,A871&lt;=Dashboard!$J$5,A871&lt;&gt;""),SUMIFS(DashboardData!$D:$D,DashboardData!$A:$A,IF(Dashboard!$B$5="All","*",Dashboard!$B$5),DashboardData!$B:$B,A871),NA())</f>
        <v>#N/A</v>
      </c>
      <c r="C871" s="7" t="e">
        <f>IF(AND(A871&gt;=Dashboard!$F$5,A871&lt;=Dashboard!$J$5,A871&lt;&gt;""),-SUMIFS(DashboardData!$E:$E,DashboardData!$A:$A,IF(Dashboard!$B$5="All","*",Dashboard!$B$5),DashboardData!$B:$B,A871),NA())</f>
        <v>#N/A</v>
      </c>
    </row>
    <row r="872" spans="1:3" x14ac:dyDescent="0.25">
      <c r="A872" t="str">
        <f>IF(Monthly!A872="","",Monthly!A872)</f>
        <v/>
      </c>
      <c r="B872" s="7" t="e">
        <f>IF(AND(A872&gt;=Dashboard!$F$5,A872&lt;=Dashboard!$J$5,A872&lt;&gt;""),SUMIFS(DashboardData!$D:$D,DashboardData!$A:$A,IF(Dashboard!$B$5="All","*",Dashboard!$B$5),DashboardData!$B:$B,A872),NA())</f>
        <v>#N/A</v>
      </c>
      <c r="C872" s="7" t="e">
        <f>IF(AND(A872&gt;=Dashboard!$F$5,A872&lt;=Dashboard!$J$5,A872&lt;&gt;""),-SUMIFS(DashboardData!$E:$E,DashboardData!$A:$A,IF(Dashboard!$B$5="All","*",Dashboard!$B$5),DashboardData!$B:$B,A872),NA())</f>
        <v>#N/A</v>
      </c>
    </row>
    <row r="873" spans="1:3" x14ac:dyDescent="0.25">
      <c r="A873" t="str">
        <f>IF(Monthly!A873="","",Monthly!A873)</f>
        <v/>
      </c>
      <c r="B873" s="7" t="e">
        <f>IF(AND(A873&gt;=Dashboard!$F$5,A873&lt;=Dashboard!$J$5,A873&lt;&gt;""),SUMIFS(DashboardData!$D:$D,DashboardData!$A:$A,IF(Dashboard!$B$5="All","*",Dashboard!$B$5),DashboardData!$B:$B,A873),NA())</f>
        <v>#N/A</v>
      </c>
      <c r="C873" s="7" t="e">
        <f>IF(AND(A873&gt;=Dashboard!$F$5,A873&lt;=Dashboard!$J$5,A873&lt;&gt;""),-SUMIFS(DashboardData!$E:$E,DashboardData!$A:$A,IF(Dashboard!$B$5="All","*",Dashboard!$B$5),DashboardData!$B:$B,A873),NA())</f>
        <v>#N/A</v>
      </c>
    </row>
    <row r="874" spans="1:3" x14ac:dyDescent="0.25">
      <c r="A874" t="str">
        <f>IF(Monthly!A874="","",Monthly!A874)</f>
        <v/>
      </c>
      <c r="B874" s="7" t="e">
        <f>IF(AND(A874&gt;=Dashboard!$F$5,A874&lt;=Dashboard!$J$5,A874&lt;&gt;""),SUMIFS(DashboardData!$D:$D,DashboardData!$A:$A,IF(Dashboard!$B$5="All","*",Dashboard!$B$5),DashboardData!$B:$B,A874),NA())</f>
        <v>#N/A</v>
      </c>
      <c r="C874" s="7" t="e">
        <f>IF(AND(A874&gt;=Dashboard!$F$5,A874&lt;=Dashboard!$J$5,A874&lt;&gt;""),-SUMIFS(DashboardData!$E:$E,DashboardData!$A:$A,IF(Dashboard!$B$5="All","*",Dashboard!$B$5),DashboardData!$B:$B,A874),NA())</f>
        <v>#N/A</v>
      </c>
    </row>
    <row r="875" spans="1:3" x14ac:dyDescent="0.25">
      <c r="A875" t="str">
        <f>IF(Monthly!A875="","",Monthly!A875)</f>
        <v/>
      </c>
      <c r="B875" s="7" t="e">
        <f>IF(AND(A875&gt;=Dashboard!$F$5,A875&lt;=Dashboard!$J$5,A875&lt;&gt;""),SUMIFS(DashboardData!$D:$D,DashboardData!$A:$A,IF(Dashboard!$B$5="All","*",Dashboard!$B$5),DashboardData!$B:$B,A875),NA())</f>
        <v>#N/A</v>
      </c>
      <c r="C875" s="7" t="e">
        <f>IF(AND(A875&gt;=Dashboard!$F$5,A875&lt;=Dashboard!$J$5,A875&lt;&gt;""),-SUMIFS(DashboardData!$E:$E,DashboardData!$A:$A,IF(Dashboard!$B$5="All","*",Dashboard!$B$5),DashboardData!$B:$B,A875),NA())</f>
        <v>#N/A</v>
      </c>
    </row>
    <row r="876" spans="1:3" x14ac:dyDescent="0.25">
      <c r="A876" t="str">
        <f>IF(Monthly!A876="","",Monthly!A876)</f>
        <v/>
      </c>
      <c r="B876" s="7" t="e">
        <f>IF(AND(A876&gt;=Dashboard!$F$5,A876&lt;=Dashboard!$J$5,A876&lt;&gt;""),SUMIFS(DashboardData!$D:$D,DashboardData!$A:$A,IF(Dashboard!$B$5="All","*",Dashboard!$B$5),DashboardData!$B:$B,A876),NA())</f>
        <v>#N/A</v>
      </c>
      <c r="C876" s="7" t="e">
        <f>IF(AND(A876&gt;=Dashboard!$F$5,A876&lt;=Dashboard!$J$5,A876&lt;&gt;""),-SUMIFS(DashboardData!$E:$E,DashboardData!$A:$A,IF(Dashboard!$B$5="All","*",Dashboard!$B$5),DashboardData!$B:$B,A876),NA())</f>
        <v>#N/A</v>
      </c>
    </row>
    <row r="877" spans="1:3" x14ac:dyDescent="0.25">
      <c r="A877" t="str">
        <f>IF(Monthly!A877="","",Monthly!A877)</f>
        <v/>
      </c>
      <c r="B877" s="7" t="e">
        <f>IF(AND(A877&gt;=Dashboard!$F$5,A877&lt;=Dashboard!$J$5,A877&lt;&gt;""),SUMIFS(DashboardData!$D:$D,DashboardData!$A:$A,IF(Dashboard!$B$5="All","*",Dashboard!$B$5),DashboardData!$B:$B,A877),NA())</f>
        <v>#N/A</v>
      </c>
      <c r="C877" s="7" t="e">
        <f>IF(AND(A877&gt;=Dashboard!$F$5,A877&lt;=Dashboard!$J$5,A877&lt;&gt;""),-SUMIFS(DashboardData!$E:$E,DashboardData!$A:$A,IF(Dashboard!$B$5="All","*",Dashboard!$B$5),DashboardData!$B:$B,A877),NA())</f>
        <v>#N/A</v>
      </c>
    </row>
    <row r="878" spans="1:3" x14ac:dyDescent="0.25">
      <c r="A878" t="str">
        <f>IF(Monthly!A878="","",Monthly!A878)</f>
        <v/>
      </c>
      <c r="B878" s="7" t="e">
        <f>IF(AND(A878&gt;=Dashboard!$F$5,A878&lt;=Dashboard!$J$5,A878&lt;&gt;""),SUMIFS(DashboardData!$D:$D,DashboardData!$A:$A,IF(Dashboard!$B$5="All","*",Dashboard!$B$5),DashboardData!$B:$B,A878),NA())</f>
        <v>#N/A</v>
      </c>
      <c r="C878" s="7" t="e">
        <f>IF(AND(A878&gt;=Dashboard!$F$5,A878&lt;=Dashboard!$J$5,A878&lt;&gt;""),-SUMIFS(DashboardData!$E:$E,DashboardData!$A:$A,IF(Dashboard!$B$5="All","*",Dashboard!$B$5),DashboardData!$B:$B,A878),NA())</f>
        <v>#N/A</v>
      </c>
    </row>
    <row r="879" spans="1:3" x14ac:dyDescent="0.25">
      <c r="A879" t="str">
        <f>IF(Monthly!A879="","",Monthly!A879)</f>
        <v/>
      </c>
      <c r="B879" s="7" t="e">
        <f>IF(AND(A879&gt;=Dashboard!$F$5,A879&lt;=Dashboard!$J$5,A879&lt;&gt;""),SUMIFS(DashboardData!$D:$D,DashboardData!$A:$A,IF(Dashboard!$B$5="All","*",Dashboard!$B$5),DashboardData!$B:$B,A879),NA())</f>
        <v>#N/A</v>
      </c>
      <c r="C879" s="7" t="e">
        <f>IF(AND(A879&gt;=Dashboard!$F$5,A879&lt;=Dashboard!$J$5,A879&lt;&gt;""),-SUMIFS(DashboardData!$E:$E,DashboardData!$A:$A,IF(Dashboard!$B$5="All","*",Dashboard!$B$5),DashboardData!$B:$B,A879),NA())</f>
        <v>#N/A</v>
      </c>
    </row>
    <row r="880" spans="1:3" x14ac:dyDescent="0.25">
      <c r="A880" t="str">
        <f>IF(Monthly!A880="","",Monthly!A880)</f>
        <v/>
      </c>
      <c r="B880" s="7" t="e">
        <f>IF(AND(A880&gt;=Dashboard!$F$5,A880&lt;=Dashboard!$J$5,A880&lt;&gt;""),SUMIFS(DashboardData!$D:$D,DashboardData!$A:$A,IF(Dashboard!$B$5="All","*",Dashboard!$B$5),DashboardData!$B:$B,A880),NA())</f>
        <v>#N/A</v>
      </c>
      <c r="C880" s="7" t="e">
        <f>IF(AND(A880&gt;=Dashboard!$F$5,A880&lt;=Dashboard!$J$5,A880&lt;&gt;""),-SUMIFS(DashboardData!$E:$E,DashboardData!$A:$A,IF(Dashboard!$B$5="All","*",Dashboard!$B$5),DashboardData!$B:$B,A880),NA())</f>
        <v>#N/A</v>
      </c>
    </row>
    <row r="881" spans="1:3" x14ac:dyDescent="0.25">
      <c r="A881" t="str">
        <f>IF(Monthly!A881="","",Monthly!A881)</f>
        <v/>
      </c>
      <c r="B881" s="7" t="e">
        <f>IF(AND(A881&gt;=Dashboard!$F$5,A881&lt;=Dashboard!$J$5,A881&lt;&gt;""),SUMIFS(DashboardData!$D:$D,DashboardData!$A:$A,IF(Dashboard!$B$5="All","*",Dashboard!$B$5),DashboardData!$B:$B,A881),NA())</f>
        <v>#N/A</v>
      </c>
      <c r="C881" s="7" t="e">
        <f>IF(AND(A881&gt;=Dashboard!$F$5,A881&lt;=Dashboard!$J$5,A881&lt;&gt;""),-SUMIFS(DashboardData!$E:$E,DashboardData!$A:$A,IF(Dashboard!$B$5="All","*",Dashboard!$B$5),DashboardData!$B:$B,A881),NA())</f>
        <v>#N/A</v>
      </c>
    </row>
    <row r="882" spans="1:3" x14ac:dyDescent="0.25">
      <c r="A882" t="str">
        <f>IF(Monthly!A882="","",Monthly!A882)</f>
        <v/>
      </c>
      <c r="B882" s="7" t="e">
        <f>IF(AND(A882&gt;=Dashboard!$F$5,A882&lt;=Dashboard!$J$5,A882&lt;&gt;""),SUMIFS(DashboardData!$D:$D,DashboardData!$A:$A,IF(Dashboard!$B$5="All","*",Dashboard!$B$5),DashboardData!$B:$B,A882),NA())</f>
        <v>#N/A</v>
      </c>
      <c r="C882" s="7" t="e">
        <f>IF(AND(A882&gt;=Dashboard!$F$5,A882&lt;=Dashboard!$J$5,A882&lt;&gt;""),-SUMIFS(DashboardData!$E:$E,DashboardData!$A:$A,IF(Dashboard!$B$5="All","*",Dashboard!$B$5),DashboardData!$B:$B,A882),NA())</f>
        <v>#N/A</v>
      </c>
    </row>
    <row r="883" spans="1:3" x14ac:dyDescent="0.25">
      <c r="A883" t="str">
        <f>IF(Monthly!A883="","",Monthly!A883)</f>
        <v/>
      </c>
      <c r="B883" s="7" t="e">
        <f>IF(AND(A883&gt;=Dashboard!$F$5,A883&lt;=Dashboard!$J$5,A883&lt;&gt;""),SUMIFS(DashboardData!$D:$D,DashboardData!$A:$A,IF(Dashboard!$B$5="All","*",Dashboard!$B$5),DashboardData!$B:$B,A883),NA())</f>
        <v>#N/A</v>
      </c>
      <c r="C883" s="7" t="e">
        <f>IF(AND(A883&gt;=Dashboard!$F$5,A883&lt;=Dashboard!$J$5,A883&lt;&gt;""),-SUMIFS(DashboardData!$E:$E,DashboardData!$A:$A,IF(Dashboard!$B$5="All","*",Dashboard!$B$5),DashboardData!$B:$B,A883),NA())</f>
        <v>#N/A</v>
      </c>
    </row>
    <row r="884" spans="1:3" x14ac:dyDescent="0.25">
      <c r="A884" t="str">
        <f>IF(Monthly!A884="","",Monthly!A884)</f>
        <v/>
      </c>
      <c r="B884" s="7" t="e">
        <f>IF(AND(A884&gt;=Dashboard!$F$5,A884&lt;=Dashboard!$J$5,A884&lt;&gt;""),SUMIFS(DashboardData!$D:$D,DashboardData!$A:$A,IF(Dashboard!$B$5="All","*",Dashboard!$B$5),DashboardData!$B:$B,A884),NA())</f>
        <v>#N/A</v>
      </c>
      <c r="C884" s="7" t="e">
        <f>IF(AND(A884&gt;=Dashboard!$F$5,A884&lt;=Dashboard!$J$5,A884&lt;&gt;""),-SUMIFS(DashboardData!$E:$E,DashboardData!$A:$A,IF(Dashboard!$B$5="All","*",Dashboard!$B$5),DashboardData!$B:$B,A884),NA())</f>
        <v>#N/A</v>
      </c>
    </row>
    <row r="885" spans="1:3" x14ac:dyDescent="0.25">
      <c r="A885" t="str">
        <f>IF(Monthly!A885="","",Monthly!A885)</f>
        <v/>
      </c>
      <c r="B885" s="7" t="e">
        <f>IF(AND(A885&gt;=Dashboard!$F$5,A885&lt;=Dashboard!$J$5,A885&lt;&gt;""),SUMIFS(DashboardData!$D:$D,DashboardData!$A:$A,IF(Dashboard!$B$5="All","*",Dashboard!$B$5),DashboardData!$B:$B,A885),NA())</f>
        <v>#N/A</v>
      </c>
      <c r="C885" s="7" t="e">
        <f>IF(AND(A885&gt;=Dashboard!$F$5,A885&lt;=Dashboard!$J$5,A885&lt;&gt;""),-SUMIFS(DashboardData!$E:$E,DashboardData!$A:$A,IF(Dashboard!$B$5="All","*",Dashboard!$B$5),DashboardData!$B:$B,A885),NA())</f>
        <v>#N/A</v>
      </c>
    </row>
    <row r="886" spans="1:3" x14ac:dyDescent="0.25">
      <c r="A886" t="str">
        <f>IF(Monthly!A886="","",Monthly!A886)</f>
        <v/>
      </c>
      <c r="B886" s="7" t="e">
        <f>IF(AND(A886&gt;=Dashboard!$F$5,A886&lt;=Dashboard!$J$5,A886&lt;&gt;""),SUMIFS(DashboardData!$D:$D,DashboardData!$A:$A,IF(Dashboard!$B$5="All","*",Dashboard!$B$5),DashboardData!$B:$B,A886),NA())</f>
        <v>#N/A</v>
      </c>
      <c r="C886" s="7" t="e">
        <f>IF(AND(A886&gt;=Dashboard!$F$5,A886&lt;=Dashboard!$J$5,A886&lt;&gt;""),-SUMIFS(DashboardData!$E:$E,DashboardData!$A:$A,IF(Dashboard!$B$5="All","*",Dashboard!$B$5),DashboardData!$B:$B,A886),NA())</f>
        <v>#N/A</v>
      </c>
    </row>
    <row r="887" spans="1:3" x14ac:dyDescent="0.25">
      <c r="A887" t="str">
        <f>IF(Monthly!A887="","",Monthly!A887)</f>
        <v/>
      </c>
      <c r="B887" s="7" t="e">
        <f>IF(AND(A887&gt;=Dashboard!$F$5,A887&lt;=Dashboard!$J$5,A887&lt;&gt;""),SUMIFS(DashboardData!$D:$D,DashboardData!$A:$A,IF(Dashboard!$B$5="All","*",Dashboard!$B$5),DashboardData!$B:$B,A887),NA())</f>
        <v>#N/A</v>
      </c>
      <c r="C887" s="7" t="e">
        <f>IF(AND(A887&gt;=Dashboard!$F$5,A887&lt;=Dashboard!$J$5,A887&lt;&gt;""),-SUMIFS(DashboardData!$E:$E,DashboardData!$A:$A,IF(Dashboard!$B$5="All","*",Dashboard!$B$5),DashboardData!$B:$B,A887),NA())</f>
        <v>#N/A</v>
      </c>
    </row>
    <row r="888" spans="1:3" x14ac:dyDescent="0.25">
      <c r="A888" t="str">
        <f>IF(Monthly!A888="","",Monthly!A888)</f>
        <v/>
      </c>
      <c r="B888" s="7" t="e">
        <f>IF(AND(A888&gt;=Dashboard!$F$5,A888&lt;=Dashboard!$J$5,A888&lt;&gt;""),SUMIFS(DashboardData!$D:$D,DashboardData!$A:$A,IF(Dashboard!$B$5="All","*",Dashboard!$B$5),DashboardData!$B:$B,A888),NA())</f>
        <v>#N/A</v>
      </c>
      <c r="C888" s="7" t="e">
        <f>IF(AND(A888&gt;=Dashboard!$F$5,A888&lt;=Dashboard!$J$5,A888&lt;&gt;""),-SUMIFS(DashboardData!$E:$E,DashboardData!$A:$A,IF(Dashboard!$B$5="All","*",Dashboard!$B$5),DashboardData!$B:$B,A888),NA())</f>
        <v>#N/A</v>
      </c>
    </row>
    <row r="889" spans="1:3" x14ac:dyDescent="0.25">
      <c r="A889" t="str">
        <f>IF(Monthly!A889="","",Monthly!A889)</f>
        <v/>
      </c>
      <c r="B889" s="7" t="e">
        <f>IF(AND(A889&gt;=Dashboard!$F$5,A889&lt;=Dashboard!$J$5,A889&lt;&gt;""),SUMIFS(DashboardData!$D:$D,DashboardData!$A:$A,IF(Dashboard!$B$5="All","*",Dashboard!$B$5),DashboardData!$B:$B,A889),NA())</f>
        <v>#N/A</v>
      </c>
      <c r="C889" s="7" t="e">
        <f>IF(AND(A889&gt;=Dashboard!$F$5,A889&lt;=Dashboard!$J$5,A889&lt;&gt;""),-SUMIFS(DashboardData!$E:$E,DashboardData!$A:$A,IF(Dashboard!$B$5="All","*",Dashboard!$B$5),DashboardData!$B:$B,A889),NA())</f>
        <v>#N/A</v>
      </c>
    </row>
    <row r="890" spans="1:3" x14ac:dyDescent="0.25">
      <c r="A890" t="str">
        <f>IF(Monthly!A890="","",Monthly!A890)</f>
        <v/>
      </c>
      <c r="B890" s="7" t="e">
        <f>IF(AND(A890&gt;=Dashboard!$F$5,A890&lt;=Dashboard!$J$5,A890&lt;&gt;""),SUMIFS(DashboardData!$D:$D,DashboardData!$A:$A,IF(Dashboard!$B$5="All","*",Dashboard!$B$5),DashboardData!$B:$B,A890),NA())</f>
        <v>#N/A</v>
      </c>
      <c r="C890" s="7" t="e">
        <f>IF(AND(A890&gt;=Dashboard!$F$5,A890&lt;=Dashboard!$J$5,A890&lt;&gt;""),-SUMIFS(DashboardData!$E:$E,DashboardData!$A:$A,IF(Dashboard!$B$5="All","*",Dashboard!$B$5),DashboardData!$B:$B,A890),NA())</f>
        <v>#N/A</v>
      </c>
    </row>
    <row r="891" spans="1:3" x14ac:dyDescent="0.25">
      <c r="A891" t="str">
        <f>IF(Monthly!A891="","",Monthly!A891)</f>
        <v/>
      </c>
      <c r="B891" s="7" t="e">
        <f>IF(AND(A891&gt;=Dashboard!$F$5,A891&lt;=Dashboard!$J$5,A891&lt;&gt;""),SUMIFS(DashboardData!$D:$D,DashboardData!$A:$A,IF(Dashboard!$B$5="All","*",Dashboard!$B$5),DashboardData!$B:$B,A891),NA())</f>
        <v>#N/A</v>
      </c>
      <c r="C891" s="7" t="e">
        <f>IF(AND(A891&gt;=Dashboard!$F$5,A891&lt;=Dashboard!$J$5,A891&lt;&gt;""),-SUMIFS(DashboardData!$E:$E,DashboardData!$A:$A,IF(Dashboard!$B$5="All","*",Dashboard!$B$5),DashboardData!$B:$B,A891),NA())</f>
        <v>#N/A</v>
      </c>
    </row>
    <row r="892" spans="1:3" x14ac:dyDescent="0.25">
      <c r="A892" t="str">
        <f>IF(Monthly!A892="","",Monthly!A892)</f>
        <v/>
      </c>
      <c r="B892" s="7" t="e">
        <f>IF(AND(A892&gt;=Dashboard!$F$5,A892&lt;=Dashboard!$J$5,A892&lt;&gt;""),SUMIFS(DashboardData!$D:$D,DashboardData!$A:$A,IF(Dashboard!$B$5="All","*",Dashboard!$B$5),DashboardData!$B:$B,A892),NA())</f>
        <v>#N/A</v>
      </c>
      <c r="C892" s="7" t="e">
        <f>IF(AND(A892&gt;=Dashboard!$F$5,A892&lt;=Dashboard!$J$5,A892&lt;&gt;""),-SUMIFS(DashboardData!$E:$E,DashboardData!$A:$A,IF(Dashboard!$B$5="All","*",Dashboard!$B$5),DashboardData!$B:$B,A892),NA())</f>
        <v>#N/A</v>
      </c>
    </row>
    <row r="893" spans="1:3" x14ac:dyDescent="0.25">
      <c r="A893" t="str">
        <f>IF(Monthly!A893="","",Monthly!A893)</f>
        <v/>
      </c>
      <c r="B893" s="7" t="e">
        <f>IF(AND(A893&gt;=Dashboard!$F$5,A893&lt;=Dashboard!$J$5,A893&lt;&gt;""),SUMIFS(DashboardData!$D:$D,DashboardData!$A:$A,IF(Dashboard!$B$5="All","*",Dashboard!$B$5),DashboardData!$B:$B,A893),NA())</f>
        <v>#N/A</v>
      </c>
      <c r="C893" s="7" t="e">
        <f>IF(AND(A893&gt;=Dashboard!$F$5,A893&lt;=Dashboard!$J$5,A893&lt;&gt;""),-SUMIFS(DashboardData!$E:$E,DashboardData!$A:$A,IF(Dashboard!$B$5="All","*",Dashboard!$B$5),DashboardData!$B:$B,A893),NA())</f>
        <v>#N/A</v>
      </c>
    </row>
    <row r="894" spans="1:3" x14ac:dyDescent="0.25">
      <c r="A894" t="str">
        <f>IF(Monthly!A894="","",Monthly!A894)</f>
        <v/>
      </c>
      <c r="B894" s="7" t="e">
        <f>IF(AND(A894&gt;=Dashboard!$F$5,A894&lt;=Dashboard!$J$5,A894&lt;&gt;""),SUMIFS(DashboardData!$D:$D,DashboardData!$A:$A,IF(Dashboard!$B$5="All","*",Dashboard!$B$5),DashboardData!$B:$B,A894),NA())</f>
        <v>#N/A</v>
      </c>
      <c r="C894" s="7" t="e">
        <f>IF(AND(A894&gt;=Dashboard!$F$5,A894&lt;=Dashboard!$J$5,A894&lt;&gt;""),-SUMIFS(DashboardData!$E:$E,DashboardData!$A:$A,IF(Dashboard!$B$5="All","*",Dashboard!$B$5),DashboardData!$B:$B,A894),NA())</f>
        <v>#N/A</v>
      </c>
    </row>
    <row r="895" spans="1:3" x14ac:dyDescent="0.25">
      <c r="A895" t="str">
        <f>IF(Monthly!A895="","",Monthly!A895)</f>
        <v/>
      </c>
      <c r="B895" s="7" t="e">
        <f>IF(AND(A895&gt;=Dashboard!$F$5,A895&lt;=Dashboard!$J$5,A895&lt;&gt;""),SUMIFS(DashboardData!$D:$D,DashboardData!$A:$A,IF(Dashboard!$B$5="All","*",Dashboard!$B$5),DashboardData!$B:$B,A895),NA())</f>
        <v>#N/A</v>
      </c>
      <c r="C895" s="7" t="e">
        <f>IF(AND(A895&gt;=Dashboard!$F$5,A895&lt;=Dashboard!$J$5,A895&lt;&gt;""),-SUMIFS(DashboardData!$E:$E,DashboardData!$A:$A,IF(Dashboard!$B$5="All","*",Dashboard!$B$5),DashboardData!$B:$B,A895),NA())</f>
        <v>#N/A</v>
      </c>
    </row>
    <row r="896" spans="1:3" x14ac:dyDescent="0.25">
      <c r="A896" t="str">
        <f>IF(Monthly!A896="","",Monthly!A896)</f>
        <v/>
      </c>
      <c r="B896" s="7" t="e">
        <f>IF(AND(A896&gt;=Dashboard!$F$5,A896&lt;=Dashboard!$J$5,A896&lt;&gt;""),SUMIFS(DashboardData!$D:$D,DashboardData!$A:$A,IF(Dashboard!$B$5="All","*",Dashboard!$B$5),DashboardData!$B:$B,A896),NA())</f>
        <v>#N/A</v>
      </c>
      <c r="C896" s="7" t="e">
        <f>IF(AND(A896&gt;=Dashboard!$F$5,A896&lt;=Dashboard!$J$5,A896&lt;&gt;""),-SUMIFS(DashboardData!$E:$E,DashboardData!$A:$A,IF(Dashboard!$B$5="All","*",Dashboard!$B$5),DashboardData!$B:$B,A896),NA())</f>
        <v>#N/A</v>
      </c>
    </row>
    <row r="897" spans="1:3" x14ac:dyDescent="0.25">
      <c r="A897" t="str">
        <f>IF(Monthly!A897="","",Monthly!A897)</f>
        <v/>
      </c>
      <c r="B897" s="7" t="e">
        <f>IF(AND(A897&gt;=Dashboard!$F$5,A897&lt;=Dashboard!$J$5,A897&lt;&gt;""),SUMIFS(DashboardData!$D:$D,DashboardData!$A:$A,IF(Dashboard!$B$5="All","*",Dashboard!$B$5),DashboardData!$B:$B,A897),NA())</f>
        <v>#N/A</v>
      </c>
      <c r="C897" s="7" t="e">
        <f>IF(AND(A897&gt;=Dashboard!$F$5,A897&lt;=Dashboard!$J$5,A897&lt;&gt;""),-SUMIFS(DashboardData!$E:$E,DashboardData!$A:$A,IF(Dashboard!$B$5="All","*",Dashboard!$B$5),DashboardData!$B:$B,A897),NA())</f>
        <v>#N/A</v>
      </c>
    </row>
    <row r="898" spans="1:3" x14ac:dyDescent="0.25">
      <c r="A898" t="str">
        <f>IF(Monthly!A898="","",Monthly!A898)</f>
        <v/>
      </c>
      <c r="B898" s="7" t="e">
        <f>IF(AND(A898&gt;=Dashboard!$F$5,A898&lt;=Dashboard!$J$5,A898&lt;&gt;""),SUMIFS(DashboardData!$D:$D,DashboardData!$A:$A,IF(Dashboard!$B$5="All","*",Dashboard!$B$5),DashboardData!$B:$B,A898),NA())</f>
        <v>#N/A</v>
      </c>
      <c r="C898" s="7" t="e">
        <f>IF(AND(A898&gt;=Dashboard!$F$5,A898&lt;=Dashboard!$J$5,A898&lt;&gt;""),-SUMIFS(DashboardData!$E:$E,DashboardData!$A:$A,IF(Dashboard!$B$5="All","*",Dashboard!$B$5),DashboardData!$B:$B,A898),NA())</f>
        <v>#N/A</v>
      </c>
    </row>
    <row r="899" spans="1:3" x14ac:dyDescent="0.25">
      <c r="A899" t="str">
        <f>IF(Monthly!A899="","",Monthly!A899)</f>
        <v/>
      </c>
      <c r="B899" s="7" t="e">
        <f>IF(AND(A899&gt;=Dashboard!$F$5,A899&lt;=Dashboard!$J$5,A899&lt;&gt;""),SUMIFS(DashboardData!$D:$D,DashboardData!$A:$A,IF(Dashboard!$B$5="All","*",Dashboard!$B$5),DashboardData!$B:$B,A899),NA())</f>
        <v>#N/A</v>
      </c>
      <c r="C899" s="7" t="e">
        <f>IF(AND(A899&gt;=Dashboard!$F$5,A899&lt;=Dashboard!$J$5,A899&lt;&gt;""),-SUMIFS(DashboardData!$E:$E,DashboardData!$A:$A,IF(Dashboard!$B$5="All","*",Dashboard!$B$5),DashboardData!$B:$B,A899),NA())</f>
        <v>#N/A</v>
      </c>
    </row>
    <row r="900" spans="1:3" x14ac:dyDescent="0.25">
      <c r="A900" t="str">
        <f>IF(Monthly!A900="","",Monthly!A900)</f>
        <v/>
      </c>
      <c r="B900" s="7" t="e">
        <f>IF(AND(A900&gt;=Dashboard!$F$5,A900&lt;=Dashboard!$J$5,A900&lt;&gt;""),SUMIFS(DashboardData!$D:$D,DashboardData!$A:$A,IF(Dashboard!$B$5="All","*",Dashboard!$B$5),DashboardData!$B:$B,A900),NA())</f>
        <v>#N/A</v>
      </c>
      <c r="C900" s="7" t="e">
        <f>IF(AND(A900&gt;=Dashboard!$F$5,A900&lt;=Dashboard!$J$5,A900&lt;&gt;""),-SUMIFS(DashboardData!$E:$E,DashboardData!$A:$A,IF(Dashboard!$B$5="All","*",Dashboard!$B$5),DashboardData!$B:$B,A900),NA())</f>
        <v>#N/A</v>
      </c>
    </row>
    <row r="901" spans="1:3" x14ac:dyDescent="0.25">
      <c r="A901" t="str">
        <f>IF(Monthly!A901="","",Monthly!A901)</f>
        <v/>
      </c>
      <c r="B901" s="7" t="e">
        <f>IF(AND(A901&gt;=Dashboard!$F$5,A901&lt;=Dashboard!$J$5,A901&lt;&gt;""),SUMIFS(DashboardData!$D:$D,DashboardData!$A:$A,IF(Dashboard!$B$5="All","*",Dashboard!$B$5),DashboardData!$B:$B,A901),NA())</f>
        <v>#N/A</v>
      </c>
      <c r="C901" s="7" t="e">
        <f>IF(AND(A901&gt;=Dashboard!$F$5,A901&lt;=Dashboard!$J$5,A901&lt;&gt;""),-SUMIFS(DashboardData!$E:$E,DashboardData!$A:$A,IF(Dashboard!$B$5="All","*",Dashboard!$B$5),DashboardData!$B:$B,A901),NA())</f>
        <v>#N/A</v>
      </c>
    </row>
    <row r="902" spans="1:3" x14ac:dyDescent="0.25">
      <c r="A902" t="str">
        <f>IF(Monthly!A902="","",Monthly!A902)</f>
        <v/>
      </c>
      <c r="B902" s="7" t="e">
        <f>IF(AND(A902&gt;=Dashboard!$F$5,A902&lt;=Dashboard!$J$5,A902&lt;&gt;""),SUMIFS(DashboardData!$D:$D,DashboardData!$A:$A,IF(Dashboard!$B$5="All","*",Dashboard!$B$5),DashboardData!$B:$B,A902),NA())</f>
        <v>#N/A</v>
      </c>
      <c r="C902" s="7" t="e">
        <f>IF(AND(A902&gt;=Dashboard!$F$5,A902&lt;=Dashboard!$J$5,A902&lt;&gt;""),-SUMIFS(DashboardData!$E:$E,DashboardData!$A:$A,IF(Dashboard!$B$5="All","*",Dashboard!$B$5),DashboardData!$B:$B,A902),NA())</f>
        <v>#N/A</v>
      </c>
    </row>
    <row r="903" spans="1:3" x14ac:dyDescent="0.25">
      <c r="A903" t="str">
        <f>IF(Monthly!A903="","",Monthly!A903)</f>
        <v/>
      </c>
      <c r="B903" s="7" t="e">
        <f>IF(AND(A903&gt;=Dashboard!$F$5,A903&lt;=Dashboard!$J$5,A903&lt;&gt;""),SUMIFS(DashboardData!$D:$D,DashboardData!$A:$A,IF(Dashboard!$B$5="All","*",Dashboard!$B$5),DashboardData!$B:$B,A903),NA())</f>
        <v>#N/A</v>
      </c>
      <c r="C903" s="7" t="e">
        <f>IF(AND(A903&gt;=Dashboard!$F$5,A903&lt;=Dashboard!$J$5,A903&lt;&gt;""),-SUMIFS(DashboardData!$E:$E,DashboardData!$A:$A,IF(Dashboard!$B$5="All","*",Dashboard!$B$5),DashboardData!$B:$B,A903),NA())</f>
        <v>#N/A</v>
      </c>
    </row>
    <row r="904" spans="1:3" x14ac:dyDescent="0.25">
      <c r="A904" t="str">
        <f>IF(Monthly!A904="","",Monthly!A904)</f>
        <v/>
      </c>
      <c r="B904" s="7" t="e">
        <f>IF(AND(A904&gt;=Dashboard!$F$5,A904&lt;=Dashboard!$J$5,A904&lt;&gt;""),SUMIFS(DashboardData!$D:$D,DashboardData!$A:$A,IF(Dashboard!$B$5="All","*",Dashboard!$B$5),DashboardData!$B:$B,A904),NA())</f>
        <v>#N/A</v>
      </c>
      <c r="C904" s="7" t="e">
        <f>IF(AND(A904&gt;=Dashboard!$F$5,A904&lt;=Dashboard!$J$5,A904&lt;&gt;""),-SUMIFS(DashboardData!$E:$E,DashboardData!$A:$A,IF(Dashboard!$B$5="All","*",Dashboard!$B$5),DashboardData!$B:$B,A904),NA())</f>
        <v>#N/A</v>
      </c>
    </row>
    <row r="905" spans="1:3" x14ac:dyDescent="0.25">
      <c r="A905" t="str">
        <f>IF(Monthly!A905="","",Monthly!A905)</f>
        <v/>
      </c>
      <c r="B905" s="7" t="e">
        <f>IF(AND(A905&gt;=Dashboard!$F$5,A905&lt;=Dashboard!$J$5,A905&lt;&gt;""),SUMIFS(DashboardData!$D:$D,DashboardData!$A:$A,IF(Dashboard!$B$5="All","*",Dashboard!$B$5),DashboardData!$B:$B,A905),NA())</f>
        <v>#N/A</v>
      </c>
      <c r="C905" s="7" t="e">
        <f>IF(AND(A905&gt;=Dashboard!$F$5,A905&lt;=Dashboard!$J$5,A905&lt;&gt;""),-SUMIFS(DashboardData!$E:$E,DashboardData!$A:$A,IF(Dashboard!$B$5="All","*",Dashboard!$B$5),DashboardData!$B:$B,A905),NA())</f>
        <v>#N/A</v>
      </c>
    </row>
    <row r="906" spans="1:3" x14ac:dyDescent="0.25">
      <c r="A906" t="str">
        <f>IF(Monthly!A906="","",Monthly!A906)</f>
        <v/>
      </c>
      <c r="B906" s="7" t="e">
        <f>IF(AND(A906&gt;=Dashboard!$F$5,A906&lt;=Dashboard!$J$5,A906&lt;&gt;""),SUMIFS(DashboardData!$D:$D,DashboardData!$A:$A,IF(Dashboard!$B$5="All","*",Dashboard!$B$5),DashboardData!$B:$B,A906),NA())</f>
        <v>#N/A</v>
      </c>
      <c r="C906" s="7" t="e">
        <f>IF(AND(A906&gt;=Dashboard!$F$5,A906&lt;=Dashboard!$J$5,A906&lt;&gt;""),-SUMIFS(DashboardData!$E:$E,DashboardData!$A:$A,IF(Dashboard!$B$5="All","*",Dashboard!$B$5),DashboardData!$B:$B,A906),NA())</f>
        <v>#N/A</v>
      </c>
    </row>
    <row r="907" spans="1:3" x14ac:dyDescent="0.25">
      <c r="A907" t="str">
        <f>IF(Monthly!A907="","",Monthly!A907)</f>
        <v/>
      </c>
      <c r="B907" s="7" t="e">
        <f>IF(AND(A907&gt;=Dashboard!$F$5,A907&lt;=Dashboard!$J$5,A907&lt;&gt;""),SUMIFS(DashboardData!$D:$D,DashboardData!$A:$A,IF(Dashboard!$B$5="All","*",Dashboard!$B$5),DashboardData!$B:$B,A907),NA())</f>
        <v>#N/A</v>
      </c>
      <c r="C907" s="7" t="e">
        <f>IF(AND(A907&gt;=Dashboard!$F$5,A907&lt;=Dashboard!$J$5,A907&lt;&gt;""),-SUMIFS(DashboardData!$E:$E,DashboardData!$A:$A,IF(Dashboard!$B$5="All","*",Dashboard!$B$5),DashboardData!$B:$B,A907),NA())</f>
        <v>#N/A</v>
      </c>
    </row>
    <row r="908" spans="1:3" x14ac:dyDescent="0.25">
      <c r="A908" t="str">
        <f>IF(Monthly!A908="","",Monthly!A908)</f>
        <v/>
      </c>
      <c r="B908" s="7" t="e">
        <f>IF(AND(A908&gt;=Dashboard!$F$5,A908&lt;=Dashboard!$J$5,A908&lt;&gt;""),SUMIFS(DashboardData!$D:$D,DashboardData!$A:$A,IF(Dashboard!$B$5="All","*",Dashboard!$B$5),DashboardData!$B:$B,A908),NA())</f>
        <v>#N/A</v>
      </c>
      <c r="C908" s="7" t="e">
        <f>IF(AND(A908&gt;=Dashboard!$F$5,A908&lt;=Dashboard!$J$5,A908&lt;&gt;""),-SUMIFS(DashboardData!$E:$E,DashboardData!$A:$A,IF(Dashboard!$B$5="All","*",Dashboard!$B$5),DashboardData!$B:$B,A908),NA())</f>
        <v>#N/A</v>
      </c>
    </row>
    <row r="909" spans="1:3" x14ac:dyDescent="0.25">
      <c r="A909" t="str">
        <f>IF(Monthly!A909="","",Monthly!A909)</f>
        <v/>
      </c>
      <c r="B909" s="7" t="e">
        <f>IF(AND(A909&gt;=Dashboard!$F$5,A909&lt;=Dashboard!$J$5,A909&lt;&gt;""),SUMIFS(DashboardData!$D:$D,DashboardData!$A:$A,IF(Dashboard!$B$5="All","*",Dashboard!$B$5),DashboardData!$B:$B,A909),NA())</f>
        <v>#N/A</v>
      </c>
      <c r="C909" s="7" t="e">
        <f>IF(AND(A909&gt;=Dashboard!$F$5,A909&lt;=Dashboard!$J$5,A909&lt;&gt;""),-SUMIFS(DashboardData!$E:$E,DashboardData!$A:$A,IF(Dashboard!$B$5="All","*",Dashboard!$B$5),DashboardData!$B:$B,A909),NA())</f>
        <v>#N/A</v>
      </c>
    </row>
    <row r="910" spans="1:3" x14ac:dyDescent="0.25">
      <c r="A910" t="str">
        <f>IF(Monthly!A910="","",Monthly!A910)</f>
        <v/>
      </c>
      <c r="B910" s="7" t="e">
        <f>IF(AND(A910&gt;=Dashboard!$F$5,A910&lt;=Dashboard!$J$5,A910&lt;&gt;""),SUMIFS(DashboardData!$D:$D,DashboardData!$A:$A,IF(Dashboard!$B$5="All","*",Dashboard!$B$5),DashboardData!$B:$B,A910),NA())</f>
        <v>#N/A</v>
      </c>
      <c r="C910" s="7" t="e">
        <f>IF(AND(A910&gt;=Dashboard!$F$5,A910&lt;=Dashboard!$J$5,A910&lt;&gt;""),-SUMIFS(DashboardData!$E:$E,DashboardData!$A:$A,IF(Dashboard!$B$5="All","*",Dashboard!$B$5),DashboardData!$B:$B,A910),NA())</f>
        <v>#N/A</v>
      </c>
    </row>
    <row r="911" spans="1:3" x14ac:dyDescent="0.25">
      <c r="A911" t="str">
        <f>IF(Monthly!A911="","",Monthly!A911)</f>
        <v/>
      </c>
      <c r="B911" s="7" t="e">
        <f>IF(AND(A911&gt;=Dashboard!$F$5,A911&lt;=Dashboard!$J$5,A911&lt;&gt;""),SUMIFS(DashboardData!$D:$D,DashboardData!$A:$A,IF(Dashboard!$B$5="All","*",Dashboard!$B$5),DashboardData!$B:$B,A911),NA())</f>
        <v>#N/A</v>
      </c>
      <c r="C911" s="7" t="e">
        <f>IF(AND(A911&gt;=Dashboard!$F$5,A911&lt;=Dashboard!$J$5,A911&lt;&gt;""),-SUMIFS(DashboardData!$E:$E,DashboardData!$A:$A,IF(Dashboard!$B$5="All","*",Dashboard!$B$5),DashboardData!$B:$B,A911),NA())</f>
        <v>#N/A</v>
      </c>
    </row>
    <row r="912" spans="1:3" x14ac:dyDescent="0.25">
      <c r="A912" t="str">
        <f>IF(Monthly!A912="","",Monthly!A912)</f>
        <v/>
      </c>
      <c r="B912" s="7" t="e">
        <f>IF(AND(A912&gt;=Dashboard!$F$5,A912&lt;=Dashboard!$J$5,A912&lt;&gt;""),SUMIFS(DashboardData!$D:$D,DashboardData!$A:$A,IF(Dashboard!$B$5="All","*",Dashboard!$B$5),DashboardData!$B:$B,A912),NA())</f>
        <v>#N/A</v>
      </c>
      <c r="C912" s="7" t="e">
        <f>IF(AND(A912&gt;=Dashboard!$F$5,A912&lt;=Dashboard!$J$5,A912&lt;&gt;""),-SUMIFS(DashboardData!$E:$E,DashboardData!$A:$A,IF(Dashboard!$B$5="All","*",Dashboard!$B$5),DashboardData!$B:$B,A912),NA())</f>
        <v>#N/A</v>
      </c>
    </row>
    <row r="913" spans="1:3" x14ac:dyDescent="0.25">
      <c r="A913" t="str">
        <f>IF(Monthly!A913="","",Monthly!A913)</f>
        <v/>
      </c>
      <c r="B913" s="7" t="e">
        <f>IF(AND(A913&gt;=Dashboard!$F$5,A913&lt;=Dashboard!$J$5,A913&lt;&gt;""),SUMIFS(DashboardData!$D:$D,DashboardData!$A:$A,IF(Dashboard!$B$5="All","*",Dashboard!$B$5),DashboardData!$B:$B,A913),NA())</f>
        <v>#N/A</v>
      </c>
      <c r="C913" s="7" t="e">
        <f>IF(AND(A913&gt;=Dashboard!$F$5,A913&lt;=Dashboard!$J$5,A913&lt;&gt;""),-SUMIFS(DashboardData!$E:$E,DashboardData!$A:$A,IF(Dashboard!$B$5="All","*",Dashboard!$B$5),DashboardData!$B:$B,A913),NA())</f>
        <v>#N/A</v>
      </c>
    </row>
    <row r="914" spans="1:3" x14ac:dyDescent="0.25">
      <c r="A914" t="str">
        <f>IF(Monthly!A914="","",Monthly!A914)</f>
        <v/>
      </c>
      <c r="B914" s="7" t="e">
        <f>IF(AND(A914&gt;=Dashboard!$F$5,A914&lt;=Dashboard!$J$5,A914&lt;&gt;""),SUMIFS(DashboardData!$D:$D,DashboardData!$A:$A,IF(Dashboard!$B$5="All","*",Dashboard!$B$5),DashboardData!$B:$B,A914),NA())</f>
        <v>#N/A</v>
      </c>
      <c r="C914" s="7" t="e">
        <f>IF(AND(A914&gt;=Dashboard!$F$5,A914&lt;=Dashboard!$J$5,A914&lt;&gt;""),-SUMIFS(DashboardData!$E:$E,DashboardData!$A:$A,IF(Dashboard!$B$5="All","*",Dashboard!$B$5),DashboardData!$B:$B,A914),NA())</f>
        <v>#N/A</v>
      </c>
    </row>
    <row r="915" spans="1:3" x14ac:dyDescent="0.25">
      <c r="A915" t="str">
        <f>IF(Monthly!A915="","",Monthly!A915)</f>
        <v/>
      </c>
      <c r="B915" s="7" t="e">
        <f>IF(AND(A915&gt;=Dashboard!$F$5,A915&lt;=Dashboard!$J$5,A915&lt;&gt;""),SUMIFS(DashboardData!$D:$D,DashboardData!$A:$A,IF(Dashboard!$B$5="All","*",Dashboard!$B$5),DashboardData!$B:$B,A915),NA())</f>
        <v>#N/A</v>
      </c>
      <c r="C915" s="7" t="e">
        <f>IF(AND(A915&gt;=Dashboard!$F$5,A915&lt;=Dashboard!$J$5,A915&lt;&gt;""),-SUMIFS(DashboardData!$E:$E,DashboardData!$A:$A,IF(Dashboard!$B$5="All","*",Dashboard!$B$5),DashboardData!$B:$B,A915),NA())</f>
        <v>#N/A</v>
      </c>
    </row>
    <row r="916" spans="1:3" x14ac:dyDescent="0.25">
      <c r="A916" t="str">
        <f>IF(Monthly!A916="","",Monthly!A916)</f>
        <v/>
      </c>
      <c r="B916" s="7" t="e">
        <f>IF(AND(A916&gt;=Dashboard!$F$5,A916&lt;=Dashboard!$J$5,A916&lt;&gt;""),SUMIFS(DashboardData!$D:$D,DashboardData!$A:$A,IF(Dashboard!$B$5="All","*",Dashboard!$B$5),DashboardData!$B:$B,A916),NA())</f>
        <v>#N/A</v>
      </c>
      <c r="C916" s="7" t="e">
        <f>IF(AND(A916&gt;=Dashboard!$F$5,A916&lt;=Dashboard!$J$5,A916&lt;&gt;""),-SUMIFS(DashboardData!$E:$E,DashboardData!$A:$A,IF(Dashboard!$B$5="All","*",Dashboard!$B$5),DashboardData!$B:$B,A916),NA())</f>
        <v>#N/A</v>
      </c>
    </row>
    <row r="917" spans="1:3" x14ac:dyDescent="0.25">
      <c r="A917" t="str">
        <f>IF(Monthly!A917="","",Monthly!A917)</f>
        <v/>
      </c>
      <c r="B917" s="7" t="e">
        <f>IF(AND(A917&gt;=Dashboard!$F$5,A917&lt;=Dashboard!$J$5,A917&lt;&gt;""),SUMIFS(DashboardData!$D:$D,DashboardData!$A:$A,IF(Dashboard!$B$5="All","*",Dashboard!$B$5),DashboardData!$B:$B,A917),NA())</f>
        <v>#N/A</v>
      </c>
      <c r="C917" s="7" t="e">
        <f>IF(AND(A917&gt;=Dashboard!$F$5,A917&lt;=Dashboard!$J$5,A917&lt;&gt;""),-SUMIFS(DashboardData!$E:$E,DashboardData!$A:$A,IF(Dashboard!$B$5="All","*",Dashboard!$B$5),DashboardData!$B:$B,A917),NA())</f>
        <v>#N/A</v>
      </c>
    </row>
    <row r="918" spans="1:3" x14ac:dyDescent="0.25">
      <c r="A918" t="str">
        <f>IF(Monthly!A918="","",Monthly!A918)</f>
        <v/>
      </c>
      <c r="B918" s="7" t="e">
        <f>IF(AND(A918&gt;=Dashboard!$F$5,A918&lt;=Dashboard!$J$5,A918&lt;&gt;""),SUMIFS(DashboardData!$D:$D,DashboardData!$A:$A,IF(Dashboard!$B$5="All","*",Dashboard!$B$5),DashboardData!$B:$B,A918),NA())</f>
        <v>#N/A</v>
      </c>
      <c r="C918" s="7" t="e">
        <f>IF(AND(A918&gt;=Dashboard!$F$5,A918&lt;=Dashboard!$J$5,A918&lt;&gt;""),-SUMIFS(DashboardData!$E:$E,DashboardData!$A:$A,IF(Dashboard!$B$5="All","*",Dashboard!$B$5),DashboardData!$B:$B,A918),NA())</f>
        <v>#N/A</v>
      </c>
    </row>
    <row r="919" spans="1:3" x14ac:dyDescent="0.25">
      <c r="A919" t="str">
        <f>IF(Monthly!A919="","",Monthly!A919)</f>
        <v/>
      </c>
      <c r="B919" s="7" t="e">
        <f>IF(AND(A919&gt;=Dashboard!$F$5,A919&lt;=Dashboard!$J$5,A919&lt;&gt;""),SUMIFS(DashboardData!$D:$D,DashboardData!$A:$A,IF(Dashboard!$B$5="All","*",Dashboard!$B$5),DashboardData!$B:$B,A919),NA())</f>
        <v>#N/A</v>
      </c>
      <c r="C919" s="7" t="e">
        <f>IF(AND(A919&gt;=Dashboard!$F$5,A919&lt;=Dashboard!$J$5,A919&lt;&gt;""),-SUMIFS(DashboardData!$E:$E,DashboardData!$A:$A,IF(Dashboard!$B$5="All","*",Dashboard!$B$5),DashboardData!$B:$B,A919),NA())</f>
        <v>#N/A</v>
      </c>
    </row>
    <row r="920" spans="1:3" x14ac:dyDescent="0.25">
      <c r="A920" t="str">
        <f>IF(Monthly!A920="","",Monthly!A920)</f>
        <v/>
      </c>
      <c r="B920" s="7" t="e">
        <f>IF(AND(A920&gt;=Dashboard!$F$5,A920&lt;=Dashboard!$J$5,A920&lt;&gt;""),SUMIFS(DashboardData!$D:$D,DashboardData!$A:$A,IF(Dashboard!$B$5="All","*",Dashboard!$B$5),DashboardData!$B:$B,A920),NA())</f>
        <v>#N/A</v>
      </c>
      <c r="C920" s="7" t="e">
        <f>IF(AND(A920&gt;=Dashboard!$F$5,A920&lt;=Dashboard!$J$5,A920&lt;&gt;""),-SUMIFS(DashboardData!$E:$E,DashboardData!$A:$A,IF(Dashboard!$B$5="All","*",Dashboard!$B$5),DashboardData!$B:$B,A920),NA())</f>
        <v>#N/A</v>
      </c>
    </row>
    <row r="921" spans="1:3" x14ac:dyDescent="0.25">
      <c r="A921" t="str">
        <f>IF(Monthly!A921="","",Monthly!A921)</f>
        <v/>
      </c>
      <c r="B921" s="7" t="e">
        <f>IF(AND(A921&gt;=Dashboard!$F$5,A921&lt;=Dashboard!$J$5,A921&lt;&gt;""),SUMIFS(DashboardData!$D:$D,DashboardData!$A:$A,IF(Dashboard!$B$5="All","*",Dashboard!$B$5),DashboardData!$B:$B,A921),NA())</f>
        <v>#N/A</v>
      </c>
      <c r="C921" s="7" t="e">
        <f>IF(AND(A921&gt;=Dashboard!$F$5,A921&lt;=Dashboard!$J$5,A921&lt;&gt;""),-SUMIFS(DashboardData!$E:$E,DashboardData!$A:$A,IF(Dashboard!$B$5="All","*",Dashboard!$B$5),DashboardData!$B:$B,A921),NA())</f>
        <v>#N/A</v>
      </c>
    </row>
    <row r="922" spans="1:3" x14ac:dyDescent="0.25">
      <c r="A922" t="str">
        <f>IF(Monthly!A922="","",Monthly!A922)</f>
        <v/>
      </c>
      <c r="B922" s="7" t="e">
        <f>IF(AND(A922&gt;=Dashboard!$F$5,A922&lt;=Dashboard!$J$5,A922&lt;&gt;""),SUMIFS(DashboardData!$D:$D,DashboardData!$A:$A,IF(Dashboard!$B$5="All","*",Dashboard!$B$5),DashboardData!$B:$B,A922),NA())</f>
        <v>#N/A</v>
      </c>
      <c r="C922" s="7" t="e">
        <f>IF(AND(A922&gt;=Dashboard!$F$5,A922&lt;=Dashboard!$J$5,A922&lt;&gt;""),-SUMIFS(DashboardData!$E:$E,DashboardData!$A:$A,IF(Dashboard!$B$5="All","*",Dashboard!$B$5),DashboardData!$B:$B,A922),NA())</f>
        <v>#N/A</v>
      </c>
    </row>
    <row r="923" spans="1:3" x14ac:dyDescent="0.25">
      <c r="A923" t="str">
        <f>IF(Monthly!A923="","",Monthly!A923)</f>
        <v/>
      </c>
      <c r="B923" s="7" t="e">
        <f>IF(AND(A923&gt;=Dashboard!$F$5,A923&lt;=Dashboard!$J$5,A923&lt;&gt;""),SUMIFS(DashboardData!$D:$D,DashboardData!$A:$A,IF(Dashboard!$B$5="All","*",Dashboard!$B$5),DashboardData!$B:$B,A923),NA())</f>
        <v>#N/A</v>
      </c>
      <c r="C923" s="7" t="e">
        <f>IF(AND(A923&gt;=Dashboard!$F$5,A923&lt;=Dashboard!$J$5,A923&lt;&gt;""),-SUMIFS(DashboardData!$E:$E,DashboardData!$A:$A,IF(Dashboard!$B$5="All","*",Dashboard!$B$5),DashboardData!$B:$B,A923),NA())</f>
        <v>#N/A</v>
      </c>
    </row>
    <row r="924" spans="1:3" x14ac:dyDescent="0.25">
      <c r="A924" t="str">
        <f>IF(Monthly!A924="","",Monthly!A924)</f>
        <v/>
      </c>
      <c r="B924" s="7" t="e">
        <f>IF(AND(A924&gt;=Dashboard!$F$5,A924&lt;=Dashboard!$J$5,A924&lt;&gt;""),SUMIFS(DashboardData!$D:$D,DashboardData!$A:$A,IF(Dashboard!$B$5="All","*",Dashboard!$B$5),DashboardData!$B:$B,A924),NA())</f>
        <v>#N/A</v>
      </c>
      <c r="C924" s="7" t="e">
        <f>IF(AND(A924&gt;=Dashboard!$F$5,A924&lt;=Dashboard!$J$5,A924&lt;&gt;""),-SUMIFS(DashboardData!$E:$E,DashboardData!$A:$A,IF(Dashboard!$B$5="All","*",Dashboard!$B$5),DashboardData!$B:$B,A924),NA())</f>
        <v>#N/A</v>
      </c>
    </row>
    <row r="925" spans="1:3" x14ac:dyDescent="0.25">
      <c r="A925" t="str">
        <f>IF(Monthly!A925="","",Monthly!A925)</f>
        <v/>
      </c>
      <c r="B925" s="7" t="e">
        <f>IF(AND(A925&gt;=Dashboard!$F$5,A925&lt;=Dashboard!$J$5,A925&lt;&gt;""),SUMIFS(DashboardData!$D:$D,DashboardData!$A:$A,IF(Dashboard!$B$5="All","*",Dashboard!$B$5),DashboardData!$B:$B,A925),NA())</f>
        <v>#N/A</v>
      </c>
      <c r="C925" s="7" t="e">
        <f>IF(AND(A925&gt;=Dashboard!$F$5,A925&lt;=Dashboard!$J$5,A925&lt;&gt;""),-SUMIFS(DashboardData!$E:$E,DashboardData!$A:$A,IF(Dashboard!$B$5="All","*",Dashboard!$B$5),DashboardData!$B:$B,A925),NA())</f>
        <v>#N/A</v>
      </c>
    </row>
    <row r="926" spans="1:3" x14ac:dyDescent="0.25">
      <c r="A926" t="str">
        <f>IF(Monthly!A926="","",Monthly!A926)</f>
        <v/>
      </c>
      <c r="B926" s="7" t="e">
        <f>IF(AND(A926&gt;=Dashboard!$F$5,A926&lt;=Dashboard!$J$5,A926&lt;&gt;""),SUMIFS(DashboardData!$D:$D,DashboardData!$A:$A,IF(Dashboard!$B$5="All","*",Dashboard!$B$5),DashboardData!$B:$B,A926),NA())</f>
        <v>#N/A</v>
      </c>
      <c r="C926" s="7" t="e">
        <f>IF(AND(A926&gt;=Dashboard!$F$5,A926&lt;=Dashboard!$J$5,A926&lt;&gt;""),-SUMIFS(DashboardData!$E:$E,DashboardData!$A:$A,IF(Dashboard!$B$5="All","*",Dashboard!$B$5),DashboardData!$B:$B,A926),NA())</f>
        <v>#N/A</v>
      </c>
    </row>
    <row r="927" spans="1:3" x14ac:dyDescent="0.25">
      <c r="A927" t="str">
        <f>IF(Monthly!A927="","",Monthly!A927)</f>
        <v/>
      </c>
      <c r="B927" s="7" t="e">
        <f>IF(AND(A927&gt;=Dashboard!$F$5,A927&lt;=Dashboard!$J$5,A927&lt;&gt;""),SUMIFS(DashboardData!$D:$D,DashboardData!$A:$A,IF(Dashboard!$B$5="All","*",Dashboard!$B$5),DashboardData!$B:$B,A927),NA())</f>
        <v>#N/A</v>
      </c>
      <c r="C927" s="7" t="e">
        <f>IF(AND(A927&gt;=Dashboard!$F$5,A927&lt;=Dashboard!$J$5,A927&lt;&gt;""),-SUMIFS(DashboardData!$E:$E,DashboardData!$A:$A,IF(Dashboard!$B$5="All","*",Dashboard!$B$5),DashboardData!$B:$B,A927),NA())</f>
        <v>#N/A</v>
      </c>
    </row>
    <row r="928" spans="1:3" x14ac:dyDescent="0.25">
      <c r="A928" t="str">
        <f>IF(Monthly!A928="","",Monthly!A928)</f>
        <v/>
      </c>
      <c r="B928" s="7" t="e">
        <f>IF(AND(A928&gt;=Dashboard!$F$5,A928&lt;=Dashboard!$J$5,A928&lt;&gt;""),SUMIFS(DashboardData!$D:$D,DashboardData!$A:$A,IF(Dashboard!$B$5="All","*",Dashboard!$B$5),DashboardData!$B:$B,A928),NA())</f>
        <v>#N/A</v>
      </c>
      <c r="C928" s="7" t="e">
        <f>IF(AND(A928&gt;=Dashboard!$F$5,A928&lt;=Dashboard!$J$5,A928&lt;&gt;""),-SUMIFS(DashboardData!$E:$E,DashboardData!$A:$A,IF(Dashboard!$B$5="All","*",Dashboard!$B$5),DashboardData!$B:$B,A928),NA())</f>
        <v>#N/A</v>
      </c>
    </row>
    <row r="929" spans="1:3" x14ac:dyDescent="0.25">
      <c r="A929" t="str">
        <f>IF(Monthly!A929="","",Monthly!A929)</f>
        <v/>
      </c>
      <c r="B929" s="7" t="e">
        <f>IF(AND(A929&gt;=Dashboard!$F$5,A929&lt;=Dashboard!$J$5,A929&lt;&gt;""),SUMIFS(DashboardData!$D:$D,DashboardData!$A:$A,IF(Dashboard!$B$5="All","*",Dashboard!$B$5),DashboardData!$B:$B,A929),NA())</f>
        <v>#N/A</v>
      </c>
      <c r="C929" s="7" t="e">
        <f>IF(AND(A929&gt;=Dashboard!$F$5,A929&lt;=Dashboard!$J$5,A929&lt;&gt;""),-SUMIFS(DashboardData!$E:$E,DashboardData!$A:$A,IF(Dashboard!$B$5="All","*",Dashboard!$B$5),DashboardData!$B:$B,A929),NA())</f>
        <v>#N/A</v>
      </c>
    </row>
    <row r="930" spans="1:3" x14ac:dyDescent="0.25">
      <c r="A930" t="str">
        <f>IF(Monthly!A930="","",Monthly!A930)</f>
        <v/>
      </c>
      <c r="B930" s="7" t="e">
        <f>IF(AND(A930&gt;=Dashboard!$F$5,A930&lt;=Dashboard!$J$5,A930&lt;&gt;""),SUMIFS(DashboardData!$D:$D,DashboardData!$A:$A,IF(Dashboard!$B$5="All","*",Dashboard!$B$5),DashboardData!$B:$B,A930),NA())</f>
        <v>#N/A</v>
      </c>
      <c r="C930" s="7" t="e">
        <f>IF(AND(A930&gt;=Dashboard!$F$5,A930&lt;=Dashboard!$J$5,A930&lt;&gt;""),-SUMIFS(DashboardData!$E:$E,DashboardData!$A:$A,IF(Dashboard!$B$5="All","*",Dashboard!$B$5),DashboardData!$B:$B,A930),NA())</f>
        <v>#N/A</v>
      </c>
    </row>
    <row r="931" spans="1:3" x14ac:dyDescent="0.25">
      <c r="A931" t="str">
        <f>IF(Monthly!A931="","",Monthly!A931)</f>
        <v/>
      </c>
      <c r="B931" s="7" t="e">
        <f>IF(AND(A931&gt;=Dashboard!$F$5,A931&lt;=Dashboard!$J$5,A931&lt;&gt;""),SUMIFS(DashboardData!$D:$D,DashboardData!$A:$A,IF(Dashboard!$B$5="All","*",Dashboard!$B$5),DashboardData!$B:$B,A931),NA())</f>
        <v>#N/A</v>
      </c>
      <c r="C931" s="7" t="e">
        <f>IF(AND(A931&gt;=Dashboard!$F$5,A931&lt;=Dashboard!$J$5,A931&lt;&gt;""),-SUMIFS(DashboardData!$E:$E,DashboardData!$A:$A,IF(Dashboard!$B$5="All","*",Dashboard!$B$5),DashboardData!$B:$B,A931),NA())</f>
        <v>#N/A</v>
      </c>
    </row>
    <row r="932" spans="1:3" x14ac:dyDescent="0.25">
      <c r="A932" t="str">
        <f>IF(Monthly!A932="","",Monthly!A932)</f>
        <v/>
      </c>
      <c r="B932" s="7" t="e">
        <f>IF(AND(A932&gt;=Dashboard!$F$5,A932&lt;=Dashboard!$J$5,A932&lt;&gt;""),SUMIFS(DashboardData!$D:$D,DashboardData!$A:$A,IF(Dashboard!$B$5="All","*",Dashboard!$B$5),DashboardData!$B:$B,A932),NA())</f>
        <v>#N/A</v>
      </c>
      <c r="C932" s="7" t="e">
        <f>IF(AND(A932&gt;=Dashboard!$F$5,A932&lt;=Dashboard!$J$5,A932&lt;&gt;""),-SUMIFS(DashboardData!$E:$E,DashboardData!$A:$A,IF(Dashboard!$B$5="All","*",Dashboard!$B$5),DashboardData!$B:$B,A932),NA())</f>
        <v>#N/A</v>
      </c>
    </row>
    <row r="933" spans="1:3" x14ac:dyDescent="0.25">
      <c r="A933" t="str">
        <f>IF(Monthly!A933="","",Monthly!A933)</f>
        <v/>
      </c>
      <c r="B933" s="7" t="e">
        <f>IF(AND(A933&gt;=Dashboard!$F$5,A933&lt;=Dashboard!$J$5,A933&lt;&gt;""),SUMIFS(DashboardData!$D:$D,DashboardData!$A:$A,IF(Dashboard!$B$5="All","*",Dashboard!$B$5),DashboardData!$B:$B,A933),NA())</f>
        <v>#N/A</v>
      </c>
      <c r="C933" s="7" t="e">
        <f>IF(AND(A933&gt;=Dashboard!$F$5,A933&lt;=Dashboard!$J$5,A933&lt;&gt;""),-SUMIFS(DashboardData!$E:$E,DashboardData!$A:$A,IF(Dashboard!$B$5="All","*",Dashboard!$B$5),DashboardData!$B:$B,A933),NA())</f>
        <v>#N/A</v>
      </c>
    </row>
    <row r="934" spans="1:3" x14ac:dyDescent="0.25">
      <c r="A934" t="str">
        <f>IF(Monthly!A934="","",Monthly!A934)</f>
        <v/>
      </c>
      <c r="B934" s="7" t="e">
        <f>IF(AND(A934&gt;=Dashboard!$F$5,A934&lt;=Dashboard!$J$5,A934&lt;&gt;""),SUMIFS(DashboardData!$D:$D,DashboardData!$A:$A,IF(Dashboard!$B$5="All","*",Dashboard!$B$5),DashboardData!$B:$B,A934),NA())</f>
        <v>#N/A</v>
      </c>
      <c r="C934" s="7" t="e">
        <f>IF(AND(A934&gt;=Dashboard!$F$5,A934&lt;=Dashboard!$J$5,A934&lt;&gt;""),-SUMIFS(DashboardData!$E:$E,DashboardData!$A:$A,IF(Dashboard!$B$5="All","*",Dashboard!$B$5),DashboardData!$B:$B,A934),NA())</f>
        <v>#N/A</v>
      </c>
    </row>
    <row r="935" spans="1:3" x14ac:dyDescent="0.25">
      <c r="A935" t="str">
        <f>IF(Monthly!A935="","",Monthly!A935)</f>
        <v/>
      </c>
      <c r="B935" s="7" t="e">
        <f>IF(AND(A935&gt;=Dashboard!$F$5,A935&lt;=Dashboard!$J$5,A935&lt;&gt;""),SUMIFS(DashboardData!$D:$D,DashboardData!$A:$A,IF(Dashboard!$B$5="All","*",Dashboard!$B$5),DashboardData!$B:$B,A935),NA())</f>
        <v>#N/A</v>
      </c>
      <c r="C935" s="7" t="e">
        <f>IF(AND(A935&gt;=Dashboard!$F$5,A935&lt;=Dashboard!$J$5,A935&lt;&gt;""),-SUMIFS(DashboardData!$E:$E,DashboardData!$A:$A,IF(Dashboard!$B$5="All","*",Dashboard!$B$5),DashboardData!$B:$B,A935),NA())</f>
        <v>#N/A</v>
      </c>
    </row>
    <row r="936" spans="1:3" x14ac:dyDescent="0.25">
      <c r="A936" t="str">
        <f>IF(Monthly!A936="","",Monthly!A936)</f>
        <v/>
      </c>
      <c r="B936" s="7" t="e">
        <f>IF(AND(A936&gt;=Dashboard!$F$5,A936&lt;=Dashboard!$J$5,A936&lt;&gt;""),SUMIFS(DashboardData!$D:$D,DashboardData!$A:$A,IF(Dashboard!$B$5="All","*",Dashboard!$B$5),DashboardData!$B:$B,A936),NA())</f>
        <v>#N/A</v>
      </c>
      <c r="C936" s="7" t="e">
        <f>IF(AND(A936&gt;=Dashboard!$F$5,A936&lt;=Dashboard!$J$5,A936&lt;&gt;""),-SUMIFS(DashboardData!$E:$E,DashboardData!$A:$A,IF(Dashboard!$B$5="All","*",Dashboard!$B$5),DashboardData!$B:$B,A936),NA())</f>
        <v>#N/A</v>
      </c>
    </row>
    <row r="937" spans="1:3" x14ac:dyDescent="0.25">
      <c r="A937" t="str">
        <f>IF(Monthly!A937="","",Monthly!A937)</f>
        <v/>
      </c>
      <c r="B937" s="7" t="e">
        <f>IF(AND(A937&gt;=Dashboard!$F$5,A937&lt;=Dashboard!$J$5,A937&lt;&gt;""),SUMIFS(DashboardData!$D:$D,DashboardData!$A:$A,IF(Dashboard!$B$5="All","*",Dashboard!$B$5),DashboardData!$B:$B,A937),NA())</f>
        <v>#N/A</v>
      </c>
      <c r="C937" s="7" t="e">
        <f>IF(AND(A937&gt;=Dashboard!$F$5,A937&lt;=Dashboard!$J$5,A937&lt;&gt;""),-SUMIFS(DashboardData!$E:$E,DashboardData!$A:$A,IF(Dashboard!$B$5="All","*",Dashboard!$B$5),DashboardData!$B:$B,A937),NA())</f>
        <v>#N/A</v>
      </c>
    </row>
    <row r="938" spans="1:3" x14ac:dyDescent="0.25">
      <c r="A938" t="str">
        <f>IF(Monthly!A938="","",Monthly!A938)</f>
        <v/>
      </c>
      <c r="B938" s="7" t="e">
        <f>IF(AND(A938&gt;=Dashboard!$F$5,A938&lt;=Dashboard!$J$5,A938&lt;&gt;""),SUMIFS(DashboardData!$D:$D,DashboardData!$A:$A,IF(Dashboard!$B$5="All","*",Dashboard!$B$5),DashboardData!$B:$B,A938),NA())</f>
        <v>#N/A</v>
      </c>
      <c r="C938" s="7" t="e">
        <f>IF(AND(A938&gt;=Dashboard!$F$5,A938&lt;=Dashboard!$J$5,A938&lt;&gt;""),-SUMIFS(DashboardData!$E:$E,DashboardData!$A:$A,IF(Dashboard!$B$5="All","*",Dashboard!$B$5),DashboardData!$B:$B,A938),NA())</f>
        <v>#N/A</v>
      </c>
    </row>
    <row r="939" spans="1:3" x14ac:dyDescent="0.25">
      <c r="A939" t="str">
        <f>IF(Monthly!A939="","",Monthly!A939)</f>
        <v/>
      </c>
      <c r="B939" s="7" t="e">
        <f>IF(AND(A939&gt;=Dashboard!$F$5,A939&lt;=Dashboard!$J$5,A939&lt;&gt;""),SUMIFS(DashboardData!$D:$D,DashboardData!$A:$A,IF(Dashboard!$B$5="All","*",Dashboard!$B$5),DashboardData!$B:$B,A939),NA())</f>
        <v>#N/A</v>
      </c>
      <c r="C939" s="7" t="e">
        <f>IF(AND(A939&gt;=Dashboard!$F$5,A939&lt;=Dashboard!$J$5,A939&lt;&gt;""),-SUMIFS(DashboardData!$E:$E,DashboardData!$A:$A,IF(Dashboard!$B$5="All","*",Dashboard!$B$5),DashboardData!$B:$B,A939),NA())</f>
        <v>#N/A</v>
      </c>
    </row>
    <row r="940" spans="1:3" x14ac:dyDescent="0.25">
      <c r="A940" t="str">
        <f>IF(Monthly!A940="","",Monthly!A940)</f>
        <v/>
      </c>
      <c r="B940" s="7" t="e">
        <f>IF(AND(A940&gt;=Dashboard!$F$5,A940&lt;=Dashboard!$J$5,A940&lt;&gt;""),SUMIFS(DashboardData!$D:$D,DashboardData!$A:$A,IF(Dashboard!$B$5="All","*",Dashboard!$B$5),DashboardData!$B:$B,A940),NA())</f>
        <v>#N/A</v>
      </c>
      <c r="C940" s="7" t="e">
        <f>IF(AND(A940&gt;=Dashboard!$F$5,A940&lt;=Dashboard!$J$5,A940&lt;&gt;""),-SUMIFS(DashboardData!$E:$E,DashboardData!$A:$A,IF(Dashboard!$B$5="All","*",Dashboard!$B$5),DashboardData!$B:$B,A940),NA())</f>
        <v>#N/A</v>
      </c>
    </row>
    <row r="941" spans="1:3" x14ac:dyDescent="0.25">
      <c r="A941" t="str">
        <f>IF(Monthly!A941="","",Monthly!A941)</f>
        <v/>
      </c>
      <c r="B941" s="7" t="e">
        <f>IF(AND(A941&gt;=Dashboard!$F$5,A941&lt;=Dashboard!$J$5,A941&lt;&gt;""),SUMIFS(DashboardData!$D:$D,DashboardData!$A:$A,IF(Dashboard!$B$5="All","*",Dashboard!$B$5),DashboardData!$B:$B,A941),NA())</f>
        <v>#N/A</v>
      </c>
      <c r="C941" s="7" t="e">
        <f>IF(AND(A941&gt;=Dashboard!$F$5,A941&lt;=Dashboard!$J$5,A941&lt;&gt;""),-SUMIFS(DashboardData!$E:$E,DashboardData!$A:$A,IF(Dashboard!$B$5="All","*",Dashboard!$B$5),DashboardData!$B:$B,A941),NA())</f>
        <v>#N/A</v>
      </c>
    </row>
    <row r="942" spans="1:3" x14ac:dyDescent="0.25">
      <c r="A942" t="str">
        <f>IF(Monthly!A942="","",Monthly!A942)</f>
        <v/>
      </c>
      <c r="B942" s="7" t="e">
        <f>IF(AND(A942&gt;=Dashboard!$F$5,A942&lt;=Dashboard!$J$5,A942&lt;&gt;""),SUMIFS(DashboardData!$D:$D,DashboardData!$A:$A,IF(Dashboard!$B$5="All","*",Dashboard!$B$5),DashboardData!$B:$B,A942),NA())</f>
        <v>#N/A</v>
      </c>
      <c r="C942" s="7" t="e">
        <f>IF(AND(A942&gt;=Dashboard!$F$5,A942&lt;=Dashboard!$J$5,A942&lt;&gt;""),-SUMIFS(DashboardData!$E:$E,DashboardData!$A:$A,IF(Dashboard!$B$5="All","*",Dashboard!$B$5),DashboardData!$B:$B,A942),NA())</f>
        <v>#N/A</v>
      </c>
    </row>
    <row r="943" spans="1:3" x14ac:dyDescent="0.25">
      <c r="A943" t="str">
        <f>IF(Monthly!A943="","",Monthly!A943)</f>
        <v/>
      </c>
      <c r="B943" s="7" t="e">
        <f>IF(AND(A943&gt;=Dashboard!$F$5,A943&lt;=Dashboard!$J$5,A943&lt;&gt;""),SUMIFS(DashboardData!$D:$D,DashboardData!$A:$A,IF(Dashboard!$B$5="All","*",Dashboard!$B$5),DashboardData!$B:$B,A943),NA())</f>
        <v>#N/A</v>
      </c>
      <c r="C943" s="7" t="e">
        <f>IF(AND(A943&gt;=Dashboard!$F$5,A943&lt;=Dashboard!$J$5,A943&lt;&gt;""),-SUMIFS(DashboardData!$E:$E,DashboardData!$A:$A,IF(Dashboard!$B$5="All","*",Dashboard!$B$5),DashboardData!$B:$B,A943),NA())</f>
        <v>#N/A</v>
      </c>
    </row>
    <row r="944" spans="1:3" x14ac:dyDescent="0.25">
      <c r="A944" t="str">
        <f>IF(Monthly!A944="","",Monthly!A944)</f>
        <v/>
      </c>
      <c r="B944" s="7" t="e">
        <f>IF(AND(A944&gt;=Dashboard!$F$5,A944&lt;=Dashboard!$J$5,A944&lt;&gt;""),SUMIFS(DashboardData!$D:$D,DashboardData!$A:$A,IF(Dashboard!$B$5="All","*",Dashboard!$B$5),DashboardData!$B:$B,A944),NA())</f>
        <v>#N/A</v>
      </c>
      <c r="C944" s="7" t="e">
        <f>IF(AND(A944&gt;=Dashboard!$F$5,A944&lt;=Dashboard!$J$5,A944&lt;&gt;""),-SUMIFS(DashboardData!$E:$E,DashboardData!$A:$A,IF(Dashboard!$B$5="All","*",Dashboard!$B$5),DashboardData!$B:$B,A944),NA())</f>
        <v>#N/A</v>
      </c>
    </row>
    <row r="945" spans="1:3" x14ac:dyDescent="0.25">
      <c r="A945" t="str">
        <f>IF(Monthly!A945="","",Monthly!A945)</f>
        <v/>
      </c>
      <c r="B945" s="7" t="e">
        <f>IF(AND(A945&gt;=Dashboard!$F$5,A945&lt;=Dashboard!$J$5,A945&lt;&gt;""),SUMIFS(DashboardData!$D:$D,DashboardData!$A:$A,IF(Dashboard!$B$5="All","*",Dashboard!$B$5),DashboardData!$B:$B,A945),NA())</f>
        <v>#N/A</v>
      </c>
      <c r="C945" s="7" t="e">
        <f>IF(AND(A945&gt;=Dashboard!$F$5,A945&lt;=Dashboard!$J$5,A945&lt;&gt;""),-SUMIFS(DashboardData!$E:$E,DashboardData!$A:$A,IF(Dashboard!$B$5="All","*",Dashboard!$B$5),DashboardData!$B:$B,A945),NA())</f>
        <v>#N/A</v>
      </c>
    </row>
    <row r="946" spans="1:3" x14ac:dyDescent="0.25">
      <c r="A946" t="str">
        <f>IF(Monthly!A946="","",Monthly!A946)</f>
        <v/>
      </c>
      <c r="B946" s="7" t="e">
        <f>IF(AND(A946&gt;=Dashboard!$F$5,A946&lt;=Dashboard!$J$5,A946&lt;&gt;""),SUMIFS(DashboardData!$D:$D,DashboardData!$A:$A,IF(Dashboard!$B$5="All","*",Dashboard!$B$5),DashboardData!$B:$B,A946),NA())</f>
        <v>#N/A</v>
      </c>
      <c r="C946" s="7" t="e">
        <f>IF(AND(A946&gt;=Dashboard!$F$5,A946&lt;=Dashboard!$J$5,A946&lt;&gt;""),-SUMIFS(DashboardData!$E:$E,DashboardData!$A:$A,IF(Dashboard!$B$5="All","*",Dashboard!$B$5),DashboardData!$B:$B,A946),NA())</f>
        <v>#N/A</v>
      </c>
    </row>
    <row r="947" spans="1:3" x14ac:dyDescent="0.25">
      <c r="A947" t="str">
        <f>IF(Monthly!A947="","",Monthly!A947)</f>
        <v/>
      </c>
      <c r="B947" s="7" t="e">
        <f>IF(AND(A947&gt;=Dashboard!$F$5,A947&lt;=Dashboard!$J$5,A947&lt;&gt;""),SUMIFS(DashboardData!$D:$D,DashboardData!$A:$A,IF(Dashboard!$B$5="All","*",Dashboard!$B$5),DashboardData!$B:$B,A947),NA())</f>
        <v>#N/A</v>
      </c>
      <c r="C947" s="7" t="e">
        <f>IF(AND(A947&gt;=Dashboard!$F$5,A947&lt;=Dashboard!$J$5,A947&lt;&gt;""),-SUMIFS(DashboardData!$E:$E,DashboardData!$A:$A,IF(Dashboard!$B$5="All","*",Dashboard!$B$5),DashboardData!$B:$B,A947),NA())</f>
        <v>#N/A</v>
      </c>
    </row>
    <row r="948" spans="1:3" x14ac:dyDescent="0.25">
      <c r="A948" t="str">
        <f>IF(Monthly!A948="","",Monthly!A948)</f>
        <v/>
      </c>
      <c r="B948" s="7" t="e">
        <f>IF(AND(A948&gt;=Dashboard!$F$5,A948&lt;=Dashboard!$J$5,A948&lt;&gt;""),SUMIFS(DashboardData!$D:$D,DashboardData!$A:$A,IF(Dashboard!$B$5="All","*",Dashboard!$B$5),DashboardData!$B:$B,A948),NA())</f>
        <v>#N/A</v>
      </c>
      <c r="C948" s="7" t="e">
        <f>IF(AND(A948&gt;=Dashboard!$F$5,A948&lt;=Dashboard!$J$5,A948&lt;&gt;""),-SUMIFS(DashboardData!$E:$E,DashboardData!$A:$A,IF(Dashboard!$B$5="All","*",Dashboard!$B$5),DashboardData!$B:$B,A948),NA())</f>
        <v>#N/A</v>
      </c>
    </row>
    <row r="949" spans="1:3" x14ac:dyDescent="0.25">
      <c r="A949" t="str">
        <f>IF(Monthly!A949="","",Monthly!A949)</f>
        <v/>
      </c>
      <c r="B949" s="7" t="e">
        <f>IF(AND(A949&gt;=Dashboard!$F$5,A949&lt;=Dashboard!$J$5,A949&lt;&gt;""),SUMIFS(DashboardData!$D:$D,DashboardData!$A:$A,IF(Dashboard!$B$5="All","*",Dashboard!$B$5),DashboardData!$B:$B,A949),NA())</f>
        <v>#N/A</v>
      </c>
      <c r="C949" s="7" t="e">
        <f>IF(AND(A949&gt;=Dashboard!$F$5,A949&lt;=Dashboard!$J$5,A949&lt;&gt;""),-SUMIFS(DashboardData!$E:$E,DashboardData!$A:$A,IF(Dashboard!$B$5="All","*",Dashboard!$B$5),DashboardData!$B:$B,A949),NA())</f>
        <v>#N/A</v>
      </c>
    </row>
    <row r="950" spans="1:3" x14ac:dyDescent="0.25">
      <c r="A950" t="str">
        <f>IF(Monthly!A950="","",Monthly!A950)</f>
        <v/>
      </c>
      <c r="B950" s="7" t="e">
        <f>IF(AND(A950&gt;=Dashboard!$F$5,A950&lt;=Dashboard!$J$5,A950&lt;&gt;""),SUMIFS(DashboardData!$D:$D,DashboardData!$A:$A,IF(Dashboard!$B$5="All","*",Dashboard!$B$5),DashboardData!$B:$B,A950),NA())</f>
        <v>#N/A</v>
      </c>
      <c r="C950" s="7" t="e">
        <f>IF(AND(A950&gt;=Dashboard!$F$5,A950&lt;=Dashboard!$J$5,A950&lt;&gt;""),-SUMIFS(DashboardData!$E:$E,DashboardData!$A:$A,IF(Dashboard!$B$5="All","*",Dashboard!$B$5),DashboardData!$B:$B,A950),NA())</f>
        <v>#N/A</v>
      </c>
    </row>
    <row r="951" spans="1:3" x14ac:dyDescent="0.25">
      <c r="A951" t="str">
        <f>IF(Monthly!A951="","",Monthly!A951)</f>
        <v/>
      </c>
      <c r="B951" s="7" t="e">
        <f>IF(AND(A951&gt;=Dashboard!$F$5,A951&lt;=Dashboard!$J$5,A951&lt;&gt;""),SUMIFS(DashboardData!$D:$D,DashboardData!$A:$A,IF(Dashboard!$B$5="All","*",Dashboard!$B$5),DashboardData!$B:$B,A951),NA())</f>
        <v>#N/A</v>
      </c>
      <c r="C951" s="7" t="e">
        <f>IF(AND(A951&gt;=Dashboard!$F$5,A951&lt;=Dashboard!$J$5,A951&lt;&gt;""),-SUMIFS(DashboardData!$E:$E,DashboardData!$A:$A,IF(Dashboard!$B$5="All","*",Dashboard!$B$5),DashboardData!$B:$B,A951),NA())</f>
        <v>#N/A</v>
      </c>
    </row>
    <row r="952" spans="1:3" x14ac:dyDescent="0.25">
      <c r="A952" t="str">
        <f>IF(Monthly!A952="","",Monthly!A952)</f>
        <v/>
      </c>
      <c r="B952" s="7" t="e">
        <f>IF(AND(A952&gt;=Dashboard!$F$5,A952&lt;=Dashboard!$J$5,A952&lt;&gt;""),SUMIFS(DashboardData!$D:$D,DashboardData!$A:$A,IF(Dashboard!$B$5="All","*",Dashboard!$B$5),DashboardData!$B:$B,A952),NA())</f>
        <v>#N/A</v>
      </c>
      <c r="C952" s="7" t="e">
        <f>IF(AND(A952&gt;=Dashboard!$F$5,A952&lt;=Dashboard!$J$5,A952&lt;&gt;""),-SUMIFS(DashboardData!$E:$E,DashboardData!$A:$A,IF(Dashboard!$B$5="All","*",Dashboard!$B$5),DashboardData!$B:$B,A952),NA())</f>
        <v>#N/A</v>
      </c>
    </row>
    <row r="953" spans="1:3" x14ac:dyDescent="0.25">
      <c r="A953" t="str">
        <f>IF(Monthly!A953="","",Monthly!A953)</f>
        <v/>
      </c>
      <c r="B953" s="7" t="e">
        <f>IF(AND(A953&gt;=Dashboard!$F$5,A953&lt;=Dashboard!$J$5,A953&lt;&gt;""),SUMIFS(DashboardData!$D:$D,DashboardData!$A:$A,IF(Dashboard!$B$5="All","*",Dashboard!$B$5),DashboardData!$B:$B,A953),NA())</f>
        <v>#N/A</v>
      </c>
      <c r="C953" s="7" t="e">
        <f>IF(AND(A953&gt;=Dashboard!$F$5,A953&lt;=Dashboard!$J$5,A953&lt;&gt;""),-SUMIFS(DashboardData!$E:$E,DashboardData!$A:$A,IF(Dashboard!$B$5="All","*",Dashboard!$B$5),DashboardData!$B:$B,A953),NA())</f>
        <v>#N/A</v>
      </c>
    </row>
    <row r="954" spans="1:3" x14ac:dyDescent="0.25">
      <c r="A954" t="str">
        <f>IF(Monthly!A954="","",Monthly!A954)</f>
        <v/>
      </c>
      <c r="B954" s="7" t="e">
        <f>IF(AND(A954&gt;=Dashboard!$F$5,A954&lt;=Dashboard!$J$5,A954&lt;&gt;""),SUMIFS(DashboardData!$D:$D,DashboardData!$A:$A,IF(Dashboard!$B$5="All","*",Dashboard!$B$5),DashboardData!$B:$B,A954),NA())</f>
        <v>#N/A</v>
      </c>
      <c r="C954" s="7" t="e">
        <f>IF(AND(A954&gt;=Dashboard!$F$5,A954&lt;=Dashboard!$J$5,A954&lt;&gt;""),-SUMIFS(DashboardData!$E:$E,DashboardData!$A:$A,IF(Dashboard!$B$5="All","*",Dashboard!$B$5),DashboardData!$B:$B,A954),NA())</f>
        <v>#N/A</v>
      </c>
    </row>
    <row r="955" spans="1:3" x14ac:dyDescent="0.25">
      <c r="A955" t="str">
        <f>IF(Monthly!A955="","",Monthly!A955)</f>
        <v/>
      </c>
      <c r="B955" s="7" t="e">
        <f>IF(AND(A955&gt;=Dashboard!$F$5,A955&lt;=Dashboard!$J$5,A955&lt;&gt;""),SUMIFS(DashboardData!$D:$D,DashboardData!$A:$A,IF(Dashboard!$B$5="All","*",Dashboard!$B$5),DashboardData!$B:$B,A955),NA())</f>
        <v>#N/A</v>
      </c>
      <c r="C955" s="7" t="e">
        <f>IF(AND(A955&gt;=Dashboard!$F$5,A955&lt;=Dashboard!$J$5,A955&lt;&gt;""),-SUMIFS(DashboardData!$E:$E,DashboardData!$A:$A,IF(Dashboard!$B$5="All","*",Dashboard!$B$5),DashboardData!$B:$B,A955),NA())</f>
        <v>#N/A</v>
      </c>
    </row>
    <row r="956" spans="1:3" x14ac:dyDescent="0.25">
      <c r="A956" t="str">
        <f>IF(Monthly!A956="","",Monthly!A956)</f>
        <v/>
      </c>
      <c r="B956" s="7" t="e">
        <f>IF(AND(A956&gt;=Dashboard!$F$5,A956&lt;=Dashboard!$J$5,A956&lt;&gt;""),SUMIFS(DashboardData!$D:$D,DashboardData!$A:$A,IF(Dashboard!$B$5="All","*",Dashboard!$B$5),DashboardData!$B:$B,A956),NA())</f>
        <v>#N/A</v>
      </c>
      <c r="C956" s="7" t="e">
        <f>IF(AND(A956&gt;=Dashboard!$F$5,A956&lt;=Dashboard!$J$5,A956&lt;&gt;""),-SUMIFS(DashboardData!$E:$E,DashboardData!$A:$A,IF(Dashboard!$B$5="All","*",Dashboard!$B$5),DashboardData!$B:$B,A956),NA())</f>
        <v>#N/A</v>
      </c>
    </row>
    <row r="957" spans="1:3" x14ac:dyDescent="0.25">
      <c r="A957" t="str">
        <f>IF(Monthly!A957="","",Monthly!A957)</f>
        <v/>
      </c>
      <c r="B957" s="7" t="e">
        <f>IF(AND(A957&gt;=Dashboard!$F$5,A957&lt;=Dashboard!$J$5,A957&lt;&gt;""),SUMIFS(DashboardData!$D:$D,DashboardData!$A:$A,IF(Dashboard!$B$5="All","*",Dashboard!$B$5),DashboardData!$B:$B,A957),NA())</f>
        <v>#N/A</v>
      </c>
      <c r="C957" s="7" t="e">
        <f>IF(AND(A957&gt;=Dashboard!$F$5,A957&lt;=Dashboard!$J$5,A957&lt;&gt;""),-SUMIFS(DashboardData!$E:$E,DashboardData!$A:$A,IF(Dashboard!$B$5="All","*",Dashboard!$B$5),DashboardData!$B:$B,A957),NA())</f>
        <v>#N/A</v>
      </c>
    </row>
    <row r="958" spans="1:3" x14ac:dyDescent="0.25">
      <c r="A958" t="str">
        <f>IF(Monthly!A958="","",Monthly!A958)</f>
        <v/>
      </c>
      <c r="B958" s="7" t="e">
        <f>IF(AND(A958&gt;=Dashboard!$F$5,A958&lt;=Dashboard!$J$5,A958&lt;&gt;""),SUMIFS(DashboardData!$D:$D,DashboardData!$A:$A,IF(Dashboard!$B$5="All","*",Dashboard!$B$5),DashboardData!$B:$B,A958),NA())</f>
        <v>#N/A</v>
      </c>
      <c r="C958" s="7" t="e">
        <f>IF(AND(A958&gt;=Dashboard!$F$5,A958&lt;=Dashboard!$J$5,A958&lt;&gt;""),-SUMIFS(DashboardData!$E:$E,DashboardData!$A:$A,IF(Dashboard!$B$5="All","*",Dashboard!$B$5),DashboardData!$B:$B,A958),NA())</f>
        <v>#N/A</v>
      </c>
    </row>
    <row r="959" spans="1:3" x14ac:dyDescent="0.25">
      <c r="A959" t="str">
        <f>IF(Monthly!A959="","",Monthly!A959)</f>
        <v/>
      </c>
      <c r="B959" s="7" t="e">
        <f>IF(AND(A959&gt;=Dashboard!$F$5,A959&lt;=Dashboard!$J$5,A959&lt;&gt;""),SUMIFS(DashboardData!$D:$D,DashboardData!$A:$A,IF(Dashboard!$B$5="All","*",Dashboard!$B$5),DashboardData!$B:$B,A959),NA())</f>
        <v>#N/A</v>
      </c>
      <c r="C959" s="7" t="e">
        <f>IF(AND(A959&gt;=Dashboard!$F$5,A959&lt;=Dashboard!$J$5,A959&lt;&gt;""),-SUMIFS(DashboardData!$E:$E,DashboardData!$A:$A,IF(Dashboard!$B$5="All","*",Dashboard!$B$5),DashboardData!$B:$B,A959),NA())</f>
        <v>#N/A</v>
      </c>
    </row>
    <row r="960" spans="1:3" x14ac:dyDescent="0.25">
      <c r="A960" t="str">
        <f>IF(Monthly!A960="","",Monthly!A960)</f>
        <v/>
      </c>
      <c r="B960" s="7" t="e">
        <f>IF(AND(A960&gt;=Dashboard!$F$5,A960&lt;=Dashboard!$J$5,A960&lt;&gt;""),SUMIFS(DashboardData!$D:$D,DashboardData!$A:$A,IF(Dashboard!$B$5="All","*",Dashboard!$B$5),DashboardData!$B:$B,A960),NA())</f>
        <v>#N/A</v>
      </c>
      <c r="C960" s="7" t="e">
        <f>IF(AND(A960&gt;=Dashboard!$F$5,A960&lt;=Dashboard!$J$5,A960&lt;&gt;""),-SUMIFS(DashboardData!$E:$E,DashboardData!$A:$A,IF(Dashboard!$B$5="All","*",Dashboard!$B$5),DashboardData!$B:$B,A960),NA())</f>
        <v>#N/A</v>
      </c>
    </row>
    <row r="961" spans="1:3" x14ac:dyDescent="0.25">
      <c r="A961" t="str">
        <f>IF(Monthly!A961="","",Monthly!A961)</f>
        <v/>
      </c>
      <c r="B961" s="7" t="e">
        <f>IF(AND(A961&gt;=Dashboard!$F$5,A961&lt;=Dashboard!$J$5,A961&lt;&gt;""),SUMIFS(DashboardData!$D:$D,DashboardData!$A:$A,IF(Dashboard!$B$5="All","*",Dashboard!$B$5),DashboardData!$B:$B,A961),NA())</f>
        <v>#N/A</v>
      </c>
      <c r="C961" s="7" t="e">
        <f>IF(AND(A961&gt;=Dashboard!$F$5,A961&lt;=Dashboard!$J$5,A961&lt;&gt;""),-SUMIFS(DashboardData!$E:$E,DashboardData!$A:$A,IF(Dashboard!$B$5="All","*",Dashboard!$B$5),DashboardData!$B:$B,A961),NA())</f>
        <v>#N/A</v>
      </c>
    </row>
    <row r="962" spans="1:3" x14ac:dyDescent="0.25">
      <c r="A962" t="str">
        <f>IF(Monthly!A962="","",Monthly!A962)</f>
        <v/>
      </c>
      <c r="B962" s="7" t="e">
        <f>IF(AND(A962&gt;=Dashboard!$F$5,A962&lt;=Dashboard!$J$5,A962&lt;&gt;""),SUMIFS(DashboardData!$D:$D,DashboardData!$A:$A,IF(Dashboard!$B$5="All","*",Dashboard!$B$5),DashboardData!$B:$B,A962),NA())</f>
        <v>#N/A</v>
      </c>
      <c r="C962" s="7" t="e">
        <f>IF(AND(A962&gt;=Dashboard!$F$5,A962&lt;=Dashboard!$J$5,A962&lt;&gt;""),-SUMIFS(DashboardData!$E:$E,DashboardData!$A:$A,IF(Dashboard!$B$5="All","*",Dashboard!$B$5),DashboardData!$B:$B,A962),NA())</f>
        <v>#N/A</v>
      </c>
    </row>
    <row r="963" spans="1:3" x14ac:dyDescent="0.25">
      <c r="A963" t="str">
        <f>IF(Monthly!A963="","",Monthly!A963)</f>
        <v/>
      </c>
      <c r="B963" s="7" t="e">
        <f>IF(AND(A963&gt;=Dashboard!$F$5,A963&lt;=Dashboard!$J$5,A963&lt;&gt;""),SUMIFS(DashboardData!$D:$D,DashboardData!$A:$A,IF(Dashboard!$B$5="All","*",Dashboard!$B$5),DashboardData!$B:$B,A963),NA())</f>
        <v>#N/A</v>
      </c>
      <c r="C963" s="7" t="e">
        <f>IF(AND(A963&gt;=Dashboard!$F$5,A963&lt;=Dashboard!$J$5,A963&lt;&gt;""),-SUMIFS(DashboardData!$E:$E,DashboardData!$A:$A,IF(Dashboard!$B$5="All","*",Dashboard!$B$5),DashboardData!$B:$B,A963),NA())</f>
        <v>#N/A</v>
      </c>
    </row>
    <row r="964" spans="1:3" x14ac:dyDescent="0.25">
      <c r="A964" t="str">
        <f>IF(Monthly!A964="","",Monthly!A964)</f>
        <v/>
      </c>
      <c r="B964" s="7" t="e">
        <f>IF(AND(A964&gt;=Dashboard!$F$5,A964&lt;=Dashboard!$J$5,A964&lt;&gt;""),SUMIFS(DashboardData!$D:$D,DashboardData!$A:$A,IF(Dashboard!$B$5="All","*",Dashboard!$B$5),DashboardData!$B:$B,A964),NA())</f>
        <v>#N/A</v>
      </c>
      <c r="C964" s="7" t="e">
        <f>IF(AND(A964&gt;=Dashboard!$F$5,A964&lt;=Dashboard!$J$5,A964&lt;&gt;""),-SUMIFS(DashboardData!$E:$E,DashboardData!$A:$A,IF(Dashboard!$B$5="All","*",Dashboard!$B$5),DashboardData!$B:$B,A964),NA())</f>
        <v>#N/A</v>
      </c>
    </row>
    <row r="965" spans="1:3" x14ac:dyDescent="0.25">
      <c r="A965" t="str">
        <f>IF(Monthly!A965="","",Monthly!A965)</f>
        <v/>
      </c>
      <c r="B965" s="7" t="e">
        <f>IF(AND(A965&gt;=Dashboard!$F$5,A965&lt;=Dashboard!$J$5,A965&lt;&gt;""),SUMIFS(DashboardData!$D:$D,DashboardData!$A:$A,IF(Dashboard!$B$5="All","*",Dashboard!$B$5),DashboardData!$B:$B,A965),NA())</f>
        <v>#N/A</v>
      </c>
      <c r="C965" s="7" t="e">
        <f>IF(AND(A965&gt;=Dashboard!$F$5,A965&lt;=Dashboard!$J$5,A965&lt;&gt;""),-SUMIFS(DashboardData!$E:$E,DashboardData!$A:$A,IF(Dashboard!$B$5="All","*",Dashboard!$B$5),DashboardData!$B:$B,A965),NA())</f>
        <v>#N/A</v>
      </c>
    </row>
    <row r="966" spans="1:3" x14ac:dyDescent="0.25">
      <c r="A966" t="str">
        <f>IF(Monthly!A966="","",Monthly!A966)</f>
        <v/>
      </c>
      <c r="B966" s="7" t="e">
        <f>IF(AND(A966&gt;=Dashboard!$F$5,A966&lt;=Dashboard!$J$5,A966&lt;&gt;""),SUMIFS(DashboardData!$D:$D,DashboardData!$A:$A,IF(Dashboard!$B$5="All","*",Dashboard!$B$5),DashboardData!$B:$B,A966),NA())</f>
        <v>#N/A</v>
      </c>
      <c r="C966" s="7" t="e">
        <f>IF(AND(A966&gt;=Dashboard!$F$5,A966&lt;=Dashboard!$J$5,A966&lt;&gt;""),-SUMIFS(DashboardData!$E:$E,DashboardData!$A:$A,IF(Dashboard!$B$5="All","*",Dashboard!$B$5),DashboardData!$B:$B,A966),NA())</f>
        <v>#N/A</v>
      </c>
    </row>
    <row r="967" spans="1:3" x14ac:dyDescent="0.25">
      <c r="A967" t="str">
        <f>IF(Monthly!A967="","",Monthly!A967)</f>
        <v/>
      </c>
      <c r="B967" s="7" t="e">
        <f>IF(AND(A967&gt;=Dashboard!$F$5,A967&lt;=Dashboard!$J$5,A967&lt;&gt;""),SUMIFS(DashboardData!$D:$D,DashboardData!$A:$A,IF(Dashboard!$B$5="All","*",Dashboard!$B$5),DashboardData!$B:$B,A967),NA())</f>
        <v>#N/A</v>
      </c>
      <c r="C967" s="7" t="e">
        <f>IF(AND(A967&gt;=Dashboard!$F$5,A967&lt;=Dashboard!$J$5,A967&lt;&gt;""),-SUMIFS(DashboardData!$E:$E,DashboardData!$A:$A,IF(Dashboard!$B$5="All","*",Dashboard!$B$5),DashboardData!$B:$B,A967),NA())</f>
        <v>#N/A</v>
      </c>
    </row>
    <row r="968" spans="1:3" x14ac:dyDescent="0.25">
      <c r="A968" t="str">
        <f>IF(Monthly!A968="","",Monthly!A968)</f>
        <v/>
      </c>
      <c r="B968" s="7" t="e">
        <f>IF(AND(A968&gt;=Dashboard!$F$5,A968&lt;=Dashboard!$J$5,A968&lt;&gt;""),SUMIFS(DashboardData!$D:$D,DashboardData!$A:$A,IF(Dashboard!$B$5="All","*",Dashboard!$B$5),DashboardData!$B:$B,A968),NA())</f>
        <v>#N/A</v>
      </c>
      <c r="C968" s="7" t="e">
        <f>IF(AND(A968&gt;=Dashboard!$F$5,A968&lt;=Dashboard!$J$5,A968&lt;&gt;""),-SUMIFS(DashboardData!$E:$E,DashboardData!$A:$A,IF(Dashboard!$B$5="All","*",Dashboard!$B$5),DashboardData!$B:$B,A968),NA())</f>
        <v>#N/A</v>
      </c>
    </row>
    <row r="969" spans="1:3" x14ac:dyDescent="0.25">
      <c r="A969" t="str">
        <f>IF(Monthly!A969="","",Monthly!A969)</f>
        <v/>
      </c>
      <c r="B969" s="7" t="e">
        <f>IF(AND(A969&gt;=Dashboard!$F$5,A969&lt;=Dashboard!$J$5,A969&lt;&gt;""),SUMIFS(DashboardData!$D:$D,DashboardData!$A:$A,IF(Dashboard!$B$5="All","*",Dashboard!$B$5),DashboardData!$B:$B,A969),NA())</f>
        <v>#N/A</v>
      </c>
      <c r="C969" s="7" t="e">
        <f>IF(AND(A969&gt;=Dashboard!$F$5,A969&lt;=Dashboard!$J$5,A969&lt;&gt;""),-SUMIFS(DashboardData!$E:$E,DashboardData!$A:$A,IF(Dashboard!$B$5="All","*",Dashboard!$B$5),DashboardData!$B:$B,A969),NA())</f>
        <v>#N/A</v>
      </c>
    </row>
    <row r="970" spans="1:3" x14ac:dyDescent="0.25">
      <c r="A970" t="str">
        <f>IF(Monthly!A970="","",Monthly!A970)</f>
        <v/>
      </c>
      <c r="B970" s="7" t="e">
        <f>IF(AND(A970&gt;=Dashboard!$F$5,A970&lt;=Dashboard!$J$5,A970&lt;&gt;""),SUMIFS(DashboardData!$D:$D,DashboardData!$A:$A,IF(Dashboard!$B$5="All","*",Dashboard!$B$5),DashboardData!$B:$B,A970),NA())</f>
        <v>#N/A</v>
      </c>
      <c r="C970" s="7" t="e">
        <f>IF(AND(A970&gt;=Dashboard!$F$5,A970&lt;=Dashboard!$J$5,A970&lt;&gt;""),-SUMIFS(DashboardData!$E:$E,DashboardData!$A:$A,IF(Dashboard!$B$5="All","*",Dashboard!$B$5),DashboardData!$B:$B,A970),NA())</f>
        <v>#N/A</v>
      </c>
    </row>
    <row r="971" spans="1:3" x14ac:dyDescent="0.25">
      <c r="A971" t="str">
        <f>IF(Monthly!A971="","",Monthly!A971)</f>
        <v/>
      </c>
      <c r="B971" s="7" t="e">
        <f>IF(AND(A971&gt;=Dashboard!$F$5,A971&lt;=Dashboard!$J$5,A971&lt;&gt;""),SUMIFS(DashboardData!$D:$D,DashboardData!$A:$A,IF(Dashboard!$B$5="All","*",Dashboard!$B$5),DashboardData!$B:$B,A971),NA())</f>
        <v>#N/A</v>
      </c>
      <c r="C971" s="7" t="e">
        <f>IF(AND(A971&gt;=Dashboard!$F$5,A971&lt;=Dashboard!$J$5,A971&lt;&gt;""),-SUMIFS(DashboardData!$E:$E,DashboardData!$A:$A,IF(Dashboard!$B$5="All","*",Dashboard!$B$5),DashboardData!$B:$B,A971),NA())</f>
        <v>#N/A</v>
      </c>
    </row>
    <row r="972" spans="1:3" x14ac:dyDescent="0.25">
      <c r="A972" t="str">
        <f>IF(Monthly!A972="","",Monthly!A972)</f>
        <v/>
      </c>
      <c r="B972" s="7" t="e">
        <f>IF(AND(A972&gt;=Dashboard!$F$5,A972&lt;=Dashboard!$J$5,A972&lt;&gt;""),SUMIFS(DashboardData!$D:$D,DashboardData!$A:$A,IF(Dashboard!$B$5="All","*",Dashboard!$B$5),DashboardData!$B:$B,A972),NA())</f>
        <v>#N/A</v>
      </c>
      <c r="C972" s="7" t="e">
        <f>IF(AND(A972&gt;=Dashboard!$F$5,A972&lt;=Dashboard!$J$5,A972&lt;&gt;""),-SUMIFS(DashboardData!$E:$E,DashboardData!$A:$A,IF(Dashboard!$B$5="All","*",Dashboard!$B$5),DashboardData!$B:$B,A972),NA())</f>
        <v>#N/A</v>
      </c>
    </row>
    <row r="973" spans="1:3" x14ac:dyDescent="0.25">
      <c r="A973" t="str">
        <f>IF(Monthly!A973="","",Monthly!A973)</f>
        <v/>
      </c>
      <c r="B973" s="7" t="e">
        <f>IF(AND(A973&gt;=Dashboard!$F$5,A973&lt;=Dashboard!$J$5,A973&lt;&gt;""),SUMIFS(DashboardData!$D:$D,DashboardData!$A:$A,IF(Dashboard!$B$5="All","*",Dashboard!$B$5),DashboardData!$B:$B,A973),NA())</f>
        <v>#N/A</v>
      </c>
      <c r="C973" s="7" t="e">
        <f>IF(AND(A973&gt;=Dashboard!$F$5,A973&lt;=Dashboard!$J$5,A973&lt;&gt;""),-SUMIFS(DashboardData!$E:$E,DashboardData!$A:$A,IF(Dashboard!$B$5="All","*",Dashboard!$B$5),DashboardData!$B:$B,A973),NA())</f>
        <v>#N/A</v>
      </c>
    </row>
    <row r="974" spans="1:3" x14ac:dyDescent="0.25">
      <c r="A974" t="str">
        <f>IF(Monthly!A974="","",Monthly!A974)</f>
        <v/>
      </c>
      <c r="B974" s="7" t="e">
        <f>IF(AND(A974&gt;=Dashboard!$F$5,A974&lt;=Dashboard!$J$5,A974&lt;&gt;""),SUMIFS(DashboardData!$D:$D,DashboardData!$A:$A,IF(Dashboard!$B$5="All","*",Dashboard!$B$5),DashboardData!$B:$B,A974),NA())</f>
        <v>#N/A</v>
      </c>
      <c r="C974" s="7" t="e">
        <f>IF(AND(A974&gt;=Dashboard!$F$5,A974&lt;=Dashboard!$J$5,A974&lt;&gt;""),-SUMIFS(DashboardData!$E:$E,DashboardData!$A:$A,IF(Dashboard!$B$5="All","*",Dashboard!$B$5),DashboardData!$B:$B,A974),NA())</f>
        <v>#N/A</v>
      </c>
    </row>
    <row r="975" spans="1:3" x14ac:dyDescent="0.25">
      <c r="A975" t="str">
        <f>IF(Monthly!A975="","",Monthly!A975)</f>
        <v/>
      </c>
      <c r="B975" s="7" t="e">
        <f>IF(AND(A975&gt;=Dashboard!$F$5,A975&lt;=Dashboard!$J$5,A975&lt;&gt;""),SUMIFS(DashboardData!$D:$D,DashboardData!$A:$A,IF(Dashboard!$B$5="All","*",Dashboard!$B$5),DashboardData!$B:$B,A975),NA())</f>
        <v>#N/A</v>
      </c>
      <c r="C975" s="7" t="e">
        <f>IF(AND(A975&gt;=Dashboard!$F$5,A975&lt;=Dashboard!$J$5,A975&lt;&gt;""),-SUMIFS(DashboardData!$E:$E,DashboardData!$A:$A,IF(Dashboard!$B$5="All","*",Dashboard!$B$5),DashboardData!$B:$B,A975),NA())</f>
        <v>#N/A</v>
      </c>
    </row>
    <row r="976" spans="1:3" x14ac:dyDescent="0.25">
      <c r="A976" t="str">
        <f>IF(Monthly!A976="","",Monthly!A976)</f>
        <v/>
      </c>
      <c r="B976" s="7" t="e">
        <f>IF(AND(A976&gt;=Dashboard!$F$5,A976&lt;=Dashboard!$J$5,A976&lt;&gt;""),SUMIFS(DashboardData!$D:$D,DashboardData!$A:$A,IF(Dashboard!$B$5="All","*",Dashboard!$B$5),DashboardData!$B:$B,A976),NA())</f>
        <v>#N/A</v>
      </c>
      <c r="C976" s="7" t="e">
        <f>IF(AND(A976&gt;=Dashboard!$F$5,A976&lt;=Dashboard!$J$5,A976&lt;&gt;""),-SUMIFS(DashboardData!$E:$E,DashboardData!$A:$A,IF(Dashboard!$B$5="All","*",Dashboard!$B$5),DashboardData!$B:$B,A976),NA())</f>
        <v>#N/A</v>
      </c>
    </row>
    <row r="977" spans="1:3" x14ac:dyDescent="0.25">
      <c r="A977" t="str">
        <f>IF(Monthly!A977="","",Monthly!A977)</f>
        <v/>
      </c>
      <c r="B977" s="7" t="e">
        <f>IF(AND(A977&gt;=Dashboard!$F$5,A977&lt;=Dashboard!$J$5,A977&lt;&gt;""),SUMIFS(DashboardData!$D:$D,DashboardData!$A:$A,IF(Dashboard!$B$5="All","*",Dashboard!$B$5),DashboardData!$B:$B,A977),NA())</f>
        <v>#N/A</v>
      </c>
      <c r="C977" s="7" t="e">
        <f>IF(AND(A977&gt;=Dashboard!$F$5,A977&lt;=Dashboard!$J$5,A977&lt;&gt;""),-SUMIFS(DashboardData!$E:$E,DashboardData!$A:$A,IF(Dashboard!$B$5="All","*",Dashboard!$B$5),DashboardData!$B:$B,A977),NA())</f>
        <v>#N/A</v>
      </c>
    </row>
    <row r="978" spans="1:3" x14ac:dyDescent="0.25">
      <c r="A978" t="str">
        <f>IF(Monthly!A978="","",Monthly!A978)</f>
        <v/>
      </c>
      <c r="B978" s="7" t="e">
        <f>IF(AND(A978&gt;=Dashboard!$F$5,A978&lt;=Dashboard!$J$5,A978&lt;&gt;""),SUMIFS(DashboardData!$D:$D,DashboardData!$A:$A,IF(Dashboard!$B$5="All","*",Dashboard!$B$5),DashboardData!$B:$B,A978),NA())</f>
        <v>#N/A</v>
      </c>
      <c r="C978" s="7" t="e">
        <f>IF(AND(A978&gt;=Dashboard!$F$5,A978&lt;=Dashboard!$J$5,A978&lt;&gt;""),-SUMIFS(DashboardData!$E:$E,DashboardData!$A:$A,IF(Dashboard!$B$5="All","*",Dashboard!$B$5),DashboardData!$B:$B,A978),NA())</f>
        <v>#N/A</v>
      </c>
    </row>
    <row r="979" spans="1:3" x14ac:dyDescent="0.25">
      <c r="A979" t="str">
        <f>IF(Monthly!A979="","",Monthly!A979)</f>
        <v/>
      </c>
      <c r="B979" s="7" t="e">
        <f>IF(AND(A979&gt;=Dashboard!$F$5,A979&lt;=Dashboard!$J$5,A979&lt;&gt;""),SUMIFS(DashboardData!$D:$D,DashboardData!$A:$A,IF(Dashboard!$B$5="All","*",Dashboard!$B$5),DashboardData!$B:$B,A979),NA())</f>
        <v>#N/A</v>
      </c>
      <c r="C979" s="7" t="e">
        <f>IF(AND(A979&gt;=Dashboard!$F$5,A979&lt;=Dashboard!$J$5,A979&lt;&gt;""),-SUMIFS(DashboardData!$E:$E,DashboardData!$A:$A,IF(Dashboard!$B$5="All","*",Dashboard!$B$5),DashboardData!$B:$B,A979),NA())</f>
        <v>#N/A</v>
      </c>
    </row>
    <row r="980" spans="1:3" x14ac:dyDescent="0.25">
      <c r="A980" t="str">
        <f>IF(Monthly!A980="","",Monthly!A980)</f>
        <v/>
      </c>
      <c r="B980" s="7" t="e">
        <f>IF(AND(A980&gt;=Dashboard!$F$5,A980&lt;=Dashboard!$J$5,A980&lt;&gt;""),SUMIFS(DashboardData!$D:$D,DashboardData!$A:$A,IF(Dashboard!$B$5="All","*",Dashboard!$B$5),DashboardData!$B:$B,A980),NA())</f>
        <v>#N/A</v>
      </c>
      <c r="C980" s="7" t="e">
        <f>IF(AND(A980&gt;=Dashboard!$F$5,A980&lt;=Dashboard!$J$5,A980&lt;&gt;""),-SUMIFS(DashboardData!$E:$E,DashboardData!$A:$A,IF(Dashboard!$B$5="All","*",Dashboard!$B$5),DashboardData!$B:$B,A980),NA())</f>
        <v>#N/A</v>
      </c>
    </row>
    <row r="981" spans="1:3" x14ac:dyDescent="0.25">
      <c r="A981" t="str">
        <f>IF(Monthly!A981="","",Monthly!A981)</f>
        <v/>
      </c>
      <c r="B981" s="7" t="e">
        <f>IF(AND(A981&gt;=Dashboard!$F$5,A981&lt;=Dashboard!$J$5,A981&lt;&gt;""),SUMIFS(DashboardData!$D:$D,DashboardData!$A:$A,IF(Dashboard!$B$5="All","*",Dashboard!$B$5),DashboardData!$B:$B,A981),NA())</f>
        <v>#N/A</v>
      </c>
      <c r="C981" s="7" t="e">
        <f>IF(AND(A981&gt;=Dashboard!$F$5,A981&lt;=Dashboard!$J$5,A981&lt;&gt;""),-SUMIFS(DashboardData!$E:$E,DashboardData!$A:$A,IF(Dashboard!$B$5="All","*",Dashboard!$B$5),DashboardData!$B:$B,A981),NA())</f>
        <v>#N/A</v>
      </c>
    </row>
    <row r="982" spans="1:3" x14ac:dyDescent="0.25">
      <c r="A982" t="str">
        <f>IF(Monthly!A982="","",Monthly!A982)</f>
        <v/>
      </c>
      <c r="B982" s="7" t="e">
        <f>IF(AND(A982&gt;=Dashboard!$F$5,A982&lt;=Dashboard!$J$5,A982&lt;&gt;""),SUMIFS(DashboardData!$D:$D,DashboardData!$A:$A,IF(Dashboard!$B$5="All","*",Dashboard!$B$5),DashboardData!$B:$B,A982),NA())</f>
        <v>#N/A</v>
      </c>
      <c r="C982" s="7" t="e">
        <f>IF(AND(A982&gt;=Dashboard!$F$5,A982&lt;=Dashboard!$J$5,A982&lt;&gt;""),-SUMIFS(DashboardData!$E:$E,DashboardData!$A:$A,IF(Dashboard!$B$5="All","*",Dashboard!$B$5),DashboardData!$B:$B,A982),NA())</f>
        <v>#N/A</v>
      </c>
    </row>
    <row r="983" spans="1:3" x14ac:dyDescent="0.25">
      <c r="A983" t="str">
        <f>IF(Monthly!A983="","",Monthly!A983)</f>
        <v/>
      </c>
      <c r="B983" s="7" t="e">
        <f>IF(AND(A983&gt;=Dashboard!$F$5,A983&lt;=Dashboard!$J$5,A983&lt;&gt;""),SUMIFS(DashboardData!$D:$D,DashboardData!$A:$A,IF(Dashboard!$B$5="All","*",Dashboard!$B$5),DashboardData!$B:$B,A983),NA())</f>
        <v>#N/A</v>
      </c>
      <c r="C983" s="7" t="e">
        <f>IF(AND(A983&gt;=Dashboard!$F$5,A983&lt;=Dashboard!$J$5,A983&lt;&gt;""),-SUMIFS(DashboardData!$E:$E,DashboardData!$A:$A,IF(Dashboard!$B$5="All","*",Dashboard!$B$5),DashboardData!$B:$B,A983),NA())</f>
        <v>#N/A</v>
      </c>
    </row>
    <row r="984" spans="1:3" x14ac:dyDescent="0.25">
      <c r="A984" t="str">
        <f>IF(Monthly!A984="","",Monthly!A984)</f>
        <v/>
      </c>
      <c r="B984" s="7" t="e">
        <f>IF(AND(A984&gt;=Dashboard!$F$5,A984&lt;=Dashboard!$J$5,A984&lt;&gt;""),SUMIFS(DashboardData!$D:$D,DashboardData!$A:$A,IF(Dashboard!$B$5="All","*",Dashboard!$B$5),DashboardData!$B:$B,A984),NA())</f>
        <v>#N/A</v>
      </c>
      <c r="C984" s="7" t="e">
        <f>IF(AND(A984&gt;=Dashboard!$F$5,A984&lt;=Dashboard!$J$5,A984&lt;&gt;""),-SUMIFS(DashboardData!$E:$E,DashboardData!$A:$A,IF(Dashboard!$B$5="All","*",Dashboard!$B$5),DashboardData!$B:$B,A984),NA())</f>
        <v>#N/A</v>
      </c>
    </row>
    <row r="985" spans="1:3" x14ac:dyDescent="0.25">
      <c r="A985" t="str">
        <f>IF(Monthly!A985="","",Monthly!A985)</f>
        <v/>
      </c>
      <c r="B985" s="7" t="e">
        <f>IF(AND(A985&gt;=Dashboard!$F$5,A985&lt;=Dashboard!$J$5,A985&lt;&gt;""),SUMIFS(DashboardData!$D:$D,DashboardData!$A:$A,IF(Dashboard!$B$5="All","*",Dashboard!$B$5),DashboardData!$B:$B,A985),NA())</f>
        <v>#N/A</v>
      </c>
      <c r="C985" s="7" t="e">
        <f>IF(AND(A985&gt;=Dashboard!$F$5,A985&lt;=Dashboard!$J$5,A985&lt;&gt;""),-SUMIFS(DashboardData!$E:$E,DashboardData!$A:$A,IF(Dashboard!$B$5="All","*",Dashboard!$B$5),DashboardData!$B:$B,A985),NA())</f>
        <v>#N/A</v>
      </c>
    </row>
    <row r="986" spans="1:3" x14ac:dyDescent="0.25">
      <c r="A986" t="str">
        <f>IF(Monthly!A986="","",Monthly!A986)</f>
        <v/>
      </c>
      <c r="B986" s="7" t="e">
        <f>IF(AND(A986&gt;=Dashboard!$F$5,A986&lt;=Dashboard!$J$5,A986&lt;&gt;""),SUMIFS(DashboardData!$D:$D,DashboardData!$A:$A,IF(Dashboard!$B$5="All","*",Dashboard!$B$5),DashboardData!$B:$B,A986),NA())</f>
        <v>#N/A</v>
      </c>
      <c r="C986" s="7" t="e">
        <f>IF(AND(A986&gt;=Dashboard!$F$5,A986&lt;=Dashboard!$J$5,A986&lt;&gt;""),-SUMIFS(DashboardData!$E:$E,DashboardData!$A:$A,IF(Dashboard!$B$5="All","*",Dashboard!$B$5),DashboardData!$B:$B,A986),NA())</f>
        <v>#N/A</v>
      </c>
    </row>
    <row r="987" spans="1:3" x14ac:dyDescent="0.25">
      <c r="A987" t="str">
        <f>IF(Monthly!A987="","",Monthly!A987)</f>
        <v/>
      </c>
      <c r="B987" s="7" t="e">
        <f>IF(AND(A987&gt;=Dashboard!$F$5,A987&lt;=Dashboard!$J$5,A987&lt;&gt;""),SUMIFS(DashboardData!$D:$D,DashboardData!$A:$A,IF(Dashboard!$B$5="All","*",Dashboard!$B$5),DashboardData!$B:$B,A987),NA())</f>
        <v>#N/A</v>
      </c>
      <c r="C987" s="7" t="e">
        <f>IF(AND(A987&gt;=Dashboard!$F$5,A987&lt;=Dashboard!$J$5,A987&lt;&gt;""),-SUMIFS(DashboardData!$E:$E,DashboardData!$A:$A,IF(Dashboard!$B$5="All","*",Dashboard!$B$5),DashboardData!$B:$B,A987),NA())</f>
        <v>#N/A</v>
      </c>
    </row>
    <row r="988" spans="1:3" x14ac:dyDescent="0.25">
      <c r="A988" t="str">
        <f>IF(Monthly!A988="","",Monthly!A988)</f>
        <v/>
      </c>
      <c r="B988" s="7" t="e">
        <f>IF(AND(A988&gt;=Dashboard!$F$5,A988&lt;=Dashboard!$J$5,A988&lt;&gt;""),SUMIFS(DashboardData!$D:$D,DashboardData!$A:$A,IF(Dashboard!$B$5="All","*",Dashboard!$B$5),DashboardData!$B:$B,A988),NA())</f>
        <v>#N/A</v>
      </c>
      <c r="C988" s="7" t="e">
        <f>IF(AND(A988&gt;=Dashboard!$F$5,A988&lt;=Dashboard!$J$5,A988&lt;&gt;""),-SUMIFS(DashboardData!$E:$E,DashboardData!$A:$A,IF(Dashboard!$B$5="All","*",Dashboard!$B$5),DashboardData!$B:$B,A988),NA())</f>
        <v>#N/A</v>
      </c>
    </row>
    <row r="989" spans="1:3" x14ac:dyDescent="0.25">
      <c r="A989" t="str">
        <f>IF(Monthly!A989="","",Monthly!A989)</f>
        <v/>
      </c>
      <c r="B989" s="7" t="e">
        <f>IF(AND(A989&gt;=Dashboard!$F$5,A989&lt;=Dashboard!$J$5,A989&lt;&gt;""),SUMIFS(DashboardData!$D:$D,DashboardData!$A:$A,IF(Dashboard!$B$5="All","*",Dashboard!$B$5),DashboardData!$B:$B,A989),NA())</f>
        <v>#N/A</v>
      </c>
      <c r="C989" s="7" t="e">
        <f>IF(AND(A989&gt;=Dashboard!$F$5,A989&lt;=Dashboard!$J$5,A989&lt;&gt;""),-SUMIFS(DashboardData!$E:$E,DashboardData!$A:$A,IF(Dashboard!$B$5="All","*",Dashboard!$B$5),DashboardData!$B:$B,A989),NA())</f>
        <v>#N/A</v>
      </c>
    </row>
    <row r="990" spans="1:3" x14ac:dyDescent="0.25">
      <c r="A990" t="str">
        <f>IF(Monthly!A990="","",Monthly!A990)</f>
        <v/>
      </c>
      <c r="B990" s="7" t="e">
        <f>IF(AND(A990&gt;=Dashboard!$F$5,A990&lt;=Dashboard!$J$5,A990&lt;&gt;""),SUMIFS(DashboardData!$D:$D,DashboardData!$A:$A,IF(Dashboard!$B$5="All","*",Dashboard!$B$5),DashboardData!$B:$B,A990),NA())</f>
        <v>#N/A</v>
      </c>
      <c r="C990" s="7" t="e">
        <f>IF(AND(A990&gt;=Dashboard!$F$5,A990&lt;=Dashboard!$J$5,A990&lt;&gt;""),-SUMIFS(DashboardData!$E:$E,DashboardData!$A:$A,IF(Dashboard!$B$5="All","*",Dashboard!$B$5),DashboardData!$B:$B,A990),NA())</f>
        <v>#N/A</v>
      </c>
    </row>
    <row r="991" spans="1:3" x14ac:dyDescent="0.25">
      <c r="A991" t="str">
        <f>IF(Monthly!A991="","",Monthly!A991)</f>
        <v/>
      </c>
      <c r="B991" s="7" t="e">
        <f>IF(AND(A991&gt;=Dashboard!$F$5,A991&lt;=Dashboard!$J$5,A991&lt;&gt;""),SUMIFS(DashboardData!$D:$D,DashboardData!$A:$A,IF(Dashboard!$B$5="All","*",Dashboard!$B$5),DashboardData!$B:$B,A991),NA())</f>
        <v>#N/A</v>
      </c>
      <c r="C991" s="7" t="e">
        <f>IF(AND(A991&gt;=Dashboard!$F$5,A991&lt;=Dashboard!$J$5,A991&lt;&gt;""),-SUMIFS(DashboardData!$E:$E,DashboardData!$A:$A,IF(Dashboard!$B$5="All","*",Dashboard!$B$5),DashboardData!$B:$B,A991),NA())</f>
        <v>#N/A</v>
      </c>
    </row>
    <row r="992" spans="1:3" x14ac:dyDescent="0.25">
      <c r="A992" t="str">
        <f>IF(Monthly!A992="","",Monthly!A992)</f>
        <v/>
      </c>
      <c r="B992" s="7" t="e">
        <f>IF(AND(A992&gt;=Dashboard!$F$5,A992&lt;=Dashboard!$J$5,A992&lt;&gt;""),SUMIFS(DashboardData!$D:$D,DashboardData!$A:$A,IF(Dashboard!$B$5="All","*",Dashboard!$B$5),DashboardData!$B:$B,A992),NA())</f>
        <v>#N/A</v>
      </c>
      <c r="C992" s="7" t="e">
        <f>IF(AND(A992&gt;=Dashboard!$F$5,A992&lt;=Dashboard!$J$5,A992&lt;&gt;""),-SUMIFS(DashboardData!$E:$E,DashboardData!$A:$A,IF(Dashboard!$B$5="All","*",Dashboard!$B$5),DashboardData!$B:$B,A992),NA())</f>
        <v>#N/A</v>
      </c>
    </row>
    <row r="993" spans="1:3" x14ac:dyDescent="0.25">
      <c r="A993" t="str">
        <f>IF(Monthly!A993="","",Monthly!A993)</f>
        <v/>
      </c>
      <c r="B993" s="7" t="e">
        <f>IF(AND(A993&gt;=Dashboard!$F$5,A993&lt;=Dashboard!$J$5,A993&lt;&gt;""),SUMIFS(DashboardData!$D:$D,DashboardData!$A:$A,IF(Dashboard!$B$5="All","*",Dashboard!$B$5),DashboardData!$B:$B,A993),NA())</f>
        <v>#N/A</v>
      </c>
      <c r="C993" s="7" t="e">
        <f>IF(AND(A993&gt;=Dashboard!$F$5,A993&lt;=Dashboard!$J$5,A993&lt;&gt;""),-SUMIFS(DashboardData!$E:$E,DashboardData!$A:$A,IF(Dashboard!$B$5="All","*",Dashboard!$B$5),DashboardData!$B:$B,A993),NA())</f>
        <v>#N/A</v>
      </c>
    </row>
    <row r="994" spans="1:3" x14ac:dyDescent="0.25">
      <c r="A994" t="str">
        <f>IF(Monthly!A994="","",Monthly!A994)</f>
        <v/>
      </c>
      <c r="B994" s="7" t="e">
        <f>IF(AND(A994&gt;=Dashboard!$F$5,A994&lt;=Dashboard!$J$5,A994&lt;&gt;""),SUMIFS(DashboardData!$D:$D,DashboardData!$A:$A,IF(Dashboard!$B$5="All","*",Dashboard!$B$5),DashboardData!$B:$B,A994),NA())</f>
        <v>#N/A</v>
      </c>
      <c r="C994" s="7" t="e">
        <f>IF(AND(A994&gt;=Dashboard!$F$5,A994&lt;=Dashboard!$J$5,A994&lt;&gt;""),-SUMIFS(DashboardData!$E:$E,DashboardData!$A:$A,IF(Dashboard!$B$5="All","*",Dashboard!$B$5),DashboardData!$B:$B,A994),NA())</f>
        <v>#N/A</v>
      </c>
    </row>
    <row r="995" spans="1:3" x14ac:dyDescent="0.25">
      <c r="A995" t="str">
        <f>IF(Monthly!A995="","",Monthly!A995)</f>
        <v/>
      </c>
      <c r="B995" s="7" t="e">
        <f>IF(AND(A995&gt;=Dashboard!$F$5,A995&lt;=Dashboard!$J$5,A995&lt;&gt;""),SUMIFS(DashboardData!$D:$D,DashboardData!$A:$A,IF(Dashboard!$B$5="All","*",Dashboard!$B$5),DashboardData!$B:$B,A995),NA())</f>
        <v>#N/A</v>
      </c>
      <c r="C995" s="7" t="e">
        <f>IF(AND(A995&gt;=Dashboard!$F$5,A995&lt;=Dashboard!$J$5,A995&lt;&gt;""),-SUMIFS(DashboardData!$E:$E,DashboardData!$A:$A,IF(Dashboard!$B$5="All","*",Dashboard!$B$5),DashboardData!$B:$B,A995),NA())</f>
        <v>#N/A</v>
      </c>
    </row>
    <row r="996" spans="1:3" x14ac:dyDescent="0.25">
      <c r="A996" t="str">
        <f>IF(Monthly!A996="","",Monthly!A996)</f>
        <v/>
      </c>
      <c r="B996" s="7" t="e">
        <f>IF(AND(A996&gt;=Dashboard!$F$5,A996&lt;=Dashboard!$J$5,A996&lt;&gt;""),SUMIFS(DashboardData!$D:$D,DashboardData!$A:$A,IF(Dashboard!$B$5="All","*",Dashboard!$B$5),DashboardData!$B:$B,A996),NA())</f>
        <v>#N/A</v>
      </c>
      <c r="C996" s="7" t="e">
        <f>IF(AND(A996&gt;=Dashboard!$F$5,A996&lt;=Dashboard!$J$5,A996&lt;&gt;""),-SUMIFS(DashboardData!$E:$E,DashboardData!$A:$A,IF(Dashboard!$B$5="All","*",Dashboard!$B$5),DashboardData!$B:$B,A996),NA())</f>
        <v>#N/A</v>
      </c>
    </row>
    <row r="997" spans="1:3" x14ac:dyDescent="0.25">
      <c r="A997" t="str">
        <f>IF(Monthly!A997="","",Monthly!A997)</f>
        <v/>
      </c>
      <c r="B997" s="7" t="e">
        <f>IF(AND(A997&gt;=Dashboard!$F$5,A997&lt;=Dashboard!$J$5,A997&lt;&gt;""),SUMIFS(DashboardData!$D:$D,DashboardData!$A:$A,IF(Dashboard!$B$5="All","*",Dashboard!$B$5),DashboardData!$B:$B,A997),NA())</f>
        <v>#N/A</v>
      </c>
      <c r="C997" s="7" t="e">
        <f>IF(AND(A997&gt;=Dashboard!$F$5,A997&lt;=Dashboard!$J$5,A997&lt;&gt;""),-SUMIFS(DashboardData!$E:$E,DashboardData!$A:$A,IF(Dashboard!$B$5="All","*",Dashboard!$B$5),DashboardData!$B:$B,A997),NA())</f>
        <v>#N/A</v>
      </c>
    </row>
    <row r="998" spans="1:3" x14ac:dyDescent="0.25">
      <c r="A998" t="str">
        <f>IF(Monthly!A998="","",Monthly!A998)</f>
        <v/>
      </c>
      <c r="B998" s="7" t="e">
        <f>IF(AND(A998&gt;=Dashboard!$F$5,A998&lt;=Dashboard!$J$5,A998&lt;&gt;""),SUMIFS(DashboardData!$D:$D,DashboardData!$A:$A,IF(Dashboard!$B$5="All","*",Dashboard!$B$5),DashboardData!$B:$B,A998),NA())</f>
        <v>#N/A</v>
      </c>
      <c r="C998" s="7" t="e">
        <f>IF(AND(A998&gt;=Dashboard!$F$5,A998&lt;=Dashboard!$J$5,A998&lt;&gt;""),-SUMIFS(DashboardData!$E:$E,DashboardData!$A:$A,IF(Dashboard!$B$5="All","*",Dashboard!$B$5),DashboardData!$B:$B,A998),NA())</f>
        <v>#N/A</v>
      </c>
    </row>
    <row r="999" spans="1:3" x14ac:dyDescent="0.25">
      <c r="A999" t="str">
        <f>IF(Monthly!A999="","",Monthly!A999)</f>
        <v/>
      </c>
      <c r="B999" s="7" t="e">
        <f>IF(AND(A999&gt;=Dashboard!$F$5,A999&lt;=Dashboard!$J$5,A999&lt;&gt;""),SUMIFS(DashboardData!$D:$D,DashboardData!$A:$A,IF(Dashboard!$B$5="All","*",Dashboard!$B$5),DashboardData!$B:$B,A999),NA())</f>
        <v>#N/A</v>
      </c>
      <c r="C999" s="7" t="e">
        <f>IF(AND(A999&gt;=Dashboard!$F$5,A999&lt;=Dashboard!$J$5,A999&lt;&gt;""),-SUMIFS(DashboardData!$E:$E,DashboardData!$A:$A,IF(Dashboard!$B$5="All","*",Dashboard!$B$5),DashboardData!$B:$B,A999),NA())</f>
        <v>#N/A</v>
      </c>
    </row>
    <row r="1000" spans="1:3" x14ac:dyDescent="0.25">
      <c r="A1000" t="str">
        <f>IF(Monthly!A1000="","",Monthly!A1000)</f>
        <v/>
      </c>
      <c r="B1000" s="7" t="e">
        <f>IF(AND(A1000&gt;=Dashboard!$F$5,A1000&lt;=Dashboard!$J$5,A1000&lt;&gt;""),SUMIFS(DashboardData!$D:$D,DashboardData!$A:$A,IF(Dashboard!$B$5="All","*",Dashboard!$B$5),DashboardData!$B:$B,A1000),NA())</f>
        <v>#N/A</v>
      </c>
      <c r="C1000" s="7" t="e">
        <f>IF(AND(A1000&gt;=Dashboard!$F$5,A1000&lt;=Dashboard!$J$5,A1000&lt;&gt;""),-SUMIFS(DashboardData!$E:$E,DashboardData!$A:$A,IF(Dashboard!$B$5="All","*",Dashboard!$B$5),DashboardData!$B:$B,A1000),NA())</f>
        <v>#N/A</v>
      </c>
    </row>
    <row r="1001" spans="1:3" x14ac:dyDescent="0.25">
      <c r="A1001" t="str">
        <f>IF(Monthly!A1001="","",Monthly!A1001)</f>
        <v/>
      </c>
      <c r="B1001" s="7" t="e">
        <f>IF(AND(A1001&gt;=Dashboard!$F$5,A1001&lt;=Dashboard!$J$5,A1001&lt;&gt;""),SUMIFS(DashboardData!$D:$D,DashboardData!$A:$A,IF(Dashboard!$B$5="All","*",Dashboard!$B$5),DashboardData!$B:$B,A1001),NA())</f>
        <v>#N/A</v>
      </c>
      <c r="C1001" s="7" t="e">
        <f>IF(AND(A1001&gt;=Dashboard!$F$5,A1001&lt;=Dashboard!$J$5,A1001&lt;&gt;""),-SUMIFS(DashboardData!$E:$E,DashboardData!$A:$A,IF(Dashboard!$B$5="All","*",Dashboard!$B$5),DashboardData!$B:$B,A1001),NA())</f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460743-EABB-4462-9EF9-9CD59201B5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22</vt:i4>
      </vt:variant>
      <vt:variant>
        <vt:lpstr>Adlandırılmış Aralıklar</vt:lpstr>
      </vt:variant>
      <vt:variant>
        <vt:i4>1</vt:i4>
      </vt:variant>
    </vt:vector>
  </HeadingPairs>
  <TitlesOfParts>
    <vt:vector size="23" baseType="lpstr">
      <vt:lpstr>qMissingValues</vt:lpstr>
      <vt:lpstr>SourceCheck</vt:lpstr>
      <vt:lpstr>Dashboard</vt:lpstr>
      <vt:lpstr>Settings</vt:lpstr>
      <vt:lpstr>KPI</vt:lpstr>
      <vt:lpstr>Monthly</vt:lpstr>
      <vt:lpstr>Country</vt:lpstr>
      <vt:lpstr>Product</vt:lpstr>
      <vt:lpstr>Reconciliation</vt:lpstr>
      <vt:lpstr>Bridge</vt:lpstr>
      <vt:lpstr>Quality</vt:lpstr>
      <vt:lpstr>Controls</vt:lpstr>
      <vt:lpstr>DuplicateScenario</vt:lpstr>
      <vt:lpstr>BeforeAfter</vt:lpstr>
      <vt:lpstr>ProductDictionary</vt:lpstr>
      <vt:lpstr>SpecialOperations</vt:lpstr>
      <vt:lpstr>Customers</vt:lpstr>
      <vt:lpstr>ReviewExamples</vt:lpstr>
      <vt:lpstr>DashboardData</vt:lpstr>
      <vt:lpstr>RefreshInfo</vt:lpstr>
      <vt:lpstr>Lists</vt:lpstr>
      <vt:lpstr>ChartData</vt:lpstr>
      <vt:lpstr>Dashboard!Yazdırma_Alanı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Retail Data Rescue — Excel &amp; Power Query delivery</dc:title>
  <dc:creator>Hakan</dc:creator>
  <dc:description>Retail data quality case study. Four embedded Power Query audit queries; reference dashboard; full-model M sources supplied separately.</dc:description>
  <cp:lastModifiedBy>hakan can</cp:lastModifiedBy>
  <dcterms:created xsi:type="dcterms:W3CDTF">2026-10-12T09:02:50Z</dcterms:created>
  <dcterms:modified xsi:type="dcterms:W3CDTF">2026-10-21T12:02:43Z</dcterms:modified>
</cp:coreProperties>
</file>